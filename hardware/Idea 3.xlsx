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delis" sheetId="1" r:id="rId4"/>
    <sheet state="visible" name="2025-01-xx" sheetId="2" r:id="rId5"/>
    <sheet state="visible" name="2020-03-xx" sheetId="3" r:id="rId6"/>
    <sheet state="visible" name="NAV padangos" sheetId="4" r:id="rId7"/>
    <sheet state="visible" name="Interlux+sormedica" sheetId="5" r:id="rId8"/>
    <sheet state="visible" name="zmoniu padangos" sheetId="6" r:id="rId9"/>
    <sheet state="visible" name="Cash" sheetId="7" r:id="rId10"/>
    <sheet state="visible" name="Alan Karol new" sheetId="8" r:id="rId11"/>
    <sheet state="visible" name="gvidas" sheetId="9" r:id="rId12"/>
  </sheets>
  <definedNames/>
  <calcPr/>
</workbook>
</file>

<file path=xl/sharedStrings.xml><?xml version="1.0" encoding="utf-8"?>
<sst xmlns="http://schemas.openxmlformats.org/spreadsheetml/2006/main" count="49639" uniqueCount="23567">
  <si>
    <t>Sandelio status:</t>
  </si>
  <si>
    <t>OK (atnaujintas 2025/09/03)</t>
  </si>
  <si>
    <t>Kontaktinis numeris +370 640 18318</t>
  </si>
  <si>
    <t>Pristatimo data</t>
  </si>
  <si>
    <t>EAN/mano kodas</t>
  </si>
  <si>
    <t>gamintojo Kodas</t>
  </si>
  <si>
    <t>Išmatavimai</t>
  </si>
  <si>
    <t>Gamintojas</t>
  </si>
  <si>
    <t>Dizainas</t>
  </si>
  <si>
    <t>DOT</t>
  </si>
  <si>
    <t>Likutis (vnt.)</t>
  </si>
  <si>
    <t>Kaina (€ be PVM)</t>
  </si>
  <si>
    <t>Sezoniskumas</t>
  </si>
  <si>
    <t>Padangos gavom</t>
  </si>
  <si>
    <t>92S</t>
  </si>
  <si>
    <t>195/75r14</t>
  </si>
  <si>
    <t>MAXXIS</t>
  </si>
  <si>
    <t>MA-1</t>
  </si>
  <si>
    <t>Winter</t>
  </si>
  <si>
    <t>175/55r15</t>
  </si>
  <si>
    <t xml:space="preserve"> WP-05 17652</t>
  </si>
  <si>
    <t>95T</t>
  </si>
  <si>
    <t>195/65r15</t>
  </si>
  <si>
    <t>GT Radial</t>
  </si>
  <si>
    <t>Winter Pro</t>
  </si>
  <si>
    <t>205/55r16</t>
  </si>
  <si>
    <t>debica</t>
  </si>
  <si>
    <t>debica frigo hp2</t>
  </si>
  <si>
    <t>205/60r16</t>
  </si>
  <si>
    <t>sava</t>
  </si>
  <si>
    <t>eskimo hp2</t>
  </si>
  <si>
    <t>245/40r18</t>
  </si>
  <si>
    <t>97V XL</t>
  </si>
  <si>
    <t>Goodyear</t>
  </si>
  <si>
    <t>UltraGrip Perfomance GEN1</t>
  </si>
  <si>
    <t>275/40r18</t>
  </si>
  <si>
    <t>hankook</t>
  </si>
  <si>
    <t xml:space="preserve"> w330</t>
  </si>
  <si>
    <t>245/35r19</t>
  </si>
  <si>
    <t>UltraGrip Perfomance3</t>
  </si>
  <si>
    <t>devetos</t>
  </si>
  <si>
    <t>255/40r20</t>
  </si>
  <si>
    <t>continental</t>
  </si>
  <si>
    <t>245/40r20</t>
  </si>
  <si>
    <t>KUHMO</t>
  </si>
  <si>
    <t>WinterCraft WP72</t>
  </si>
  <si>
    <t>102W</t>
  </si>
  <si>
    <t>275/35r20</t>
  </si>
  <si>
    <t>285/35r20</t>
  </si>
  <si>
    <t>goodyear ug perf 3  w indeksas</t>
  </si>
  <si>
    <t>goodyear ug perf 3</t>
  </si>
  <si>
    <t>110V</t>
  </si>
  <si>
    <t>285/40r22</t>
  </si>
  <si>
    <t>Pirelli</t>
  </si>
  <si>
    <t>Scorpion Winter</t>
  </si>
  <si>
    <t>235/75r15</t>
  </si>
  <si>
    <t>All Season</t>
  </si>
  <si>
    <t>100V</t>
  </si>
  <si>
    <t>235/55r18</t>
  </si>
  <si>
    <t>GoodRide</t>
  </si>
  <si>
    <t>AllSeasonElite Z-401</t>
  </si>
  <si>
    <t>ZuperEco Z-107</t>
  </si>
  <si>
    <t>91V</t>
  </si>
  <si>
    <t>195/55r16</t>
  </si>
  <si>
    <t>Sailun</t>
  </si>
  <si>
    <t>AtrezzoElite</t>
  </si>
  <si>
    <t>Summer</t>
  </si>
  <si>
    <t>91H</t>
  </si>
  <si>
    <t>Dunlop</t>
  </si>
  <si>
    <t>SPT BLURESPONSE</t>
  </si>
  <si>
    <t>91V/91H</t>
  </si>
  <si>
    <t>GoodYear</t>
  </si>
  <si>
    <t>EfficeintGrip Perf 2</t>
  </si>
  <si>
    <t>2023-24</t>
  </si>
  <si>
    <r>
      <rPr/>
      <t>16vnt DOT:51</t>
    </r>
    <r>
      <rPr>
        <color rgb="FFFF0000"/>
      </rPr>
      <t>23</t>
    </r>
  </si>
  <si>
    <r>
      <rPr/>
      <t xml:space="preserve"> 12vnt DOT:47</t>
    </r>
    <r>
      <rPr>
        <color rgb="FFFF0000"/>
      </rPr>
      <t>24</t>
    </r>
  </si>
  <si>
    <t>99V</t>
  </si>
  <si>
    <t>215/60r16</t>
  </si>
  <si>
    <t>DEBICA</t>
  </si>
  <si>
    <t>PRESTO HP2</t>
  </si>
  <si>
    <t>102H</t>
  </si>
  <si>
    <t>225/65r17</t>
  </si>
  <si>
    <t>Uniroyal</t>
  </si>
  <si>
    <t>Rain Expert 5</t>
  </si>
  <si>
    <t>95W</t>
  </si>
  <si>
    <t>225/45r18</t>
  </si>
  <si>
    <t>sunny</t>
  </si>
  <si>
    <t>NA305</t>
  </si>
  <si>
    <t>255/45r19</t>
  </si>
  <si>
    <t>Eagle f1 asymm 3 suv</t>
  </si>
  <si>
    <t>98Y</t>
  </si>
  <si>
    <t>245/40r19</t>
  </si>
  <si>
    <t>Eagle F1 Asymm 6</t>
  </si>
  <si>
    <t>100Y</t>
  </si>
  <si>
    <t>275/35r19</t>
  </si>
  <si>
    <t>Eagle F1 asymm6</t>
  </si>
  <si>
    <t>99Y</t>
  </si>
  <si>
    <t>265/35r20</t>
  </si>
  <si>
    <t>Michelin (NO)</t>
  </si>
  <si>
    <t>Pilot Sport Cup 2 R</t>
  </si>
  <si>
    <t>108Y</t>
  </si>
  <si>
    <t>325/30R21</t>
  </si>
  <si>
    <t>103Y</t>
  </si>
  <si>
    <t>275/35r21</t>
  </si>
  <si>
    <t xml:space="preserve">Pirelli </t>
  </si>
  <si>
    <t>Pzero NCS</t>
  </si>
  <si>
    <t>104Y</t>
  </si>
  <si>
    <t>305/30r21</t>
  </si>
  <si>
    <t>Eagle f1 astmm 5</t>
  </si>
  <si>
    <t>Grazint?</t>
  </si>
  <si>
    <t>245/40e19</t>
  </si>
  <si>
    <t>Eagle f1 asymm 6</t>
  </si>
  <si>
    <t>215/45r20</t>
  </si>
  <si>
    <t>EfficientGrip Perf</t>
  </si>
  <si>
    <t>fsiske</t>
  </si>
  <si>
    <t>ismatavimas</t>
  </si>
  <si>
    <t>kiekis</t>
  </si>
  <si>
    <t>pavadinimas</t>
  </si>
  <si>
    <t>kam</t>
  </si>
  <si>
    <t>pinigai</t>
  </si>
  <si>
    <t>statusas</t>
  </si>
  <si>
    <t>#93019</t>
  </si>
  <si>
    <t>235/45r18</t>
  </si>
  <si>
    <t>goodyear f1 asymm 6</t>
  </si>
  <si>
    <t>Tomas Vaitiekunas &lt;tvaitiekunas@gmail.com EA2185</t>
  </si>
  <si>
    <t>IDE009482</t>
  </si>
  <si>
    <t>alan karol</t>
  </si>
  <si>
    <t>#114273</t>
  </si>
  <si>
    <t>245/45r19</t>
  </si>
  <si>
    <t>goodyear f1 asymm 5 SCT</t>
  </si>
  <si>
    <t>MB E220D 4matic KOD506 SORMEDICA</t>
  </si>
  <si>
    <t>IDE009549</t>
  </si>
  <si>
    <t>martynas utkinas</t>
  </si>
  <si>
    <t>kupon pats</t>
  </si>
  <si>
    <t>goodyear supersport</t>
  </si>
  <si>
    <t>gediminas gaidelis KUM370</t>
  </si>
  <si>
    <t>IDE009551</t>
  </si>
  <si>
    <t>285/35r19</t>
  </si>
  <si>
    <t>gediminas gaidelis</t>
  </si>
  <si>
    <t>#114769</t>
  </si>
  <si>
    <t>235/40r19</t>
  </si>
  <si>
    <t>goodyear EAG F1 ASY 6 * XL SCT 595275</t>
  </si>
  <si>
    <t>mantas pavliukevicius  passat</t>
  </si>
  <si>
    <t>225eur</t>
  </si>
  <si>
    <t>exel</t>
  </si>
  <si>
    <t>tds</t>
  </si>
  <si>
    <t>#114426</t>
  </si>
  <si>
    <t>215/50r17</t>
  </si>
  <si>
    <t>goodyear efficientgrip perf 2 577017</t>
  </si>
  <si>
    <t>mantas pavliukevicius  leaf</t>
  </si>
  <si>
    <t>140eur</t>
  </si>
  <si>
    <t xml:space="preserve">tds </t>
  </si>
  <si>
    <t>utkinas martynas</t>
  </si>
  <si>
    <t>285/30r20</t>
  </si>
  <si>
    <t>michelin 4s*</t>
  </si>
  <si>
    <t>tautvydas viksraitis bmw m3</t>
  </si>
  <si>
    <t>transratai</t>
  </si>
  <si>
    <t>pas marciu pasieme</t>
  </si>
  <si>
    <t>dave 2k</t>
  </si>
  <si>
    <t>270*4</t>
  </si>
  <si>
    <t>unirojal rain expert 2vnt</t>
  </si>
  <si>
    <t>interlux rav4        hzu850</t>
  </si>
  <si>
    <t>#114288</t>
  </si>
  <si>
    <t>goodyear f1 asymm 3 suv</t>
  </si>
  <si>
    <t>interlux LIJ527 tiguan Multilabui</t>
  </si>
  <si>
    <t>IDE009552</t>
  </si>
  <si>
    <t>225/40r19</t>
  </si>
  <si>
    <t>michelin ps5</t>
  </si>
  <si>
    <t>Deividas Rinkevičius &lt;deivis.rin@gmail.com</t>
  </si>
  <si>
    <t>200+200 ? +monntazke</t>
  </si>
  <si>
    <t>255/35r19</t>
  </si>
  <si>
    <t>michelin ps4</t>
  </si>
  <si>
    <t>kestas kaimynas komandos dvasia</t>
  </si>
  <si>
    <t>IDE009509</t>
  </si>
  <si>
    <t>davikliai</t>
  </si>
  <si>
    <t>montazke</t>
  </si>
  <si>
    <t>#133097</t>
  </si>
  <si>
    <t>255/55r19</t>
  </si>
  <si>
    <t>goodyear efficient perf 2   583101</t>
  </si>
  <si>
    <t>adomas ginevicius</t>
  </si>
  <si>
    <t>166e+</t>
  </si>
  <si>
    <t>IDE009493</t>
  </si>
  <si>
    <t>jurgita</t>
  </si>
  <si>
    <t>225/50r17</t>
  </si>
  <si>
    <t xml:space="preserve">goodyear efficient perf 2  </t>
  </si>
  <si>
    <t>Marius UAB Asgena &lt;marius@asgena.lt</t>
  </si>
  <si>
    <t>IDE009459</t>
  </si>
  <si>
    <t>#79289</t>
  </si>
  <si>
    <t>265/35r21</t>
  </si>
  <si>
    <t>goodyear f1 asymm 3  NF1</t>
  </si>
  <si>
    <t>Vilius Chodkevicius &lt;v.chodkevicius@gmail.com</t>
  </si>
  <si>
    <t xml:space="preserve">IDE009461 </t>
  </si>
  <si>
    <t>denisas panaudojo</t>
  </si>
  <si>
    <t>GWL2317888117129</t>
  </si>
  <si>
    <t>EV5474</t>
  </si>
  <si>
    <t>315/35r20</t>
  </si>
  <si>
    <t>yokohama v107d</t>
  </si>
  <si>
    <t>Igoris &lt;imeks8@yahoo.com</t>
  </si>
  <si>
    <t>IDE009535</t>
  </si>
  <si>
    <t>275/40r20</t>
  </si>
  <si>
    <t>Igoris &lt;imeks8@yahoo.com JZU383 BMW X6</t>
  </si>
  <si>
    <t>debica uhp2</t>
  </si>
  <si>
    <t>laurynas bockus</t>
  </si>
  <si>
    <t>65eur</t>
  </si>
  <si>
    <t>IDE009498</t>
  </si>
  <si>
    <t>225/45r17</t>
  </si>
  <si>
    <t>fulda sportcontrol 2</t>
  </si>
  <si>
    <t>mantas serbintas Violeta Serbintienė FBV969</t>
  </si>
  <si>
    <t>80eur</t>
  </si>
  <si>
    <t>#104468</t>
  </si>
  <si>
    <t>255/45r20</t>
  </si>
  <si>
    <t>goodyear asymm 6</t>
  </si>
  <si>
    <t>gwl2317954952573</t>
  </si>
  <si>
    <t>martynas ut</t>
  </si>
  <si>
    <t>285/40r20</t>
  </si>
  <si>
    <t>AGN3RA</t>
  </si>
  <si>
    <t>rockblade</t>
  </si>
  <si>
    <t>arunas gliaudelis</t>
  </si>
  <si>
    <t>66eur</t>
  </si>
  <si>
    <t>225/60r18</t>
  </si>
  <si>
    <t>goodyear eff perf 2</t>
  </si>
  <si>
    <t>arturas zakroiskis</t>
  </si>
  <si>
    <t>IDE009468</t>
  </si>
  <si>
    <t>goodyear f1 asymm 5 NF1</t>
  </si>
  <si>
    <t>donatas jucius taycan</t>
  </si>
  <si>
    <t>IDE009548</t>
  </si>
  <si>
    <t>don911 rato montazke du kartus, kai daze ir virino lygino</t>
  </si>
  <si>
    <t>donatas jucius cayene</t>
  </si>
  <si>
    <t>2025-04-04 montazke vieno rato vakare, paskolinau padanga</t>
  </si>
  <si>
    <t>dunlop bluresponse</t>
  </si>
  <si>
    <t>justas krasuckis norameda</t>
  </si>
  <si>
    <t>IDE009503</t>
  </si>
  <si>
    <t>goodyear efficientgrip perf 2</t>
  </si>
  <si>
    <t>justas krasuckis norameda asta LSH517</t>
  </si>
  <si>
    <t xml:space="preserve">IDE009546 </t>
  </si>
  <si>
    <t>taycan 4039+pvm pelnas +1983+pvm auto nuoma, aurimo darbas 1500+pvm, minus nuo arteon -500eur, nusidevejimas 458eur be pvm draudimo</t>
  </si>
  <si>
    <t>donatas jucius aurimas nav porsche taycan</t>
  </si>
  <si>
    <t>taycan zibinta pirko deveta+lipdukas+taycan bamper drveta pirko ir dazymai ir burtai, sparno nieko nedare bet pardavem dazyma,</t>
  </si>
  <si>
    <t>-457eur nusidevejimas. arteon pelmas 1456+pvm</t>
  </si>
  <si>
    <t>donatas jucius aurimas nav</t>
  </si>
  <si>
    <t>rimas kuliesius aurimas nav ioniq6</t>
  </si>
  <si>
    <t>909+pvm lieka, 350+sask pvm</t>
  </si>
  <si>
    <t>IDE009641</t>
  </si>
  <si>
    <t>sniura dejom led333</t>
  </si>
  <si>
    <t>IDE009639</t>
  </si>
  <si>
    <t>marex</t>
  </si>
  <si>
    <t>225/60r17</t>
  </si>
  <si>
    <t>sava intensa suv2</t>
  </si>
  <si>
    <t>subaru outback        hcp396        liutauras prekursorius</t>
  </si>
  <si>
    <t>106eur</t>
  </si>
  <si>
    <t>IDE009554</t>
  </si>
  <si>
    <t>subaru outback	hcp396	liutauras prekursorius</t>
  </si>
  <si>
    <t>daviklis vienas naujas</t>
  </si>
  <si>
    <t>#114782</t>
  </si>
  <si>
    <t xml:space="preserve">goodyear eagle f1 asymm 6 </t>
  </si>
  <si>
    <t>MNK987        skoda oktavia insitus</t>
  </si>
  <si>
    <t>IDE009558</t>
  </si>
  <si>
    <t>#133102</t>
  </si>
  <si>
    <t>goodyear eagle f1 asymm 6</t>
  </si>
  <si>
    <t>MNL021 insitus skoda octavia</t>
  </si>
  <si>
    <t>#114275</t>
  </si>
  <si>
    <t>215/60r17</t>
  </si>
  <si>
    <t>598328 goodyear effic perf 2</t>
  </si>
  <si>
    <t>r17 toyota toyota proace        LTP289 interlux</t>
  </si>
  <si>
    <t>IDE009550</t>
  </si>
  <si>
    <t>#79121</t>
  </si>
  <si>
    <t>265/60r18</t>
  </si>
  <si>
    <t>583944 goodeyar wrangler at</t>
  </si>
  <si>
    <t>landcruiser        hmu633 interlux</t>
  </si>
  <si>
    <t>IDE009452</t>
  </si>
  <si>
    <t>HMU633 GWL2388663506237</t>
  </si>
  <si>
    <t>215/55r17</t>
  </si>
  <si>
    <t>debica presto uhp2</t>
  </si>
  <si>
    <t>skoda superb	JDT199  interlux</t>
  </si>
  <si>
    <t>IDE009560</t>
  </si>
  <si>
    <t>#115290</t>
  </si>
  <si>
    <t>215/50r18</t>
  </si>
  <si>
    <t>580133 goodyear EFFIGRIP PERF 2 FP</t>
  </si>
  <si>
    <t>seat ateca        MCT673 interlux</t>
  </si>
  <si>
    <t xml:space="preserve">sava </t>
  </si>
  <si>
    <t>golf7	JJE676 interlux</t>
  </si>
  <si>
    <t>IDE009608</t>
  </si>
  <si>
    <t>rav4	hzu967 interlux</t>
  </si>
  <si>
    <t>275/45r20</t>
  </si>
  <si>
    <t>532009 dunlop rt2 suv</t>
  </si>
  <si>
    <t>r20 audi q7	hhh525 interlux</t>
  </si>
  <si>
    <t>IDE009574</t>
  </si>
  <si>
    <t>Subaru forester JNA724 interlux</t>
  </si>
  <si>
    <t>IDE009607</t>
  </si>
  <si>
    <t>sava hp2</t>
  </si>
  <si>
    <t>passat jph121 interlux</t>
  </si>
  <si>
    <t>debica hp2</t>
  </si>
  <si>
    <t>passat JJE670 interlux</t>
  </si>
  <si>
    <t>IDE009610</t>
  </si>
  <si>
    <t>dunlop rt2</t>
  </si>
  <si>
    <t>skoda superb mur145 skirmantas interlux</t>
  </si>
  <si>
    <t>jurga zagaraite passat JCP449</t>
  </si>
  <si>
    <t>sava ar debica</t>
  </si>
  <si>
    <t>skoda octavia ftp885</t>
  </si>
  <si>
    <t>IDE009475</t>
  </si>
  <si>
    <t>debica presto hp2</t>
  </si>
  <si>
    <t>nav aurimas mingela toyota avensis MES879</t>
  </si>
  <si>
    <t>IDE009588</t>
  </si>
  <si>
    <t>205/40r17</t>
  </si>
  <si>
    <t>Nerijus Kiseliovas</t>
  </si>
  <si>
    <t>IDE009489</t>
  </si>
  <si>
    <t>tomas jatuzys passat miroslavas</t>
  </si>
  <si>
    <t>190e</t>
  </si>
  <si>
    <t>185/60r15</t>
  </si>
  <si>
    <t>skoda fabia	JTO204	zydrunas daunoravicius Vilma Ratautaitė</t>
  </si>
  <si>
    <t>goodyear effic perf 2</t>
  </si>
  <si>
    <t>Mindaugas Vasiliauskas &lt;mindaugas.vasiliauskas@sb.lt UAB Aliter</t>
  </si>
  <si>
    <t>IDE009462</t>
  </si>
  <si>
    <t>KJJ438 Škoda Karoq</t>
  </si>
  <si>
    <t>#111000</t>
  </si>
  <si>
    <t>goodyear f1 asymm 5</t>
  </si>
  <si>
    <t>povilas meskys</t>
  </si>
  <si>
    <t>150+montzzke</t>
  </si>
  <si>
    <t>IDE009530</t>
  </si>
  <si>
    <t>E358H03 D246 12eur</t>
  </si>
  <si>
    <t>1 987 432 543 15eur</t>
  </si>
  <si>
    <t>F 026 400 287  16eur</t>
  </si>
  <si>
    <t>0w40 6L 300v motul</t>
  </si>
  <si>
    <t>tepalu keitimas per zavala</t>
  </si>
  <si>
    <t>general tire winter</t>
  </si>
  <si>
    <t>martynas bisikirskas veho</t>
  </si>
  <si>
    <t>IDE009481</t>
  </si>
  <si>
    <t>gediminas silanskas mepco</t>
  </si>
  <si>
    <t>115eur IDE009474</t>
  </si>
  <si>
    <t>195/40r16</t>
  </si>
  <si>
    <t>valdas fedianinas valdoska lukas mackevicius</t>
  </si>
  <si>
    <t>95e+montazke be masinos</t>
  </si>
  <si>
    <t>IDE009499</t>
  </si>
  <si>
    <t>235/50r19</t>
  </si>
  <si>
    <t>barum bravuris 6</t>
  </si>
  <si>
    <t>Robertas &lt;robertas@instabalt.lt MSZ657</t>
  </si>
  <si>
    <t>IDE009525</t>
  </si>
  <si>
    <t>tomas lizunas</t>
  </si>
  <si>
    <t>165eur</t>
  </si>
  <si>
    <t>215/65r17</t>
  </si>
  <si>
    <t>yokohama ae61</t>
  </si>
  <si>
    <t>mab136 tomas mingela nav aurimas</t>
  </si>
  <si>
    <t>235/45r20</t>
  </si>
  <si>
    <t>sailun zsr2</t>
  </si>
  <si>
    <t>NAR684 interlux tomas mingela skoda</t>
  </si>
  <si>
    <t>zmax</t>
  </si>
  <si>
    <t>antonas mejus ds pro saugos projektai         Info &lt;info@dspro.lt Karolis Teišerskis</t>
  </si>
  <si>
    <t>62eur+montazke</t>
  </si>
  <si>
    <t>IDE009631</t>
  </si>
  <si>
    <t>#118951</t>
  </si>
  <si>
    <t>MOH185 skoda superb interlux ricardas prase</t>
  </si>
  <si>
    <t>185/55r15</t>
  </si>
  <si>
    <t>Tomas Umbrasas &lt;umbrasas.tomas@gmail.com</t>
  </si>
  <si>
    <t>90eur</t>
  </si>
  <si>
    <t>235/55r19</t>
  </si>
  <si>
    <t>edgaras po</t>
  </si>
  <si>
    <t>kupon nera</t>
  </si>
  <si>
    <t>215/65r16</t>
  </si>
  <si>
    <t>ramunas armalis whatsapp JFD092 Volvo XC70</t>
  </si>
  <si>
    <t>125+montazke</t>
  </si>
  <si>
    <t>245/35r21</t>
  </si>
  <si>
    <t>sunny nu025</t>
  </si>
  <si>
    <t>Evaldas Borcovas &lt;evaldas.borcovas@gmail.com kaimynas</t>
  </si>
  <si>
    <t>66eur+montazke</t>
  </si>
  <si>
    <t>keitimas pakabos</t>
  </si>
  <si>
    <t>LMI39074  47eur</t>
  </si>
  <si>
    <t>LMI38950  24eur</t>
  </si>
  <si>
    <t>sailentai 4vnt LMI42214 po 10eur</t>
  </si>
  <si>
    <t>mantas jastremskas cailas rs7</t>
  </si>
  <si>
    <t>pakbos apziura</t>
  </si>
  <si>
    <t>audi rs7 downpipe keitimas</t>
  </si>
  <si>
    <t>mantas jastremskas cailas</t>
  </si>
  <si>
    <t>guolio keitimas</t>
  </si>
  <si>
    <t>713 6110 60 73eur</t>
  </si>
  <si>
    <t>mantas jastremskas cailas dvyrka</t>
  </si>
  <si>
    <t>dvyrkos padangos 130eur</t>
  </si>
  <si>
    <t>dave 100eur ir dar 10geliuku eme</t>
  </si>
  <si>
    <t>8100 X-CLEAN EFE 5W30 4L 40eur</t>
  </si>
  <si>
    <t>OC215  7eur</t>
  </si>
  <si>
    <t>C 26 006 mann 17eur</t>
  </si>
  <si>
    <t>renatas motuzas swift</t>
  </si>
  <si>
    <t>IDE009650</t>
  </si>
  <si>
    <t>MOTYLGEAR 75W90 1L 3x10eur</t>
  </si>
  <si>
    <t>keitimas tepalu dezes/variklio</t>
  </si>
  <si>
    <t>A-C EXPERT-37C 5L  20eur</t>
  </si>
  <si>
    <t>A-C EXPERT ULTRA 1L  10eur</t>
  </si>
  <si>
    <t>ausinimo skystis keitimas</t>
  </si>
  <si>
    <t>dot4 skystis</t>
  </si>
  <si>
    <t>stabdziu skystis keitimas</t>
  </si>
  <si>
    <t xml:space="preserve">renatas motuzas </t>
  </si>
  <si>
    <t>montazke passat r18</t>
  </si>
  <si>
    <t>2vnt slegio jutikliu keitimas</t>
  </si>
  <si>
    <t>edgaras kovaliovas transit</t>
  </si>
  <si>
    <t>IDE009660</t>
  </si>
  <si>
    <t>255/50r20</t>
  </si>
  <si>
    <t>goodride sw618</t>
  </si>
  <si>
    <t>tomas naruskevic</t>
  </si>
  <si>
    <t>IDE009392</t>
  </si>
  <si>
    <t>255/45r18</t>
  </si>
  <si>
    <t>gripmaxx</t>
  </si>
  <si>
    <t xml:space="preserve"> laurynas kentra xxx</t>
  </si>
  <si>
    <t>IDE009323</t>
  </si>
  <si>
    <t>goodyear efficientgrip perf2</t>
  </si>
  <si>
    <t>Ingrida Z. &lt;ingrida.zabiliene@gmail.com MZO797</t>
  </si>
  <si>
    <t>115eur</t>
  </si>
  <si>
    <t>325/35r22</t>
  </si>
  <si>
    <t>michelin pa5 suv</t>
  </si>
  <si>
    <t>IDE009334</t>
  </si>
  <si>
    <t>hankook w330</t>
  </si>
  <si>
    <t>tadas rasiukas donatas siurna kokybiski auto</t>
  </si>
  <si>
    <t>IDE009340</t>
  </si>
  <si>
    <t>205/55r17</t>
  </si>
  <si>
    <t>taurus winter</t>
  </si>
  <si>
    <t>marijus kebla</t>
  </si>
  <si>
    <t>IDE009322</t>
  </si>
  <si>
    <t>#119039</t>
  </si>
  <si>
    <t>245/45r18</t>
  </si>
  <si>
    <t>goodyear vector g3</t>
  </si>
  <si>
    <t>laurynas beriva</t>
  </si>
  <si>
    <t>IDE009350</t>
  </si>
  <si>
    <t>F 026 407 128  9eur</t>
  </si>
  <si>
    <t>F 026 400 631  25eur</t>
  </si>
  <si>
    <t>zvakes ir keitimas</t>
  </si>
  <si>
    <t>marek stefanovic marex  stelvio</t>
  </si>
  <si>
    <t>ecoclean 6l 60+13eur</t>
  </si>
  <si>
    <t>dugno nuemimas</t>
  </si>
  <si>
    <t>tepalu ir filtru keitimas 50</t>
  </si>
  <si>
    <t>goodyear ug perf+ suv</t>
  </si>
  <si>
    <t>martynas bisikirskas veho kaunas is jutos</t>
  </si>
  <si>
    <t>IDE009333</t>
  </si>
  <si>
    <t>235/60r18</t>
  </si>
  <si>
    <t>goodyear perf+ suv</t>
  </si>
  <si>
    <t>IDE009339</t>
  </si>
  <si>
    <t>sava eskimo hp2</t>
  </si>
  <si>
    <t>mindaugas ravesa</t>
  </si>
  <si>
    <t>IDE009332</t>
  </si>
  <si>
    <t>maxxis</t>
  </si>
  <si>
    <t>julius puidokas</t>
  </si>
  <si>
    <t>IDE009344</t>
  </si>
  <si>
    <t>245/35r20</t>
  </si>
  <si>
    <t>vilius milasius mersas Mas139 aurimas nav</t>
  </si>
  <si>
    <t>252eur</t>
  </si>
  <si>
    <t>daug montazkes</t>
  </si>
  <si>
    <t>ratlankis ?</t>
  </si>
  <si>
    <t>lassa</t>
  </si>
  <si>
    <t>Alex Abro &lt;alexabro8@gmail.com</t>
  </si>
  <si>
    <t>IDE009335</t>
  </si>
  <si>
    <t>300017497 a investicija</t>
  </si>
  <si>
    <t>P 85 144X 104eur</t>
  </si>
  <si>
    <t>P 85 124X  57eur</t>
  </si>
  <si>
    <t>rojus aidietis</t>
  </si>
  <si>
    <t>IDE009337</t>
  </si>
  <si>
    <t>09.C306.1X 2x125savikaina</t>
  </si>
  <si>
    <t>09.a200.1x 2x83savik</t>
  </si>
  <si>
    <t>IDE009352</t>
  </si>
  <si>
    <t>valdas spakauskas gavras</t>
  </si>
  <si>
    <t>IDE009351</t>
  </si>
  <si>
    <t>pirelli sotozero 3 rft</t>
  </si>
  <si>
    <t>tomas bareikis</t>
  </si>
  <si>
    <t>IDE009336</t>
  </si>
  <si>
    <t>325/40r22</t>
  </si>
  <si>
    <t>conti ts870</t>
  </si>
  <si>
    <t>martynas bisikirskas veho vilnius</t>
  </si>
  <si>
    <t>IDE009346</t>
  </si>
  <si>
    <t>285/45r22</t>
  </si>
  <si>
    <t>michelin pa5 bmw</t>
  </si>
  <si>
    <t>donatas siurna bmw m3 touring</t>
  </si>
  <si>
    <t>IDE009349</t>
  </si>
  <si>
    <t>Galinius disku ir kaladeliu keitimas</t>
  </si>
  <si>
    <r>
      <rPr>
        <color rgb="FF1155CC"/>
        <u/>
      </rPr>
      <t>08.9502.11</t>
    </r>
    <r>
      <rPr>
        <color rgb="FF000000"/>
      </rPr>
      <t xml:space="preserve"> 21.86eur (savikaina)</t>
    </r>
  </si>
  <si>
    <t>laurynas goncauskas? vw scirocco</t>
  </si>
  <si>
    <t>IDE009436</t>
  </si>
  <si>
    <r>
      <rPr>
        <color rgb="FF1155CC"/>
        <u/>
      </rPr>
      <t>08.9502.11</t>
    </r>
    <r>
      <rPr/>
      <t xml:space="preserve"> 21.86eur (savikaina)</t>
    </r>
  </si>
  <si>
    <r>
      <rPr>
        <color rgb="FF1155CC"/>
        <u/>
      </rPr>
      <t>P 85 017</t>
    </r>
    <r>
      <rPr>
        <color rgb="FF000000"/>
      </rPr>
      <t xml:space="preserve"> 13.80eur (savikaina)</t>
    </r>
  </si>
  <si>
    <t>Goodyear ug perf3</t>
  </si>
  <si>
    <t>Denas Lexus LUV233</t>
  </si>
  <si>
    <t>dunlop response 2</t>
  </si>
  <si>
    <t>Lukas Drobnys</t>
  </si>
  <si>
    <t>69eur+montazke</t>
  </si>
  <si>
    <t>255/50r19</t>
  </si>
  <si>
    <t>IDE009347</t>
  </si>
  <si>
    <t>martynas bisikirskas veho kaunas</t>
  </si>
  <si>
    <t>IDE009348</t>
  </si>
  <si>
    <t>langu skystis 60vnt</t>
  </si>
  <si>
    <t xml:space="preserve">arunas daruna </t>
  </si>
  <si>
    <t>IDE009431</t>
  </si>
  <si>
    <t>285/40r19</t>
  </si>
  <si>
    <t>conti wintercontact 8s</t>
  </si>
  <si>
    <t>martynas bisikirskas kaunas veho</t>
  </si>
  <si>
    <t>IDE009345</t>
  </si>
  <si>
    <t>R20x8.5 5X112 ET 26 66.6 HE761 (IN5342) Black (BL) For BMW (K3) (Rear+Front)</t>
  </si>
  <si>
    <t>mantas jastremskas cailas bmw g30</t>
  </si>
  <si>
    <t>IDE009642</t>
  </si>
  <si>
    <t>R20x9.5 5X112 ET 38 66.6 HE761 (IN5342) Black (BL) For BMW (K3) (Rear+Front)</t>
  </si>
  <si>
    <t xml:space="preserve">sailun </t>
  </si>
  <si>
    <t>275/30r20</t>
  </si>
  <si>
    <t>montazke be masinos</t>
  </si>
  <si>
    <t>Arnas Šuliokas A1 Motors</t>
  </si>
  <si>
    <t>montazke volvo su diskais</t>
  </si>
  <si>
    <t>balansas ratu visu</t>
  </si>
  <si>
    <t>kristis plioplys porsche riese</t>
  </si>
  <si>
    <t>IDE009356</t>
  </si>
  <si>
    <t>trauke+antgalis+keitimas</t>
  </si>
  <si>
    <t>original parts</t>
  </si>
  <si>
    <t>rastafkes 4x su uzdejimu</t>
  </si>
  <si>
    <t>250130090: 992423811 / Outer light</t>
  </si>
  <si>
    <t>144+pvm savik</t>
  </si>
  <si>
    <t>250130090: 992423810 / Track rod</t>
  </si>
  <si>
    <t>108+pvm savik</t>
  </si>
  <si>
    <t>akumas exide 80eur</t>
  </si>
  <si>
    <t>akumas ir pakrovejas</t>
  </si>
  <si>
    <t>mantas pavliukevicius tevukam</t>
  </si>
  <si>
    <t>175/70r14</t>
  </si>
  <si>
    <t>sava eskimo s3+</t>
  </si>
  <si>
    <t>paulius balciunas</t>
  </si>
  <si>
    <r>
      <rPr>
        <color rgb="FF1155CC"/>
        <u/>
      </rPr>
      <t>LMI39074</t>
    </r>
  </si>
  <si>
    <r>
      <rPr>
        <color rgb="FF1155CC"/>
        <u/>
      </rPr>
      <t>42214 01</t>
    </r>
  </si>
  <si>
    <t>RS7 HOS011 mantas jastremskas</t>
  </si>
  <si>
    <r>
      <rPr>
        <color rgb="FF1155CC"/>
        <u/>
      </rPr>
      <t>LMI38950</t>
    </r>
  </si>
  <si>
    <r>
      <rPr>
        <color rgb="FF1155CC"/>
        <u/>
      </rPr>
      <t>42214 01</t>
    </r>
  </si>
  <si>
    <t>RS7 HOS011</t>
  </si>
  <si>
    <r>
      <rPr>
        <rFont val="roboto, sans-serif"/>
        <color rgb="FF1155CC"/>
        <sz val="11.0"/>
        <u/>
      </rPr>
      <t>LMI42214</t>
    </r>
  </si>
  <si>
    <r>
      <rPr>
        <rFont val="roboto, sans-serif"/>
        <color rgb="FF1155CC"/>
        <sz val="11.0"/>
        <u/>
      </rPr>
      <t>LMI42214</t>
    </r>
  </si>
  <si>
    <t>DOT Race Sport 300ml</t>
  </si>
  <si>
    <t>contisport 7</t>
  </si>
  <si>
    <t>raimondas stefanovic</t>
  </si>
  <si>
    <t>IDE009478</t>
  </si>
  <si>
    <t>30104919  10eur</t>
  </si>
  <si>
    <t xml:space="preserve">p85154x  76eur </t>
  </si>
  <si>
    <t>galiniu kaladziu keitimas</t>
  </si>
  <si>
    <t>IDE009622</t>
  </si>
  <si>
    <t>ratu balansas po crash 2025-05-24</t>
  </si>
  <si>
    <t>1 987 473 599  13eur</t>
  </si>
  <si>
    <t>P85165X 173eur</t>
  </si>
  <si>
    <t>diskai sask israsyta jau ir apmoketa</t>
  </si>
  <si>
    <t>keitimas</t>
  </si>
  <si>
    <t>sailentu keitimas</t>
  </si>
  <si>
    <r>
      <rPr>
        <rFont val="inherit"/>
        <color rgb="FF000000"/>
        <sz val="11.0"/>
      </rPr>
      <t>FE38403</t>
    </r>
    <r>
      <rPr>
        <rFont val="inherit"/>
        <color rgb="FF000000"/>
        <sz val="11.0"/>
      </rPr>
      <t xml:space="preserve"> 2x15eur</t>
    </r>
  </si>
  <si>
    <t>Laurynas Goncauskas skoda kodiaq LNS473</t>
  </si>
  <si>
    <t>pusasio gumos keitimas</t>
  </si>
  <si>
    <t>0.036058  25eur</t>
  </si>
  <si>
    <t>Laurynas Goncauskas</t>
  </si>
  <si>
    <t>8vnt langu skyscio</t>
  </si>
  <si>
    <t>dainius cinaitis</t>
  </si>
  <si>
    <t>IDE009728</t>
  </si>
  <si>
    <t>dunlop w5</t>
  </si>
  <si>
    <t>IDE009353</t>
  </si>
  <si>
    <t>martynas bisikirskas veho kaunas Fausta Virkutytė</t>
  </si>
  <si>
    <t>IDE009409</t>
  </si>
  <si>
    <t>265/65r17</t>
  </si>
  <si>
    <t>insa turbo ranger</t>
  </si>
  <si>
    <t>Rytis &lt;rytis@protingesnis.lt</t>
  </si>
  <si>
    <t>IDE009355</t>
  </si>
  <si>
    <t>triangle</t>
  </si>
  <si>
    <t>mantas paliokas ford f150</t>
  </si>
  <si>
    <t>IDE009408</t>
  </si>
  <si>
    <t>YBX9096 166eur</t>
  </si>
  <si>
    <t>exide ek960  167eur</t>
  </si>
  <si>
    <t>mantas paliokas bmw</t>
  </si>
  <si>
    <t>IDE009357</t>
  </si>
  <si>
    <t>fulda</t>
  </si>
  <si>
    <t>juozas santechnikas</t>
  </si>
  <si>
    <t>85eur+montazke,380e</t>
  </si>
  <si>
    <t>depo sask 25eur</t>
  </si>
  <si>
    <t>depo sask 5eur vasario 20d</t>
  </si>
  <si>
    <t>depo sask 60eur vasario 19</t>
  </si>
  <si>
    <t>depo sask 38eur vasario 26d</t>
  </si>
  <si>
    <t>depo sask 4.5eur vasario 28</t>
  </si>
  <si>
    <t>depo sask 8eur kovo 3d</t>
  </si>
  <si>
    <t>depo sask kovo5</t>
  </si>
  <si>
    <t>depo 2025-kovo 17</t>
  </si>
  <si>
    <t>bertora kovo17</t>
  </si>
  <si>
    <t xml:space="preserve">depo kovo20 </t>
  </si>
  <si>
    <t>depo balandzio1</t>
  </si>
  <si>
    <t>irankis uab nuoma grazto</t>
  </si>
  <si>
    <t>8.48+55.06 eur</t>
  </si>
  <si>
    <t>juozas</t>
  </si>
  <si>
    <t>eb740 exide 88eur</t>
  </si>
  <si>
    <t>VW Tauran JEV841</t>
  </si>
  <si>
    <t>IDE009432</t>
  </si>
  <si>
    <t>filtrai</t>
  </si>
  <si>
    <t>1 987 432 397  11eur</t>
  </si>
  <si>
    <t>VW Tauran JEV842</t>
  </si>
  <si>
    <t>IDE009433</t>
  </si>
  <si>
    <t>1 987 429 404  10eur</t>
  </si>
  <si>
    <t>VW Tauran JEV843</t>
  </si>
  <si>
    <t>IDE009434</t>
  </si>
  <si>
    <t>1 457 070 008  17eur</t>
  </si>
  <si>
    <t>VW Tauran JEV844</t>
  </si>
  <si>
    <t>IDE009435</t>
  </si>
  <si>
    <t>1 457 429 192  8eur</t>
  </si>
  <si>
    <t>VW Tauran JEV845</t>
  </si>
  <si>
    <t>suporto detales</t>
  </si>
  <si>
    <t>D4-1630  9eur</t>
  </si>
  <si>
    <t>VW Tauran JEV846</t>
  </si>
  <si>
    <t>IDE009437</t>
  </si>
  <si>
    <t>granatos guma</t>
  </si>
  <si>
    <t>SAS1906025  11eur</t>
  </si>
  <si>
    <t>IDE009438</t>
  </si>
  <si>
    <t>st.diskai</t>
  </si>
  <si>
    <t>0 986 479 B78  2x23eur</t>
  </si>
  <si>
    <t>VW Tauran JEV841 valdas mameniskis</t>
  </si>
  <si>
    <t>IDE009439</t>
  </si>
  <si>
    <t xml:space="preserve">granata </t>
  </si>
  <si>
    <t>VKJA 8788  70eur</t>
  </si>
  <si>
    <t>vVW Tauran JEV841</t>
  </si>
  <si>
    <t>IDE009440</t>
  </si>
  <si>
    <t>siurblio tarpine</t>
  </si>
  <si>
    <t>EL485190  5eur</t>
  </si>
  <si>
    <t>apie 9h darbo</t>
  </si>
  <si>
    <t>IDE009441</t>
  </si>
  <si>
    <r>
      <rPr/>
      <t xml:space="preserve">4l </t>
    </r>
    <r>
      <rPr>
        <b/>
      </rPr>
      <t>5W-30</t>
    </r>
    <r>
      <rPr/>
      <t xml:space="preserve"> motul  40eur</t>
    </r>
  </si>
  <si>
    <t>IDE009657</t>
  </si>
  <si>
    <t>P 85 073 27eur kaladeles</t>
  </si>
  <si>
    <t>darbai visi, dvi dienos darbo buvo</t>
  </si>
  <si>
    <t>610suma</t>
  </si>
  <si>
    <t>420eur dave, likuti sask</t>
  </si>
  <si>
    <t>goodyear ug ice arctic sct</t>
  </si>
  <si>
    <t>Mindaugas Vasiliauskas</t>
  </si>
  <si>
    <t>IDE009360</t>
  </si>
  <si>
    <t>micha pa4 N1</t>
  </si>
  <si>
    <t>067306368 zygio brolis</t>
  </si>
  <si>
    <t>IDE009387</t>
  </si>
  <si>
    <t>295/30r20</t>
  </si>
  <si>
    <t>donatas siurna lukas a1 motors Kipras Kalpokas</t>
  </si>
  <si>
    <t>167+195e</t>
  </si>
  <si>
    <t>Kipras Kalpokas Asmens kodas: 50408062191 Adresas: Pavasario g. 14, Šveicarija Tel.: +370 657 84225 El. p.: kipras.kalpokas@gmail.com</t>
  </si>
  <si>
    <t>IDE009390</t>
  </si>
  <si>
    <t>donatas siurna lukas a1 motors</t>
  </si>
  <si>
    <t>235/65r16</t>
  </si>
  <si>
    <t>goodyear ug cargo</t>
  </si>
  <si>
    <t>skola i exeli</t>
  </si>
  <si>
    <t>9langu</t>
  </si>
  <si>
    <t>tomas mingela nav</t>
  </si>
  <si>
    <t>IDE009448</t>
  </si>
  <si>
    <t>suportu patikra valymas+tepimas</t>
  </si>
  <si>
    <t>Fiat 500L? KMZ814 ovidijus meilunas</t>
  </si>
  <si>
    <t>2vnt montazke</t>
  </si>
  <si>
    <t>Fiat 500L? KMZ814</t>
  </si>
  <si>
    <t>2x + keitimas</t>
  </si>
  <si>
    <t>varta a6 177eur</t>
  </si>
  <si>
    <t>tomas kaimynas ford transit</t>
  </si>
  <si>
    <t>IDE009419</t>
  </si>
  <si>
    <t>F 026 400 456</t>
  </si>
  <si>
    <t>CUK 2345</t>
  </si>
  <si>
    <t>E814H D191    8+17+20eur</t>
  </si>
  <si>
    <t>Alfa Mike &lt;alfa4mike@icloud.com lexus</t>
  </si>
  <si>
    <t>tepalu keitimas</t>
  </si>
  <si>
    <t>bisikirskas  Všį Grožio mokymai</t>
  </si>
  <si>
    <t>191+160</t>
  </si>
  <si>
    <t>IDE009403</t>
  </si>
  <si>
    <t>RatlankiaiB5909 black Polished(MB)FOR MER (R+L4+P)(NEW C CLASS)</t>
  </si>
  <si>
    <t>davikliai+varztai</t>
  </si>
  <si>
    <t>120+30+30</t>
  </si>
  <si>
    <t>E4931LC  30eur</t>
  </si>
  <si>
    <t>E1828L 30eur</t>
  </si>
  <si>
    <t>E358H03 D246 10eur</t>
  </si>
  <si>
    <t>edita znutiene audi a6</t>
  </si>
  <si>
    <t>tepalu keitimas 40e+pvm jei sask</t>
  </si>
  <si>
    <t>xclean+ 5.5L  55eur</t>
  </si>
  <si>
    <t>edita znutiene 868690099</t>
  </si>
  <si>
    <t>michelin crossclimate2</t>
  </si>
  <si>
    <t>ovidijus meilunas fiat</t>
  </si>
  <si>
    <t>116+montazke</t>
  </si>
  <si>
    <t>taurus ice</t>
  </si>
  <si>
    <r>
      <rPr>
        <color rgb="FF1155CC"/>
        <u/>
      </rPr>
      <t xml:space="preserve">aleksandras@stabile.lt  </t>
    </r>
    <r>
      <rPr/>
      <t>valdas@stabilesolutions.se</t>
    </r>
  </si>
  <si>
    <t>IDE009406</t>
  </si>
  <si>
    <t>165/65r15</t>
  </si>
  <si>
    <t>goodyear vector g2</t>
  </si>
  <si>
    <t>IDE009405</t>
  </si>
  <si>
    <t>beriv egz</t>
  </si>
  <si>
    <t>IDE009401</t>
  </si>
  <si>
    <t>goodyear ug perf3</t>
  </si>
  <si>
    <t>Valius Kancleris &lt;valius.kancleris@gmail.com</t>
  </si>
  <si>
    <t>IDE009393</t>
  </si>
  <si>
    <t>nexent wg2</t>
  </si>
  <si>
    <t>Mantas Drungilas mdrungilas@gmail.com donatas siurna</t>
  </si>
  <si>
    <t>montazke+219+173</t>
  </si>
  <si>
    <t>IDE009404</t>
  </si>
  <si>
    <t>Mantas Drungilas mdrungilas@gmail.com</t>
  </si>
  <si>
    <t>IDE009407</t>
  </si>
  <si>
    <t>IDE009402</t>
  </si>
  <si>
    <t>Enerteka UAB martynas bisikirskas veho kaunas</t>
  </si>
  <si>
    <t>IDE009400</t>
  </si>
  <si>
    <t>goodyear ug perf+</t>
  </si>
  <si>
    <t>aurimas nav bmw  LTO972</t>
  </si>
  <si>
    <t>IDE009398</t>
  </si>
  <si>
    <t>apatines sakes keitimas 35e</t>
  </si>
  <si>
    <t>virsutines sakes keitimas 35eur</t>
  </si>
  <si>
    <t>tautvydas volvo vileniskis YV1PZ68BCH1002937</t>
  </si>
  <si>
    <t>IDE009449</t>
  </si>
  <si>
    <t>restauravimas 60eur</t>
  </si>
  <si>
    <t>virsutine sake nauja 70eur</t>
  </si>
  <si>
    <t>sutvarke langu skyst 15eur</t>
  </si>
  <si>
    <t>SPECIFIC RBS0-2AE 0W20 5L</t>
  </si>
  <si>
    <t>SPECIFIC RBS0-2AE 0W20 1L</t>
  </si>
  <si>
    <t>tautvydas volvo vileniskis aurimas nav 200e?</t>
  </si>
  <si>
    <t>ant draud</t>
  </si>
  <si>
    <t>IDE010081</t>
  </si>
  <si>
    <t>ADF122220</t>
  </si>
  <si>
    <t>ADF122110</t>
  </si>
  <si>
    <t>tepalu/filtru keitimas</t>
  </si>
  <si>
    <t>kiek gavos?</t>
  </si>
  <si>
    <t xml:space="preserve">NLX921 K10SZT  lemputes </t>
  </si>
  <si>
    <t>TOYOTA CORROLA ABT207 saulius paliunis</t>
  </si>
  <si>
    <t>xls</t>
  </si>
  <si>
    <t>1 987 302 206/10</t>
  </si>
  <si>
    <t>1 987 302 777</t>
  </si>
  <si>
    <t>133846 30eur babina+keitimas</t>
  </si>
  <si>
    <t>TYC 20-0241-05-2</t>
  </si>
  <si>
    <t>idejo minuciu austei 1000? 2026-01-06</t>
  </si>
  <si>
    <t>idejo goncauskui minuciu 1000 2025-12</t>
  </si>
  <si>
    <t>idejo austei minuciu 1000 2025-08-26</t>
  </si>
  <si>
    <t>albertas ignataivicius kortele sukure</t>
  </si>
  <si>
    <t>julija ceglyte kortele sukure</t>
  </si>
  <si>
    <t>alfasteps saulius trenke pravede 100eur 2026-01-26</t>
  </si>
  <si>
    <t>Audi  dainiux</t>
  </si>
  <si>
    <t>atveze uzklijoti padanga (dydele skyle, idetus 2 sniurus)</t>
  </si>
  <si>
    <t>225/40r18</t>
  </si>
  <si>
    <t>michelin cup2</t>
  </si>
  <si>
    <t>tomas gluoksnis ultrabike</t>
  </si>
  <si>
    <t>montazke m240 r18</t>
  </si>
  <si>
    <t>IDE009541</t>
  </si>
  <si>
    <t>rbf700 2x</t>
  </si>
  <si>
    <t>stabdziu skyst keitimas</t>
  </si>
  <si>
    <t>martynas bisikirskas veho vilnius MB Magic Bits</t>
  </si>
  <si>
    <t>IDE009383</t>
  </si>
  <si>
    <t>dunlop sp maxx gt</t>
  </si>
  <si>
    <t>Jokūbas Zaikauskas giedrius groundwirus</t>
  </si>
  <si>
    <t>Jokūbas Zaikauskas</t>
  </si>
  <si>
    <t>235+260e</t>
  </si>
  <si>
    <t>regimantas.rudzionis@sostena.lt</t>
  </si>
  <si>
    <t>IDE009427</t>
  </si>
  <si>
    <t>225/55r18</t>
  </si>
  <si>
    <t>hankook iwo</t>
  </si>
  <si>
    <t>200e</t>
  </si>
  <si>
    <t>IDE009444</t>
  </si>
  <si>
    <t>yokohama ig60</t>
  </si>
  <si>
    <t>218eur+lyginimas rato</t>
  </si>
  <si>
    <t>532 1142 10  25eur</t>
  </si>
  <si>
    <t>DCN02001 denso 130eur</t>
  </si>
  <si>
    <t>mantas jastremskas rs7</t>
  </si>
  <si>
    <t>radiku ir generu keitimai ir zvakiu keitimas</t>
  </si>
  <si>
    <t xml:space="preserve">09:40-16:00 </t>
  </si>
  <si>
    <t>6h 20min</t>
  </si>
  <si>
    <t>isardziau, buferi, zibintus, dugno apsauga, balke, ausinimo ventiliatorius isemimas, kondiskes radika. Pakeisti zvakes</t>
  </si>
  <si>
    <t>10:00-13:00</t>
  </si>
  <si>
    <t>3h</t>
  </si>
  <si>
    <t>genero itempejo keitimas ir dirzelo, kompresoriaus itempejo, parazitinio guolio keitimas, kondiskes kompresoriaus nuemimas, kondiskes radiatoriaus uzdeimas</t>
  </si>
  <si>
    <t>09:00-14:00</t>
  </si>
  <si>
    <t>5h</t>
  </si>
  <si>
    <t>surinkimas ir kiti darbai</t>
  </si>
  <si>
    <t>apie 14h 20min dabro</t>
  </si>
  <si>
    <t>conti ts860s</t>
  </si>
  <si>
    <t xml:space="preserve">jonas porsche </t>
  </si>
  <si>
    <t>245/45r20</t>
  </si>
  <si>
    <t>305/35r19</t>
  </si>
  <si>
    <t>mcihelin supersport</t>
  </si>
  <si>
    <t>Kestutis &lt;madaccountant@gmail.com</t>
  </si>
  <si>
    <t>IDE009430</t>
  </si>
  <si>
    <t>3D0 260 749 C 4.01eur SENSON!</t>
  </si>
  <si>
    <t>4E0 260 749 A 2vnt. 7.86eur</t>
  </si>
  <si>
    <t>8E0 260 749 C 3.38eur</t>
  </si>
  <si>
    <t>235/50r20</t>
  </si>
  <si>
    <t>denas danyla</t>
  </si>
  <si>
    <t>220+273e</t>
  </si>
  <si>
    <t>IDE009442</t>
  </si>
  <si>
    <t>mointazke</t>
  </si>
  <si>
    <t>bmw rato dazymas</t>
  </si>
  <si>
    <t>medeine mickeviciute martynas</t>
  </si>
  <si>
    <t>IDE009443</t>
  </si>
  <si>
    <t>kleber quadraxer</t>
  </si>
  <si>
    <t>Julius Pansevicius &lt;dlamblyz@gmail.com</t>
  </si>
  <si>
    <t>125eur</t>
  </si>
  <si>
    <r>
      <rPr>
        <rFont val="Arial"/>
        <color rgb="FF1155CC"/>
        <sz val="11.0"/>
        <u/>
      </rPr>
      <t>C10326ABE</t>
    </r>
    <r>
      <rPr>
        <rFont val="Arial"/>
        <color rgb="FF000000"/>
        <sz val="11.0"/>
      </rPr>
      <t xml:space="preserve"> 19.90eur (savikaina)</t>
    </r>
  </si>
  <si>
    <t>IDE009565</t>
  </si>
  <si>
    <r>
      <rPr>
        <rFont val="Arial"/>
        <color rgb="FF1155CC"/>
        <sz val="11.0"/>
        <u/>
      </rPr>
      <t>C30522ABE</t>
    </r>
    <r>
      <rPr>
        <rFont val="Arial"/>
        <color rgb="FF000000"/>
        <sz val="11.0"/>
      </rPr>
      <t xml:space="preserve"> 24.86eur (savikaina)</t>
    </r>
  </si>
  <si>
    <r>
      <rPr>
        <rFont val="Arial"/>
        <color rgb="FF1155CC"/>
        <sz val="11.0"/>
        <u/>
      </rPr>
      <t>C30522ABE</t>
    </r>
    <r>
      <rPr>
        <rFont val="Arial"/>
        <color rgb="FF000000"/>
        <sz val="11.0"/>
      </rPr>
      <t xml:space="preserve"> 24.86eur (savikaina)</t>
    </r>
  </si>
  <si>
    <t>Laurynas Goncauskas kia ?</t>
  </si>
  <si>
    <t>michelin crosslimate2</t>
  </si>
  <si>
    <t>ide009446</t>
  </si>
  <si>
    <t>255savik</t>
  </si>
  <si>
    <t>#112964</t>
  </si>
  <si>
    <t>IDE009529</t>
  </si>
  <si>
    <t>mart</t>
  </si>
  <si>
    <t>andrius mzn fb Andrius Mezenius MEZ111</t>
  </si>
  <si>
    <t>#106704</t>
  </si>
  <si>
    <t>Aurimas Matkevicius &lt;aurimas.matkevicius@gmail.com MCR599</t>
  </si>
  <si>
    <t>IDE009519</t>
  </si>
  <si>
    <t>235/35r19</t>
  </si>
  <si>
    <t>Mantas Strimaitis &lt;mantas@baltled.com</t>
  </si>
  <si>
    <t>IDE009457</t>
  </si>
  <si>
    <t>erimselis@gmail.com GOT797</t>
  </si>
  <si>
    <t>IDE009458</t>
  </si>
  <si>
    <t>#133126</t>
  </si>
  <si>
    <t>Rūta Armoškienė &lt;armoskiene@gmail.com</t>
  </si>
  <si>
    <t>kretinga 165eur</t>
  </si>
  <si>
    <t>IDE009447</t>
  </si>
  <si>
    <t>Rimas Ali &lt;rimasshadow@gmail.com</t>
  </si>
  <si>
    <t>IDE009545</t>
  </si>
  <si>
    <t>justas volungevicius</t>
  </si>
  <si>
    <t>montazke atsivesiu apts r17</t>
  </si>
  <si>
    <t>NEO802; Toyota Corolla Eugenijus Nirenberg  info@medgana.lt</t>
  </si>
  <si>
    <t>IDE009492</t>
  </si>
  <si>
    <t>mantas jastremskas glc amg s rutos</t>
  </si>
  <si>
    <t>ratu numontavimas dazymui</t>
  </si>
  <si>
    <t>IDE009450</t>
  </si>
  <si>
    <t>Laurynas Goncauskas golf R</t>
  </si>
  <si>
    <t>ratu lyginimas 3vnt atskirai su masina</t>
  </si>
  <si>
    <t>IDE009567</t>
  </si>
  <si>
    <t>171623 80eur</t>
  </si>
  <si>
    <t>HX 132D 15eur</t>
  </si>
  <si>
    <t>HIGH-TORQUE DCTF 1L   x5 ?</t>
  </si>
  <si>
    <t>keitimas dezes tepalu</t>
  </si>
  <si>
    <t>sailun atrezo zsr2</t>
  </si>
  <si>
    <t>Laurynas Goncauskas SVE123</t>
  </si>
  <si>
    <t>IDE009479</t>
  </si>
  <si>
    <t>EL302690  2x8eur</t>
  </si>
  <si>
    <t>427 0034 10  2x36eur</t>
  </si>
  <si>
    <t>427 0037 10  2x25eur</t>
  </si>
  <si>
    <t>ketimas ??? 2x</t>
  </si>
  <si>
    <t>VW Tauran mameniskis</t>
  </si>
  <si>
    <t>avensis montazke r17 2025-05-05</t>
  </si>
  <si>
    <t>EVOP0019 24.78eur</t>
  </si>
  <si>
    <t>IDE009696</t>
  </si>
  <si>
    <t>turbos restauracija 280eur</t>
  </si>
  <si>
    <t>VW Tauran</t>
  </si>
  <si>
    <t>EL477640 3.64eur</t>
  </si>
  <si>
    <t>FAE12890 4.71eur</t>
  </si>
  <si>
    <t>EL934770 9.03eur</t>
  </si>
  <si>
    <t>FE170580 2.72eur</t>
  </si>
  <si>
    <t>EL635432 2.50eur</t>
  </si>
  <si>
    <t>4l tepalo is backos</t>
  </si>
  <si>
    <t>1 457 429 192 5.14eur</t>
  </si>
  <si>
    <t>12h darbo</t>
  </si>
  <si>
    <t>kbc063 andrasiunas passat aurimas nav</t>
  </si>
  <si>
    <t>200+pvm sask israsyt aurimas</t>
  </si>
  <si>
    <t>110/90-19</t>
  </si>
  <si>
    <t xml:space="preserve">Metzeler ME 888 MARATHON ULTRA 62H TL </t>
  </si>
  <si>
    <t>P.Jasaitis" &lt;jasaitis.povilas@gmail.com</t>
  </si>
  <si>
    <t>170/80B15</t>
  </si>
  <si>
    <t xml:space="preserve">Metzeler ME 888 MARATHON ULTRA 77H TL </t>
  </si>
  <si>
    <t>180/70b16</t>
  </si>
  <si>
    <t>metzeler cruistec</t>
  </si>
  <si>
    <t>130/90HB-16</t>
  </si>
  <si>
    <t>Shinko 777</t>
  </si>
  <si>
    <t>225eur komplektas</t>
  </si>
  <si>
    <t>150/80HB-16</t>
  </si>
  <si>
    <t>110/80r19</t>
  </si>
  <si>
    <t>pirelli str</t>
  </si>
  <si>
    <t>Gita Baublienė &lt;gita@autoplius.lt</t>
  </si>
  <si>
    <t>pirelli 256eur</t>
  </si>
  <si>
    <t>150/70r17</t>
  </si>
  <si>
    <t>120/70r17</t>
  </si>
  <si>
    <t>conti tkc70</t>
  </si>
  <si>
    <t>contikas 312eur</t>
  </si>
  <si>
    <t>160/60r17</t>
  </si>
  <si>
    <t>SC16HR11 4x 14eur</t>
  </si>
  <si>
    <t>538 0549 10  1x83eur</t>
  </si>
  <si>
    <t>1 987 947 885 1x10eur</t>
  </si>
  <si>
    <t>laurynsa goncausksa corolla jps686</t>
  </si>
  <si>
    <t>stabdziu skystis+keitimas</t>
  </si>
  <si>
    <t>IDE009566</t>
  </si>
  <si>
    <t>VKM 06113  61eur</t>
  </si>
  <si>
    <t>genero guolio keitimas</t>
  </si>
  <si>
    <t>antifryzas</t>
  </si>
  <si>
    <t>zvakiu keitimas</t>
  </si>
  <si>
    <t>vandens pompos keitimas</t>
  </si>
  <si>
    <t>padangu montazke</t>
  </si>
  <si>
    <t>fulda kri control suv</t>
  </si>
  <si>
    <t>IDE009454</t>
  </si>
  <si>
    <t>van den bam</t>
  </si>
  <si>
    <t>conti ts 8s</t>
  </si>
  <si>
    <t>aurimas nav</t>
  </si>
  <si>
    <t>IDE009410</t>
  </si>
  <si>
    <t>295/35r21</t>
  </si>
  <si>
    <t>225/55r17</t>
  </si>
  <si>
    <t xml:space="preserve">yokohama </t>
  </si>
  <si>
    <t>marijus kebla arunas</t>
  </si>
  <si>
    <t>IDE009561</t>
  </si>
  <si>
    <t>#112963</t>
  </si>
  <si>
    <t>goodyear f1 asymm 3</t>
  </si>
  <si>
    <t>michelin ps4suv</t>
  </si>
  <si>
    <t>Dominykas Navakas &lt;dominykas@anetus.lt</t>
  </si>
  <si>
    <t>IDE009456</t>
  </si>
  <si>
    <t>ford f150 5L 9438b</t>
  </si>
  <si>
    <t>mantas paliokas</t>
  </si>
  <si>
    <t>IDE009659</t>
  </si>
  <si>
    <t>ford f150 1L</t>
  </si>
  <si>
    <t>FL-2062-a tepalo filtras</t>
  </si>
  <si>
    <t>49883 oro filtras</t>
  </si>
  <si>
    <t>3 397 007 697 25eur</t>
  </si>
  <si>
    <t>VA595901085 204eur</t>
  </si>
  <si>
    <t>mantas jastremskas porsche 911</t>
  </si>
  <si>
    <t>ausinimo skyscio keitimas</t>
  </si>
  <si>
    <t>traliukas 50eur</t>
  </si>
  <si>
    <t>stabdziu skyscio keitimas</t>
  </si>
  <si>
    <t>posparniu uzdejimas</t>
  </si>
  <si>
    <t>CU 30 004 15eur</t>
  </si>
  <si>
    <t>stabdziu skystis</t>
  </si>
  <si>
    <t>ratu numontavimas</t>
  </si>
  <si>
    <t>E2991LC  20eur</t>
  </si>
  <si>
    <t>ratu keitimas ir paskola ju</t>
  </si>
  <si>
    <t>#133069</t>
  </si>
  <si>
    <t>275/60r20</t>
  </si>
  <si>
    <t>goodyear duratrac</t>
  </si>
  <si>
    <t>IDE009637</t>
  </si>
  <si>
    <t>Akumuliatorius 60 Ah 540 A EN 12V 82eur</t>
  </si>
  <si>
    <t>PMD1790AT 40eur</t>
  </si>
  <si>
    <t>BCD2087AT 45eur</t>
  </si>
  <si>
    <t>54153AT 2x66eur</t>
  </si>
  <si>
    <t>skoda kodiaq        mst864 interlux</t>
  </si>
  <si>
    <t>305/25r21</t>
  </si>
  <si>
    <t>hankook ev3</t>
  </si>
  <si>
    <t>kristis plioplys riese bmw m4</t>
  </si>
  <si>
    <t>IDE009538</t>
  </si>
  <si>
    <t>aez ratlankiai</t>
  </si>
  <si>
    <t>valdas spakauskas gavras NIK912</t>
  </si>
  <si>
    <t>IDE009511</t>
  </si>
  <si>
    <t>255/70r15</t>
  </si>
  <si>
    <t>maxxis at771</t>
  </si>
  <si>
    <t>algimantas janusauskas slapaberzes ukis</t>
  </si>
  <si>
    <t>119eur</t>
  </si>
  <si>
    <t>IDE009564</t>
  </si>
  <si>
    <t>maxxis hp5</t>
  </si>
  <si>
    <t>77eur</t>
  </si>
  <si>
    <t>maxxis hp2</t>
  </si>
  <si>
    <t>Artūras Andriejauskas &lt;arturas.andriejauskas@gmail.com</t>
  </si>
  <si>
    <t>IDE009649</t>
  </si>
  <si>
    <t>continental premium contact7</t>
  </si>
  <si>
    <t>julius umbrasas Dainius Piliukaitis</t>
  </si>
  <si>
    <t>IDE009464</t>
  </si>
  <si>
    <t>antanas minkevicius</t>
  </si>
  <si>
    <t>IDE009487</t>
  </si>
  <si>
    <t>Ktk896, Kia Sportage</t>
  </si>
  <si>
    <t>ignas kamantauskas EC6904</t>
  </si>
  <si>
    <t>IDE009470</t>
  </si>
  <si>
    <t>FCP1562Z 2x165eur</t>
  </si>
  <si>
    <t>paulius valiukevicius bagiui</t>
  </si>
  <si>
    <t>IDE009543</t>
  </si>
  <si>
    <t>kupon</t>
  </si>
  <si>
    <t>goodyear f1 asymm 6 sct</t>
  </si>
  <si>
    <t>mantas jastremskas rs7, hyjdaj ioniq</t>
  </si>
  <si>
    <t>IDE009456 HOS011</t>
  </si>
  <si>
    <t>GWL2232586133613</t>
  </si>
  <si>
    <t>aurimas nav rs7, hyjdaj ioniq</t>
  </si>
  <si>
    <t xml:space="preserve">IDE009466 NBV088 </t>
  </si>
  <si>
    <t>gwl2318047668786</t>
  </si>
  <si>
    <t>#115308</t>
  </si>
  <si>
    <t>235/65r17</t>
  </si>
  <si>
    <t>laurynas dagys katalizatoriai jeh370</t>
  </si>
  <si>
    <t>139e+montazke</t>
  </si>
  <si>
    <t>IDE009562</t>
  </si>
  <si>
    <t>tomas mingela MTS273 aurimas nav</t>
  </si>
  <si>
    <t>IDE009460</t>
  </si>
  <si>
    <t>NR. apsvetimo lemputes keitimas</t>
  </si>
  <si>
    <t>1l DOT4</t>
  </si>
  <si>
    <t>kaimyno toyota avensis</t>
  </si>
  <si>
    <t>p. priesruko lemputes tvarkimas</t>
  </si>
  <si>
    <r>
      <rPr>
        <rFont val="inherit"/>
        <color rgb="FF000000"/>
        <sz val="11.0"/>
      </rPr>
      <t>SZ2124MT</t>
    </r>
    <r>
      <rPr>
        <rFont val="inherit"/>
        <color rgb="FF000000"/>
        <sz val="11.0"/>
      </rPr>
      <t xml:space="preserve"> 15.84</t>
    </r>
  </si>
  <si>
    <t>Detales paeme ir nuvaziavo kazkur kitur remontuoti :D</t>
  </si>
  <si>
    <t>SZ2124MT 15.84</t>
  </si>
  <si>
    <r>
      <rPr>
        <rFont val="inherit"/>
        <color rgb="FF000000"/>
        <sz val="11.0"/>
      </rPr>
      <t>J62098YMT</t>
    </r>
    <r>
      <rPr>
        <rFont val="inherit"/>
        <color rgb="FF000000"/>
        <sz val="11.0"/>
      </rPr>
      <t xml:space="preserve"> 6.72</t>
    </r>
  </si>
  <si>
    <t>J62098YMT 6.722</t>
  </si>
  <si>
    <t>pirelli pzero luxury</t>
  </si>
  <si>
    <t>ricardas airbog NIN212</t>
  </si>
  <si>
    <t>IDE009563</t>
  </si>
  <si>
    <t>ricardas airbog</t>
  </si>
  <si>
    <t>#135327</t>
  </si>
  <si>
    <t>mantas jastremskas 911</t>
  </si>
  <si>
    <t>IDE009640</t>
  </si>
  <si>
    <t>denisas</t>
  </si>
  <si>
    <t>305/30r20</t>
  </si>
  <si>
    <t>gy supersport</t>
  </si>
  <si>
    <t>mantas jastremskas</t>
  </si>
  <si>
    <t>montazke ant dazytu ratu super VIP :))</t>
  </si>
  <si>
    <t>Arijandas Sliupas &lt;sliupas@yahoo.co.uk KPT191</t>
  </si>
  <si>
    <t>IDE009465</t>
  </si>
  <si>
    <t>315/35r21</t>
  </si>
  <si>
    <t>pirelli pzero ncs</t>
  </si>
  <si>
    <t>ernestas sapalas</t>
  </si>
  <si>
    <t>IDE009658</t>
  </si>
  <si>
    <t>235/65r16c</t>
  </si>
  <si>
    <t>bridgestone duravis</t>
  </si>
  <si>
    <t>laurynas dagys katalizatoriai  ngr543</t>
  </si>
  <si>
    <t>158+montazke</t>
  </si>
  <si>
    <t>1rato montazke</t>
  </si>
  <si>
    <t>Raimundas Sakalauskas</t>
  </si>
  <si>
    <t>mdm007 a6 r19</t>
  </si>
  <si>
    <t>Ea4337 id4 r19</t>
  </si>
  <si>
    <t>EA3958 ratu sukeitimas r21</t>
  </si>
  <si>
    <t>Valdas Fedianinas Invitee Email: valdas@balticmachinery.lt</t>
  </si>
  <si>
    <t>michelin 4s</t>
  </si>
  <si>
    <t>ovidijus meilunas  golf r lus696</t>
  </si>
  <si>
    <t>222e+montazke+pasauga 2025-04-25</t>
  </si>
  <si>
    <t>P85184 63eur+keitimas</t>
  </si>
  <si>
    <t>salenbloku keitimas, galiniu kaladeliu keitimas, disku lyginimas 3vnt (4 nepaviko siliginti man)</t>
  </si>
  <si>
    <t>kupons pats</t>
  </si>
  <si>
    <t>IDE009537</t>
  </si>
  <si>
    <t>#129987</t>
  </si>
  <si>
    <t>goodyear asymm 5</t>
  </si>
  <si>
    <t>sarunas skyrius Fzh012</t>
  </si>
  <si>
    <t>IDE009617</t>
  </si>
  <si>
    <t>goodyear wrangler</t>
  </si>
  <si>
    <t>marius savickas petras landcruiser nav sask</t>
  </si>
  <si>
    <t>IDE009514</t>
  </si>
  <si>
    <t>205/50r17</t>
  </si>
  <si>
    <t>martynas bisikirskas veho i kauna</t>
  </si>
  <si>
    <t>80e</t>
  </si>
  <si>
    <t>kuponas pats</t>
  </si>
  <si>
    <t>235/40r18</t>
  </si>
  <si>
    <t>Žygintas Budrys</t>
  </si>
  <si>
    <t>145+montazke priority</t>
  </si>
  <si>
    <t>IDE009483</t>
  </si>
  <si>
    <t>taurus summer</t>
  </si>
  <si>
    <t>arminas balanaitis</t>
  </si>
  <si>
    <t>IDE009469</t>
  </si>
  <si>
    <t>laurynas goncauskas</t>
  </si>
  <si>
    <t>golf r montazke r18 +</t>
  </si>
  <si>
    <t>michelin 4s N0</t>
  </si>
  <si>
    <t>067306368 zygio brolis MON011</t>
  </si>
  <si>
    <t>IDE009466</t>
  </si>
  <si>
    <t>067306368 zygio brolis Aleksandras Gaska</t>
  </si>
  <si>
    <t>EB2215 montazke r22 jagas</t>
  </si>
  <si>
    <t>Tomas VITAS</t>
  </si>
  <si>
    <t>tomaspsp1@gmail.com</t>
  </si>
  <si>
    <t>IDE009747</t>
  </si>
  <si>
    <t>Volvo montazke</t>
  </si>
  <si>
    <t>tik ratu balansas be masinos</t>
  </si>
  <si>
    <t>diagnostika+priekiuniu kaladeliu keitimas+laidu litavimas (reikia isvalyti dpf fltra)</t>
  </si>
  <si>
    <t>kaimynas tomas vitas</t>
  </si>
  <si>
    <t>UAB Stareka 300088099</t>
  </si>
  <si>
    <t>ryzenokiene@gmail.com</t>
  </si>
  <si>
    <t>MUR101 Lexus RZ</t>
  </si>
  <si>
    <t>IDE009467</t>
  </si>
  <si>
    <t>MCZ566 Subaru outback r18</t>
  </si>
  <si>
    <t>LOL121 Infinity QX80</t>
  </si>
  <si>
    <t>R22x10 5X112 ET 46 66.6 B1048 Black Polished (MB) For MER (Z2)</t>
  </si>
  <si>
    <t>IDE009523</t>
  </si>
  <si>
    <t>4x davikliai nauji</t>
  </si>
  <si>
    <t>latakko</t>
  </si>
  <si>
    <t>295/35r22</t>
  </si>
  <si>
    <t>gripmaxx stature pro</t>
  </si>
  <si>
    <t>95eur dave 2025-04-29</t>
  </si>
  <si>
    <t>r2bike</t>
  </si>
  <si>
    <t>pro-ride silver thule</t>
  </si>
  <si>
    <t>varztai nauji 20vnt juodi</t>
  </si>
  <si>
    <t>karolis skanas thule</t>
  </si>
  <si>
    <t>159eur savikaina</t>
  </si>
  <si>
    <t>R20x9.5 5X120 ET 40 72.6 HE761 (IN5342) Black (BL) For BMW (Z5) (Rear+Front)</t>
  </si>
  <si>
    <t>rytas ignatonis ratai bmw</t>
  </si>
  <si>
    <t>IDE009480</t>
  </si>
  <si>
    <t>R20x8.5 5X120 ET 35 72.6 HE761 (IN5342) Black (BL) For BMW (Z5) (Rear+Front)</t>
  </si>
  <si>
    <t>rytas ignatonis donatas SSS222</t>
  </si>
  <si>
    <t>be davikliu</t>
  </si>
  <si>
    <t>255/30r20</t>
  </si>
  <si>
    <t>rytas ignatonis</t>
  </si>
  <si>
    <t>225/35r20</t>
  </si>
  <si>
    <t>lassa multiways 2</t>
  </si>
  <si>
    <t>Medgana UAB &lt;info@medgana.lt GAS957 Audi A6</t>
  </si>
  <si>
    <t>75+montazke</t>
  </si>
  <si>
    <t>R20x8.5 5X112 ET 40 66.6 B5909 (FBX149) Black+Polished Lip (BLPL) For MER (Z5) (HYBRID FORGED Front+Rear)</t>
  </si>
  <si>
    <t>Fausta Virkutyte  bisikirskas</t>
  </si>
  <si>
    <t>IDE009476</t>
  </si>
  <si>
    <t>R20x9.5 5X112 ET 45 66.6 B5909 (FBX149) Black+Polished Lip (BLPL) For MER (Z5) (HYBRID FORGED Front+Rear)</t>
  </si>
  <si>
    <t>davikliai glc mersas 2025</t>
  </si>
  <si>
    <t xml:space="preserve">Fausta Virkutyte </t>
  </si>
  <si>
    <t>rastafkes eibach 2x 90eur S90-2-12-004-B</t>
  </si>
  <si>
    <t>sailun ecopint 3</t>
  </si>
  <si>
    <t>tomas patalavicius Audi a6  KGT066</t>
  </si>
  <si>
    <t>IDE009557</t>
  </si>
  <si>
    <t>groteles 150eur</t>
  </si>
  <si>
    <t>tomas patalavicius</t>
  </si>
  <si>
    <t>JFR066 montazke skoda</t>
  </si>
  <si>
    <t>darbas 3h+</t>
  </si>
  <si>
    <t>uz groteles pridet darba ir is sroto pirkau uz 180+</t>
  </si>
  <si>
    <t>IDE009626</t>
  </si>
  <si>
    <t>ES8323 KIA NIRO</t>
  </si>
  <si>
    <t>Marek Stiklita Invitee Email: tiekimas@stiklita.lt</t>
  </si>
  <si>
    <t>r16 ?</t>
  </si>
  <si>
    <t>IDE009615</t>
  </si>
  <si>
    <t xml:space="preserve">stiklita regimantas </t>
  </si>
  <si>
    <t>busiko didelio montazke</t>
  </si>
  <si>
    <t>stiklita ricardas hyindai senas</t>
  </si>
  <si>
    <t>goodyear ug ice2</t>
  </si>
  <si>
    <t xml:space="preserve"> Skoda Yeti	GUM361	nabelita</t>
  </si>
  <si>
    <t>IDE009611</t>
  </si>
  <si>
    <t>205/45r18</t>
  </si>
  <si>
    <t>dunlop sportmaxx rt2</t>
  </si>
  <si>
    <t>jurate vainauskaite bmw JRT008</t>
  </si>
  <si>
    <t>110e+montazke</t>
  </si>
  <si>
    <t>conti sport 7</t>
  </si>
  <si>
    <t>aivaras svirplys</t>
  </si>
  <si>
    <t>191eur</t>
  </si>
  <si>
    <t>pirelli pzero sport</t>
  </si>
  <si>
    <t>tomas mingela nav mlg160</t>
  </si>
  <si>
    <t>315/30r21</t>
  </si>
  <si>
    <t>michelin road 6</t>
  </si>
  <si>
    <t>martynas bisikirskas</t>
  </si>
  <si>
    <t>145+197eur</t>
  </si>
  <si>
    <t>180/55r17</t>
  </si>
  <si>
    <t>micha road 6</t>
  </si>
  <si>
    <t>goodyear perf 2</t>
  </si>
  <si>
    <t>JTR984 interlux mingela nav</t>
  </si>
  <si>
    <t>montazke 1 rato</t>
  </si>
  <si>
    <t>IDE009715</t>
  </si>
  <si>
    <t>350+289eyr</t>
  </si>
  <si>
    <t>IDE009496</t>
  </si>
  <si>
    <t>kurjer?</t>
  </si>
  <si>
    <t>sava uhp2</t>
  </si>
  <si>
    <t>mykolas raciunas marex marek</t>
  </si>
  <si>
    <r>
      <t xml:space="preserve">Erikas Instabalt Invitee Email: </t>
    </r>
    <r>
      <rPr>
        <rFont val="&quot;Google Sans&quot;, Roboto, Arial, sans-serif"/>
        <color rgb="FF000000"/>
        <sz val="11.0"/>
      </rPr>
      <t>erikas@instabalt.lt</t>
    </r>
  </si>
  <si>
    <t>skoda montazke</t>
  </si>
  <si>
    <t>preorder</t>
  </si>
  <si>
    <t>goodyear efficientgrip 2</t>
  </si>
  <si>
    <t>mfv196 interlux</t>
  </si>
  <si>
    <t>michelin primacy 5</t>
  </si>
  <si>
    <t>Giedrius.Sabunas@diverus.com &lt;Giedrius.Sabunas@diverus.com</t>
  </si>
  <si>
    <t>IDE009494</t>
  </si>
  <si>
    <t>jurgis jore topteam</t>
  </si>
  <si>
    <t>IDE009501</t>
  </si>
  <si>
    <t>michelin ps4 zp</t>
  </si>
  <si>
    <t>nerijus kersys vokiska</t>
  </si>
  <si>
    <t>IDE009491</t>
  </si>
  <si>
    <t>valdas spakauskas gavras  LYA484</t>
  </si>
  <si>
    <t>IDE009512</t>
  </si>
  <si>
    <t>Paulius Palubinskas &lt;paulius.palub@gmail.com</t>
  </si>
  <si>
    <t>IDE009510</t>
  </si>
  <si>
    <t>GWL2253203475231</t>
  </si>
  <si>
    <t>Paulius Palubinskas &lt;paulius.palub@gmail.com Mhi363</t>
  </si>
  <si>
    <t>pirelli powergy</t>
  </si>
  <si>
    <t>Justas Krasuckis &lt;j.krasuckis@norameda.com</t>
  </si>
  <si>
    <t>IDE009485</t>
  </si>
  <si>
    <t>hankook evo3</t>
  </si>
  <si>
    <t>aurimas baltusis NGN030</t>
  </si>
  <si>
    <t>215eur+montazke</t>
  </si>
  <si>
    <t>IDE009655</t>
  </si>
  <si>
    <t>195/55r20</t>
  </si>
  <si>
    <t>goodyear effic perf</t>
  </si>
  <si>
    <t>simonas kvedaras KJV302</t>
  </si>
  <si>
    <t xml:space="preserve">montazke busiko </t>
  </si>
  <si>
    <t>karolis puodziukas</t>
  </si>
  <si>
    <t>porso ratu sukeitimas r21</t>
  </si>
  <si>
    <t>IDE009593</t>
  </si>
  <si>
    <t>bmw montazke</t>
  </si>
  <si>
    <t>#102908</t>
  </si>
  <si>
    <t>goodyear effic perf 2 100h</t>
  </si>
  <si>
    <t>Azuolis Koverka &lt;azuolis@gmail.com</t>
  </si>
  <si>
    <t>IDE009500</t>
  </si>
  <si>
    <t>mgi900 GWL2317983667371</t>
  </si>
  <si>
    <t>mantuliui daviau i druskus</t>
  </si>
  <si>
    <t>pirelli pz4 nf1</t>
  </si>
  <si>
    <r>
      <rPr>
        <rFont val="&quot;Google Sans&quot;, Roboto, Arial, sans-serif"/>
        <color rgb="FF1F1F1F"/>
        <sz val="11.0"/>
      </rPr>
      <t xml:space="preserve">Leonid C </t>
    </r>
    <r>
      <rPr>
        <rFont val="Arial"/>
        <color rgb="FF000000"/>
        <sz val="11.0"/>
      </rPr>
      <t>leonid@telemed.lt</t>
    </r>
    <r>
      <rPr>
        <rFont val="&quot;Google Sans&quot;, Roboto, Arial, sans-serif"/>
        <color rgb="FF1F1F1F"/>
        <sz val="11.0"/>
      </rPr>
      <t xml:space="preserve"> Igor &lt;igorrris@gmail.com</t>
    </r>
  </si>
  <si>
    <r>
      <t xml:space="preserve">Leonid C Invitee Email: </t>
    </r>
    <r>
      <rPr>
        <rFont val="&quot;Google Sans&quot;, Roboto, Arial, sans-serif"/>
        <color rgb="FF1155CC"/>
        <sz val="11.0"/>
        <u/>
      </rPr>
      <t>leonid@telemed.lt</t>
    </r>
  </si>
  <si>
    <t>35x12.5r18</t>
  </si>
  <si>
    <t>bfg allterrain</t>
  </si>
  <si>
    <t>marius savickas interlux</t>
  </si>
  <si>
    <t>335eur IDE009604</t>
  </si>
  <si>
    <t>marius savickas interlux nav</t>
  </si>
  <si>
    <t>255/35r20</t>
  </si>
  <si>
    <r>
      <rPr/>
      <t xml:space="preserve">vilius </t>
    </r>
    <r>
      <rPr>
        <color rgb="FF1155CC"/>
        <u/>
      </rPr>
      <t>paras.lt</t>
    </r>
  </si>
  <si>
    <t>IDE009513</t>
  </si>
  <si>
    <t>285/45r20</t>
  </si>
  <si>
    <t>Darius.Matiejunas@diverus.com Tomas.Jucius</t>
  </si>
  <si>
    <t>225+montazke</t>
  </si>
  <si>
    <t xml:space="preserve">IDE009515 </t>
  </si>
  <si>
    <t>RB Legal &lt;teise.tau@gmail.com airbog MCE928</t>
  </si>
  <si>
    <t>IDE009553</t>
  </si>
  <si>
    <t>E864H D184  15eur</t>
  </si>
  <si>
    <t>F 026 400 182   15eur</t>
  </si>
  <si>
    <t>robertas janickas drrobis ja</t>
  </si>
  <si>
    <t xml:space="preserve">xclean+ 8l   80eur  </t>
  </si>
  <si>
    <t>LAO 855 26eur</t>
  </si>
  <si>
    <t>robertas janickas drrobis ja LHZ256</t>
  </si>
  <si>
    <t>tepalu keitimas 40e</t>
  </si>
  <si>
    <t>KN-171B  12eur</t>
  </si>
  <si>
    <t>DrRobertas Ja robertas janickas</t>
  </si>
  <si>
    <t>E864H D184  14eur</t>
  </si>
  <si>
    <t>E2980LC 20eur</t>
  </si>
  <si>
    <t>rojus aidietis LUV885</t>
  </si>
  <si>
    <t>IDE009522</t>
  </si>
  <si>
    <t>#112967</t>
  </si>
  <si>
    <t>235/45r17</t>
  </si>
  <si>
    <t>275/40r19</t>
  </si>
  <si>
    <t>yokohama  v701</t>
  </si>
  <si>
    <t>laurynas kentra MCV188</t>
  </si>
  <si>
    <t>IDE009633</t>
  </si>
  <si>
    <t>37.5k km</t>
  </si>
  <si>
    <t>HU 6032 Z  18eur</t>
  </si>
  <si>
    <t>0w40 v300 motul 6l ?</t>
  </si>
  <si>
    <t>paulius valiukevicius bmw m3</t>
  </si>
  <si>
    <t xml:space="preserve">tepalu keitimas </t>
  </si>
  <si>
    <t>IDE009508</t>
  </si>
  <si>
    <t>kumho ps91</t>
  </si>
  <si>
    <t>Donatas Jancauskas &lt;d.jancauskas@icloud.com</t>
  </si>
  <si>
    <t>IDE009506</t>
  </si>
  <si>
    <t>E115H01 D208</t>
  </si>
  <si>
    <t>E488L  11eur</t>
  </si>
  <si>
    <t>1 987 432 397</t>
  </si>
  <si>
    <t>jurga zagaraite passat</t>
  </si>
  <si>
    <t>xclean+ 5L</t>
  </si>
  <si>
    <t>tepalu keitimas 35eur</t>
  </si>
  <si>
    <t>tadas stasiulis</t>
  </si>
  <si>
    <t>3x2L 300v motul</t>
  </si>
  <si>
    <t>tepalo filtras</t>
  </si>
  <si>
    <t>keitimsa tepalu</t>
  </si>
  <si>
    <t>rimas alisauskas polo</t>
  </si>
  <si>
    <t>taurus uhp</t>
  </si>
  <si>
    <t>UAB DETAVEGA &lt;detavega@gmail.com vyga srotas</t>
  </si>
  <si>
    <t>aloyzas koryzna &lt;aloyzas.koryzna@gmail.com KDP839</t>
  </si>
  <si>
    <t>76+montazke</t>
  </si>
  <si>
    <t>aloyzas koryzna &lt;aloyzas.koryzna@gmail.com JGG367</t>
  </si>
  <si>
    <t>95eur+montazke</t>
  </si>
  <si>
    <t>saulius nagurnas vgtu</t>
  </si>
  <si>
    <t>thule easyfold 3   840eur</t>
  </si>
  <si>
    <t xml:space="preserve">kristis plioplys riese </t>
  </si>
  <si>
    <t>3 397 014 422  30eur</t>
  </si>
  <si>
    <t>#112525</t>
  </si>
  <si>
    <t>giedrius.kvedaravicius</t>
  </si>
  <si>
    <t>IDE009544</t>
  </si>
  <si>
    <t>alan karol jurgelevic</t>
  </si>
  <si>
    <t>fulda ecocontrol</t>
  </si>
  <si>
    <t>paulius cerniauskas polo JEM285</t>
  </si>
  <si>
    <t>75e+montazke</t>
  </si>
  <si>
    <t>IDE009540</t>
  </si>
  <si>
    <t>paulius cerniauskas polo</t>
  </si>
  <si>
    <t>polo montazke lapkricio 1 vilimeksas</t>
  </si>
  <si>
    <t>P 23 187  75eur</t>
  </si>
  <si>
    <t>09.C497.11  2x67eur</t>
  </si>
  <si>
    <t>kaladziu keitimas visu priekis galas</t>
  </si>
  <si>
    <t>marek stefanovic marex</t>
  </si>
  <si>
    <t>P 23 180  60eur</t>
  </si>
  <si>
    <t>09.C498.21  2x66eur</t>
  </si>
  <si>
    <t>3 397 013 049 9eur</t>
  </si>
  <si>
    <t>marek stefanovic marex stelvio</t>
  </si>
  <si>
    <t>keitimas stabilyzo gale</t>
  </si>
  <si>
    <t>15-16 060 0019/HD  22eur</t>
  </si>
  <si>
    <t>sailun atrezo 4s</t>
  </si>
  <si>
    <t>Jurijus Griška MB Jurbaras #2504117</t>
  </si>
  <si>
    <t>IDE009521</t>
  </si>
  <si>
    <t>E210H D226 8eur</t>
  </si>
  <si>
    <t>E1155L  15eur</t>
  </si>
  <si>
    <t>xclean+ 5l</t>
  </si>
  <si>
    <t>laurynas goncauskas auris toyota</t>
  </si>
  <si>
    <t>IDE009573</t>
  </si>
  <si>
    <t>tepalu filtru keitimas 25+</t>
  </si>
  <si>
    <t>laurynas goncauskas auris toyota sve123</t>
  </si>
  <si>
    <t>OX 1340D  10eur</t>
  </si>
  <si>
    <t>KX 386  25eur</t>
  </si>
  <si>
    <t>LX 3503 20eur</t>
  </si>
  <si>
    <t>laurynas goncauskas tiguan  mra729</t>
  </si>
  <si>
    <t>xclean+ backa 6l</t>
  </si>
  <si>
    <t>padangu keitimas</t>
  </si>
  <si>
    <t xml:space="preserve">laurynas goncauskas tiguan </t>
  </si>
  <si>
    <t>F 026 400 287 16eur</t>
  </si>
  <si>
    <t>E439KP 26eur</t>
  </si>
  <si>
    <t>lns473 laurynas goncauskas skoda kodiaq</t>
  </si>
  <si>
    <t>xclean+ 5-6l</t>
  </si>
  <si>
    <t>F 026 407 157 10eur</t>
  </si>
  <si>
    <t>1 987 432 543 12eur</t>
  </si>
  <si>
    <t>marius sabaliauskas baranas</t>
  </si>
  <si>
    <t>70eur</t>
  </si>
  <si>
    <t>20eur dave(likutis skolos buvo pernai)</t>
  </si>
  <si>
    <t>montazke/pasauga</t>
  </si>
  <si>
    <t>175/65r15</t>
  </si>
  <si>
    <t>antonas mejus dspro LTK725</t>
  </si>
  <si>
    <t>40eur+montazke</t>
  </si>
  <si>
    <t>32+14+45=91 eur, trys dalykai</t>
  </si>
  <si>
    <t>mantas jastremskas r2bike 2025-04-05</t>
  </si>
  <si>
    <t>McGard Black Security Bolts M14x1.5x26.7 17mm Hex R13 (28018SUB)    40eur</t>
  </si>
  <si>
    <t>varztai audi 16vnt</t>
  </si>
  <si>
    <t>195/50r15</t>
  </si>
  <si>
    <t>antonas mejus dspro</t>
  </si>
  <si>
    <t>40 su siuntimu</t>
  </si>
  <si>
    <t>justas straskys bco030</t>
  </si>
  <si>
    <t>IDE009532</t>
  </si>
  <si>
    <t>justas straskys</t>
  </si>
  <si>
    <t>265/35r18</t>
  </si>
  <si>
    <t>nankang ar1</t>
  </si>
  <si>
    <t>tomas gluoksnis bmw2</t>
  </si>
  <si>
    <t>1daviklis naujas?</t>
  </si>
  <si>
    <t>smeiegs sudejo</t>
  </si>
  <si>
    <r>
      <rPr>
        <rFont val="Inter, sans-serif"/>
        <color rgb="FF1155CC"/>
        <u/>
      </rPr>
      <t>Akumuliatorius 71 Ah 670 A EN 12V</t>
    </r>
  </si>
  <si>
    <t>EB712 exide  83eur</t>
  </si>
  <si>
    <t>tomas kaimynas astra</t>
  </si>
  <si>
    <t>215/40r18</t>
  </si>
  <si>
    <t>domas raskevicius GNP690</t>
  </si>
  <si>
    <t>IDE009539</t>
  </si>
  <si>
    <t>michelin ps4 suv</t>
  </si>
  <si>
    <t>giedrius frankas hnn004</t>
  </si>
  <si>
    <t>275+montazke</t>
  </si>
  <si>
    <t>IDE009583</t>
  </si>
  <si>
    <t>catch can ispyle</t>
  </si>
  <si>
    <t>padangu montazke semiu r18</t>
  </si>
  <si>
    <t>laurynas goncauskas golf R</t>
  </si>
  <si>
    <t>5w50 300v paeme 2L</t>
  </si>
  <si>
    <t>255/40r19</t>
  </si>
  <si>
    <t xml:space="preserve">hankook evo3 </t>
  </si>
  <si>
    <t>marex marek</t>
  </si>
  <si>
    <t>208+kurjeris IDE009542</t>
  </si>
  <si>
    <t>#112530</t>
  </si>
  <si>
    <t>martynas utkinas ioniq5 austeja ignatonyte</t>
  </si>
  <si>
    <t>#133075</t>
  </si>
  <si>
    <t>martynas utkinas ioniq5 laurynas kentra</t>
  </si>
  <si>
    <t>IDE009638</t>
  </si>
  <si>
    <t>sailun</t>
  </si>
  <si>
    <t>Darius Žvironas #2505832</t>
  </si>
  <si>
    <t>IDE009570</t>
  </si>
  <si>
    <t>pirelli corsa</t>
  </si>
  <si>
    <t>paulius valiukevicius</t>
  </si>
  <si>
    <t>340+montazke</t>
  </si>
  <si>
    <t>IDE009596</t>
  </si>
  <si>
    <t>rbf700 3vnt</t>
  </si>
  <si>
    <t>stabdziu skystscio keitimas</t>
  </si>
  <si>
    <t>kumho hs52</t>
  </si>
  <si>
    <t>Livijus Mintaučkis | Diamedica &lt;livijus@diamedica.lt</t>
  </si>
  <si>
    <t>IDE009592</t>
  </si>
  <si>
    <t>275/35r22</t>
  </si>
  <si>
    <t>pirelli pzero B</t>
  </si>
  <si>
    <t>Romas &lt;kuklys45@gmail.com aurimas nav</t>
  </si>
  <si>
    <t>420+476eur</t>
  </si>
  <si>
    <t>IDE009578</t>
  </si>
  <si>
    <t>315/30r22</t>
  </si>
  <si>
    <t>montazke bentley 1ratas</t>
  </si>
  <si>
    <t>montazke bentley 2025-06-20 r22</t>
  </si>
  <si>
    <t>montazke viso komplekto ?</t>
  </si>
  <si>
    <t>IDE009654</t>
  </si>
  <si>
    <t>265/40r21</t>
  </si>
  <si>
    <t>edvinas santockis</t>
  </si>
  <si>
    <t>IDE009547</t>
  </si>
  <si>
    <t>saulius baniulis MAD616</t>
  </si>
  <si>
    <t>183eur</t>
  </si>
  <si>
    <t>146200 km</t>
  </si>
  <si>
    <t>LX3536 13eur</t>
  </si>
  <si>
    <t>ADT32552 8eur</t>
  </si>
  <si>
    <t>E210H D226  8eur</t>
  </si>
  <si>
    <t>laurynas goncauskas chr honda MJB367</t>
  </si>
  <si>
    <t>5l xclean+ 5w30</t>
  </si>
  <si>
    <t>laurynas goncauskas chr honda</t>
  </si>
  <si>
    <t>LUU077 ratu lyginimas</t>
  </si>
  <si>
    <t>aurimas nav skoda</t>
  </si>
  <si>
    <t>OX 1076D 14eur</t>
  </si>
  <si>
    <t>KX 493D 58eur</t>
  </si>
  <si>
    <t>LX 3233/6 40eur</t>
  </si>
  <si>
    <t>ignas kamantauskas audi q7</t>
  </si>
  <si>
    <t>IDE009625</t>
  </si>
  <si>
    <t>E4931LB  45eur</t>
  </si>
  <si>
    <t>xclean+ backa</t>
  </si>
  <si>
    <t>rata lygint dar reikia</t>
  </si>
  <si>
    <t>215/45r17</t>
  </si>
  <si>
    <t>dunlop</t>
  </si>
  <si>
    <t>egidijus meilunas</t>
  </si>
  <si>
    <t>165+76=241eur bendra skola 2025-05-16</t>
  </si>
  <si>
    <t>keitimas 40e</t>
  </si>
  <si>
    <t>P 85 144  55eur</t>
  </si>
  <si>
    <t>09.C306.11  po 2x80eur</t>
  </si>
  <si>
    <t>skola anksciau bendra +165eur</t>
  </si>
  <si>
    <t>IDE009579</t>
  </si>
  <si>
    <t>#133078</t>
  </si>
  <si>
    <t>goodyear efficientgrip suv 2</t>
  </si>
  <si>
    <t>aleksandras kasinskij IDE009639</t>
  </si>
  <si>
    <t>151400KM</t>
  </si>
  <si>
    <t xml:space="preserve">5w50 300v  6L </t>
  </si>
  <si>
    <t>tepalu keitimas ir catch can isleist</t>
  </si>
  <si>
    <t>F 026 407 278 10eur</t>
  </si>
  <si>
    <t>IDE009580</t>
  </si>
  <si>
    <t>P 85 144X 105eur + keitimas</t>
  </si>
  <si>
    <t>sliku montazke goodyear</t>
  </si>
  <si>
    <t>sarnyro keitimas ir restauravimas  30+30</t>
  </si>
  <si>
    <t xml:space="preserve">IDE009634           </t>
  </si>
  <si>
    <t>52508km</t>
  </si>
  <si>
    <t>OX 254D4  23eur</t>
  </si>
  <si>
    <t>LAO 812 33eur</t>
  </si>
  <si>
    <t>992129620+992129620A  155eur abu</t>
  </si>
  <si>
    <t>jonas kneita porsche</t>
  </si>
  <si>
    <t>IDE009711</t>
  </si>
  <si>
    <t>0w40 motul 300v 6x ?</t>
  </si>
  <si>
    <t>rastafkes uzdet</t>
  </si>
  <si>
    <t>stabdziu skysti pakeisti</t>
  </si>
  <si>
    <t>oro filtrai ir keitimas?</t>
  </si>
  <si>
    <t xml:space="preserve">1 987 435 164 15eur </t>
  </si>
  <si>
    <t>rbf700 4vnt</t>
  </si>
  <si>
    <t>goodyear f1 asymm6</t>
  </si>
  <si>
    <t>dominykas danys</t>
  </si>
  <si>
    <t>goodyear f1 asymm6 sct</t>
  </si>
  <si>
    <t>marius sabaliauskas volvo</t>
  </si>
  <si>
    <t>IDE009600</t>
  </si>
  <si>
    <t>yokohama a052</t>
  </si>
  <si>
    <t>3vnt rbf700</t>
  </si>
  <si>
    <t>gislaved eurofrost 6</t>
  </si>
  <si>
    <t>sms 061873650 ieva sliziene</t>
  </si>
  <si>
    <t>IDE009627</t>
  </si>
  <si>
    <t xml:space="preserve">ANTONAS MEjus dspro </t>
  </si>
  <si>
    <t>siuntimas i kauna</t>
  </si>
  <si>
    <t>37068783550 parko18, riese</t>
  </si>
  <si>
    <t>IDE009582</t>
  </si>
  <si>
    <t>montzke 4i cupai ir 1 lyginimas</t>
  </si>
  <si>
    <t>P 06 072 46eur</t>
  </si>
  <si>
    <t>1 987 474 551 10eur</t>
  </si>
  <si>
    <t>IDE009619</t>
  </si>
  <si>
    <t>185/65r15</t>
  </si>
  <si>
    <t>Algimantas Janušauskas &lt;Algimantas.Janusauskas@litagra.lt</t>
  </si>
  <si>
    <t>61eur UAB Baušų ūkis</t>
  </si>
  <si>
    <t>IDE009584</t>
  </si>
  <si>
    <t>goodyear asymmį sct</t>
  </si>
  <si>
    <t>275eur</t>
  </si>
  <si>
    <t>R20x9 5X112 ET 30 66.5 B1637 (H3059F) Black (BL) For AUD (K8) (HYBRID FORGED)</t>
  </si>
  <si>
    <t>255/55r18</t>
  </si>
  <si>
    <t>99eur</t>
  </si>
  <si>
    <t>315/40r21</t>
  </si>
  <si>
    <t>michelin pa 5</t>
  </si>
  <si>
    <t>martynas bisikirskas kaunas veho eproma</t>
  </si>
  <si>
    <t>IDE009581</t>
  </si>
  <si>
    <t>108000km</t>
  </si>
  <si>
    <t>keite tepala moller</t>
  </si>
  <si>
    <t>P 85 124     35eur + keitimas 50e</t>
  </si>
  <si>
    <t>giedre lapenaite tiguan jrl708</t>
  </si>
  <si>
    <t>dave 120eur</t>
  </si>
  <si>
    <t>IDE009882</t>
  </si>
  <si>
    <t>2024-04 skola montazke padangu 80eur</t>
  </si>
  <si>
    <t>montazke yokohamu semi slick</t>
  </si>
  <si>
    <t>5w50 v300 motul 2l pasieme pressui</t>
  </si>
  <si>
    <t>IDE009634</t>
  </si>
  <si>
    <t>116900km</t>
  </si>
  <si>
    <t>E362H D313  15eur</t>
  </si>
  <si>
    <t>E4980LC  48eur</t>
  </si>
  <si>
    <t>E1346L  27eur</t>
  </si>
  <si>
    <t xml:space="preserve">elmantas latkauskas bmw </t>
  </si>
  <si>
    <t>filtru keitimas ir tepalu</t>
  </si>
  <si>
    <t>IDE009721</t>
  </si>
  <si>
    <t>F 026 402 358  35eur</t>
  </si>
  <si>
    <t>1 raty lyginimas</t>
  </si>
  <si>
    <t>235/50r18</t>
  </si>
  <si>
    <t>edgaras kovaliovas volvo</t>
  </si>
  <si>
    <t>IDE009602</t>
  </si>
  <si>
    <t>0w40 2x5L  po 58eur</t>
  </si>
  <si>
    <t>E5967LC  31eur</t>
  </si>
  <si>
    <t>F 026 407 237  14eur</t>
  </si>
  <si>
    <t>mantas jastremskas mercedes glc amg lfy014</t>
  </si>
  <si>
    <t>tepalu keitimas ir filtru</t>
  </si>
  <si>
    <t>E1705L  2x 23eur</t>
  </si>
  <si>
    <t>mantas jastremskas mercedes glc amg</t>
  </si>
  <si>
    <t>rato klijavimas</t>
  </si>
  <si>
    <t>paulius armalis</t>
  </si>
  <si>
    <t>IDE009601</t>
  </si>
  <si>
    <t>GIC264  11eur</t>
  </si>
  <si>
    <t>P 06 064   45eur</t>
  </si>
  <si>
    <t>Alvydas Kazlauskas alvydas432@gmail.com</t>
  </si>
  <si>
    <t>GIC266 12eur</t>
  </si>
  <si>
    <t>P 06 075   62eur</t>
  </si>
  <si>
    <t>kaladziu keitimas 50+30</t>
  </si>
  <si>
    <t>09.B570.11    193€ su pvm</t>
  </si>
  <si>
    <t>disku keitimas 40eur</t>
  </si>
  <si>
    <t>09.B569.11  137€ su pvm</t>
  </si>
  <si>
    <t>275/45r21</t>
  </si>
  <si>
    <t xml:space="preserve">pirelli pz5 </t>
  </si>
  <si>
    <t>elviijus kersulis mersas gls</t>
  </si>
  <si>
    <t>IDE009603</t>
  </si>
  <si>
    <t>elviijus kersulis NLM438 MB GLS</t>
  </si>
  <si>
    <t>151645km</t>
  </si>
  <si>
    <t>tepalas is backos 5L</t>
  </si>
  <si>
    <r>
      <rPr>
        <color rgb="FF000000"/>
      </rPr>
      <t>ADT32522</t>
    </r>
    <r>
      <rPr/>
      <t xml:space="preserve"> 5.32eur. (savikaina)</t>
    </r>
  </si>
  <si>
    <t>filtru ir tepalo keitimas</t>
  </si>
  <si>
    <t>laurynas goncauskas toyota corolla</t>
  </si>
  <si>
    <t>IDE009636</t>
  </si>
  <si>
    <t xml:space="preserve">E895L      9.61eur </t>
  </si>
  <si>
    <t>E210H D226       5.45eur</t>
  </si>
  <si>
    <t>laurynas goncauskas toyota corolla jps686</t>
  </si>
  <si>
    <t>185/80r14c</t>
  </si>
  <si>
    <t>dainius ecu</t>
  </si>
  <si>
    <t>75eur</t>
  </si>
  <si>
    <t>E3905LC 15eur</t>
  </si>
  <si>
    <t>OC 534  7eur</t>
  </si>
  <si>
    <t>F 026 400 676 16eur</t>
  </si>
  <si>
    <t>5w20 ford 5+1  58+13eur</t>
  </si>
  <si>
    <t>tepalu filtru keitimas</t>
  </si>
  <si>
    <t>212035km</t>
  </si>
  <si>
    <t>OX 377D  15eur</t>
  </si>
  <si>
    <t>E1088L  14eur</t>
  </si>
  <si>
    <t>1 457 434 511  18eur</t>
  </si>
  <si>
    <t>laurynas goncauskas kia sportage LHO857</t>
  </si>
  <si>
    <t>K 1332A 10.70EUR SAVIKAINA</t>
  </si>
  <si>
    <t>IDE009635</t>
  </si>
  <si>
    <t xml:space="preserve"> xclean+  6l</t>
  </si>
  <si>
    <t>SEA CV96EU 15eur+keitimas</t>
  </si>
  <si>
    <t>granatos gumos keitimas</t>
  </si>
  <si>
    <t>1rato klijavimas</t>
  </si>
  <si>
    <t>FE02582 2.65eur</t>
  </si>
  <si>
    <t>sarnyro keitimas</t>
  </si>
  <si>
    <t>87333AL 10.90 eur savikaina</t>
  </si>
  <si>
    <t>IDE009712</t>
  </si>
  <si>
    <t>sailun atrezzo zsr2</t>
  </si>
  <si>
    <t>Arsenijus Vasiljevas #2506572</t>
  </si>
  <si>
    <t>paysera IDE009630</t>
  </si>
  <si>
    <t>IDE009616</t>
  </si>
  <si>
    <t>conti ecocontact 6</t>
  </si>
  <si>
    <t>aivaras dadura</t>
  </si>
  <si>
    <t>bmw montazke, 279eur</t>
  </si>
  <si>
    <t>IDE009669</t>
  </si>
  <si>
    <t>sunny na305</t>
  </si>
  <si>
    <t>rytas ignatonis donatas</t>
  </si>
  <si>
    <t>IDE009559</t>
  </si>
  <si>
    <t>montazke pilna</t>
  </si>
  <si>
    <t>nipeliai 4vnt</t>
  </si>
  <si>
    <t>ratu dazymas r20 juodi</t>
  </si>
  <si>
    <t>#130445</t>
  </si>
  <si>
    <t>IDE009623</t>
  </si>
  <si>
    <t>mantulis</t>
  </si>
  <si>
    <t>andrius stepankevicius aurimas nav</t>
  </si>
  <si>
    <t>50+pvm sask nav</t>
  </si>
  <si>
    <t>hankook ventus prime 4</t>
  </si>
  <si>
    <t>airbog ricardas pigu</t>
  </si>
  <si>
    <t>#134805</t>
  </si>
  <si>
    <t>225/50r18</t>
  </si>
  <si>
    <t>jtr371   interlux aivaras</t>
  </si>
  <si>
    <t>IDE009644</t>
  </si>
  <si>
    <t>giedrius zakalskis</t>
  </si>
  <si>
    <t>143eur</t>
  </si>
  <si>
    <t>174658km</t>
  </si>
  <si>
    <t>tepalas is backos 5.5l</t>
  </si>
  <si>
    <t>08.C501.11 uz 2vnt 40.19eur</t>
  </si>
  <si>
    <t>SKODA JFR949 tomas patalavicius</t>
  </si>
  <si>
    <t>IDE009684</t>
  </si>
  <si>
    <t>kaldziu ir disku keitimas</t>
  </si>
  <si>
    <t>nuo 09:30 iki 12:40</t>
  </si>
  <si>
    <t>P 85 125 21.86eur</t>
  </si>
  <si>
    <t>SKODA JFR949</t>
  </si>
  <si>
    <t>OX 1217D 7.50eur</t>
  </si>
  <si>
    <t>LX 3502 12.09eur</t>
  </si>
  <si>
    <r>
      <rPr>
        <rFont val="Arial"/>
        <strike/>
        <color rgb="FF222222"/>
        <sz val="10.0"/>
      </rPr>
      <t>ADV182513  7.98eur</t>
    </r>
    <r>
      <rPr>
        <rFont val="Arial"/>
        <color rgb="FF222222"/>
        <sz val="10.0"/>
      </rPr>
      <t xml:space="preserve"> </t>
    </r>
    <r>
      <rPr>
        <rFont val="Arial"/>
        <b/>
        <color rgb="FF222222"/>
        <sz val="10.0"/>
      </rPr>
      <t>GRAZINTAS</t>
    </r>
  </si>
  <si>
    <t>1 987 432 543 8.54eur</t>
  </si>
  <si>
    <r>
      <rPr>
        <rFont val="Arial"/>
        <color rgb="FF1155CC"/>
        <sz val="10.0"/>
        <u/>
      </rPr>
      <t>116 060 0046</t>
    </r>
    <r>
      <rPr>
        <rFont val="Arial"/>
        <sz val="10.0"/>
      </rPr>
      <t xml:space="preserve"> 10,34 EUR</t>
    </r>
  </si>
  <si>
    <r>
      <rPr>
        <rFont val="Arial"/>
        <color rgb="FF1155CC"/>
        <sz val="10.0"/>
        <u/>
      </rPr>
      <t>116 060 0046</t>
    </r>
    <r>
      <rPr>
        <rFont val="Arial"/>
        <color rgb="FF000000"/>
        <sz val="10.0"/>
      </rPr>
      <t xml:space="preserve"> 10,34 EUR</t>
    </r>
  </si>
  <si>
    <t>tomas mice passat</t>
  </si>
  <si>
    <t>IDE009645</t>
  </si>
  <si>
    <t>112569km</t>
  </si>
  <si>
    <t>LA120 11eur</t>
  </si>
  <si>
    <t>E115H01 D208   7eur</t>
  </si>
  <si>
    <t>F 026 402 835  22eur</t>
  </si>
  <si>
    <t>audi a1  865817981 Loreta Statauskienė &lt;loretastat5@gmail.com</t>
  </si>
  <si>
    <t>tepalas backa 5l</t>
  </si>
  <si>
    <t>lx2831  14eur</t>
  </si>
  <si>
    <t>keitimas visko</t>
  </si>
  <si>
    <t>audi a1  865817981</t>
  </si>
  <si>
    <t>#134809</t>
  </si>
  <si>
    <t>IDE009646</t>
  </si>
  <si>
    <r>
      <rPr>
        <color rgb="FF1155CC"/>
        <u/>
      </rPr>
      <t>GDB2161</t>
    </r>
    <r>
      <rPr/>
      <t xml:space="preserve"> 25.40eur</t>
    </r>
  </si>
  <si>
    <t>ford transit kaimynas tomas vitas</t>
  </si>
  <si>
    <t>GDB1967 39.19eur</t>
  </si>
  <si>
    <t>ford transit kaimynas</t>
  </si>
  <si>
    <t>sailun elite2</t>
  </si>
  <si>
    <t>neringa urbute #2506544</t>
  </si>
  <si>
    <t>IDE009653</t>
  </si>
  <si>
    <t>ieskojimas kodel kaista</t>
  </si>
  <si>
    <t>draudimas pakaitine</t>
  </si>
  <si>
    <t>7PP 906 283 P VALVE  94eur savikaina</t>
  </si>
  <si>
    <t>mantas jastremskas audi rs7 aurimas?</t>
  </si>
  <si>
    <t>P 85 125  34eur</t>
  </si>
  <si>
    <t>08.C501.11 2x56eur</t>
  </si>
  <si>
    <t>tadas stasiulis passat</t>
  </si>
  <si>
    <t>disku kaladziu keitimas gale</t>
  </si>
  <si>
    <t>skyscio keitimas 30eur</t>
  </si>
  <si>
    <t>stabdziu skystis 10eur</t>
  </si>
  <si>
    <t>goodyear f1 asymm 2 rof</t>
  </si>
  <si>
    <t>Viktorija Budriene &lt;viktoria.budriene@gmail.com grazisypsenalt@gmail.com</t>
  </si>
  <si>
    <t>IDE009662</t>
  </si>
  <si>
    <t>305199km</t>
  </si>
  <si>
    <t>E122H D187  13eur</t>
  </si>
  <si>
    <t>filtru ir tepalu keitimas</t>
  </si>
  <si>
    <t>vaziuokle paziuret kas barska</t>
  </si>
  <si>
    <t>deividas vileniskis dada bmw e91</t>
  </si>
  <si>
    <t>IDE009731</t>
  </si>
  <si>
    <t>E1004L  25eur</t>
  </si>
  <si>
    <t>xclean+ backa apie 7l (6+1)</t>
  </si>
  <si>
    <t>padangu keitimas sezoninis</t>
  </si>
  <si>
    <t>255/40r18</t>
  </si>
  <si>
    <t>Laura Urbonaitė &lt;laura.urbonaite@gmail.com</t>
  </si>
  <si>
    <t>200+montazke</t>
  </si>
  <si>
    <t>mindaugas legeika</t>
  </si>
  <si>
    <t>bridgestone turanza</t>
  </si>
  <si>
    <t>andrejus dolgovas</t>
  </si>
  <si>
    <t>143+montazke</t>
  </si>
  <si>
    <t>IDE009674</t>
  </si>
  <si>
    <t>metzeler</t>
  </si>
  <si>
    <t>DrRobertas Ja</t>
  </si>
  <si>
    <t>233eur</t>
  </si>
  <si>
    <t>R20x9.5 5X120 ET 45 72.6 I0294 Black (BL) For BMW (P2) (Rear+Front)</t>
  </si>
  <si>
    <t>donatas ryto + montazke</t>
  </si>
  <si>
    <t>IDE009643</t>
  </si>
  <si>
    <t>R20x8.5 5X120 ET 35 72.6 I0294 Black (BL) For BMW (P2+K7) (Rear+Front)</t>
  </si>
  <si>
    <t>donatas ryto</t>
  </si>
  <si>
    <t>dazymas keturiu merso ratu sidabriniu i juodus r18</t>
  </si>
  <si>
    <t>dazymas vieno rato juodo kazkokio</t>
  </si>
  <si>
    <t>410eur</t>
  </si>
  <si>
    <t>montazke merso ratu ir to juodo vieno</t>
  </si>
  <si>
    <t>IDE009680</t>
  </si>
  <si>
    <t>martonas sask</t>
  </si>
  <si>
    <t>245/35r18</t>
  </si>
  <si>
    <t>goodride sa37</t>
  </si>
  <si>
    <t>1rato lyginimas merso su montazke</t>
  </si>
  <si>
    <t>R20x8.5 5X112 ET 35.5 66.6 FBX132 Black Polished (MB) For MER (Z6) (HYBRID FORGED Front+Rear)</t>
  </si>
  <si>
    <t>155e+pvm savik</t>
  </si>
  <si>
    <t>IDE009647</t>
  </si>
  <si>
    <t>R20x9.5 5X112 ET 51 66.6 FBX132 Black Polished (MB) For MER (Z6) (HYBRID FORGED Front+Rear)</t>
  </si>
  <si>
    <t>montakze+siuntimas</t>
  </si>
  <si>
    <t>175+188</t>
  </si>
  <si>
    <t>E19H D83  5eur</t>
  </si>
  <si>
    <t>E494L  13eur</t>
  </si>
  <si>
    <t>xclean+ 5l ?  40eur</t>
  </si>
  <si>
    <t>mantas pavliukevicius povilas alhambra</t>
  </si>
  <si>
    <t>GDB258  25eur</t>
  </si>
  <si>
    <t>GIC290 10eur</t>
  </si>
  <si>
    <t>ovidijus meilunas porsche</t>
  </si>
  <si>
    <t xml:space="preserve">thule dacia </t>
  </si>
  <si>
    <t>ovidijus meilunas dacios skersiniai</t>
  </si>
  <si>
    <t>222352km</t>
  </si>
  <si>
    <t>LX 2049/4  17eur</t>
  </si>
  <si>
    <t>E2996LB  35eur</t>
  </si>
  <si>
    <t>8100 x-clean+ 5w30     7L</t>
  </si>
  <si>
    <t>audi a6 c7 2017m. 3tdi quattro 200kw Tomas Blazonis</t>
  </si>
  <si>
    <t>E219H D330  12eur</t>
  </si>
  <si>
    <t>KL 1102  30eur</t>
  </si>
  <si>
    <t>HAM-OER-S037 4x35e</t>
  </si>
  <si>
    <t>jaroslaw sadowski</t>
  </si>
  <si>
    <t>Vilius Chodkevicius &lt;v.chodkevicius@gmail.com Ev5474</t>
  </si>
  <si>
    <t>stabilniku keitimas 30e</t>
  </si>
  <si>
    <t>316 060 0016/HD 20eur</t>
  </si>
  <si>
    <t>316 060 0017/HD 20eur</t>
  </si>
  <si>
    <t>316 050 0025 2x48eur</t>
  </si>
  <si>
    <t>keitimas galiniu svirciu 2x30e</t>
  </si>
  <si>
    <t>WSILIKON 3,5  10eur</t>
  </si>
  <si>
    <t>P 06 055 54eur</t>
  </si>
  <si>
    <t>09.B337.21 2x 72.6</t>
  </si>
  <si>
    <t>stabdziu kalad ir disk keitimas 50e</t>
  </si>
  <si>
    <t>proride 598 4x juodi po 181eur</t>
  </si>
  <si>
    <t>martynas biskirskas thule</t>
  </si>
  <si>
    <t>69-711200 Thule WingBar Evo / 2x118 cm / (47") / VNT 19.47</t>
  </si>
  <si>
    <t>jurate vainauskaite bmw JRT008 thule</t>
  </si>
  <si>
    <t>710700  Thule Evo FixPoint foot for vehicles 4-pack</t>
  </si>
  <si>
    <t>187093  Thule Kit 187093 / BMW 1 serija (F40)</t>
  </si>
  <si>
    <t>HU 6032 Z 14.83eur</t>
  </si>
  <si>
    <t>1 987 435 604 38.95eur</t>
  </si>
  <si>
    <t>m4 kristis KRS333 kristijonas plioplys</t>
  </si>
  <si>
    <t>IDE009699</t>
  </si>
  <si>
    <t>C 28 053 18.71eur</t>
  </si>
  <si>
    <t>C 26 047 20.97eur</t>
  </si>
  <si>
    <t>m4 kristis KRS333</t>
  </si>
  <si>
    <t>2Q0407621B  232eur</t>
  </si>
  <si>
    <t>keitimas guolio</t>
  </si>
  <si>
    <t>rimas alisauskas polo guolis</t>
  </si>
  <si>
    <t>IDE009682</t>
  </si>
  <si>
    <t>ratu sukeitimas du kartus</t>
  </si>
  <si>
    <t>155/70r13</t>
  </si>
  <si>
    <t>hifli</t>
  </si>
  <si>
    <t>laimonas jakas 061422008 laimonas.jakas@gmail.com</t>
  </si>
  <si>
    <t>36eur+montazkes?</t>
  </si>
  <si>
    <t>IDE009663</t>
  </si>
  <si>
    <t>Cupra</t>
  </si>
  <si>
    <t>NCJ481</t>
  </si>
  <si>
    <t>balansas 4vnt Mantas Sidabras interlux</t>
  </si>
  <si>
    <t>713 6122 60  50eur guolis</t>
  </si>
  <si>
    <t xml:space="preserve">IDE009711 </t>
  </si>
  <si>
    <t>ratlankiai  dezent tv black r17</t>
  </si>
  <si>
    <t>elvijus elvis kersulis</t>
  </si>
  <si>
    <t>170e</t>
  </si>
  <si>
    <t>IDE009734</t>
  </si>
  <si>
    <t>Bimecc Bolt VPE03 M12x1.25x35 17 mm Hex Flat 1 pcs</t>
  </si>
  <si>
    <t>1.5eur vnt</t>
  </si>
  <si>
    <t>grazinimas kurjeriui moket</t>
  </si>
  <si>
    <t>kitus ratus uzsakem R17</t>
  </si>
  <si>
    <t>LTP289 SORMEDICA audrius raiselis interlux</t>
  </si>
  <si>
    <t>2eur vnt</t>
  </si>
  <si>
    <t>IDE009964</t>
  </si>
  <si>
    <t>montazke corsa i contikus 2025-07-09</t>
  </si>
  <si>
    <t>UPS696 paulius valiukevicius</t>
  </si>
  <si>
    <t>IDE009700</t>
  </si>
  <si>
    <t>concaver du dangteliai po 35e</t>
  </si>
  <si>
    <t>tomas satas judisa uab montazke</t>
  </si>
  <si>
    <t>IDE009672</t>
  </si>
  <si>
    <t>goodyear f1 asymm5 nf1</t>
  </si>
  <si>
    <t>laurynas butkus beriva</t>
  </si>
  <si>
    <t>IDE009678</t>
  </si>
  <si>
    <t>09.B969.1X (BREMBO) 2x101eur</t>
  </si>
  <si>
    <t>P 85 154X (BREMBO)  72eur</t>
  </si>
  <si>
    <t>keitimas kald/disku</t>
  </si>
  <si>
    <t>mindaugas striska audi</t>
  </si>
  <si>
    <t>rbf700 3x15e</t>
  </si>
  <si>
    <t>keitimas skyscio 30e</t>
  </si>
  <si>
    <t>guolius pirko man  tai -20e</t>
  </si>
  <si>
    <t>S90-2-12-004-B 90e</t>
  </si>
  <si>
    <t>varztai 20x1.5</t>
  </si>
  <si>
    <t>keitimas/dejimas rastafkiu</t>
  </si>
  <si>
    <t>S90-2-15-017-B 90e</t>
  </si>
  <si>
    <t>FE104920 5.09eur</t>
  </si>
  <si>
    <t>205/60R16 COTZ 96V Z-401</t>
  </si>
  <si>
    <t>2x50eur + montazke</t>
  </si>
  <si>
    <t>LPJ817</t>
  </si>
  <si>
    <t>37060378262  rusiskai kalba tik</t>
  </si>
  <si>
    <t>downpipe keitimas</t>
  </si>
  <si>
    <t xml:space="preserve">0W-40 6l (3vnt) </t>
  </si>
  <si>
    <t>FE170554 9.20eur</t>
  </si>
  <si>
    <t>paulius valiukevicius porsche macan</t>
  </si>
  <si>
    <t>chiptuning tcu+ecu 400+pvm</t>
  </si>
  <si>
    <t>vw passat        MSB723 interlux</t>
  </si>
  <si>
    <t>101eur+montazke</t>
  </si>
  <si>
    <t>trauke vairo ir keitimas</t>
  </si>
  <si>
    <t>JTE1052</t>
  </si>
  <si>
    <t>rimas ali polo</t>
  </si>
  <si>
    <t>R22x10 5X112 ET 21 66.5 B5131 (A5383) Black Polished (MB) For AUD (P)</t>
  </si>
  <si>
    <t>tadas a1motors</t>
  </si>
  <si>
    <t>250eur</t>
  </si>
  <si>
    <t>IDE009679</t>
  </si>
  <si>
    <t>hankook dynapro hp2 sct</t>
  </si>
  <si>
    <t>245eur</t>
  </si>
  <si>
    <t>265/45r20</t>
  </si>
  <si>
    <t>goodyear f1 asymm 3 N0</t>
  </si>
  <si>
    <t>jonas venskunas</t>
  </si>
  <si>
    <t>IDE009695</t>
  </si>
  <si>
    <t>R20x8.5 5X112 ET 36 66.6 FBX007 Full Polished (FPL) For MER (Z5) (HYBRID FORGED Rear+Front)</t>
  </si>
  <si>
    <t>r20x8.5</t>
  </si>
  <si>
    <t>fbx007</t>
  </si>
  <si>
    <t>matas cizauskas martynas bisikirskas</t>
  </si>
  <si>
    <t>IDE009671</t>
  </si>
  <si>
    <t>R20x9.5 5X112 ET 43.5 66.6 FBX007 Full Polished (FPL) For MER (Z5) (HYBRID FORGED Rear+Front)</t>
  </si>
  <si>
    <t>r20x9.5</t>
  </si>
  <si>
    <t>varztai 45eur</t>
  </si>
  <si>
    <t>rastafkes priekiui S90-2-12-004-B</t>
  </si>
  <si>
    <t>IDE009673</t>
  </si>
  <si>
    <t>siuntimas 40eur</t>
  </si>
  <si>
    <t>davikliai e53 cabrio 2018</t>
  </si>
  <si>
    <t>r2bike krepselis 675eur</t>
  </si>
  <si>
    <t>mantas pavliukevicius</t>
  </si>
  <si>
    <t>s-sportas 136eur</t>
  </si>
  <si>
    <t>r2bike krepselis 247eur</t>
  </si>
  <si>
    <t>albertas ignatavicius</t>
  </si>
  <si>
    <t>308eur r2bike krepselis</t>
  </si>
  <si>
    <t xml:space="preserve">mantas jastremskas </t>
  </si>
  <si>
    <t>sworks batai 300e</t>
  </si>
  <si>
    <t>47+56eur kreditine uz stabdzius r2bike</t>
  </si>
  <si>
    <t>F 026 400 494  16eur</t>
  </si>
  <si>
    <t>ADH22514  9eur</t>
  </si>
  <si>
    <t>E234H D290  8eur</t>
  </si>
  <si>
    <t>mantas pavliukevicius honda crv</t>
  </si>
  <si>
    <t>72eur</t>
  </si>
  <si>
    <t>0w30 ecoclean 3L  39eur</t>
  </si>
  <si>
    <r>
      <rPr>
        <rFont val="Inter, sans-serif"/>
        <color rgb="FF000000"/>
      </rPr>
      <t>Akumuliatorius 100 Ah 830 A EN 12</t>
    </r>
    <r>
      <rPr>
        <rFont val="Inter, sans-serif"/>
      </rPr>
      <t>V</t>
    </r>
  </si>
  <si>
    <t>SD H3</t>
  </si>
  <si>
    <t>STARTER L5, 60038/50038/EA1000</t>
  </si>
  <si>
    <t>nerijus kersys porsche akumas</t>
  </si>
  <si>
    <t>129eur+keitimas</t>
  </si>
  <si>
    <t>nerijus kersys porsche  MJM545</t>
  </si>
  <si>
    <t>prosche montazke priority</t>
  </si>
  <si>
    <t>ktk499 deividas rinkevicius aurimas nav bmw</t>
  </si>
  <si>
    <t>andrius stepankevicius aurimas nav golf r  LOI101</t>
  </si>
  <si>
    <t>dunlop response</t>
  </si>
  <si>
    <t>darius bernackas bevita</t>
  </si>
  <si>
    <t>IDE009675</t>
  </si>
  <si>
    <t>285/35r21</t>
  </si>
  <si>
    <t>lukas burneika</t>
  </si>
  <si>
    <t>239+281eur</t>
  </si>
  <si>
    <t>244savikaina+214savikaina</t>
  </si>
  <si>
    <t>255/40r21</t>
  </si>
  <si>
    <t>lukas burneika Arminas Česnulevičius &lt;arminas.cesnulevicius@gmail.com</t>
  </si>
  <si>
    <t>dave 250+220eur</t>
  </si>
  <si>
    <t>40+60=100</t>
  </si>
  <si>
    <t>g.buinovskij</t>
  </si>
  <si>
    <t>sitas lyg apts pardaviau</t>
  </si>
  <si>
    <t>113eur</t>
  </si>
  <si>
    <t>dave 450eur</t>
  </si>
  <si>
    <t>mgstrohpellets</t>
  </si>
  <si>
    <t>G. Buinovskij IĮ skola 1584.45eur</t>
  </si>
  <si>
    <t>2299.99 skola bendra</t>
  </si>
  <si>
    <t>Ūkininkas Mindaugas Gvergždis 715.49 skola</t>
  </si>
  <si>
    <t>valdas fedianinas valdoska</t>
  </si>
  <si>
    <t>IDE009694</t>
  </si>
  <si>
    <t>keitimas 30eur</t>
  </si>
  <si>
    <t>1 987 429 404 9 EUR</t>
  </si>
  <si>
    <t>1 987 432 097 10EUR</t>
  </si>
  <si>
    <t>Albertas VW passat b6</t>
  </si>
  <si>
    <t>Tepalas is backos (5.6L)</t>
  </si>
  <si>
    <t>1 457 429 192 6EUR</t>
  </si>
  <si>
    <t>IDE009693</t>
  </si>
  <si>
    <t xml:space="preserve">laurynas beriva </t>
  </si>
  <si>
    <t>IDE009743</t>
  </si>
  <si>
    <t>andrius papartis interlux VW Tiguan LIR938  multilabo</t>
  </si>
  <si>
    <t>IDE009983</t>
  </si>
  <si>
    <t>montazke ziemines dvi</t>
  </si>
  <si>
    <t>IDE009692</t>
  </si>
  <si>
    <t>michelin e-primacy mo</t>
  </si>
  <si>
    <t>IDE009738</t>
  </si>
  <si>
    <t>vaziavom su mix ir mantu i graveli, mokejau uz kura kortele lyg</t>
  </si>
  <si>
    <t>JTS283 8.25eur</t>
  </si>
  <si>
    <t>SC035MT 15.11EUR</t>
  </si>
  <si>
    <t>CITROEN C3 DGG803</t>
  </si>
  <si>
    <t>KYBSM1923 21.56eur</t>
  </si>
  <si>
    <t>120/70r19</t>
  </si>
  <si>
    <t>michelin anakee</t>
  </si>
  <si>
    <t>laurynas kentra extra</t>
  </si>
  <si>
    <t>170/60r17</t>
  </si>
  <si>
    <t xml:space="preserve">WVWZZZ3HZLE010140
</t>
  </si>
  <si>
    <t>dsg keitimas 50-60eur</t>
  </si>
  <si>
    <t>high torque tepalas 5*18eur</t>
  </si>
  <si>
    <t>H 6031 Z 22eur</t>
  </si>
  <si>
    <t>Raimond Černiavskij LIT225 VW Arteon</t>
  </si>
  <si>
    <t>vin numeri i sask irasyt</t>
  </si>
  <si>
    <t>30+20eur darbas su stabilyzu</t>
  </si>
  <si>
    <t>vienas stabilizatoriaus antgalis keitimas</t>
  </si>
  <si>
    <t>vilius kaimynas peugeot lgr257</t>
  </si>
  <si>
    <t>50eur</t>
  </si>
  <si>
    <t>vairo stiprintuvo patikra ir skyscio dapylimas</t>
  </si>
  <si>
    <t>vilius kaimynas subaru</t>
  </si>
  <si>
    <t>montazke 5eur MGT337</t>
  </si>
  <si>
    <r>
      <rPr>
        <color rgb="FF000000"/>
      </rPr>
      <t>kristina@diamedica.lt</t>
    </r>
    <r>
      <rPr>
        <color rgb="FF000000"/>
      </rPr>
      <t xml:space="preserve"> Kristina Gaidelioniene UAB Diamedica</t>
    </r>
  </si>
  <si>
    <t>interlux nav aurimas mingela</t>
  </si>
  <si>
    <t>julius juodisius</t>
  </si>
  <si>
    <t>langu skystis  kiek vnt ?</t>
  </si>
  <si>
    <t>4x3 langu skyscio</t>
  </si>
  <si>
    <t>IDE009722</t>
  </si>
  <si>
    <t>skola 40eur uz montazke yaris</t>
  </si>
  <si>
    <r>
      <rPr/>
      <t xml:space="preserve">Karolis Znutas Invitee Email: </t>
    </r>
    <r>
      <rPr>
        <color rgb="FF000000"/>
      </rPr>
      <t>karolis.znutas@gmail.com</t>
    </r>
  </si>
  <si>
    <t>yokohama ae51</t>
  </si>
  <si>
    <t>kristijonas@juka.lt &lt;kristijonas@juka.lt juodisius</t>
  </si>
  <si>
    <t>140+montazke</t>
  </si>
  <si>
    <t>R20x9.5 5X112 ET 45 66.6 B1048 (FBX125) Black Polished (MB) For MER (Z5) (HYBRID FORGED Front+Rear)</t>
  </si>
  <si>
    <t>deividas vileniskis dada mercedes aurimas nav</t>
  </si>
  <si>
    <t>rastafkes,varztai</t>
  </si>
  <si>
    <t>R20x8.5 5X112 ET 36 66.6 B1048 (FBX125) Black Polished (MB) For MER (P1+P2) (HYBRID FORGED Front+Rear)</t>
  </si>
  <si>
    <t>deividas vileniskis dada mercedes</t>
  </si>
  <si>
    <t>montazkes du kartu?</t>
  </si>
  <si>
    <t>S90-2-12-004-B</t>
  </si>
  <si>
    <t>varztai</t>
  </si>
  <si>
    <t>michelin cup2 bmw</t>
  </si>
  <si>
    <t>tautvydas viksraitis bmw</t>
  </si>
  <si>
    <t>348+395</t>
  </si>
  <si>
    <t>michelin cup2 porsche</t>
  </si>
  <si>
    <t>gediminas gaidelis gt4rs</t>
  </si>
  <si>
    <t>IDE009737</t>
  </si>
  <si>
    <t>po 140eur</t>
  </si>
  <si>
    <t>VW jetta        JCB658 interlux NT</t>
  </si>
  <si>
    <t>2rat lyginimas</t>
  </si>
  <si>
    <t>IDE009707</t>
  </si>
  <si>
    <t>IDE009742</t>
  </si>
  <si>
    <t>michelin ps5s Mo1</t>
  </si>
  <si>
    <t>IDE009739</t>
  </si>
  <si>
    <t>zetex wh1000</t>
  </si>
  <si>
    <t>37061589696 renault traliukas riese</t>
  </si>
  <si>
    <t>50+dvi montazkes galo</t>
  </si>
  <si>
    <t>bridgestone t005</t>
  </si>
  <si>
    <t>kaimynas ernestas priesais Ernestas Repečka &lt;repeckaernestas@gmail.com</t>
  </si>
  <si>
    <t>IDE009732</t>
  </si>
  <si>
    <t>225/50R17</t>
  </si>
  <si>
    <t>hankook K135K evo4</t>
  </si>
  <si>
    <t>dainius dotronika</t>
  </si>
  <si>
    <t>IDE009736</t>
  </si>
  <si>
    <t>155/65r13</t>
  </si>
  <si>
    <t>tel nr is rieses liutauro montuotojas</t>
  </si>
  <si>
    <t>versockas kestutis viber</t>
  </si>
  <si>
    <t>IDE009748</t>
  </si>
  <si>
    <t>bridgestone turanza 6</t>
  </si>
  <si>
    <t>144+montazke</t>
  </si>
  <si>
    <t>IDE009749</t>
  </si>
  <si>
    <t>F 026 400 356 16eur</t>
  </si>
  <si>
    <t>1 457 429 269 9eur</t>
  </si>
  <si>
    <t>Deividas Rinkevicius BMW 335i WBA3A9C50DF476691 ktk499</t>
  </si>
  <si>
    <t>tepalas is backos 7l</t>
  </si>
  <si>
    <t>1 987 435 503 25eur</t>
  </si>
  <si>
    <t>Deividas Rinkevicius BMW 335i WBA3A9C50DF476691</t>
  </si>
  <si>
    <t>keitimas kaldziu priekyje</t>
  </si>
  <si>
    <t>V30-72-0746 3eur</t>
  </si>
  <si>
    <t>P 50 139  58eur</t>
  </si>
  <si>
    <t>deividas vileniskis dada mersas</t>
  </si>
  <si>
    <t>225/65r16</t>
  </si>
  <si>
    <t>Viking TransTech NewGen</t>
  </si>
  <si>
    <t>julius navagrudskas</t>
  </si>
  <si>
    <t>IDE009744</t>
  </si>
  <si>
    <t>120122km</t>
  </si>
  <si>
    <r>
      <rPr>
        <rFont val="Arial"/>
        <b val="0"/>
        <color rgb="FF000000"/>
        <sz val="11.0"/>
      </rPr>
      <t>x4</t>
    </r>
    <r>
      <rPr>
        <rFont val="Tahoma, sans-serif"/>
        <b/>
        <color rgb="FF222222"/>
        <sz val="11.0"/>
      </rPr>
      <t xml:space="preserve"> 0 241 145 528 </t>
    </r>
    <r>
      <rPr>
        <rFont val="Arial"/>
        <b val="0"/>
        <color rgb="FFFF0000"/>
        <sz val="11.0"/>
      </rPr>
      <t>8.36eur (33.44eur)</t>
    </r>
  </si>
  <si>
    <r>
      <rPr>
        <rFont val="Arial"/>
        <b val="0"/>
        <color rgb="FF000000"/>
        <sz val="11.0"/>
        <u/>
      </rPr>
      <t>x5</t>
    </r>
    <r>
      <rPr>
        <rFont val="Arial"/>
        <b/>
        <color rgb="FF1F65B5"/>
        <sz val="11.0"/>
        <u/>
      </rPr>
      <t xml:space="preserve"> MULTI DCTF 1L </t>
    </r>
    <r>
      <rPr>
        <rFont val="Arial"/>
        <b/>
        <color rgb="FFFF0000"/>
        <sz val="11.0"/>
        <u/>
      </rPr>
      <t>8.92eur</t>
    </r>
  </si>
  <si>
    <r>
      <rPr>
        <rFont val="Arial"/>
        <b val="0"/>
        <color rgb="FF000000"/>
        <sz val="11.0"/>
        <u/>
      </rPr>
      <t>x2</t>
    </r>
    <r>
      <rPr>
        <rFont val="Arial"/>
        <b/>
        <color rgb="FF1F65B5"/>
        <sz val="11.0"/>
        <u/>
      </rPr>
      <t xml:space="preserve"> PFB401SE </t>
    </r>
    <r>
      <rPr>
        <rFont val="Arial"/>
        <b val="0"/>
        <color rgb="FFFF0000"/>
        <sz val="11.0"/>
        <u/>
      </rPr>
      <t>7.99eur (15.98eur)</t>
    </r>
  </si>
  <si>
    <t>Giedre Lapenaite TIGUAN JRL708</t>
  </si>
  <si>
    <t>3 397 014 244 20eur</t>
  </si>
  <si>
    <r>
      <rPr>
        <rFont val="Arial"/>
        <color rgb="FF000000"/>
        <sz val="11.0"/>
      </rPr>
      <t xml:space="preserve">HX132D </t>
    </r>
    <r>
      <rPr>
        <rFont val="Arial"/>
        <color rgb="FFFF0000"/>
        <sz val="11.0"/>
      </rPr>
      <t>11.76eur</t>
    </r>
  </si>
  <si>
    <r>
      <rPr>
        <rFont val="Tahoma, sans-serif"/>
        <b/>
        <color rgb="FF222222"/>
        <sz val="11.0"/>
      </rPr>
      <t xml:space="preserve">OC 977/1 </t>
    </r>
    <r>
      <rPr>
        <rFont val="Arial"/>
        <b val="0"/>
        <color rgb="FFFF0000"/>
        <sz val="11.0"/>
      </rPr>
      <t>4.85eur</t>
    </r>
  </si>
  <si>
    <t>3 397 016 087  8eur</t>
  </si>
  <si>
    <t>Tepalas is backos 4.5L</t>
  </si>
  <si>
    <r>
      <rPr>
        <rFont val="Tahoma, sans-serif"/>
        <b/>
        <color rgb="FF222222"/>
        <sz val="11.0"/>
      </rPr>
      <t xml:space="preserve">LX 3525 </t>
    </r>
    <r>
      <rPr>
        <rFont val="Arial"/>
        <b val="0"/>
        <color rgb="FFFF0000"/>
        <sz val="11.0"/>
      </rPr>
      <t>12.51eur</t>
    </r>
  </si>
  <si>
    <r>
      <rPr>
        <rFont val="Tahoma, sans-serif"/>
        <b/>
        <color rgb="FF222222"/>
        <sz val="11.0"/>
      </rPr>
      <t xml:space="preserve">ADV182513 </t>
    </r>
    <r>
      <rPr>
        <rFont val="Arial"/>
        <b val="0"/>
        <color rgb="FFFF0000"/>
        <sz val="11.0"/>
      </rPr>
      <t>6.88eur</t>
    </r>
  </si>
  <si>
    <t>padangu keitimas sezono 2025-10</t>
  </si>
  <si>
    <t>08/21</t>
  </si>
  <si>
    <t>VW GOLF</t>
  </si>
  <si>
    <t>UVU123 duslintuvo pagalves keitimas	Goncauskas</t>
  </si>
  <si>
    <t>IDE009815</t>
  </si>
  <si>
    <t>255/35r21</t>
  </si>
  <si>
    <t>gitisport giti</t>
  </si>
  <si>
    <t>robertas opoltrans 302998351 r.bolotov@opoltrans1.pl</t>
  </si>
  <si>
    <t>141eur IDE009735</t>
  </si>
  <si>
    <t>R20x9 5X114.3 ET 35 70.5 HX036 (B5597) Black (BL) For HAXER (P2+P) (Rear+Front)</t>
  </si>
  <si>
    <t>viber saulius kazlauskas ED +37065024312</t>
  </si>
  <si>
    <t>195eur sask</t>
  </si>
  <si>
    <t>R20x10.5 5X114.3 ET 35 70.5 HX036 (B5597) Black (BL) For HAXER (P2+P) (Rear+Front)</t>
  </si>
  <si>
    <t>140eur cash</t>
  </si>
  <si>
    <t>donatas nuo ryto bmw</t>
  </si>
  <si>
    <t>IDE009828</t>
  </si>
  <si>
    <t>R19x8  5X120  ET  35  72.6  I0405  Black Polished (MB)  For BMW  (K3)  (Rear+Front)</t>
  </si>
  <si>
    <t>china ratai bmw</t>
  </si>
  <si>
    <t>rimas petrusevicius</t>
  </si>
  <si>
    <t>150+montazke</t>
  </si>
  <si>
    <t>IDE009753</t>
  </si>
  <si>
    <t>goodyear vector</t>
  </si>
  <si>
    <t>114eur 2025-08-27</t>
  </si>
  <si>
    <t>mantas pavliukevicius r2bike</t>
  </si>
  <si>
    <t>medgana busiko rato klijavimas, visu putimas uztruko</t>
  </si>
  <si>
    <t>IDE009821</t>
  </si>
  <si>
    <t>pirelli diablo</t>
  </si>
  <si>
    <t>ini gud</t>
  </si>
  <si>
    <t>122eur</t>
  </si>
  <si>
    <t>300V 0W40 2L 110857  5x2L 37eur</t>
  </si>
  <si>
    <t>sport carbon oro filtro dezes idejimas kazkiek  uztruko</t>
  </si>
  <si>
    <t>P 06 038 28eur</t>
  </si>
  <si>
    <r>
      <rPr>
        <rFont val="Arial"/>
        <color rgb="FF000000"/>
        <sz val="11.0"/>
      </rPr>
      <t xml:space="preserve">0 986 479 263 </t>
    </r>
    <r>
      <rPr>
        <rFont val="Arial"/>
        <color rgb="FFFF0000"/>
        <sz val="11.0"/>
      </rPr>
      <t>31.04eur</t>
    </r>
  </si>
  <si>
    <t>bmw e91        KGK991        deividas Vileniskis  dada</t>
  </si>
  <si>
    <t>gic207 11eur</t>
  </si>
  <si>
    <r>
      <rPr>
        <rFont val="Arial"/>
        <color rgb="FF000000"/>
        <sz val="11.0"/>
      </rPr>
      <t xml:space="preserve">0 986 479 263 </t>
    </r>
    <r>
      <rPr>
        <rFont val="Arial"/>
        <color rgb="FFFF0000"/>
        <sz val="11.0"/>
      </rPr>
      <t>31.04eur</t>
    </r>
  </si>
  <si>
    <t>0986460072  43eur</t>
  </si>
  <si>
    <t>VW GOLF VIII lina leonaviciute</t>
  </si>
  <si>
    <r>
      <rPr/>
      <t xml:space="preserve">09.9145.11 </t>
    </r>
    <r>
      <rPr>
        <color rgb="FFFF0000"/>
      </rPr>
      <t xml:space="preserve">72.36eur </t>
    </r>
    <r>
      <rPr/>
      <t>uz 2vnt</t>
    </r>
  </si>
  <si>
    <t>3 397 007 863  20eur</t>
  </si>
  <si>
    <t>matador mps400</t>
  </si>
  <si>
    <t>elvijus kersulis</t>
  </si>
  <si>
    <t>IDE009751</t>
  </si>
  <si>
    <t>#227126</t>
  </si>
  <si>
    <t>235/55r19 IDE009964 goodyear perf+</t>
  </si>
  <si>
    <t>#191684</t>
  </si>
  <si>
    <t xml:space="preserve">laurynas beriva  (Aurelijus Dailidonis kupon) </t>
  </si>
  <si>
    <t>5045076406450118524</t>
  </si>
  <si>
    <t>5045076406450115405</t>
  </si>
  <si>
    <t>5045076406450118847</t>
  </si>
  <si>
    <t>michelin supersport bmw 88y</t>
  </si>
  <si>
    <t>IDE009756</t>
  </si>
  <si>
    <t>104e</t>
  </si>
  <si>
    <t>deividas vileniskis dada</t>
  </si>
  <si>
    <t>107eur</t>
  </si>
  <si>
    <t>IDE009773</t>
  </si>
  <si>
    <t>keitimas?</t>
  </si>
  <si>
    <t>xado 75eur</t>
  </si>
  <si>
    <t>2x5L gen2 5w40</t>
  </si>
  <si>
    <t>laurynas goncauskas porsche</t>
  </si>
  <si>
    <t>OX 128/1D 16eur</t>
  </si>
  <si>
    <t>IDE009777</t>
  </si>
  <si>
    <t>R20x8.5 5X120 ET 35 72.6 HE761 (FBX124) Bronze (YY) For BMW (Z6) (HYBRID FORGED (Front+Rear)</t>
  </si>
  <si>
    <t>R20x9.5 5X120 ET 40 72.6 HE761 (FBX124) Bronze (YY) For BMW (Z6) (HYBRID FORGED (Front+Rear)</t>
  </si>
  <si>
    <t>goodyear f1 supersport R</t>
  </si>
  <si>
    <t>IDE009760</t>
  </si>
  <si>
    <t>goodyear f1 asymm 3 rof</t>
  </si>
  <si>
    <t xml:space="preserve">xclean+ 9l -  80eur  </t>
  </si>
  <si>
    <t>100eur dave</t>
  </si>
  <si>
    <t>EL813036</t>
  </si>
  <si>
    <t>FE38788</t>
  </si>
  <si>
    <t>6eur varztas su tarpine</t>
  </si>
  <si>
    <t>IDE009764</t>
  </si>
  <si>
    <t>IDE009765</t>
  </si>
  <si>
    <t>vandenbam</t>
  </si>
  <si>
    <t>kzr217        volvo xc70        edgaras kovaliovas</t>
  </si>
  <si>
    <t>IDE009874</t>
  </si>
  <si>
    <t>goodyear ug9+</t>
  </si>
  <si>
    <t>darius riepsas kretinga dariaus ratai</t>
  </si>
  <si>
    <t>IDE009755</t>
  </si>
  <si>
    <t>255/60r20</t>
  </si>
  <si>
    <t>goodeyar duratrack</t>
  </si>
  <si>
    <t>P 85 109 31eur</t>
  </si>
  <si>
    <t>keitimas galiniu kalodkiu</t>
  </si>
  <si>
    <t>wvwzzz3czae110001 passat b6 albertas ignatavicius pilkas</t>
  </si>
  <si>
    <t>patikra per kur leidzia tepala (minimaliai per karteri per du kampus ir ic vamzdi (buvo silpnai uzpaustas, isvaliau vamzdi ir varikli is apacios))</t>
  </si>
  <si>
    <r>
      <rPr>
        <rFont val="Arial"/>
        <b/>
        <sz val="9.0"/>
      </rPr>
      <t>BDA98</t>
    </r>
    <r>
      <rPr>
        <rFont val="Verdana, Helvetica, sans-serif"/>
        <sz val="9.0"/>
      </rPr>
      <t>9 47eur</t>
    </r>
  </si>
  <si>
    <t>wvwzzz3czae110001 passat b6 albertas ignatavicius</t>
  </si>
  <si>
    <t>1 457 437 004  10eur</t>
  </si>
  <si>
    <t>300v 0w40 po 3x40eur ?</t>
  </si>
  <si>
    <t>rimas ali polo gti</t>
  </si>
  <si>
    <t>IDE009776</t>
  </si>
  <si>
    <t>sunny nw312</t>
  </si>
  <si>
    <t>marius lrf125</t>
  </si>
  <si>
    <t>PEGEUOT</t>
  </si>
  <si>
    <t>LGR257</t>
  </si>
  <si>
    <t>EL523470 5eur</t>
  </si>
  <si>
    <t>karterio voztuvo keitimas, dugno apsaugos plovimas</t>
  </si>
  <si>
    <t>VILIUS IVANAUSKAS</t>
  </si>
  <si>
    <t>09/15</t>
  </si>
  <si>
    <t>Pakeistas sparnas, ispjauta skyle kad ideti posukio zibinta, nuimtas priekinis buferis ir slenkstis, isimtas zibintas, sulituoti laidai, patikrintas priesruko zibintas reikia keisti plafona ir perlituoti laidus</t>
  </si>
  <si>
    <t>ADT32522 7eur</t>
  </si>
  <si>
    <t>Vilius Subaru legacy GGP002 4s3bmcc64b3260644</t>
  </si>
  <si>
    <t>4-5h</t>
  </si>
  <si>
    <t>699Z W83  7eur</t>
  </si>
  <si>
    <t>10/03		Pezas	LRG257		stabdziu patikra kazkas barska	VILIUS IVANAUSKAS</t>
  </si>
  <si>
    <t>michelin 4s bmw</t>
  </si>
  <si>
    <t>Žilvinas Urbonas &lt;zilvinas.urbon@gmail.com m3</t>
  </si>
  <si>
    <t>Žilvinas Urbonas &lt;zilvinas.urbon@gmail.com</t>
  </si>
  <si>
    <t>moc069 tomas mingela nav</t>
  </si>
  <si>
    <t>IDE009770</t>
  </si>
  <si>
    <t>akras krovimas 1.67eur gruodis</t>
  </si>
  <si>
    <t>lina leonaviciute eb0859</t>
  </si>
  <si>
    <t>100eur uz kabeli</t>
  </si>
  <si>
    <t>2025-09	5	baublio, santaros</t>
  </si>
  <si>
    <t>.18/01/2026</t>
  </si>
  <si>
    <t>6.95eur santaros krovimas</t>
  </si>
  <si>
    <t>kumho wp72</t>
  </si>
  <si>
    <t>paulius bagdonas</t>
  </si>
  <si>
    <t>IDE009759</t>
  </si>
  <si>
    <t>mart panaudot</t>
  </si>
  <si>
    <t>5045076406450155823</t>
  </si>
  <si>
    <t>4vnt</t>
  </si>
  <si>
    <t>R19x8.5 5X112 ET 40 57.1 I5572 (FBX220) Black Polished Half Matt Cooper (MBHMC) For CUPRA (K8+P2+Z5) (HYBRID FORGED)</t>
  </si>
  <si>
    <t>Aringas | Inoterma UAB &lt;aringas@inoterma.lt</t>
  </si>
  <si>
    <t>IDE009774</t>
  </si>
  <si>
    <t>255/35r18</t>
  </si>
  <si>
    <t>IDE009758</t>
  </si>
  <si>
    <t>albertas passat b6 baltas</t>
  </si>
  <si>
    <t>#160726</t>
  </si>
  <si>
    <t>goodyear ug ice2+</t>
  </si>
  <si>
    <t>laurynas beriva butkus  Kortelės ID: 59829193</t>
  </si>
  <si>
    <t>marius gz moller</t>
  </si>
  <si>
    <t>IDE009766</t>
  </si>
  <si>
    <t>sunny nw211</t>
  </si>
  <si>
    <t xml:space="preserve">mantas paliokas </t>
  </si>
  <si>
    <t>IDE009851</t>
  </si>
  <si>
    <t>165/80r13</t>
  </si>
  <si>
    <t>hankook w442</t>
  </si>
  <si>
    <t>saulius nagurnas</t>
  </si>
  <si>
    <t>58eur</t>
  </si>
  <si>
    <t>195/75r16c</t>
  </si>
  <si>
    <t>taurus wintr</t>
  </si>
  <si>
    <t>92+montazke</t>
  </si>
  <si>
    <t>#165904</t>
  </si>
  <si>
    <t>goodyear perf3</t>
  </si>
  <si>
    <t>IDE009762</t>
  </si>
  <si>
    <t>#160733</t>
  </si>
  <si>
    <t>275/50r20</t>
  </si>
  <si>
    <t>laurynas beriva butkus Kortelės ID: 70697975</t>
  </si>
  <si>
    <t>mantulis mix</t>
  </si>
  <si>
    <t>IDE009772</t>
  </si>
  <si>
    <t>dunlop winter</t>
  </si>
  <si>
    <t>#163802</t>
  </si>
  <si>
    <t>laurynas beriva butkus  Kortelės ID: 57045420</t>
  </si>
  <si>
    <t>dunlop all season 2</t>
  </si>
  <si>
    <t>michelin anakee wild</t>
  </si>
  <si>
    <t>laurynas xxx</t>
  </si>
  <si>
    <t>170+125eur</t>
  </si>
  <si>
    <t>laurynas kentra xxx</t>
  </si>
  <si>
    <t>keitimas priek stabdziu</t>
  </si>
  <si>
    <t>P 85 126  40eur</t>
  </si>
  <si>
    <t>09.9772.11 po 2vnt 55eur</t>
  </si>
  <si>
    <t>Tadas Stasiulis &lt;ttadas.stasiulis@gmail.com</t>
  </si>
  <si>
    <t>ir montazke</t>
  </si>
  <si>
    <t>Antera A101 Piano Black Diamond 10,5x22 5x130 ET28 CB71,6 60° 925 kg A10105222823890I</t>
  </si>
  <si>
    <t>ratlankiai</t>
  </si>
  <si>
    <t>716+759eur</t>
  </si>
  <si>
    <t>IDE009832</t>
  </si>
  <si>
    <t>Antera A101 Piano Black Diamond 11,5x22 5x130 ET17 CB71,6 60° 750 kg A10115221723890I</t>
  </si>
  <si>
    <t>4x davikliai</t>
  </si>
  <si>
    <t>pirelli scorpion L</t>
  </si>
  <si>
    <t>aurimas nav urus</t>
  </si>
  <si>
    <t>545+550eur</t>
  </si>
  <si>
    <t>sailun ice blazer</t>
  </si>
  <si>
    <t>#159700</t>
  </si>
  <si>
    <t>mano registracija</t>
  </si>
  <si>
    <t>goodyear ug perf 3  sCT</t>
  </si>
  <si>
    <t>edgaras kovaliovas utvt mano registracija id7</t>
  </si>
  <si>
    <t>IDE009763 KBB420</t>
  </si>
  <si>
    <t>GWL2317885805376</t>
  </si>
  <si>
    <t>Kortelės ID: 43247122 mart panaudojau</t>
  </si>
  <si>
    <t>kupon mantulis</t>
  </si>
  <si>
    <t>mantas pavliukevicius mano registracija id7</t>
  </si>
  <si>
    <t>IDE009816 EA0481</t>
  </si>
  <si>
    <t>GWL2317862971254</t>
  </si>
  <si>
    <t>sailun alpine +  96H</t>
  </si>
  <si>
    <t>skoda octavia	loy569 arunas nav aurimas</t>
  </si>
  <si>
    <t>sailun alpine +  92H</t>
  </si>
  <si>
    <t>nissan juke eoa547 arunas nav aurimas mingela</t>
  </si>
  <si>
    <t>sailun alpine evo 1</t>
  </si>
  <si>
    <t>Audrius Rima #2509130</t>
  </si>
  <si>
    <t>paysera 288eur</t>
  </si>
  <si>
    <t>#165900</t>
  </si>
  <si>
    <t>martynas bisikirskas veho Kamilė Gialtuvaitė</t>
  </si>
  <si>
    <t>IDE009768</t>
  </si>
  <si>
    <t>EL529960 20eur 4vnt</t>
  </si>
  <si>
    <t>EL529970 9eur</t>
  </si>
  <si>
    <t>70-31414-10  10eur</t>
  </si>
  <si>
    <t>keitimas voztuvo dangtelio tarpines, purkstuku isemimas, isurbimo koliko nuemimas, ic vamzdzio isemimas ir plasmases</t>
  </si>
  <si>
    <t>EL530060 25eur</t>
  </si>
  <si>
    <t>ENT250186 2eur</t>
  </si>
  <si>
    <t>09:30-14:30</t>
  </si>
  <si>
    <t>kaladeliu keitimas (buvo viskas supuvus del to uzstrigo)</t>
  </si>
  <si>
    <r>
      <rPr>
        <rFont val="Arial"/>
        <color rgb="FF000000"/>
        <sz val="11.0"/>
      </rPr>
      <t xml:space="preserve">P 68 063 </t>
    </r>
    <r>
      <rPr>
        <rFont val="Arial"/>
        <color rgb="FFFF0000"/>
        <sz val="11.0"/>
      </rPr>
      <t>21.54EUR</t>
    </r>
  </si>
  <si>
    <t>Balanaitis busas</t>
  </si>
  <si>
    <t>IDE009856</t>
  </si>
  <si>
    <t>yokohama v906</t>
  </si>
  <si>
    <t>37061009894 kasnauskas.marius@gmail.com EB2606</t>
  </si>
  <si>
    <t>148eur+montazke</t>
  </si>
  <si>
    <t>sailun atrezo</t>
  </si>
  <si>
    <t>tomas patalavicius touareg</t>
  </si>
  <si>
    <t>IDE009803</t>
  </si>
  <si>
    <t>1naujas daviklis ir montazke kad ji idet  R21</t>
  </si>
  <si>
    <t>kristis kristijionas plioplys bmw m4</t>
  </si>
  <si>
    <t>IDE009990</t>
  </si>
  <si>
    <t>irankis 20eur, chiptning isjungt klaida</t>
  </si>
  <si>
    <t>427 0058 10 42.68eur</t>
  </si>
  <si>
    <r>
      <rPr>
        <rFont val="Arial"/>
        <color rgb="FF000000"/>
        <sz val="11.0"/>
      </rPr>
      <t xml:space="preserve">7.06117.26.0 </t>
    </r>
    <r>
      <rPr>
        <rFont val="Arial"/>
        <color rgb="FFFF0000"/>
        <sz val="11.0"/>
      </rPr>
      <t>36.06eur</t>
    </r>
  </si>
  <si>
    <t>benzo kamstis pravalytas</t>
  </si>
  <si>
    <t>IDE010109</t>
  </si>
  <si>
    <t>295/40r22</t>
  </si>
  <si>
    <t>IDE009798</t>
  </si>
  <si>
    <t>kumho wp52+</t>
  </si>
  <si>
    <t>broliui 95eur</t>
  </si>
  <si>
    <t>8100 X-POWER 10W60 5L  2x46.39eur</t>
  </si>
  <si>
    <t>mantas jastremskas cailas bmw m3 e92</t>
  </si>
  <si>
    <t>nankang sv3</t>
  </si>
  <si>
    <t>uab elektros tinklas, arunas markevicius talino g.</t>
  </si>
  <si>
    <t>#2509011 paysera</t>
  </si>
  <si>
    <t>IDE009740</t>
  </si>
  <si>
    <t>gear lever+keitimas</t>
  </si>
  <si>
    <t>vytautas dumbliauskas</t>
  </si>
  <si>
    <t>IDE009783</t>
  </si>
  <si>
    <t>debica frigo 2</t>
  </si>
  <si>
    <t>MBL069 mingela tomas aurimas nav</t>
  </si>
  <si>
    <t>IDE009778</t>
  </si>
  <si>
    <t>fulda kri montero 3</t>
  </si>
  <si>
    <t>MBI069 mingela tomas aurimas nav</t>
  </si>
  <si>
    <t>#176277</t>
  </si>
  <si>
    <t>ricardas cereska NNM843 interlux skoda superb</t>
  </si>
  <si>
    <t>IDE009810</t>
  </si>
  <si>
    <t>GWL2365961269808</t>
  </si>
  <si>
    <t>5045076406450115439</t>
  </si>
  <si>
    <t>#171242</t>
  </si>
  <si>
    <t>laurynas beriva butkus Kortelės ID: 03626660</t>
  </si>
  <si>
    <t>IDE009784</t>
  </si>
  <si>
    <t>conti ts870p MO1</t>
  </si>
  <si>
    <t>laurynas bockus neiluva DZZ888</t>
  </si>
  <si>
    <t>IDE009940</t>
  </si>
  <si>
    <t>laurynas bockus neiluva  su montazke</t>
  </si>
  <si>
    <t>paulius balciunas lah804</t>
  </si>
  <si>
    <t>#226299</t>
  </si>
  <si>
    <t>225/65r17  IDE009955</t>
  </si>
  <si>
    <t>goodyear ug ice3 sct 594586</t>
  </si>
  <si>
    <t>odeta tennis JNG783</t>
  </si>
  <si>
    <t>165x4+montazke50eur</t>
  </si>
  <si>
    <t>#226298</t>
  </si>
  <si>
    <t>255/35r19 IDE009955</t>
  </si>
  <si>
    <t>580528  255/35R19 96W UG PERF 3 XL FP</t>
  </si>
  <si>
    <t>aleksandras kozlovas 868257777 MND996</t>
  </si>
  <si>
    <t>235e+montazke+5eur</t>
  </si>
  <si>
    <t>IDE009881</t>
  </si>
  <si>
    <t>5045076406450148240 mantulis mantas pav</t>
  </si>
  <si>
    <t>https://ckltb2b.claim.cards/f68SjOkmSyh4CaBCX8fhDTAU/cardInfo?i=conceptAGeneral&amp;l=lt_LT</t>
  </si>
  <si>
    <t>#226296</t>
  </si>
  <si>
    <t>255/45r19  IDE009955</t>
  </si>
  <si>
    <t>580780  255/45R19 104V UG PERF 3 XL FP</t>
  </si>
  <si>
    <t>aleksandras kozlovas 868257777 Koz777</t>
  </si>
  <si>
    <t>240e+montazke</t>
  </si>
  <si>
    <t>5045076406450185051 mantulis mantas pav</t>
  </si>
  <si>
    <t>https://ckltb2b.claim.cards/qSePfXB5GEtzoFrlpI68sjLM/cardInfo?i=conceptAGeneral&amp;l=lt_LT</t>
  </si>
  <si>
    <t>225/65r16c</t>
  </si>
  <si>
    <t>goodyear ug ice cargo</t>
  </si>
  <si>
    <t>goodyear ug perf 3 580780  MYG975</t>
  </si>
  <si>
    <t>montazke cupra be masinos</t>
  </si>
  <si>
    <t>montazke busiko</t>
  </si>
  <si>
    <t>IDE009837</t>
  </si>
  <si>
    <t xml:space="preserve">albertas ignatavicius </t>
  </si>
  <si>
    <t>100eur+montazke</t>
  </si>
  <si>
    <t>532212 fulda</t>
  </si>
  <si>
    <t xml:space="preserve">Justas Krasuckis  led333           </t>
  </si>
  <si>
    <t>IDE009955</t>
  </si>
  <si>
    <t xml:space="preserve">Justas Krasuckis pridet MJP684 15eur klijavima   i.chervotkin@norameda.com </t>
  </si>
  <si>
    <t>goodyear ug ice3</t>
  </si>
  <si>
    <t>37068386862 mantas zemleris sms</t>
  </si>
  <si>
    <t>goodyear ice arctic 2</t>
  </si>
  <si>
    <t>laurynas dagys katalizatoriai</t>
  </si>
  <si>
    <t>IDE009902</t>
  </si>
  <si>
    <t>goodyear UG PERF 3 XL SCT 720133</t>
  </si>
  <si>
    <t>vytenis danyla  MYO919</t>
  </si>
  <si>
    <t>#222375</t>
  </si>
  <si>
    <t>austeja ignatonyte</t>
  </si>
  <si>
    <t>IDE009819</t>
  </si>
  <si>
    <t>goodyear ug perf 3  ST</t>
  </si>
  <si>
    <t>edgaras kovaliovas utvt skoda</t>
  </si>
  <si>
    <t>IDE009872</t>
  </si>
  <si>
    <t>IDE009763</t>
  </si>
  <si>
    <t>Aringas | Inoterma UAB &lt;aringas@inoterma.lt Lcc229</t>
  </si>
  <si>
    <t>IDE009806 montazke</t>
  </si>
  <si>
    <t>GWL2317884008489</t>
  </si>
  <si>
    <t>goodyear ug perf 3 110v xl pigiausios</t>
  </si>
  <si>
    <t>marius sabaliauskas volvo Lfl599</t>
  </si>
  <si>
    <t>303eur+montazke</t>
  </si>
  <si>
    <t>IDE009833</t>
  </si>
  <si>
    <t>sava 99H ESKIMO HP 2 XL 549851</t>
  </si>
  <si>
    <t>passat        JJE670 interlux</t>
  </si>
  <si>
    <t>IDE009780</t>
  </si>
  <si>
    <t>passat	jph121 interlux</t>
  </si>
  <si>
    <t>IDE009779</t>
  </si>
  <si>
    <t>98V debica FRIGO HP 2 XL FP</t>
  </si>
  <si>
    <t>superb	jse976 interlux</t>
  </si>
  <si>
    <t>IDE009796</t>
  </si>
  <si>
    <t>skoda superb        JDT199 interlux</t>
  </si>
  <si>
    <t>IDE009954</t>
  </si>
  <si>
    <t>skoda superb mrg963</t>
  </si>
  <si>
    <t>superb skoda        jad361 interlux</t>
  </si>
  <si>
    <t>#226317</t>
  </si>
  <si>
    <t>98H goodyear UG PERF 3 R0 XL 588322</t>
  </si>
  <si>
    <t>audi a4 allroad        Mrr506  interlux</t>
  </si>
  <si>
    <t>IDE009957</t>
  </si>
  <si>
    <t>99H goodyear UG PERF 3 (+) 596372</t>
  </si>
  <si>
    <t>kodiaq        jst159 interlux</t>
  </si>
  <si>
    <t>#226319</t>
  </si>
  <si>
    <t>kodiaq        jst157 interlux</t>
  </si>
  <si>
    <t xml:space="preserve">goodyear ug perf+  </t>
  </si>
  <si>
    <t xml:space="preserve">LLE103        mercedes glc ?        Gytis Malinauskas gytis.malinauskas@gmail.com                </t>
  </si>
  <si>
    <t>goodyer ug ice 3</t>
  </si>
  <si>
    <t xml:space="preserve">kia rio	jga929	paulius norkus paulius@solutiomedica.lt	</t>
  </si>
  <si>
    <t>205/55r19</t>
  </si>
  <si>
    <t>peugeot 5008	MBC785	paulius grigaitis</t>
  </si>
  <si>
    <t>150eur</t>
  </si>
  <si>
    <t>goodyear perf 3</t>
  </si>
  <si>
    <t>vw arteon        MDI171        paulius mikolaitis paul de mico</t>
  </si>
  <si>
    <t>IDE009956</t>
  </si>
  <si>
    <t>#226931</t>
  </si>
  <si>
    <t>mariusend@gmail.com Marius Ramanauskas</t>
  </si>
  <si>
    <t>IDE009962</t>
  </si>
  <si>
    <t>Koryzna Vytenis  JZV546</t>
  </si>
  <si>
    <t>IDE009840</t>
  </si>
  <si>
    <t>goodyear ug ice suv g1 545612</t>
  </si>
  <si>
    <t>mst864 skoda interlux</t>
  </si>
  <si>
    <t>IDE009795</t>
  </si>
  <si>
    <t>255/40r20 kaunas</t>
  </si>
  <si>
    <t>martynas bisikirskas pletros fondas</t>
  </si>
  <si>
    <t>IDE009761</t>
  </si>
  <si>
    <t>285/35r20 kaunas</t>
  </si>
  <si>
    <t>goodyear ice 3</t>
  </si>
  <si>
    <t>vytautas binkis nauaj fabia NJC565</t>
  </si>
  <si>
    <t>montazke+10langu skyst</t>
  </si>
  <si>
    <t>IDE009958</t>
  </si>
  <si>
    <t>tomas mingela nav vw polo	mme069</t>
  </si>
  <si>
    <t>IDE009794</t>
  </si>
  <si>
    <t>255/50r19  i kauna</t>
  </si>
  <si>
    <t>goodyear ug perf+  105T+107T</t>
  </si>
  <si>
    <t>IDE009683</t>
  </si>
  <si>
    <t>235/55r19 i kauna</t>
  </si>
  <si>
    <t>205/55r16 i kretinga</t>
  </si>
  <si>
    <t>91T ESKIMO S3+   siusti i kretinga</t>
  </si>
  <si>
    <t>Dariaus Ratai &lt;dariausratai127@gmail.com&gt;</t>
  </si>
  <si>
    <t>IDE009750</t>
  </si>
  <si>
    <t>#158584</t>
  </si>
  <si>
    <t>225/45r18  i kauna</t>
  </si>
  <si>
    <t>IDE009666</t>
  </si>
  <si>
    <t>tomas blazonis LHT019</t>
  </si>
  <si>
    <t>sumokejo</t>
  </si>
  <si>
    <t xml:space="preserve">goodyear ug ice 3 </t>
  </si>
  <si>
    <t>vytautas dumbliauskas LCV367</t>
  </si>
  <si>
    <t>pirelli winter mo 23152</t>
  </si>
  <si>
    <t>martynas bisikirskas veho neringa</t>
  </si>
  <si>
    <t>IDE009906</t>
  </si>
  <si>
    <t xml:space="preserve">                           </t>
  </si>
  <si>
    <t>deldo</t>
  </si>
  <si>
    <t>285/45r22 kaunas</t>
  </si>
  <si>
    <t>pirelli winter mo 23272</t>
  </si>
  <si>
    <t>ide009632</t>
  </si>
  <si>
    <t>325/40r22 kaunas</t>
  </si>
  <si>
    <t>pirelli winter mo 126947</t>
  </si>
  <si>
    <t>325/35r22 kaunas</t>
  </si>
  <si>
    <t>pirelli winter mo 23286</t>
  </si>
  <si>
    <t>285/40r22 kaunas</t>
  </si>
  <si>
    <t>pirelli winter mo 23264</t>
  </si>
  <si>
    <t xml:space="preserve">martynas bisikirskas veho KNS / Vaidas Gaidelys </t>
  </si>
  <si>
    <t>IDE009847</t>
  </si>
  <si>
    <t>martynas bisikirskas veho KNS / Vaidas Gaidelys  UAB RICHELIE</t>
  </si>
  <si>
    <t>martynas bisikirskas veho Važiuok gražiai MB</t>
  </si>
  <si>
    <t>IDE009782</t>
  </si>
  <si>
    <t>315/40r21 kaunas</t>
  </si>
  <si>
    <t>pirelli winter mo 23212</t>
  </si>
  <si>
    <t>285/40r21</t>
  </si>
  <si>
    <t xml:space="preserve">104318 YOKOHAMA V906 SUV 109W XL </t>
  </si>
  <si>
    <t>audi q7	mdr825	ignas kamantauskas</t>
  </si>
  <si>
    <t>IDE009959</t>
  </si>
  <si>
    <t>106456 pirelli pzero winter 2</t>
  </si>
  <si>
    <t xml:space="preserve">Porsche 911	MVI522	Jonas Kneita jkneita@gmail.com	</t>
  </si>
  <si>
    <t>IDE009845</t>
  </si>
  <si>
    <t>sailun  winter 18574</t>
  </si>
  <si>
    <t>74eur  tik padangos liko israsyt</t>
  </si>
  <si>
    <t>155/65r14</t>
  </si>
  <si>
    <t>17470 HANKOOK WINTER I*CEPT RS2 (W452)</t>
  </si>
  <si>
    <t>julija ceglyte</t>
  </si>
  <si>
    <t>185/60r16</t>
  </si>
  <si>
    <t>yokohama ig60 17909</t>
  </si>
  <si>
    <t>gabriele zukaite</t>
  </si>
  <si>
    <t>94eur</t>
  </si>
  <si>
    <t>225/60R16</t>
  </si>
  <si>
    <t>61836 HANKOOK  RS3 (W462)</t>
  </si>
  <si>
    <t>valdas fedianinas valdoska GZN006</t>
  </si>
  <si>
    <t>IDE009854</t>
  </si>
  <si>
    <t>yokohama v905</t>
  </si>
  <si>
    <t>HPJ757 interlux</t>
  </si>
  <si>
    <t>IDE009961</t>
  </si>
  <si>
    <t>MSB723 interlux</t>
  </si>
  <si>
    <t>antra montazke, idek balansa vietoj</t>
  </si>
  <si>
    <t>215/65R17</t>
  </si>
  <si>
    <t>19195  YOKOHAMA V906</t>
  </si>
  <si>
    <t>vw tiguan        KUL925 interlux</t>
  </si>
  <si>
    <t>vw tiguan        mfv196  interlux</t>
  </si>
  <si>
    <t>245/45R19</t>
  </si>
  <si>
    <t>53304  KUMHO WP72 102V</t>
  </si>
  <si>
    <t>KOD506        SORMEDICA</t>
  </si>
  <si>
    <t>235/65R18</t>
  </si>
  <si>
    <t xml:space="preserve">122272 YOKOHAMA V906 SUV 110H XL </t>
  </si>
  <si>
    <t>lexus rx450h        JJP090  interlux</t>
  </si>
  <si>
    <t xml:space="preserve">18859 HANKOOK WINTER I*CEPT EVO3 (W330) </t>
  </si>
  <si>
    <t>vw passat	NGR792  interlux</t>
  </si>
  <si>
    <t>255/45R19</t>
  </si>
  <si>
    <t xml:space="preserve">122599 YOKOHAMA ADVAN WINTER V907 </t>
  </si>
  <si>
    <t>vw tiguan	LIJ527  interlux</t>
  </si>
  <si>
    <t>dynamo snow 17380</t>
  </si>
  <si>
    <t>81eur+montazke buso</t>
  </si>
  <si>
    <t>IDE009771</t>
  </si>
  <si>
    <t>yokohama v906 18226</t>
  </si>
  <si>
    <t>yokohama v906 18368</t>
  </si>
  <si>
    <t>pirelli ice friction 123604</t>
  </si>
  <si>
    <t>Justas Krasuckis &lt;j.krasuckis@norameda.com LSU188</t>
  </si>
  <si>
    <t>19687 yokohama v906</t>
  </si>
  <si>
    <t>Valdas Ustinovicius &lt;valdas.ustinovicius@gmail.com</t>
  </si>
  <si>
    <t>IDE009923</t>
  </si>
  <si>
    <t>118490 kumho wp52+</t>
  </si>
  <si>
    <t>toyota rav4        huo449 interlux</t>
  </si>
  <si>
    <t>IDE009980</t>
  </si>
  <si>
    <t>215/65r16c</t>
  </si>
  <si>
    <t>17375 dynamo mwc01</t>
  </si>
  <si>
    <t>martynas insitus MYS328</t>
  </si>
  <si>
    <t>IDE010013</t>
  </si>
  <si>
    <t>235/55r20</t>
  </si>
  <si>
    <t>49360 hankook iw01a ncs</t>
  </si>
  <si>
    <t>algis butrimovic &lt;tarandesnamas@gmail.com nyy900</t>
  </si>
  <si>
    <t>IDE009788</t>
  </si>
  <si>
    <t>122601 yokohama v907</t>
  </si>
  <si>
    <t>tomas mingela nav vw tayron NLP727</t>
  </si>
  <si>
    <t>3langu skyscio</t>
  </si>
  <si>
    <t>pirelli winter 2</t>
  </si>
  <si>
    <t>Augis Kuperman &lt;augis@tova.lt ed1151</t>
  </si>
  <si>
    <t>IDE009791</t>
  </si>
  <si>
    <t>#163856</t>
  </si>
  <si>
    <t>MSB723 interlux juodaitis</t>
  </si>
  <si>
    <t>mart Kortelės ID: 61674850</t>
  </si>
  <si>
    <t>#214262</t>
  </si>
  <si>
    <t>235/60r17c</t>
  </si>
  <si>
    <t>IDE009924 giedrius narusevicius</t>
  </si>
  <si>
    <t>#191588</t>
  </si>
  <si>
    <t>pirelli winter 2 sct</t>
  </si>
  <si>
    <t>Jurgita Levandaviciute</t>
  </si>
  <si>
    <t>austeja</t>
  </si>
  <si>
    <t>5045076406450107469</t>
  </si>
  <si>
    <t>purkstuku remont 534+12 savikaina</t>
  </si>
  <si>
    <t>keitimas purkstuku</t>
  </si>
  <si>
    <t>audi a6 montazke r17</t>
  </si>
  <si>
    <t>PORSCHE	LTH071  ratu keitimas balans</t>
  </si>
  <si>
    <t>lyder</t>
  </si>
  <si>
    <t>conti ts860s nf0  122170</t>
  </si>
  <si>
    <t>Igor &lt;igorrris@gmail.com</t>
  </si>
  <si>
    <t>349eur</t>
  </si>
  <si>
    <t>conti ts860s nf0 122171</t>
  </si>
  <si>
    <t>Igor &lt;igorrris@gmail.com EA7002</t>
  </si>
  <si>
    <t>390eur</t>
  </si>
  <si>
    <t>205/45r17</t>
  </si>
  <si>
    <t xml:space="preserve">alanas galalis insitus martynas </t>
  </si>
  <si>
    <t>#214264</t>
  </si>
  <si>
    <t>IDE009787</t>
  </si>
  <si>
    <t xml:space="preserve">#171239 </t>
  </si>
  <si>
    <t>laurynas beriva butkus</t>
  </si>
  <si>
    <t>Kortelės ID: 03582855   mart panaudojau</t>
  </si>
  <si>
    <t>kupn pats</t>
  </si>
  <si>
    <t>arijandas sliupas</t>
  </si>
  <si>
    <t>248eur</t>
  </si>
  <si>
    <t>rimas b  BBZ000</t>
  </si>
  <si>
    <t>p85041  35eur</t>
  </si>
  <si>
    <t>priek kaladziu keitimas</t>
  </si>
  <si>
    <t>rimas b</t>
  </si>
  <si>
    <t>IDE010029</t>
  </si>
  <si>
    <t>q7 montazke r20 diriko</t>
  </si>
  <si>
    <t>Lia314 montazke</t>
  </si>
  <si>
    <t>marius bernatonis</t>
  </si>
  <si>
    <t>IDE009807</t>
  </si>
  <si>
    <t>Skoda	NAR501	sask	montazke r16	Ineta Baltramiejūnaitė</t>
  </si>
  <si>
    <t>245/50r19</t>
  </si>
  <si>
    <t>laurynas bockus neiluva</t>
  </si>
  <si>
    <t>tadas mirono brolis liachovicius vrc zukausko LCU925</t>
  </si>
  <si>
    <t>IDE009775 su montazke</t>
  </si>
  <si>
    <t>fulda hp2</t>
  </si>
  <si>
    <t>njc481 interlux cupra</t>
  </si>
  <si>
    <t>triangle pl02</t>
  </si>
  <si>
    <t>valdas valiukevicius</t>
  </si>
  <si>
    <t>marijus kebla bmw KRT088</t>
  </si>
  <si>
    <t>IDE009786</t>
  </si>
  <si>
    <t>chamuto keitimas antifryzas bego busikui</t>
  </si>
  <si>
    <t>tomas vitas kaimynas</t>
  </si>
  <si>
    <t>IDE009808</t>
  </si>
  <si>
    <t>#214271</t>
  </si>
  <si>
    <t>IDE009797</t>
  </si>
  <si>
    <t>#227124</t>
  </si>
  <si>
    <t>255/50r19  IDE009964 cecervovas</t>
  </si>
  <si>
    <t>gedas pocevicius</t>
  </si>
  <si>
    <t>#2510298 paysera</t>
  </si>
  <si>
    <t>IDE009781</t>
  </si>
  <si>
    <t>triangle pl01</t>
  </si>
  <si>
    <t>IDE010024</t>
  </si>
  <si>
    <t>P 86 026  48eur</t>
  </si>
  <si>
    <t>09.C522.11  2x70eur</t>
  </si>
  <si>
    <t>keitimas priekio stabdziu 50eur</t>
  </si>
  <si>
    <t>vilmante tauraite jgt960</t>
  </si>
  <si>
    <t>P 86 021  33eur</t>
  </si>
  <si>
    <t>09.B026.11 2x55eur</t>
  </si>
  <si>
    <t>keitimas galo stabdziu 70eur</t>
  </si>
  <si>
    <t>vilmante tauraite</t>
  </si>
  <si>
    <t>MD9175 5vnt</t>
  </si>
  <si>
    <t>MD9881 3vnt</t>
  </si>
  <si>
    <t>audi a4 FTC131 karolis puodziukas</t>
  </si>
  <si>
    <t>audi a4 FTC131</t>
  </si>
  <si>
    <t>ad tyres</t>
  </si>
  <si>
    <t>255/55r20</t>
  </si>
  <si>
    <t>conti ts870p</t>
  </si>
  <si>
    <t>IDE009876</t>
  </si>
  <si>
    <t>michelin pa5</t>
  </si>
  <si>
    <t xml:space="preserve">martynas bisikirskas veho </t>
  </si>
  <si>
    <t>IDE009785</t>
  </si>
  <si>
    <t>ic</t>
  </si>
  <si>
    <t>Oleg Abeliashiev &lt;o.abeliashiev@gmail.com LME289</t>
  </si>
  <si>
    <t>145+montazke</t>
  </si>
  <si>
    <t>tomas mingela nav lmj434</t>
  </si>
  <si>
    <t>IDE009793</t>
  </si>
  <si>
    <t>20vnt lesta langu 2.85+pvm</t>
  </si>
  <si>
    <t>IDE009998</t>
  </si>
  <si>
    <t>marius survilas ACY917</t>
  </si>
  <si>
    <t>rytas ignatonis austeja</t>
  </si>
  <si>
    <t>97eur</t>
  </si>
  <si>
    <t>E44H D110  9eur</t>
  </si>
  <si>
    <t>ADF122226  10eur</t>
  </si>
  <si>
    <t xml:space="preserve">remigijus staisiunas  volvo v50 100kw </t>
  </si>
  <si>
    <t>eco-nergy 0w30  5+2L  58+28eur</t>
  </si>
  <si>
    <t>tepalu filtriu keitimas  40eur</t>
  </si>
  <si>
    <t>4bakeliai langu skyst</t>
  </si>
  <si>
    <r>
      <rPr>
        <color rgb="FF000000"/>
      </rPr>
      <t>tomaspsp1@gmail.com</t>
    </r>
    <r>
      <rPr>
        <color rgb="FF000000"/>
      </rPr>
      <t xml:space="preserve"> Tomas VITAS</t>
    </r>
  </si>
  <si>
    <t>VOLVO        HBM444 r18 montazke</t>
  </si>
  <si>
    <r>
      <rPr>
        <color rgb="FF000000"/>
      </rPr>
      <t>tomaspsp1@gmail.com</t>
    </r>
    <r>
      <rPr>
        <color rgb="FF000000"/>
      </rPr>
      <t xml:space="preserve"> Tomas VITAS</t>
    </r>
  </si>
  <si>
    <t>EB2215 jaguar r22 montazke</t>
  </si>
  <si>
    <r>
      <rPr>
        <color rgb="FF000000"/>
      </rPr>
      <t>tomaspsp1@gmail.com</t>
    </r>
    <r>
      <rPr>
        <color rgb="FF000000"/>
      </rPr>
      <t xml:space="preserve"> Tomas VITAS</t>
    </r>
  </si>
  <si>
    <t>marius ganusauskas</t>
  </si>
  <si>
    <t>paysera #2510601</t>
  </si>
  <si>
    <t>IDE009910</t>
  </si>
  <si>
    <t>algimantas Janušauskas &lt;Algimantas.Janusauskas@litagra.lt</t>
  </si>
  <si>
    <t>IDE009892</t>
  </si>
  <si>
    <t>paulius valiukevicius porsche</t>
  </si>
  <si>
    <t>IDE009989</t>
  </si>
  <si>
    <t>hankook iw01a</t>
  </si>
  <si>
    <t xml:space="preserve">tomas mingela ec6278 </t>
  </si>
  <si>
    <t>IDE009829</t>
  </si>
  <si>
    <t>viking</t>
  </si>
  <si>
    <t>Regimantas Jankauskas &lt;regimantas@stiklita.lt NMS023</t>
  </si>
  <si>
    <t>97+montazke</t>
  </si>
  <si>
    <t>KIA        EA8323                montazke r17        Marek Stiklita</t>
  </si>
  <si>
    <t>Regimantas Jankauskas &lt;regimantas@stiklita.lt</t>
  </si>
  <si>
    <t>IDE009846</t>
  </si>
  <si>
    <t>ovidijus vitaitis NDZ752</t>
  </si>
  <si>
    <t>IDE009824</t>
  </si>
  <si>
    <t>315/30r23</t>
  </si>
  <si>
    <t>rs linija zilvinas ribaltavicius</t>
  </si>
  <si>
    <t>IDE009805</t>
  </si>
  <si>
    <t>275/35r23</t>
  </si>
  <si>
    <t>ovidijus vitaitis  MZR760 Bushra Abbas</t>
  </si>
  <si>
    <t>IDE009899</t>
  </si>
  <si>
    <t>pavel zagzin  ACY629</t>
  </si>
  <si>
    <t>UAB Medgana &lt;info@medgana.lt MPY284</t>
  </si>
  <si>
    <t>goodride z401</t>
  </si>
  <si>
    <t>UAB Medgana &lt;info@medgana.lt  NJO029</t>
  </si>
  <si>
    <t>sava eksimo ice devetos</t>
  </si>
  <si>
    <t>algirdas butkevicius goncausko draugas</t>
  </si>
  <si>
    <t>35+pvm+montazke 50e</t>
  </si>
  <si>
    <t>IDE009864</t>
  </si>
  <si>
    <t>maxxis wp6</t>
  </si>
  <si>
    <t>martynas aniulis insitus ABY380</t>
  </si>
  <si>
    <t>sailun ice blazer arctic</t>
  </si>
  <si>
    <t>37068754868 andrius bernotas NIJ460</t>
  </si>
  <si>
    <t>60eur+montazke</t>
  </si>
  <si>
    <t>63eur</t>
  </si>
  <si>
    <t>LGV673 tomas mingela nav</t>
  </si>
  <si>
    <t>IDE009977</t>
  </si>
  <si>
    <t>#227123</t>
  </si>
  <si>
    <t>265/35r21 IDE009964</t>
  </si>
  <si>
    <t>goodyear ice3</t>
  </si>
  <si>
    <t>rytis buzelis KUD782</t>
  </si>
  <si>
    <t>IDE009818</t>
  </si>
  <si>
    <t>hankook w462</t>
  </si>
  <si>
    <t>martynas plyciuraitis GNN191</t>
  </si>
  <si>
    <t>105*4+50eur</t>
  </si>
  <si>
    <t>Andrius Papartis &lt;andrius.papartis@gmail.com</t>
  </si>
  <si>
    <t>10/15</t>
  </si>
  <si>
    <t>Audi SQ "P07764  montazke r22+davykliu isemimas,uzdeimas+tepalo keitimas, tepalo ir oro filtras        Mantas Ja"</t>
  </si>
  <si>
    <t>mantas jastremskas sq8</t>
  </si>
  <si>
    <t>padangu montazke 2025-10-16</t>
  </si>
  <si>
    <t>Toyota corolla jps686 Laurynas Goncauskas</t>
  </si>
  <si>
    <t>IDE009875</t>
  </si>
  <si>
    <t>Darius Bernackas &lt;darius@bevita.lt BMWX5</t>
  </si>
  <si>
    <t>IDE009816</t>
  </si>
  <si>
    <t>regimantas jankauskas stiklita</t>
  </si>
  <si>
    <t>noragra</t>
  </si>
  <si>
    <t>sailun evo</t>
  </si>
  <si>
    <t>69eur</t>
  </si>
  <si>
    <t>IDE009894</t>
  </si>
  <si>
    <t>viking newgen</t>
  </si>
  <si>
    <t>ADT32522  7.15eur</t>
  </si>
  <si>
    <t>tepalas backa</t>
  </si>
  <si>
    <t xml:space="preserve">tepalu filtru keitimas </t>
  </si>
  <si>
    <t>laurynas goncauskas toyota auris sve123</t>
  </si>
  <si>
    <t>ADT322110  9.53eur</t>
  </si>
  <si>
    <t>OX 416D2 8eur</t>
  </si>
  <si>
    <t>5W30 eco-lite 5L 45eur</t>
  </si>
  <si>
    <t>LX 4142  14eur</t>
  </si>
  <si>
    <t>ADM52534 12eur</t>
  </si>
  <si>
    <t>H97W06  7eur</t>
  </si>
  <si>
    <t>tepalu keitimas 25eur</t>
  </si>
  <si>
    <t>185/55r16</t>
  </si>
  <si>
    <t>nankang sv4</t>
  </si>
  <si>
    <t>R18x7.5 5X112 ET 44 66.6 3S1034 Black Polished (MB) For MER (K2) (HYBRID FORGED)</t>
  </si>
  <si>
    <t>ratlankiai china</t>
  </si>
  <si>
    <t>IDE009801</t>
  </si>
  <si>
    <t>michelin alpin 7</t>
  </si>
  <si>
    <t>siunimas+montazke</t>
  </si>
  <si>
    <t>martynas bisikirskas veho Giedrius Barauskas</t>
  </si>
  <si>
    <t>IDE009804</t>
  </si>
  <si>
    <t>Vilius ivanauskas kaimynas LGR257</t>
  </si>
  <si>
    <t>79eur+montazke+balans</t>
  </si>
  <si>
    <t>nankang ice</t>
  </si>
  <si>
    <t>100eur</t>
  </si>
  <si>
    <t>montazke 2x?</t>
  </si>
  <si>
    <t>montazke 2026-04-30 55eur, tris kart montavom viena rata</t>
  </si>
  <si>
    <t>galo kaladziu keitimas</t>
  </si>
  <si>
    <t>P 61 124  42eur</t>
  </si>
  <si>
    <t>sailun ice</t>
  </si>
  <si>
    <t>marius sabaliauskas audi sq7 Nlv799</t>
  </si>
  <si>
    <t>145eur+montzke</t>
  </si>
  <si>
    <t>IDE009869</t>
  </si>
  <si>
    <t>2 lang skystis</t>
  </si>
  <si>
    <t>marius sabaliauskas audi sq7</t>
  </si>
  <si>
    <t>3 397 014 535 28eur</t>
  </si>
  <si>
    <t>R21x10 5X112 ET 20 66.5 B5131 (A5383) Black (BL) For AUD (P)</t>
  </si>
  <si>
    <t>saulius baniulis</t>
  </si>
  <si>
    <t>266eur</t>
  </si>
  <si>
    <t>285/45r21</t>
  </si>
  <si>
    <t>340eur</t>
  </si>
  <si>
    <t>R20x9 5X112 ET 35 66.6 3S1111 Black Polished (MB) For BMW (Z4) (HYBRID FORGED New BMW X5)</t>
  </si>
  <si>
    <t>donatas siurna</t>
  </si>
  <si>
    <t>217eur</t>
  </si>
  <si>
    <t>IDE009838</t>
  </si>
  <si>
    <t>tpms</t>
  </si>
  <si>
    <t>montazke visu irgi</t>
  </si>
  <si>
    <t>donatas siurna @Vygintas Kazanavičius</t>
  </si>
  <si>
    <t>montazke ideta</t>
  </si>
  <si>
    <t>EA7629</t>
  </si>
  <si>
    <t>1langu lesta</t>
  </si>
  <si>
    <t>tesla montazke r19</t>
  </si>
  <si>
    <r>
      <t xml:space="preserve">Justas Rutkauskas Invitee Email: </t>
    </r>
    <r>
      <rPr>
        <rFont val="&quot;Google Sans&quot;, Roboto, Arial, sans-serif"/>
        <color rgb="FF1155CC"/>
        <sz val="11.0"/>
        <u/>
      </rPr>
      <t>m@justasrutkauskas.com</t>
    </r>
  </si>
  <si>
    <t>marius orantas sask prinsta</t>
  </si>
  <si>
    <t>IDE009870</t>
  </si>
  <si>
    <t>kupon pati</t>
  </si>
  <si>
    <t>Ausra Rimeikyte &lt;rimeikyte.ausra@gmail.com NJC813</t>
  </si>
  <si>
    <t>IDE009848</t>
  </si>
  <si>
    <t>R19x8 5X112 ET 45 57.1 B1154 (FBX157) Black Polished (MB) For VW (Z6) (HYBRID FORGED)</t>
  </si>
  <si>
    <t>julius juodisius id7</t>
  </si>
  <si>
    <t>IDE009916</t>
  </si>
  <si>
    <t>goodyear ug perf3 sct</t>
  </si>
  <si>
    <t>tomas jatuzys</t>
  </si>
  <si>
    <t>juta</t>
  </si>
  <si>
    <t>285/35r22</t>
  </si>
  <si>
    <t>balansas porsche atskirai</t>
  </si>
  <si>
    <t>IDE010195</t>
  </si>
  <si>
    <t>325/35r23</t>
  </si>
  <si>
    <t>gripmaxx suregrip pro winter</t>
  </si>
  <si>
    <t>elvinas burdulis</t>
  </si>
  <si>
    <t>1334eur</t>
  </si>
  <si>
    <t>sumokejo reik sask</t>
  </si>
  <si>
    <t>285/40r23</t>
  </si>
  <si>
    <t>#2510257</t>
  </si>
  <si>
    <t>sailun arctic</t>
  </si>
  <si>
    <t>marijus kebla rav4</t>
  </si>
  <si>
    <t>91+montazke</t>
  </si>
  <si>
    <t>IDE009887</t>
  </si>
  <si>
    <t>montazke atsiveze savo</t>
  </si>
  <si>
    <t>edgaras kovaliovas utvt LES374</t>
  </si>
  <si>
    <t>4x nauji davikliai</t>
  </si>
  <si>
    <t>sava hp2 eskimo</t>
  </si>
  <si>
    <t>hgb400 interlux audi a4</t>
  </si>
  <si>
    <t>vandebam</t>
  </si>
  <si>
    <t>yokohama v907</t>
  </si>
  <si>
    <t>marijus kebla bmw330i</t>
  </si>
  <si>
    <t>IDE010072</t>
  </si>
  <si>
    <t>uab Ovasta zilvinas ribaltavicius</t>
  </si>
  <si>
    <t>IDE009813</t>
  </si>
  <si>
    <t>martynas bisikirskas veho Ramunė Džavachidienė</t>
  </si>
  <si>
    <t>IDE009811</t>
  </si>
  <si>
    <t>martynas bisikirskas veho vidas VLN</t>
  </si>
  <si>
    <t>nankang ice 2</t>
  </si>
  <si>
    <t>NYD483 Fokus Group Logistics &lt;transport@fokusgroup.eu</t>
  </si>
  <si>
    <t>265/40r20</t>
  </si>
  <si>
    <t>michelin pa5  m01</t>
  </si>
  <si>
    <t>martynas bisikirskas veho UAB Didžioji ramunė</t>
  </si>
  <si>
    <t>IDE009800</t>
  </si>
  <si>
    <t>295/35r20</t>
  </si>
  <si>
    <t>michelin pilot alpin 5 suv</t>
  </si>
  <si>
    <t>martynas bisikirskas veho KNS Domas</t>
  </si>
  <si>
    <t>IDE009789</t>
  </si>
  <si>
    <t>vidas raskevicius JAR152</t>
  </si>
  <si>
    <t>paulius siskevicius ED8598</t>
  </si>
  <si>
    <t>arturas remeika</t>
  </si>
  <si>
    <t xml:space="preserve">laurynas goncauskas </t>
  </si>
  <si>
    <t>#187346</t>
  </si>
  <si>
    <t>continental ts870P (gy perf3 sask)</t>
  </si>
  <si>
    <t>Dovydas Diktaras dovydas@insitus.lt vw tayron ED0647</t>
  </si>
  <si>
    <t>IDE009835</t>
  </si>
  <si>
    <t>alan karol daviau</t>
  </si>
  <si>
    <t>#211828</t>
  </si>
  <si>
    <t>245/45r18  203579 kupono alan kodas</t>
  </si>
  <si>
    <t>alan karol jurgelevic NHD535 IDE009920email</t>
  </si>
  <si>
    <t>GWL2590092007509</t>
  </si>
  <si>
    <t>kuponas mantas jastremska</t>
  </si>
  <si>
    <t>5045076406450127095 alan karol</t>
  </si>
  <si>
    <t>EL700	199062	EXIDE	Akumuliatorius 70 Ah 760 A EN 12V	EFB N70,57412</t>
  </si>
  <si>
    <t>laurynas goncauskas kodiaq</t>
  </si>
  <si>
    <t>106eur IDE009815</t>
  </si>
  <si>
    <t>IDE009812</t>
  </si>
  <si>
    <t>Dainius Stankevičius &lt;dainius@katilas.lt</t>
  </si>
  <si>
    <t>IDE009826</t>
  </si>
  <si>
    <t>yokohama go75</t>
  </si>
  <si>
    <t>paulius balciunas LGI846</t>
  </si>
  <si>
    <t>Lukas Barkauskas / MEPCO &lt;lukas@mepco.lt</t>
  </si>
  <si>
    <t>IDE009865</t>
  </si>
  <si>
    <t>Mdm007 montazke  r18</t>
  </si>
  <si>
    <t>EA4339 ID4  montazke r19 ?</t>
  </si>
  <si>
    <t>audi q7 EA3958  balansas ir dejimas volu</t>
  </si>
  <si>
    <t>EC0036, Skoda Kodiaq r20</t>
  </si>
  <si>
    <t>VW TIGUAN	LCC383		montazke r18</t>
  </si>
  <si>
    <t>Rolandas Novikovas</t>
  </si>
  <si>
    <t>goodyear ug pef3</t>
  </si>
  <si>
    <t>Sf Namų Resta UAB martynas bisikirskas veho</t>
  </si>
  <si>
    <t>IDE009817</t>
  </si>
  <si>
    <t>60eur</t>
  </si>
  <si>
    <t>sciroco balansas</t>
  </si>
  <si>
    <t>Tiguan LIL212 balansas ?</t>
  </si>
  <si>
    <t>airbog@gmail.com Rysard B.</t>
  </si>
  <si>
    <t>IDE009867</t>
  </si>
  <si>
    <t>JAGUAR XJ        NIN212        sask kartu su LIL212        montazke r20</t>
  </si>
  <si>
    <t>hankook w636a</t>
  </si>
  <si>
    <t>IDE009820</t>
  </si>
  <si>
    <t>goodyear ug perf+ ROF</t>
  </si>
  <si>
    <t>Paulius Žikorius &lt;pauliuszikorius@gmail.com</t>
  </si>
  <si>
    <t>IDE009893</t>
  </si>
  <si>
    <t>Dainius Kablys STIGMA &lt;dainius.kablys@stigma.lt</t>
  </si>
  <si>
    <t>sailun atrezo 4season</t>
  </si>
  <si>
    <t xml:space="preserve">edgaras kovaliovas utvt </t>
  </si>
  <si>
    <t xml:space="preserve">martynas bisikirskas veho UAB "Timberware LT" </t>
  </si>
  <si>
    <t>IDE009827</t>
  </si>
  <si>
    <t>#196552</t>
  </si>
  <si>
    <t>225/55r17c</t>
  </si>
  <si>
    <t>IDE009860</t>
  </si>
  <si>
    <t>R20x8.5 5X120 ET 35 72.6 HE761 (FBX124) Black (BL) For BMW (Z6) (HYBRID FORGED (Front+Rear)</t>
  </si>
  <si>
    <t>donatas rytas ryto</t>
  </si>
  <si>
    <t>IDE010061</t>
  </si>
  <si>
    <t>R20x9.5 5X120 ET 40 72.6 HE761 (FBX124) Black (BL) For BMW (Z6) (HYBRID FORGED (Front+Rear)</t>
  </si>
  <si>
    <t>triangle th202</t>
  </si>
  <si>
    <t>Volvo        MDE754                monatazke r17        Donatas</t>
  </si>
  <si>
    <t>interlux NYJ079</t>
  </si>
  <si>
    <t>goodyear ug perf3 +</t>
  </si>
  <si>
    <t>paulius cerniauskas MNO101  Sarunas Jasas</t>
  </si>
  <si>
    <t xml:space="preserve">IDE009839 </t>
  </si>
  <si>
    <t>montazke pervede seb</t>
  </si>
  <si>
    <t>viking wintech newgwn</t>
  </si>
  <si>
    <t>Arvis.martinkus@gmail.com arvydas</t>
  </si>
  <si>
    <t>nankang ice2</t>
  </si>
  <si>
    <t>egle baciliuniene rta grupe</t>
  </si>
  <si>
    <t>IDE009843</t>
  </si>
  <si>
    <t>marijus kebla MBT006</t>
  </si>
  <si>
    <t>IDE009886</t>
  </si>
  <si>
    <t>#196546</t>
  </si>
  <si>
    <t>goodyear perf3 NA2</t>
  </si>
  <si>
    <t>Donatas Krusa &lt;donataskrusa@gmail.com JAN510</t>
  </si>
  <si>
    <t>37067138808 Bogdan gudelio</t>
  </si>
  <si>
    <t>taurus allseason</t>
  </si>
  <si>
    <t>IDE009861</t>
  </si>
  <si>
    <t>MW R1-1978 6,5x16 5x114.3 ET42 CB67,1 60° R1-1978</t>
  </si>
  <si>
    <t>check del verzliu ar tinka?</t>
  </si>
  <si>
    <t>Mindaugas C &lt;mindaug.c@gmail.com  FJC889</t>
  </si>
  <si>
    <t>bridgestone blizzak 6</t>
  </si>
  <si>
    <t>Mindaugas C &lt;mindaug.c@gmail.com</t>
  </si>
  <si>
    <t>davikliai 4x25eur - 100eur</t>
  </si>
  <si>
    <t>conti viking 8</t>
  </si>
  <si>
    <t>Linas Butauskas UAB EIPRELA 304721189 eiprelauab@gmail.com</t>
  </si>
  <si>
    <t>#2510637 paysera</t>
  </si>
  <si>
    <t>IDE009911</t>
  </si>
  <si>
    <t>205/75r16c</t>
  </si>
  <si>
    <t>algimantas janusauskas</t>
  </si>
  <si>
    <t>IDE009897</t>
  </si>
  <si>
    <t>IDE009831</t>
  </si>
  <si>
    <t>denisas dencikas</t>
  </si>
  <si>
    <t>35eur</t>
  </si>
  <si>
    <t>83eur grazinimas 15+pvm</t>
  </si>
  <si>
    <t>yokohama g075</t>
  </si>
  <si>
    <t>tomas peciura 304 548 844</t>
  </si>
  <si>
    <t xml:space="preserve">140eur </t>
  </si>
  <si>
    <t>IDE009857</t>
  </si>
  <si>
    <t>tomas peciura 304 548 844  EOZ413</t>
  </si>
  <si>
    <t>lmz863 tomas mingela nav</t>
  </si>
  <si>
    <t>IDE009834</t>
  </si>
  <si>
    <t>martynas bisikirskas veho i vilniu</t>
  </si>
  <si>
    <t>IDE009830</t>
  </si>
  <si>
    <t>martynas bisikirskas veho SF Enrika Baltsersen</t>
  </si>
  <si>
    <t>#226156</t>
  </si>
  <si>
    <t>Ričardas Dokšas +37061237575 IDE009949</t>
  </si>
  <si>
    <t>#2510070 sumokejo</t>
  </si>
  <si>
    <t>gt radial winterpro 2</t>
  </si>
  <si>
    <t>Andrius Čepas KUM460   #2510530 paysera</t>
  </si>
  <si>
    <t>IDE009836</t>
  </si>
  <si>
    <t>#226163</t>
  </si>
  <si>
    <t>diana munther</t>
  </si>
  <si>
    <t>IDE009950</t>
  </si>
  <si>
    <t>P 85 146  42eur</t>
  </si>
  <si>
    <t>albertas passat priekis</t>
  </si>
  <si>
    <t>#196540</t>
  </si>
  <si>
    <t>goodyear ug perf3 na2</t>
  </si>
  <si>
    <t>215/55r18</t>
  </si>
  <si>
    <t>IDE009844</t>
  </si>
  <si>
    <t>235/70r16</t>
  </si>
  <si>
    <t>yokohama g015</t>
  </si>
  <si>
    <t>julius juodisius FNO735 juka</t>
  </si>
  <si>
    <t>tomas mingela nav  ed6477</t>
  </si>
  <si>
    <t>IDE009905</t>
  </si>
  <si>
    <t>dunlop econodrive as</t>
  </si>
  <si>
    <t>163+montazke</t>
  </si>
  <si>
    <t>IDE009926</t>
  </si>
  <si>
    <t>bmw r18 montazke</t>
  </si>
  <si>
    <t>valera paukstynas elektrikas Valerij Chatinovskij</t>
  </si>
  <si>
    <t>169+montazke priority</t>
  </si>
  <si>
    <t>regimantas stiklita byd</t>
  </si>
  <si>
    <t>regimantas stiklita</t>
  </si>
  <si>
    <t>UAB Šešupės ūkis</t>
  </si>
  <si>
    <t>IDE009898</t>
  </si>
  <si>
    <t>Darius Gegužis &lt;d.geguzis@nav.lt aurimas mingela</t>
  </si>
  <si>
    <t>IDE009948</t>
  </si>
  <si>
    <t>IDE009975</t>
  </si>
  <si>
    <t>dave 1200eur 2025-11-18</t>
  </si>
  <si>
    <t>37069308988   Nerijus Žliobas &lt;nerijus.zliobas@gmail.com</t>
  </si>
  <si>
    <t>IDE009841</t>
  </si>
  <si>
    <t>37069308988  Nerijus Žliobas &lt;nerijus.zliobas@gmail.com</t>
  </si>
  <si>
    <t>r2bike 2025-11-09 - 200eur</t>
  </si>
  <si>
    <t>mantas jastremskas r2bike 2025-10-30  50eur</t>
  </si>
  <si>
    <t>telefonas iphone dave 1.5k kazkada</t>
  </si>
  <si>
    <t>telefonas iphone</t>
  </si>
  <si>
    <t>IDE009974</t>
  </si>
  <si>
    <t>tomas jucius diverus</t>
  </si>
  <si>
    <t>IDE009921</t>
  </si>
  <si>
    <t xml:space="preserve">hankook </t>
  </si>
  <si>
    <t>renatas motuzas  LJY889</t>
  </si>
  <si>
    <t>IDE009988</t>
  </si>
  <si>
    <t>rojus aidietis LPM617 faktūra Vilstatis</t>
  </si>
  <si>
    <t>IDE009914</t>
  </si>
  <si>
    <t>IDE009951</t>
  </si>
  <si>
    <t>IDE009918</t>
  </si>
  <si>
    <t>laurynas bockus neiluva LHU322</t>
  </si>
  <si>
    <t>marijus kebla 301555538</t>
  </si>
  <si>
    <t>IDE009859</t>
  </si>
  <si>
    <t>martynas bisikirskas veho kaunas neringa</t>
  </si>
  <si>
    <t>IDE009925</t>
  </si>
  <si>
    <t xml:space="preserve">martynas bisikirskas veho Vytenis Tamakauskas </t>
  </si>
  <si>
    <t>kalpoku ukis</t>
  </si>
  <si>
    <t>IDE009895</t>
  </si>
  <si>
    <t>215/75r16c</t>
  </si>
  <si>
    <t>sailun 4season</t>
  </si>
  <si>
    <t>265/70r15</t>
  </si>
  <si>
    <t>sailun terramax</t>
  </si>
  <si>
    <t>maxxis allseason ap3</t>
  </si>
  <si>
    <t>dynamo snowh mwc01</t>
  </si>
  <si>
    <t>slapeberze</t>
  </si>
  <si>
    <t>IDE009896</t>
  </si>
  <si>
    <t>lukas donelaitis ED9132</t>
  </si>
  <si>
    <t>IDE009866 su motaze</t>
  </si>
  <si>
    <t>mantas mameniskis valdas</t>
  </si>
  <si>
    <t>leska romualdas sabina</t>
  </si>
  <si>
    <t>IDE009889</t>
  </si>
  <si>
    <t>tautvydas slyzius vytoprint</t>
  </si>
  <si>
    <t>IDE009890</t>
  </si>
  <si>
    <t>IDE009908</t>
  </si>
  <si>
    <t>martynas bisikirskas veho uab kornela KNS / G 63 AMG</t>
  </si>
  <si>
    <t>IDE009880</t>
  </si>
  <si>
    <t>gt radial</t>
  </si>
  <si>
    <t>KUO039 tomas mingela</t>
  </si>
  <si>
    <t>LMZ867 tomas mingela vw golf</t>
  </si>
  <si>
    <t>debica frigo suv 2</t>
  </si>
  <si>
    <t>NAP220 Ligita Rasimavičienė aidas bubinas</t>
  </si>
  <si>
    <t>107+montazke</t>
  </si>
  <si>
    <t>205/65r16c</t>
  </si>
  <si>
    <t>Tomas salkauskas +37061131225</t>
  </si>
  <si>
    <t>IDE009917</t>
  </si>
  <si>
    <t>vidma milzinas</t>
  </si>
  <si>
    <t>ignas vilkelis Ed3019</t>
  </si>
  <si>
    <t>IDE009903</t>
  </si>
  <si>
    <t xml:space="preserve">martynas bisikirskas veho vln UAB "Kontrolë"  </t>
  </si>
  <si>
    <t>IDE009885</t>
  </si>
  <si>
    <t xml:space="preserve">hankook iowa </t>
  </si>
  <si>
    <t>063877297 sms romanus uab EV8988 maciej.mikelevic@gmail.com</t>
  </si>
  <si>
    <t>IDE009907</t>
  </si>
  <si>
    <t>IDE009949</t>
  </si>
  <si>
    <t>C 28 053  25eur</t>
  </si>
  <si>
    <t xml:space="preserve">0w40 v300 motul 6l </t>
  </si>
  <si>
    <t>C 26 047  26eur</t>
  </si>
  <si>
    <t>FP 30 007 65eur</t>
  </si>
  <si>
    <t>michelin alpin 5</t>
  </si>
  <si>
    <t>mantas ankudavicius supra</t>
  </si>
  <si>
    <t>255eur+montazke</t>
  </si>
  <si>
    <t>yokohama  g075</t>
  </si>
  <si>
    <t>Paulius Simenas &lt;pauliussimenas@gmail.com</t>
  </si>
  <si>
    <t>IDE009915</t>
  </si>
  <si>
    <t>martynas bisikirskas veho vidas vilnius</t>
  </si>
  <si>
    <t>IDE009919</t>
  </si>
  <si>
    <t>37065610470   119eur giedrius pavilionis sms</t>
  </si>
  <si>
    <t>vadim keda  IDE009948</t>
  </si>
  <si>
    <t>tomas patalavicius audi a6 EC6036</t>
  </si>
  <si>
    <t>IDE009946</t>
  </si>
  <si>
    <t>IDE009920</t>
  </si>
  <si>
    <t>pirelli pzero winter</t>
  </si>
  <si>
    <t>martynas bisikirskas veho kaunas= UAB Servisa ICT</t>
  </si>
  <si>
    <t>IDE009922</t>
  </si>
  <si>
    <t>martynas bisikirskas veho kaunas=</t>
  </si>
  <si>
    <t>suny nw312</t>
  </si>
  <si>
    <t>mantas paliokas pusbrikas</t>
  </si>
  <si>
    <t>42eur</t>
  </si>
  <si>
    <t>IDE009944</t>
  </si>
  <si>
    <t>275/65r18</t>
  </si>
  <si>
    <t>sailun wst3</t>
  </si>
  <si>
    <t>3 397 008 009 9eur</t>
  </si>
  <si>
    <t>3 397 007 462  24eur</t>
  </si>
  <si>
    <t>1vnt langu melyno</t>
  </si>
  <si>
    <t>stabdziu diskai 2x galas 800eur</t>
  </si>
  <si>
    <t>raimond stefanovic audi rs5 raima</t>
  </si>
  <si>
    <t>IDE010133</t>
  </si>
  <si>
    <t>slangute preikis 72eur</t>
  </si>
  <si>
    <t>raimond stefanovic audi rs5</t>
  </si>
  <si>
    <t xml:space="preserve">p85154x </t>
  </si>
  <si>
    <t>p85154x  (uzsakiau antra karta, nes neradau garaze kaladeliu situ kodu kur martas uzsake)</t>
  </si>
  <si>
    <t xml:space="preserve">P85165X </t>
  </si>
  <si>
    <t>Kia sportage        LHO857 montazke  r18</t>
  </si>
  <si>
    <t>IDE009938</t>
  </si>
  <si>
    <r>
      <rPr>
        <rFont val="Arial"/>
        <color rgb="FF000000"/>
        <sz val="11.0"/>
      </rPr>
      <t xml:space="preserve">EL727720 </t>
    </r>
    <r>
      <rPr>
        <rFont val="Arial"/>
        <color rgb="FFFF0000"/>
        <sz val="11.0"/>
      </rPr>
      <t xml:space="preserve">28.75eur </t>
    </r>
  </si>
  <si>
    <t>ATKL3233  18eur</t>
  </si>
  <si>
    <t>ANTIFREEZE AD -35C G11 GREEN 5L 13eur</t>
  </si>
  <si>
    <t>Rytenis Šklėrius bmw f30 KJD212</t>
  </si>
  <si>
    <r>
      <rPr>
        <color rgb="FFFF0000"/>
      </rPr>
      <t>77.59eur</t>
    </r>
    <r>
      <rPr/>
      <t xml:space="preserve"> detales, savikaina be darbo</t>
    </r>
  </si>
  <si>
    <t>11/20</t>
  </si>
  <si>
    <t>BMW F30</t>
  </si>
  <si>
    <t>KJD212</t>
  </si>
  <si>
    <t>zarnos keitimas, koliko tarpiniu keitimas</t>
  </si>
  <si>
    <r>
      <rPr>
        <rFont val="Arial"/>
        <color rgb="FF000000"/>
        <sz val="11.0"/>
      </rPr>
      <t xml:space="preserve">ROM 90239 </t>
    </r>
    <r>
      <rPr>
        <rFont val="Arial"/>
        <color rgb="FFFF0000"/>
        <sz val="11.0"/>
      </rPr>
      <t>13.84eur</t>
    </r>
  </si>
  <si>
    <t>EL797660 6eur</t>
  </si>
  <si>
    <t>Rytenis Šklėrius</t>
  </si>
  <si>
    <t>11/19</t>
  </si>
  <si>
    <t>nuo 09:00 iki 15:00</t>
  </si>
  <si>
    <t>BMW f30</t>
  </si>
  <si>
    <t>zarnos keitimas, dugno apsaugos nuemimas, kolektoriaus nuemimas</t>
  </si>
  <si>
    <t>goodyear ug perf3 SCT</t>
  </si>
  <si>
    <t>tadas mirono brolis</t>
  </si>
  <si>
    <t>IDE009945</t>
  </si>
  <si>
    <t>tepalas is backos ?L</t>
  </si>
  <si>
    <t>LAK 812 28eur</t>
  </si>
  <si>
    <r>
      <rPr>
        <color rgb="FFFF0000"/>
      </rPr>
      <t>50.05eur</t>
    </r>
    <r>
      <rPr/>
      <t xml:space="preserve"> filtrai, savikaina be tepalo ir darbo</t>
    </r>
  </si>
  <si>
    <t>E362H D313 13eur</t>
  </si>
  <si>
    <t>LX 3424 27eur</t>
  </si>
  <si>
    <t>202656km</t>
  </si>
  <si>
    <t>tepalas is backos 5.2L</t>
  </si>
  <si>
    <r>
      <rPr>
        <rFont val="Tahoma, sans-serif"/>
        <b/>
        <color rgb="FF222222"/>
        <sz val="11.0"/>
      </rPr>
      <t xml:space="preserve">LA 1526 </t>
    </r>
    <r>
      <rPr>
        <rFont val="Arial"/>
        <b val="0"/>
        <color rgb="FFFF0000"/>
        <sz val="11.0"/>
      </rPr>
      <t>12.27eur</t>
    </r>
  </si>
  <si>
    <r>
      <rPr>
        <rFont val="Tahoma, sans-serif"/>
        <b/>
        <color rgb="FF222222"/>
        <sz val="11.0"/>
      </rPr>
      <t xml:space="preserve">LX 3677 </t>
    </r>
    <r>
      <rPr>
        <rFont val="Arial"/>
        <b val="0"/>
        <color rgb="FFFF0000"/>
        <sz val="11.0"/>
      </rPr>
      <t>11.34eur</t>
    </r>
  </si>
  <si>
    <t xml:space="preserve"> Laurynas Goncauskas KIA SPORTAGE LLI571</t>
  </si>
  <si>
    <t>IDE010107</t>
  </si>
  <si>
    <r>
      <rPr>
        <rFont val="Tahoma, sans-serif"/>
        <b/>
        <color rgb="FF222222"/>
        <sz val="11.0"/>
      </rPr>
      <t xml:space="preserve">KC 605D </t>
    </r>
    <r>
      <rPr>
        <rFont val="Arial"/>
        <b val="0"/>
        <color rgb="FFFF0000"/>
        <sz val="11.0"/>
      </rPr>
      <t>22.83eur</t>
    </r>
  </si>
  <si>
    <r>
      <rPr>
        <rFont val="Tahoma, sans-serif"/>
        <b/>
        <color rgb="FF222222"/>
        <sz val="11.0"/>
      </rPr>
      <t xml:space="preserve">OX 351D </t>
    </r>
    <r>
      <rPr>
        <rFont val="Arial"/>
        <b val="0"/>
        <color rgb="FFFF0000"/>
        <sz val="11.0"/>
      </rPr>
      <t>7.39eur</t>
    </r>
  </si>
  <si>
    <t>11/14		KIA	LLI571		montazke r17+3vnt langu skyscio (seno)	Goncauskas</t>
  </si>
  <si>
    <t>295/30r21</t>
  </si>
  <si>
    <t>michelin pa5 mo1</t>
  </si>
  <si>
    <t>martynas bisikirskas veho kaunas= ICG Farma</t>
  </si>
  <si>
    <t>IDE009924</t>
  </si>
  <si>
    <t>tepalas is backos 4.5L</t>
  </si>
  <si>
    <r>
      <rPr>
        <rFont val="Tahoma, sans-serif"/>
        <b/>
        <color rgb="FF222222"/>
        <sz val="11.0"/>
      </rPr>
      <t xml:space="preserve">OX 188D </t>
    </r>
    <r>
      <rPr>
        <rFont val="Tahoma, sans-serif"/>
        <b val="0"/>
        <color rgb="FFFF0000"/>
        <sz val="11.0"/>
      </rPr>
      <t>4.56eur</t>
    </r>
  </si>
  <si>
    <t>albertas ignatavicius passat b6</t>
  </si>
  <si>
    <r>
      <rPr>
        <rFont val="Arial"/>
        <color rgb="FF1155CC"/>
        <sz val="11.0"/>
        <u/>
      </rPr>
      <t>MULTI DCTF 1L</t>
    </r>
    <r>
      <rPr>
        <rFont val="Arial"/>
        <color rgb="FF000000"/>
        <sz val="11.0"/>
      </rPr>
      <t xml:space="preserve"> </t>
    </r>
    <r>
      <rPr>
        <rFont val="Arial"/>
        <color rgb="FFFF0000"/>
        <sz val="11.0"/>
      </rPr>
      <t>53.51eur</t>
    </r>
    <r>
      <rPr>
        <rFont val="Arial"/>
        <color rgb="FF000000"/>
        <sz val="11.0"/>
      </rPr>
      <t xml:space="preserve"> 6vnt</t>
    </r>
  </si>
  <si>
    <r>
      <rPr>
        <rFont val="Tahoma, sans-serif"/>
        <b/>
        <color rgb="FF222222"/>
        <sz val="11.0"/>
      </rPr>
      <t xml:space="preserve">KX 220D </t>
    </r>
    <r>
      <rPr>
        <rFont val="Tahoma, sans-serif"/>
        <b val="0"/>
        <color rgb="FFFF0000"/>
        <sz val="11.0"/>
      </rPr>
      <t>14.27eur</t>
    </r>
  </si>
  <si>
    <r>
      <rPr>
        <rFont val="Arial"/>
        <color rgb="FF1155CC"/>
        <sz val="11.0"/>
        <u/>
      </rPr>
      <t>GEAR 300 75W90 1L</t>
    </r>
    <r>
      <rPr>
        <rFont val="Arial"/>
        <color rgb="FF000000"/>
        <sz val="11.0"/>
      </rPr>
      <t xml:space="preserve"> </t>
    </r>
    <r>
      <rPr>
        <rFont val="Arial"/>
        <color rgb="FFFF0000"/>
        <sz val="11.0"/>
      </rPr>
      <t>12.61eur</t>
    </r>
  </si>
  <si>
    <r>
      <rPr>
        <rFont val="Tahoma, sans-serif"/>
        <b/>
        <color rgb="FF222222"/>
        <sz val="11.0"/>
      </rPr>
      <t xml:space="preserve">LX 1211 </t>
    </r>
    <r>
      <rPr>
        <rFont val="Tahoma, sans-serif"/>
        <b val="0"/>
        <color rgb="FFFF0000"/>
        <sz val="11.0"/>
      </rPr>
      <t>7.52eur</t>
    </r>
  </si>
  <si>
    <r>
      <rPr>
        <rFont val="Arial"/>
        <color rgb="FF1155CC"/>
        <sz val="11.0"/>
        <u/>
      </rPr>
      <t>GEAR 300 75W90 1L</t>
    </r>
    <r>
      <rPr>
        <rFont val="Arial"/>
        <color rgb="FF000000"/>
        <sz val="11.0"/>
      </rPr>
      <t xml:space="preserve"> </t>
    </r>
    <r>
      <rPr>
        <rFont val="Arial"/>
        <color rgb="FFFF0000"/>
        <sz val="11.0"/>
      </rPr>
      <t>12.61</t>
    </r>
    <r>
      <rPr>
        <rFont val="Arial"/>
        <color rgb="FF000000"/>
        <sz val="11.0"/>
      </rPr>
      <t>eur</t>
    </r>
  </si>
  <si>
    <r>
      <rPr>
        <rFont val="Tahoma, sans-serif"/>
        <b/>
        <color rgb="FF222222"/>
        <sz val="11.0"/>
      </rPr>
      <t xml:space="preserve">HX 132D </t>
    </r>
    <r>
      <rPr>
        <rFont val="Tahoma, sans-serif"/>
        <b/>
        <color rgb="FFFF0000"/>
        <sz val="11.0"/>
      </rPr>
      <t>10.21eur</t>
    </r>
  </si>
  <si>
    <r>
      <rPr>
        <rFont val="Tahoma, sans-serif"/>
        <b/>
        <color rgb="FF222222"/>
        <sz val="11.0"/>
      </rPr>
      <t xml:space="preserve">LAK 181 </t>
    </r>
    <r>
      <rPr>
        <rFont val="Tahoma, sans-serif"/>
        <b val="0"/>
        <color rgb="FFFF0000"/>
        <sz val="11.0"/>
      </rPr>
      <t>9.30eur</t>
    </r>
  </si>
  <si>
    <t>HALDEX tepalas?</t>
  </si>
  <si>
    <t>haldex filtras?</t>
  </si>
  <si>
    <t>JGK921 Donatas Statulevičius</t>
  </si>
  <si>
    <t xml:space="preserve">goodyear ug perf3 </t>
  </si>
  <si>
    <t>martynas bisikirskas veho kaunas, moka veho</t>
  </si>
  <si>
    <t>IDE009952</t>
  </si>
  <si>
    <t>martynas bisikirskas veho kaunas Jurga Mobilo</t>
  </si>
  <si>
    <t>#217406</t>
  </si>
  <si>
    <t>goodyear perf+suv</t>
  </si>
  <si>
    <t>elvijus kersulis mb eaugalai, sask kuponui tik</t>
  </si>
  <si>
    <t>IDE009927</t>
  </si>
  <si>
    <t>5045076406450125891 alan karol</t>
  </si>
  <si>
    <t>doublestar</t>
  </si>
  <si>
    <t>oleksandr tsybyk 064797607</t>
  </si>
  <si>
    <t>#227561</t>
  </si>
  <si>
    <t>gy perf3</t>
  </si>
  <si>
    <t>gy ice3</t>
  </si>
  <si>
    <t>ovidijus meilunas</t>
  </si>
  <si>
    <t>155+montazke</t>
  </si>
  <si>
    <t>nemokejo</t>
  </si>
  <si>
    <t>garbincius vgtu</t>
  </si>
  <si>
    <t>225/75r16</t>
  </si>
  <si>
    <t>dynamo mwc01</t>
  </si>
  <si>
    <t>88+montazke</t>
  </si>
  <si>
    <t>IDE009953</t>
  </si>
  <si>
    <t>Akumuliatorius 95 Ah 800 A EN 12V	EB950	BD G3</t>
  </si>
  <si>
    <t>martynas bisikirskas veho algirdas pocius</t>
  </si>
  <si>
    <t>180eur  IDE009932</t>
  </si>
  <si>
    <t>rokas buzelis</t>
  </si>
  <si>
    <t>FRG77408333  42eur</t>
  </si>
  <si>
    <t>pirelli winter mo</t>
  </si>
  <si>
    <t>martynas bisikirskas veho Prodenta</t>
  </si>
  <si>
    <t>IDE009928</t>
  </si>
  <si>
    <t>martynas bisikirskas veho Prodenta automobiliu plovykla</t>
  </si>
  <si>
    <t>kumho</t>
  </si>
  <si>
    <t>karolis martinaitis</t>
  </si>
  <si>
    <t>IDE009929</t>
  </si>
  <si>
    <t>triangle ti501</t>
  </si>
  <si>
    <t>mingela eltera projektai</t>
  </si>
  <si>
    <t>IDE009930</t>
  </si>
  <si>
    <t>martynas bisikirskas KNS / Sigitas Kaktys</t>
  </si>
  <si>
    <t>IDE009931</t>
  </si>
  <si>
    <t>martynas bisikirskas veho Kasparas Kesylis</t>
  </si>
  <si>
    <t>IDE009933</t>
  </si>
  <si>
    <t>martynas bisikirskas veho VIDMANTAS GRIGAS</t>
  </si>
  <si>
    <t>MIS944        jaguar f-pace        Virginija Marcinkevičienė Agnius</t>
  </si>
  <si>
    <t>IDE009937</t>
  </si>
  <si>
    <t>maxxis ice 5 sp5</t>
  </si>
  <si>
    <t>37062096620 inion LT</t>
  </si>
  <si>
    <t>IDE009934</t>
  </si>
  <si>
    <t>vyga srotas vygantas</t>
  </si>
  <si>
    <t>renaldas rs linija</t>
  </si>
  <si>
    <t>SPJE-1909 88eur veidrodis</t>
  </si>
  <si>
    <t>rimakas rimantas kuliesius</t>
  </si>
  <si>
    <t>kalino krovimas lapkricio21 17h 11.5eur</t>
  </si>
  <si>
    <t>krovimai abu 22eur gruodi</t>
  </si>
  <si>
    <t>2026-01 kalino krovimas 6.6eur ignitis</t>
  </si>
  <si>
    <t>Card 431EA642</t>
  </si>
  <si>
    <t>enefit 2026-01-11 moletu pl</t>
  </si>
  <si>
    <t>enefit 2026-01-18 moletu pl</t>
  </si>
  <si>
    <t>enefit 2026-01-19 kaunas</t>
  </si>
  <si>
    <t xml:space="preserve">enefit 2026-01-20 ateities g. </t>
  </si>
  <si>
    <t>enefit 2026-01-30 moletu pl</t>
  </si>
  <si>
    <t>enefit 2026-01-31 moletu pl</t>
  </si>
  <si>
    <t>ignitis krovimai vasaris</t>
  </si>
  <si>
    <t>ignitis krovimai kovo men 3vnt, kalinas,rimizirmunu,marijampole 40.8eur</t>
  </si>
  <si>
    <t>047D0FA2861394</t>
  </si>
  <si>
    <t>ignitis krovimas kaline 04-16  18.42</t>
  </si>
  <si>
    <t>1DDE1B08000003 eldrive</t>
  </si>
  <si>
    <t>LT00295 elektrum</t>
  </si>
  <si>
    <t>431EA642 enefit</t>
  </si>
  <si>
    <t>047D0FA2861394 ignitis on</t>
  </si>
  <si>
    <t>00533 inbalance grid</t>
  </si>
  <si>
    <t>dynamo snow-h</t>
  </si>
  <si>
    <t>antonas mejus</t>
  </si>
  <si>
    <t>Gediminas Kerpiskis &lt;gediminas.kerpiskis@gmail.com EA5971</t>
  </si>
  <si>
    <t>IDE009939</t>
  </si>
  <si>
    <t>8 bakeliai lesta</t>
  </si>
  <si>
    <t>100 610 0014/HD 2x27eur</t>
  </si>
  <si>
    <t>100 407 0086  2x8eur</t>
  </si>
  <si>
    <t>albertas passat ignatavicius</t>
  </si>
  <si>
    <t>martynas bisikirskas veho vln vidas labochema LT</t>
  </si>
  <si>
    <t>IDE009943</t>
  </si>
  <si>
    <t>320+345</t>
  </si>
  <si>
    <t>185/75r14c</t>
  </si>
  <si>
    <t>hankook ra18 12711 m+s</t>
  </si>
  <si>
    <t>andrej 067113530</t>
  </si>
  <si>
    <t>a.m.automobile888@gmail.com</t>
  </si>
  <si>
    <t>haldex alyva su varztais 75eur (1vnt trumpas varztas netiko)</t>
  </si>
  <si>
    <t>FE177922 36.36eur</t>
  </si>
  <si>
    <r>
      <rPr>
        <rFont val="Arial"/>
        <color rgb="FF1155CC"/>
        <sz val="11.0"/>
        <u/>
      </rPr>
      <t>LMI35451</t>
    </r>
    <r>
      <rPr>
        <rFont val="Arial"/>
        <color rgb="FF000000"/>
        <sz val="11.0"/>
      </rPr>
      <t xml:space="preserve"> 8.06eur</t>
    </r>
  </si>
  <si>
    <t>LMI35451 8.06eur</t>
  </si>
  <si>
    <r>
      <rPr>
        <rFont val="Arial"/>
        <b/>
        <color rgb="FF000000"/>
        <sz val="11.0"/>
        <u/>
      </rPr>
      <t xml:space="preserve">PFB401SE </t>
    </r>
    <r>
      <rPr>
        <rFont val="Arial"/>
        <b val="0"/>
        <color rgb="FF000000"/>
        <sz val="11.0"/>
        <u/>
      </rPr>
      <t>7.99eur</t>
    </r>
  </si>
  <si>
    <t>oil pipe ?eur</t>
  </si>
  <si>
    <r>
      <rPr>
        <rFont val="Arial"/>
        <color rgb="FF1155CC"/>
        <sz val="11.0"/>
        <u/>
      </rPr>
      <t>367102A900</t>
    </r>
    <r>
      <rPr>
        <rFont val="Arial"/>
        <color rgb="FF000000"/>
        <sz val="11.0"/>
      </rPr>
      <t xml:space="preserve"> 106.77eur 4vnt</t>
    </r>
  </si>
  <si>
    <t>Goncauskas KIA sportage LLI571</t>
  </si>
  <si>
    <r>
      <rPr>
        <rFont val="Arial"/>
        <color rgb="FF1155CC"/>
        <sz val="11.0"/>
        <u/>
      </rPr>
      <t>6601-02-3293860P</t>
    </r>
    <r>
      <rPr>
        <rFont val="Arial"/>
        <color rgb="FF000000"/>
        <sz val="11.0"/>
      </rPr>
      <t xml:space="preserve"> 28.05eur</t>
    </r>
  </si>
  <si>
    <t>apziureta pakaba kas bilda</t>
  </si>
  <si>
    <t>IDE010106</t>
  </si>
  <si>
    <t>Tepalas is backos 4.5l</t>
  </si>
  <si>
    <r>
      <rPr>
        <rFont val="Tahoma, sans-serif"/>
        <b/>
        <color rgb="FF222222"/>
        <sz val="11.0"/>
      </rPr>
      <t xml:space="preserve">LAK 816 </t>
    </r>
    <r>
      <rPr>
        <rFont val="Tahoma, sans-serif"/>
        <b val="0"/>
        <color rgb="FF222222"/>
        <sz val="11.0"/>
      </rPr>
      <t>13.39EUR</t>
    </r>
  </si>
  <si>
    <r>
      <rPr>
        <rFont val="Tahoma, sans-serif"/>
        <b/>
        <color rgb="FF222222"/>
        <sz val="11.0"/>
      </rPr>
      <t xml:space="preserve">OC 977/1 </t>
    </r>
    <r>
      <rPr>
        <rFont val="Tahoma, sans-serif"/>
        <b val="0"/>
        <color rgb="FF222222"/>
        <sz val="11.0"/>
      </rPr>
      <t>4.87EUR</t>
    </r>
  </si>
  <si>
    <t>SKODA KAMIQ 85kW 1.0TSI mykolas maciulis</t>
  </si>
  <si>
    <r>
      <rPr>
        <rFont val="Tahoma, sans-serif"/>
        <b/>
        <color rgb="FF222222"/>
        <sz val="11.0"/>
      </rPr>
      <t xml:space="preserve">LX 4246 </t>
    </r>
    <r>
      <rPr>
        <rFont val="Tahoma, sans-serif"/>
        <b val="0"/>
        <color rgb="FF222222"/>
        <sz val="11.0"/>
      </rPr>
      <t>13.71EUR</t>
    </r>
  </si>
  <si>
    <t>SKODA KAMIQ 85kW 1.0TSI</t>
  </si>
  <si>
    <t>martynas bisikirskas neringa</t>
  </si>
  <si>
    <t>IDE009960</t>
  </si>
  <si>
    <t>IDE009947</t>
  </si>
  <si>
    <t>martynas bisikirskas KNS / Neringa / UAB ODONTOLOGIJOS KLINIKA</t>
  </si>
  <si>
    <t>goodyear perf+ mo</t>
  </si>
  <si>
    <t>martynas bisikirskas Ūkininkas Domas Skirvainis 38611030818</t>
  </si>
  <si>
    <t>IDE009963</t>
  </si>
  <si>
    <t>tomas blazonis</t>
  </si>
  <si>
    <t>IDE009966</t>
  </si>
  <si>
    <t>09.R103.11  2x82eur</t>
  </si>
  <si>
    <t>GIC228  5eur</t>
  </si>
  <si>
    <t>P 50 063  58eur</t>
  </si>
  <si>
    <t>arminas balanaitis mersas gl</t>
  </si>
  <si>
    <t>IDE010111</t>
  </si>
  <si>
    <r>
      <rPr>
        <rFont val="Tahoma, sans-serif"/>
        <b/>
        <color rgb="FF222222"/>
        <sz val="11.0"/>
      </rPr>
      <t xml:space="preserve">LX 804/S </t>
    </r>
    <r>
      <rPr>
        <rFont val="Tahoma, sans-serif"/>
        <b val="0"/>
        <color rgb="FF222222"/>
        <sz val="11.0"/>
      </rPr>
      <t>20.47eur</t>
    </r>
  </si>
  <si>
    <t>1 457 429 263 8.45eur</t>
  </si>
  <si>
    <t>tepalai/filtrai 8.8l tepalo is backos</t>
  </si>
  <si>
    <r>
      <rPr>
        <rFont val="Tahoma, sans-serif"/>
        <b/>
        <color rgb="FF222222"/>
        <sz val="11.0"/>
      </rPr>
      <t xml:space="preserve">LAK 295/S </t>
    </r>
    <r>
      <rPr>
        <rFont val="Tahoma, sans-serif"/>
        <b val="0"/>
        <color rgb="FF222222"/>
        <sz val="11.0"/>
      </rPr>
      <t>30.28eur</t>
    </r>
  </si>
  <si>
    <t>karterio varzto tarpine nauja (sena pradejo leisti tepala)</t>
  </si>
  <si>
    <t>martynas bisikirskas veho uab dvaro mesa</t>
  </si>
  <si>
    <t>IDE009967</t>
  </si>
  <si>
    <t>285/30r21</t>
  </si>
  <si>
    <t>Akumuliatorius 105 Ah 950 A EN 12V AGM	AGM A4	PA105,SSP H15, EK1060, EK1050,</t>
  </si>
  <si>
    <t>210eur</t>
  </si>
  <si>
    <t xml:space="preserve">2vnt Debica frigo hp2 205/55r16 91H </t>
  </si>
  <si>
    <t>NAV vw passat  mzd324 tomas mingela</t>
  </si>
  <si>
    <t>IDE009997</t>
  </si>
  <si>
    <t>VKBA 6565 95eur</t>
  </si>
  <si>
    <t>CCZ1538ABE 12eur</t>
  </si>
  <si>
    <t>guolio keitimas 50e</t>
  </si>
  <si>
    <t>Remigijus VOLVO V50 JZP234</t>
  </si>
  <si>
    <t>GDB1763 37eur</t>
  </si>
  <si>
    <t>DF4558 2x38eur</t>
  </si>
  <si>
    <t xml:space="preserve">Jurga Žagaraitė VW Passat </t>
  </si>
  <si>
    <t>galiniu kaladeliu ir disku keitimas</t>
  </si>
  <si>
    <t>stabile valdas@stabilesolutions.se valdas simutis</t>
  </si>
  <si>
    <t>IDE009971</t>
  </si>
  <si>
    <t>justas lengvinas IDE009970</t>
  </si>
  <si>
    <t>martynas bisikirskas veho rita ziliene</t>
  </si>
  <si>
    <t>IDE009969</t>
  </si>
  <si>
    <t>greito maisto vizija karolis +37066609997</t>
  </si>
  <si>
    <t>IDE009968</t>
  </si>
  <si>
    <t>martynas bisikirskas veho saskaita</t>
  </si>
  <si>
    <t>IDE009978</t>
  </si>
  <si>
    <t>RT 20398-GL 2x50eur</t>
  </si>
  <si>
    <t>0 986 494 256  52eur</t>
  </si>
  <si>
    <t xml:space="preserve">keitimas galiniu stabdziu </t>
  </si>
  <si>
    <t>P 85 144 50eur</t>
  </si>
  <si>
    <t>P 85 126  40eur grazint</t>
  </si>
  <si>
    <t>ignas buda</t>
  </si>
  <si>
    <t>IDE010118</t>
  </si>
  <si>
    <t xml:space="preserve">P 85 184 55eur </t>
  </si>
  <si>
    <t>P 85 189  45eur grazinti</t>
  </si>
  <si>
    <t>kaladeliu keitimas priekis/galas</t>
  </si>
  <si>
    <t>215/45r18</t>
  </si>
  <si>
    <t>ruta saulius samulevicius</t>
  </si>
  <si>
    <t>pirelli winter 2 nco</t>
  </si>
  <si>
    <t>kristis kristijonas plioplys</t>
  </si>
  <si>
    <t>315/35r22</t>
  </si>
  <si>
    <t>200/55r17</t>
  </si>
  <si>
    <t>michelin gp2r</t>
  </si>
  <si>
    <t>martynas bisikirskas i kauna</t>
  </si>
  <si>
    <t>195eur</t>
  </si>
  <si>
    <r>
      <rPr>
        <rFont val="Arial"/>
        <color rgb="FF1155CC"/>
        <sz val="11.0"/>
        <u/>
      </rPr>
      <t>LMI35463</t>
    </r>
    <r>
      <rPr>
        <rFont val="Arial"/>
        <color rgb="FF000000"/>
        <sz val="11.0"/>
      </rPr>
      <t xml:space="preserve"> 38.31eur (kaina uz 2vnt)</t>
    </r>
  </si>
  <si>
    <r>
      <rPr>
        <rFont val="Arial"/>
        <color rgb="FF1155CC"/>
        <sz val="11.0"/>
        <u/>
      </rPr>
      <t>LMI35465</t>
    </r>
    <r>
      <rPr>
        <rFont val="Arial"/>
        <color rgb="FF000000"/>
        <sz val="11.0"/>
      </rPr>
      <t xml:space="preserve"> 26.23eur</t>
    </r>
  </si>
  <si>
    <r>
      <rPr>
        <rFont val="Arial"/>
        <color rgb="FF1155CC"/>
        <sz val="11.0"/>
        <u/>
      </rPr>
      <t>VKBA 3643</t>
    </r>
    <r>
      <rPr>
        <rFont val="Arial"/>
        <color rgb="FF000000"/>
        <sz val="11.0"/>
      </rPr>
      <t xml:space="preserve"> 59.14eur</t>
    </r>
  </si>
  <si>
    <t>FE32625 2x6eur grazinta ???</t>
  </si>
  <si>
    <r>
      <rPr>
        <rFont val="Arial"/>
        <color rgb="FF1155CC"/>
        <sz val="11.0"/>
        <u/>
      </rPr>
      <t>RH15-0030</t>
    </r>
    <r>
      <rPr>
        <rFont val="Arial"/>
        <color rgb="FF000000"/>
        <sz val="11.0"/>
      </rPr>
      <t xml:space="preserve"> 15.22eur (kaina uz 2vnt)</t>
    </r>
  </si>
  <si>
    <r>
      <rPr>
        <rFont val="Arial"/>
        <color rgb="FF1155CC"/>
        <sz val="11.0"/>
        <u/>
      </rPr>
      <t>LMI35464</t>
    </r>
    <r>
      <rPr>
        <rFont val="Arial"/>
        <color rgb="FF000000"/>
        <sz val="11.0"/>
      </rPr>
      <t xml:space="preserve"> 26.23eur</t>
    </r>
  </si>
  <si>
    <r>
      <rPr>
        <rFont val="Arial"/>
        <color rgb="FF1155CC"/>
        <sz val="11.0"/>
        <u/>
      </rPr>
      <t>RH17-0002</t>
    </r>
    <r>
      <rPr>
        <rFont val="Arial"/>
        <color rgb="FF000000"/>
        <sz val="11.0"/>
      </rPr>
      <t xml:space="preserve"> 3.68eur</t>
    </r>
  </si>
  <si>
    <r>
      <rPr>
        <rFont val="Arial"/>
        <color rgb="FF1155CC"/>
        <sz val="11.0"/>
        <u/>
      </rPr>
      <t>116 050 0079/S</t>
    </r>
    <r>
      <rPr>
        <rFont val="Arial"/>
        <color rgb="FF000000"/>
        <sz val="11.0"/>
      </rPr>
      <t xml:space="preserve"> 52.38eur</t>
    </r>
  </si>
  <si>
    <r>
      <rPr>
        <rFont val="Arial"/>
        <color rgb="FF1155CC"/>
        <sz val="11.0"/>
        <u/>
      </rPr>
      <t>116 050 0079/S</t>
    </r>
    <r>
      <rPr>
        <rFont val="Arial"/>
        <color rgb="FF000000"/>
        <sz val="11.0"/>
      </rPr>
      <t xml:space="preserve"> 52.38eur</t>
    </r>
  </si>
  <si>
    <r>
      <rPr>
        <rFont val="Arial"/>
        <color rgb="FF1155CC"/>
        <sz val="11.0"/>
        <u/>
      </rPr>
      <t>RH17-0002</t>
    </r>
    <r>
      <rPr>
        <rFont val="Arial"/>
        <color rgb="FF000000"/>
        <sz val="11.0"/>
      </rPr>
      <t xml:space="preserve"> 3.68eur</t>
    </r>
  </si>
  <si>
    <t>marynas bisikirskas Moka Veho Lietuva</t>
  </si>
  <si>
    <t>IDE009984</t>
  </si>
  <si>
    <t>Moka Veho Lietuva</t>
  </si>
  <si>
    <t>marynas bisikirskas Moka Veho Lietuva Mobility Lietuva, UAB</t>
  </si>
  <si>
    <t>IDE009985</t>
  </si>
  <si>
    <r>
      <rPr>
        <color rgb="FF1155CC"/>
        <u/>
      </rPr>
      <t>09.B969.11</t>
    </r>
    <r>
      <rPr>
        <color rgb="FF000000"/>
      </rPr>
      <t xml:space="preserve"> 113.12eur</t>
    </r>
  </si>
  <si>
    <t>P 85 154  33.25€</t>
  </si>
  <si>
    <t>08.D060.11  grazinti</t>
  </si>
  <si>
    <t>AUDI A6L LGY060  Edita Znutiene</t>
  </si>
  <si>
    <r>
      <rPr>
        <rFont val="Arial"/>
        <color rgb="FF1155CC"/>
        <sz val="11.0"/>
        <u/>
      </rPr>
      <t>FE104920</t>
    </r>
    <r>
      <rPr>
        <rFont val="Arial"/>
        <color rgb="FF000000"/>
        <sz val="11.0"/>
      </rPr>
      <t xml:space="preserve"> 5.09eur</t>
    </r>
  </si>
  <si>
    <r>
      <rPr>
        <rFont val="Arial"/>
        <color rgb="FF1155CC"/>
        <sz val="11.0"/>
        <u/>
      </rPr>
      <t>1 987 473 604</t>
    </r>
    <r>
      <rPr>
        <rFont val="Arial"/>
        <color rgb="FF000000"/>
        <sz val="11.0"/>
      </rPr>
      <t xml:space="preserve"> 6.33eur</t>
    </r>
  </si>
  <si>
    <t>P 85 170  grazinti</t>
  </si>
  <si>
    <t>P 85 165  grazinti</t>
  </si>
  <si>
    <t>P 85 164  64.60€</t>
  </si>
  <si>
    <t>AUDI A6L LGY060</t>
  </si>
  <si>
    <r>
      <rPr>
        <rFont val="Arial"/>
        <color rgb="FF1155CC"/>
        <sz val="11.0"/>
        <u/>
      </rPr>
      <t>FWI463</t>
    </r>
    <r>
      <rPr>
        <rFont val="Arial"/>
        <color rgb="FF000000"/>
        <sz val="11.0"/>
      </rPr>
      <t xml:space="preserve"> grazinti</t>
    </r>
  </si>
  <si>
    <t xml:space="preserve">nankang ice </t>
  </si>
  <si>
    <t>IDE009992</t>
  </si>
  <si>
    <t>OX 1123D  19eur</t>
  </si>
  <si>
    <t>EL982340  2eur</t>
  </si>
  <si>
    <t>tepalas backa 9-10L</t>
  </si>
  <si>
    <t>marek stefanovic marex audi a8</t>
  </si>
  <si>
    <t>marijonas kaimynas</t>
  </si>
  <si>
    <t>KNS / Jonas Jurgeliūnas martynas bisikirskas veho</t>
  </si>
  <si>
    <t>IDE010007</t>
  </si>
  <si>
    <t>KNS / Jonas Jurgeliūnas / R21 žieminės greit</t>
  </si>
  <si>
    <t>pirelli ice zero</t>
  </si>
  <si>
    <t>vilius lukosevicius sms</t>
  </si>
  <si>
    <t>marynas bisikirskas valdas balciunas Neringa / GLA 250 E VALDAS BALČIŪNAS</t>
  </si>
  <si>
    <t>IDE010004</t>
  </si>
  <si>
    <t>marynas bisikirskas KNS / Vilma Sakalauskienė</t>
  </si>
  <si>
    <t>IDE010008</t>
  </si>
  <si>
    <t>E. Suvorovo projektavimo biuras, MB martynas bisikirskas</t>
  </si>
  <si>
    <t>IDE010009</t>
  </si>
  <si>
    <t>E. Suvorovo projektavimo biuras, MB</t>
  </si>
  <si>
    <t>AGV036MT  16eur</t>
  </si>
  <si>
    <t>A9G008MT  10eur</t>
  </si>
  <si>
    <r>
      <rPr>
        <rFont val="Arial"/>
        <color rgb="FF1155CC"/>
        <sz val="11.0"/>
        <u/>
      </rPr>
      <t>KYBSM9910</t>
    </r>
    <r>
      <rPr>
        <rFont val="Arial"/>
        <color rgb="FF000000"/>
        <sz val="11.0"/>
      </rPr>
      <t xml:space="preserve"> 18eur</t>
    </r>
  </si>
  <si>
    <t>darbas 35eur</t>
  </si>
  <si>
    <t>3 397 118 984  23eur</t>
  </si>
  <si>
    <t>3 397 011 433 10eur</t>
  </si>
  <si>
    <t>205/65r17</t>
  </si>
  <si>
    <t>conti viking 7</t>
  </si>
  <si>
    <t>mst862 tomas mingela nav</t>
  </si>
  <si>
    <t>IDE010011</t>
  </si>
  <si>
    <t>barum polaris 6</t>
  </si>
  <si>
    <t>martynas bisikirskas veho KNS / Neringa / Votisposis R18</t>
  </si>
  <si>
    <t>IDE010006</t>
  </si>
  <si>
    <t>tepalas is backos 5.8L</t>
  </si>
  <si>
    <t>KX 493D 43.98eur</t>
  </si>
  <si>
    <t>OX 1076D 8.64eur</t>
  </si>
  <si>
    <t>Ignas Kamantauskas AUDI Q7</t>
  </si>
  <si>
    <t>IDE010144</t>
  </si>
  <si>
    <t>E4931LC 22.25eur</t>
  </si>
  <si>
    <t>LX 3233/6 31.18eur</t>
  </si>
  <si>
    <t>algirdas zalagaitis 062614479</t>
  </si>
  <si>
    <t>kumho wi51</t>
  </si>
  <si>
    <t>rytis vaitiekunas</t>
  </si>
  <si>
    <t>IDE010010</t>
  </si>
  <si>
    <t>265/45r21</t>
  </si>
  <si>
    <t>bridgestone lm005</t>
  </si>
  <si>
    <t>IDE010014</t>
  </si>
  <si>
    <t>37061414726 volvo s60 beware aurius</t>
  </si>
  <si>
    <t>jtua</t>
  </si>
  <si>
    <t>martynas bisikirskas veho mantas kevelaitis</t>
  </si>
  <si>
    <t>IDE010005</t>
  </si>
  <si>
    <t>egzotika.beriva</t>
  </si>
  <si>
    <t>martynas bisikirskas veho Alita Pudzinskienė</t>
  </si>
  <si>
    <t>IDE010012</t>
  </si>
  <si>
    <t xml:space="preserve">goodyear perf3 </t>
  </si>
  <si>
    <t>IDE010016</t>
  </si>
  <si>
    <t>exel veho</t>
  </si>
  <si>
    <t>purkstukas 440eur</t>
  </si>
  <si>
    <t xml:space="preserve"> keletas gumu, varztai ir pan</t>
  </si>
  <si>
    <t>rimakas rimantas kuliesius caddy</t>
  </si>
  <si>
    <t>3l tepalo dapyliau</t>
  </si>
  <si>
    <t>4langu skyst</t>
  </si>
  <si>
    <t>keitimas 50e su diagnostika ir t.t.</t>
  </si>
  <si>
    <t>03L 103 487  7eur</t>
  </si>
  <si>
    <t>EL722090  3eur</t>
  </si>
  <si>
    <t>EL380150 5eur</t>
  </si>
  <si>
    <t>ENT250714  25eur</t>
  </si>
  <si>
    <t>EL426780  10eur</t>
  </si>
  <si>
    <t xml:space="preserve">rimakas rimantas kuliesius </t>
  </si>
  <si>
    <t>splitwise skola 131eur</t>
  </si>
  <si>
    <t>devetos padangos+montzke+pasauga</t>
  </si>
  <si>
    <t>3 397 118 911 25eur</t>
  </si>
  <si>
    <t>julius valickas</t>
  </si>
  <si>
    <t>320pervede</t>
  </si>
  <si>
    <t>110eur varta bd g7</t>
  </si>
  <si>
    <t>alan karolis jurgelevic</t>
  </si>
  <si>
    <t>(Karolis: uz akuma atsiskaityta)</t>
  </si>
  <si>
    <t>155961km</t>
  </si>
  <si>
    <r>
      <rPr>
        <rFont val="Arial"/>
        <b/>
        <color rgb="FF1F65B5"/>
        <sz val="11.0"/>
        <u/>
      </rPr>
      <t xml:space="preserve">70-31414-10 </t>
    </r>
    <r>
      <rPr>
        <rFont val="Arial"/>
        <b/>
        <color rgb="FF000000"/>
        <sz val="11.0"/>
        <u/>
      </rPr>
      <t>7.91eur</t>
    </r>
  </si>
  <si>
    <t>OX 787D 5.89eur</t>
  </si>
  <si>
    <t>Goncauskas SKODA LNS473</t>
  </si>
  <si>
    <t>Akumuliatorius 100 Ah 900 A EN 12V	EA1000</t>
  </si>
  <si>
    <t>ernestas kaimynas volvo xc60</t>
  </si>
  <si>
    <t>IDE010043</t>
  </si>
  <si>
    <t>kuro filtro keitimas</t>
  </si>
  <si>
    <t>VOLVO</t>
  </si>
  <si>
    <t>termostato keitimas, antifriza ir termostata pats atveze, keitimas apie 2val+musu hermetikas</t>
  </si>
  <si>
    <t>KIA</t>
  </si>
  <si>
    <t>goodyear ug perf3 MO</t>
  </si>
  <si>
    <t>martynas bisikirskas veho kauno servisui</t>
  </si>
  <si>
    <t>IDE010021</t>
  </si>
  <si>
    <t>martynas bisikirskas veho Virginijus Laurinaitis</t>
  </si>
  <si>
    <t>IDE010020</t>
  </si>
  <si>
    <t>sava cargo</t>
  </si>
  <si>
    <t>paulius valiukevicius kristijonas plioplys</t>
  </si>
  <si>
    <t>IDE010002</t>
  </si>
  <si>
    <t>3 397 007 215  28eur</t>
  </si>
  <si>
    <t>IDE010217</t>
  </si>
  <si>
    <t>Ieva Misiūnienė | Ramitrans &lt;sales@ramitrans.lt</t>
  </si>
  <si>
    <t>IDE010019</t>
  </si>
  <si>
    <r>
      <rPr>
        <color rgb="FF1155CC"/>
        <u/>
      </rPr>
      <t>100 407 0086</t>
    </r>
    <r>
      <rPr>
        <color rgb="FF000000"/>
      </rPr>
      <t xml:space="preserve"> 5.55eur</t>
    </r>
  </si>
  <si>
    <r>
      <rPr>
        <color rgb="FF1155CC"/>
        <u/>
      </rPr>
      <t>116 060 0063/HD</t>
    </r>
    <r>
      <rPr>
        <color rgb="FF000000"/>
      </rPr>
      <t xml:space="preserve"> 17.98eur</t>
    </r>
  </si>
  <si>
    <r>
      <rPr>
        <color rgb="FF1155CC"/>
        <u/>
      </rPr>
      <t>114 610 0000</t>
    </r>
    <r>
      <rPr>
        <color rgb="FF000000"/>
      </rPr>
      <t xml:space="preserve"> 12.24eur</t>
    </r>
  </si>
  <si>
    <t>Ovidijus Meilunas VW GOLF LUS696</t>
  </si>
  <si>
    <r>
      <rPr>
        <color rgb="FF1155CC"/>
        <u/>
      </rPr>
      <t>100 407 0086</t>
    </r>
    <r>
      <rPr>
        <color rgb="FF000000"/>
      </rPr>
      <t xml:space="preserve"> 5.55eur</t>
    </r>
  </si>
  <si>
    <r>
      <rPr>
        <color rgb="FF1155CC"/>
        <u/>
      </rPr>
      <t>116 060 0063/HD</t>
    </r>
    <r>
      <rPr>
        <color rgb="FF000000"/>
      </rPr>
      <t xml:space="preserve"> 17.98eur</t>
    </r>
  </si>
  <si>
    <r>
      <rPr>
        <color rgb="FF1155CC"/>
        <u/>
      </rPr>
      <t>114 610 0000</t>
    </r>
    <r>
      <rPr>
        <color rgb="FF000000"/>
      </rPr>
      <t xml:space="preserve"> 12.24eur</t>
    </r>
  </si>
  <si>
    <r>
      <rPr>
        <color rgb="FF1155CC"/>
        <u/>
      </rPr>
      <t>FE195041</t>
    </r>
    <r>
      <rPr>
        <color rgb="FF000000"/>
      </rPr>
      <t xml:space="preserve"> 24.47eur</t>
    </r>
  </si>
  <si>
    <r>
      <rPr>
        <color rgb="FF1155CC"/>
        <u/>
      </rPr>
      <t>FE195041</t>
    </r>
    <r>
      <rPr>
        <color rgb="FF000000"/>
      </rPr>
      <t xml:space="preserve"> 24.47eur</t>
    </r>
  </si>
  <si>
    <t>martynas bisikirskas veho eqe tarnybine</t>
  </si>
  <si>
    <t>IDE010023</t>
  </si>
  <si>
    <t>vytautas kumetaitis uab baseta</t>
  </si>
  <si>
    <t>IDE010015</t>
  </si>
  <si>
    <t>OC 1014 9eur</t>
  </si>
  <si>
    <t>E3905LC  15eur</t>
  </si>
  <si>
    <t>elmantas latkauskas ford</t>
  </si>
  <si>
    <t>E1010L  14eur</t>
  </si>
  <si>
    <t>SPECIFIC 948B 5W20 5L  55eur</t>
  </si>
  <si>
    <t>EL012001  5eur</t>
  </si>
  <si>
    <t>bmw x3 draudims aurimas nav  LPS515</t>
  </si>
  <si>
    <t>elmantas latkauskas aurimas nav bmw</t>
  </si>
  <si>
    <t>elmantas latkauskas bmwx3 2026-03-27</t>
  </si>
  <si>
    <t>pakabos apziura 10e</t>
  </si>
  <si>
    <t>Aivaras.Dadura@diverus.com &lt;Aivaras.Dadura@diverus.com</t>
  </si>
  <si>
    <t>IDE010022</t>
  </si>
  <si>
    <t>kleber hp3</t>
  </si>
  <si>
    <t>mb kurmotors 068133355 devetos 80eur sms</t>
  </si>
  <si>
    <t>IDE010018</t>
  </si>
  <si>
    <t xml:space="preserve"> Akumuliatorius 74 Ah 680 A EN 12V   	  EB740</t>
  </si>
  <si>
    <t>IDE010112</t>
  </si>
  <si>
    <t xml:space="preserve">Akumuliatorius 80 Ah 760 A EN 12V AGM   	  580901 AGM  </t>
  </si>
  <si>
    <t xml:space="preserve">  Akumuliatorius 60 Ah 520 A EN 12V   	  EL604  </t>
  </si>
  <si>
    <t>exide</t>
  </si>
  <si>
    <t>agne kaimyne mazda</t>
  </si>
  <si>
    <t>102eur</t>
  </si>
  <si>
    <t>1langu skyst naujo vysnia</t>
  </si>
  <si>
    <t>4langu skyst seno</t>
  </si>
  <si>
    <t>IDE010218</t>
  </si>
  <si>
    <t>16vnt pasieme naujo lang skyst</t>
  </si>
  <si>
    <t>IDE010200</t>
  </si>
  <si>
    <t>R21x8.5  5X112  ET  40  57.1  I5648  Black Polished (MB)  For VW  (Z5)  (ID.4/ID.5 (Front)</t>
  </si>
  <si>
    <t>aurimas nav tayron  AIA044</t>
  </si>
  <si>
    <t>IDE010080</t>
  </si>
  <si>
    <t>f01g00402x  4x 24eur</t>
  </si>
  <si>
    <t>mantas pavliukevicius honda</t>
  </si>
  <si>
    <r>
      <rPr>
        <rFont val="Arial"/>
        <color rgb="FF1155CC"/>
        <sz val="11.0"/>
        <u/>
      </rPr>
      <t>EL266060</t>
    </r>
    <r>
      <rPr>
        <rFont val="Arial"/>
        <color rgb="FF000000"/>
        <sz val="11.0"/>
      </rPr>
      <t xml:space="preserve"> 8.23eur</t>
    </r>
  </si>
  <si>
    <t>1l dot4</t>
  </si>
  <si>
    <t>50 013 194 7.04eur</t>
  </si>
  <si>
    <t>OX 143D 4.41eur</t>
  </si>
  <si>
    <t>albertas ignatavicius passat b5</t>
  </si>
  <si>
    <t>dave 500eur 2026-04-24</t>
  </si>
  <si>
    <t>LAK 63 11.58eur</t>
  </si>
  <si>
    <t>E206L 6.99eur</t>
  </si>
  <si>
    <t>dvi gertuves 10eur</t>
  </si>
  <si>
    <t>IDE010025</t>
  </si>
  <si>
    <t>IDE010055</t>
  </si>
  <si>
    <t>941050 kondensatorius, oro kondicionierius</t>
  </si>
  <si>
    <t>175eur</t>
  </si>
  <si>
    <t>AD ANTIFREEZE AD -38C G13 5L 33eur</t>
  </si>
  <si>
    <t>marek stefanovic audi marex</t>
  </si>
  <si>
    <t>5Q0 959 126 B  23eur</t>
  </si>
  <si>
    <t>5Q0959126B 23eur</t>
  </si>
  <si>
    <t>marek stefanovic audi</t>
  </si>
  <si>
    <t>sunny piguva</t>
  </si>
  <si>
    <t>IDE010047</t>
  </si>
  <si>
    <t>8100 X-CLEAN+ 5W30 1L 11eur</t>
  </si>
  <si>
    <t>8100 X-CLEAN+ 5W30 1L 8.41eur</t>
  </si>
  <si>
    <t>8100 X-CLEAN+ 5W30 5L 42eur</t>
  </si>
  <si>
    <t>mindaugas Striska audi a6 c8</t>
  </si>
  <si>
    <t>tepalu keitimas 35e</t>
  </si>
  <si>
    <t>F 026 400 776 33eur</t>
  </si>
  <si>
    <t>E4931LC 25eur</t>
  </si>
  <si>
    <t>E219H D330 10eur</t>
  </si>
  <si>
    <t>Striska audi a6 c8 mindaugas</t>
  </si>
  <si>
    <t>100.3386.70 (ZIMMERMANN) 2x350eur</t>
  </si>
  <si>
    <t xml:space="preserve">	P 85 165 (BREMBO) 90eur</t>
  </si>
  <si>
    <t>1 987 473 604 8eur</t>
  </si>
  <si>
    <t>https://r2-bike.com/SRAM-RED-AXS-Rear-Derailleur-12-speed-36T</t>
  </si>
  <si>
    <t>https://r2-bike.com/SRAM-Force-Cassette-XG-1270-12-speed-E1-silver-10-36-Teeth</t>
  </si>
  <si>
    <t>https://r2-bike.com/SCHWALBE-valve-insert-black-SV</t>
  </si>
  <si>
    <t xml:space="preserve">pirelli ice zero </t>
  </si>
  <si>
    <t>Statlina uab  bisikirskas vln</t>
  </si>
  <si>
    <t>IDE010027</t>
  </si>
  <si>
    <t>mantas jastremskas r2bike 2026-01-20</t>
  </si>
  <si>
    <t>495eur</t>
  </si>
  <si>
    <t>mantas jastremskas r2bike 2026-02-11</t>
  </si>
  <si>
    <t>117+50+208+7.1+17.8</t>
  </si>
  <si>
    <t>400eur</t>
  </si>
  <si>
    <t>pervedziau alga uz 2026-01  847eur</t>
  </si>
  <si>
    <t>bmw ratu dazymas savikaina 340e</t>
  </si>
  <si>
    <t>IDE010026</t>
  </si>
  <si>
    <t>merso ratu dazymas savik 245+40e kurjeriai</t>
  </si>
  <si>
    <t>MUC689 aurimas nav sneidaraitis</t>
  </si>
  <si>
    <t>A9S002MT 4.73eur</t>
  </si>
  <si>
    <r>
      <rPr>
        <rFont val="Arial"/>
        <color rgb="FF000000"/>
        <sz val="11.0"/>
      </rPr>
      <t>A9S002MT</t>
    </r>
    <r>
      <rPr>
        <rFont val="Arial"/>
        <color rgb="FF000000"/>
        <sz val="11.0"/>
      </rPr>
      <t xml:space="preserve"> 4.73eur</t>
    </r>
  </si>
  <si>
    <t>Seat LGP833 laurynas goncauskas</t>
  </si>
  <si>
    <t>Atraminiu guoliu keitimas is abeju pusiu, vairo traukes hamuto keitimas, balansas, disku valymas, 1vnt prasukta padanga (montazke), 3vnt nauji varztai</t>
  </si>
  <si>
    <t>IDE010113</t>
  </si>
  <si>
    <t>A7W006MT 10.36eur</t>
  </si>
  <si>
    <r>
      <rPr>
        <rFont val="Arial"/>
        <color rgb="FF000000"/>
        <sz val="11.0"/>
      </rPr>
      <t>A7W006MT</t>
    </r>
    <r>
      <rPr>
        <rFont val="Arial"/>
        <color rgb="FF000000"/>
        <sz val="11.0"/>
      </rPr>
      <t xml:space="preserve"> 10.36eur</t>
    </r>
  </si>
  <si>
    <t>Seat LGP833</t>
  </si>
  <si>
    <t>seat slapuku atsukimas :))</t>
  </si>
  <si>
    <t>A7W032MT 5.01eur</t>
  </si>
  <si>
    <r>
      <rPr>
        <rFont val="Arial"/>
        <color rgb="FF000000"/>
        <sz val="11.0"/>
      </rPr>
      <t>A7W032MT</t>
    </r>
    <r>
      <rPr>
        <rFont val="Arial"/>
        <color rgb="FF000000"/>
        <sz val="11.0"/>
      </rPr>
      <t xml:space="preserve"> 5.01eur</t>
    </r>
  </si>
  <si>
    <t>IDE010048</t>
  </si>
  <si>
    <t>925103F000 15.26eur</t>
  </si>
  <si>
    <t>3 397 011 678 7.53eur</t>
  </si>
  <si>
    <t>3 397 118 908 20.18eur</t>
  </si>
  <si>
    <t>Goncauskas KIA LLI571</t>
  </si>
  <si>
    <t>J30037OEM 13.13eur</t>
  </si>
  <si>
    <t>valytuvai ir keitimas, bagazines plastiko ardymas (sutvarkytas lango apiplovimas), galinio zibinto lempuciu keitimas, galiniu suvediminiu svirciu keitimas</t>
  </si>
  <si>
    <t>CTRCQ0153 12.60eur</t>
  </si>
  <si>
    <t>PHI 12499/2B 1.43eur</t>
  </si>
  <si>
    <t>Goncauskas KIA</t>
  </si>
  <si>
    <r>
      <rPr>
        <rFont val="Arial"/>
        <color rgb="FF000000"/>
        <sz val="11.0"/>
      </rPr>
      <t>J30037OEM</t>
    </r>
    <r>
      <rPr>
        <rFont val="Arial"/>
        <color rgb="FF000000"/>
        <sz val="11.0"/>
      </rPr>
      <t xml:space="preserve"> 13.13eur</t>
    </r>
  </si>
  <si>
    <t>LX 1211  12eur</t>
  </si>
  <si>
    <t>8100 X-CLEAN+ 5W30 5L  43eur</t>
  </si>
  <si>
    <t>skoda rimas osk baltics rimas b</t>
  </si>
  <si>
    <t>E19H D83  6eur</t>
  </si>
  <si>
    <t>keitimas tepalu ir filtru</t>
  </si>
  <si>
    <t>skoda rimas osk baltics</t>
  </si>
  <si>
    <t>d1-032sl d1-032sr   470+pvm x2</t>
  </si>
  <si>
    <t>shipping 28+pvm</t>
  </si>
  <si>
    <t xml:space="preserve">Porsche 911        MVI522        Jonas Kneita jkneita@gmail.com        </t>
  </si>
  <si>
    <t>IDE010053</t>
  </si>
  <si>
    <t>Akumuliatorius 95 Ah 850 A EN 12V AGM	AGM A5	PA90, AGM L5, SSP G14, EK960,</t>
  </si>
  <si>
    <t>199eur</t>
  </si>
  <si>
    <t>IDE010054</t>
  </si>
  <si>
    <t>33-14 752 0003 68.43eur</t>
  </si>
  <si>
    <t>A78008MT 11.89eur</t>
  </si>
  <si>
    <r>
      <rPr>
        <rFont val="Arial"/>
        <color rgb="FF000000"/>
        <sz val="11.0"/>
      </rPr>
      <t>A78008MT</t>
    </r>
    <r>
      <rPr>
        <rFont val="Arial"/>
        <color rgb="FF000000"/>
        <sz val="11.0"/>
      </rPr>
      <t xml:space="preserve"> 11.89eur</t>
    </r>
  </si>
  <si>
    <t>Renatas motuzas suzuki swift ljy889</t>
  </si>
  <si>
    <t>IDE010174</t>
  </si>
  <si>
    <t>CTRCE0624 12.90eur</t>
  </si>
  <si>
    <r>
      <rPr>
        <rFont val="Arial"/>
        <strike/>
        <color rgb="FF000000"/>
        <sz val="11.0"/>
      </rPr>
      <t>JTS1178</t>
    </r>
    <r>
      <rPr>
        <rFont val="Arial"/>
        <strike/>
        <color rgb="FF000000"/>
        <sz val="11.0"/>
      </rPr>
      <t xml:space="preserve"> 11.72eur</t>
    </r>
  </si>
  <si>
    <r>
      <rPr>
        <rFont val="Arial"/>
        <strike/>
        <color rgb="FF000000"/>
        <sz val="11.0"/>
      </rPr>
      <t>JTS1178</t>
    </r>
    <r>
      <rPr>
        <rFont val="Arial"/>
        <strike/>
        <color rgb="FF000000"/>
        <sz val="11.0"/>
      </rPr>
      <t xml:space="preserve"> 11.72eur</t>
    </r>
  </si>
  <si>
    <t>ANTIFREEZE AD -35C G12/G12+ RED 5L 9.49eur</t>
  </si>
  <si>
    <t>530 0550 32 127.85eur grazinta</t>
  </si>
  <si>
    <t>apziura dugno kur kas bega ir nuemimas dugno apsaugos</t>
  </si>
  <si>
    <t>155/70r17</t>
  </si>
  <si>
    <t>laurynas kentra</t>
  </si>
  <si>
    <t>103.08savikaina</t>
  </si>
  <si>
    <t>grazino 103.08eur, bet as mokejau uz kurjeri tai kiek 25eur?</t>
  </si>
  <si>
    <t>IDE010093</t>
  </si>
  <si>
    <t>martynas bisikirskas veho vidas vln</t>
  </si>
  <si>
    <t>IDE010045</t>
  </si>
  <si>
    <t>LX 3536 9.18eur</t>
  </si>
  <si>
    <t>H97W07 3.60eur</t>
  </si>
  <si>
    <r>
      <rPr>
        <rFont val="Arial"/>
        <color rgb="FF1155CC"/>
        <sz val="11.0"/>
        <u/>
      </rPr>
      <t>8100 X-CLEAN+ 5W30 5L</t>
    </r>
    <r>
      <rPr>
        <rFont val="Arial"/>
        <color rgb="FF000000"/>
        <sz val="11.0"/>
      </rPr>
      <t xml:space="preserve"> 34.29EUR</t>
    </r>
  </si>
  <si>
    <t>Laurynas Goncauskas Toyota corolla MJC056</t>
  </si>
  <si>
    <r>
      <rPr>
        <rFont val="Arial"/>
        <color rgb="FF1155CC"/>
        <sz val="11.0"/>
        <u/>
      </rPr>
      <t>8100 X-CLEAN+ 5W30 5L</t>
    </r>
    <r>
      <rPr>
        <rFont val="Arial"/>
        <color rgb="FF000000"/>
        <sz val="11.0"/>
      </rPr>
      <t xml:space="preserve"> 34.29eur</t>
    </r>
  </si>
  <si>
    <t>OX 1123D 16.76eur</t>
  </si>
  <si>
    <t>Marek Stefanovič</t>
  </si>
  <si>
    <r>
      <rPr>
        <rFont val="Arial"/>
        <color rgb="FF1155CC"/>
        <sz val="11.0"/>
        <u/>
      </rPr>
      <t>8100 X-CLEAN+ 5W30 5L</t>
    </r>
    <r>
      <rPr>
        <rFont val="Arial"/>
        <color rgb="FF000000"/>
        <sz val="11.0"/>
      </rPr>
      <t xml:space="preserve"> 34.29eur</t>
    </r>
  </si>
  <si>
    <r>
      <rPr>
        <rFont val="Arial"/>
        <color rgb="FF1155CC"/>
        <sz val="11.0"/>
        <u/>
      </rPr>
      <t>EL982340</t>
    </r>
    <r>
      <rPr>
        <rFont val="Arial"/>
        <color rgb="FF000000"/>
        <sz val="11.0"/>
      </rPr>
      <t xml:space="preserve"> 1.68eur</t>
    </r>
  </si>
  <si>
    <t>IDE010044</t>
  </si>
  <si>
    <t>viking wintech</t>
  </si>
  <si>
    <t>arvydas kaimynas</t>
  </si>
  <si>
    <t>AGM A7	490849	VARTA	Akumuliatorius 70 Ah 760 A EN 12V AGM</t>
  </si>
  <si>
    <t xml:space="preserve">jurga Žagaraitė VW Passat </t>
  </si>
  <si>
    <t>IDE010049</t>
  </si>
  <si>
    <t>sailun alpine</t>
  </si>
  <si>
    <t>IDE010046</t>
  </si>
  <si>
    <t>17971N 78.33eur</t>
  </si>
  <si>
    <r>
      <rPr>
        <color rgb="FF000000"/>
      </rPr>
      <t>114 899 0007</t>
    </r>
    <r>
      <rPr/>
      <t xml:space="preserve"> 30eur</t>
    </r>
  </si>
  <si>
    <r>
      <rPr>
        <color rgb="FF000000"/>
      </rPr>
      <t>HP115 858</t>
    </r>
    <r>
      <rPr/>
      <t xml:space="preserve"> 7eur</t>
    </r>
  </si>
  <si>
    <t>vw touran mantas mameniskis jev841</t>
  </si>
  <si>
    <t>stumem i garaze+rucke 2h, reikejo rankini atjunginet</t>
  </si>
  <si>
    <t>IDE010088</t>
  </si>
  <si>
    <r>
      <rPr>
        <color rgb="FF000000"/>
      </rPr>
      <t>ATAS4874</t>
    </r>
    <r>
      <rPr/>
      <t xml:space="preserve"> 47eur</t>
    </r>
  </si>
  <si>
    <t>voztuvu dangtelio keitimas</t>
  </si>
  <si>
    <t>IDE010089</t>
  </si>
  <si>
    <t>1 987 429 404 9eur</t>
  </si>
  <si>
    <t>E85KP D146 18eur</t>
  </si>
  <si>
    <t>vairo jutiklio ir plokstes keitimas</t>
  </si>
  <si>
    <t>IDE010090</t>
  </si>
  <si>
    <t>vairo jutiklio ir uzvedimo plokstes keitimas</t>
  </si>
  <si>
    <t>3.5l is backos</t>
  </si>
  <si>
    <t>starterio keitimas</t>
  </si>
  <si>
    <t>IDE010091</t>
  </si>
  <si>
    <t>1 987 432 397 7.62eur</t>
  </si>
  <si>
    <t>alsuoklyno valymas</t>
  </si>
  <si>
    <t>IDE010092</t>
  </si>
  <si>
    <t>E19H D83 3.82eur</t>
  </si>
  <si>
    <t>186034 139eur</t>
  </si>
  <si>
    <t>550eur viso</t>
  </si>
  <si>
    <t>diagnostika visu bedu tu kurias reikejo tvarkyt</t>
  </si>
  <si>
    <t>MMT A040 D0073  35eur</t>
  </si>
  <si>
    <t>3 397 007 638 29eur</t>
  </si>
  <si>
    <t>valdas fedianinas valdoska audi</t>
  </si>
  <si>
    <t>IDE010172</t>
  </si>
  <si>
    <t>Audi A6 montazke r18</t>
  </si>
  <si>
    <t>MDM007</t>
  </si>
  <si>
    <t>ID4 montazke r19</t>
  </si>
  <si>
    <t>EA4339</t>
  </si>
  <si>
    <t>audi q7 balansas r22+uzdeimas</t>
  </si>
  <si>
    <t>EA3958</t>
  </si>
  <si>
    <t>martynas bisikirskas veho   225+245</t>
  </si>
  <si>
    <t>IDE010058</t>
  </si>
  <si>
    <t>163,357km</t>
  </si>
  <si>
    <t>PFB450SE 5EUR</t>
  </si>
  <si>
    <t>MULTI DCTF 1L 6VNT 60EUR</t>
  </si>
  <si>
    <t>Mantas Staliunas skoda ncu485</t>
  </si>
  <si>
    <t>HU 7020 z 10EUR</t>
  </si>
  <si>
    <t>KX 386 20EUR</t>
  </si>
  <si>
    <t>8100 X-CLEAN+ 5W30 5L 40EUR</t>
  </si>
  <si>
    <t>dsg keitimas</t>
  </si>
  <si>
    <t>LX 4077 14EUR</t>
  </si>
  <si>
    <t>LAK 888 12EUR</t>
  </si>
  <si>
    <t>3 397 007 862 25eur</t>
  </si>
  <si>
    <t>haldex alyvos keitimas</t>
  </si>
  <si>
    <t>HX 190D 20EUR</t>
  </si>
  <si>
    <t>haldex alyva 60eur G 065 175 A2</t>
  </si>
  <si>
    <t>A 00 502  2x16eur</t>
  </si>
  <si>
    <t>p65045  159eur</t>
  </si>
  <si>
    <t>keitimas disku ir kalodkiu</t>
  </si>
  <si>
    <t>195/55r18</t>
  </si>
  <si>
    <t xml:space="preserve">goodear ug perf 3 </t>
  </si>
  <si>
    <t>pirelli univer</t>
  </si>
  <si>
    <t>IDE010052</t>
  </si>
  <si>
    <t>mindaugas ravesa Elbasta, MB</t>
  </si>
  <si>
    <t>IDE010051</t>
  </si>
  <si>
    <r>
      <rPr>
        <rFont val="Arial"/>
        <color rgb="FF000000"/>
        <sz val="11.0"/>
      </rPr>
      <t>3 397 007 862</t>
    </r>
    <r>
      <rPr>
        <rFont val="Arial"/>
        <color rgb="FF000000"/>
        <sz val="11.0"/>
      </rPr>
      <t xml:space="preserve"> 23eur</t>
    </r>
  </si>
  <si>
    <t>0 281 003 056    59.04</t>
  </si>
  <si>
    <t>GSE 183 48.63eur</t>
  </si>
  <si>
    <t>mantas pavliukevicius mix mantulis</t>
  </si>
  <si>
    <t>E1004L 19.34eur</t>
  </si>
  <si>
    <t>E122H D187 8.73eur</t>
  </si>
  <si>
    <t>IDE010086</t>
  </si>
  <si>
    <t>8100 X-CLEAN+ 5W30 5L 34.29eur</t>
  </si>
  <si>
    <t>8100 X-CLEAN+ 5W30 1L 8.41EUR</t>
  </si>
  <si>
    <t>sailun  po 74eur</t>
  </si>
  <si>
    <t>2ratu lyginimas</t>
  </si>
  <si>
    <t>dave 1000eur 2026-04-16</t>
  </si>
  <si>
    <t>martynas bisikirskas Derybininkai.lt, UAB</t>
  </si>
  <si>
    <t>IDE010057</t>
  </si>
  <si>
    <t>A3102+A3103  75eur abu</t>
  </si>
  <si>
    <t>tepalu filtru keiitiams</t>
  </si>
  <si>
    <t>IDE010173</t>
  </si>
  <si>
    <t>padagu keit</t>
  </si>
  <si>
    <t xml:space="preserve">CU 28 010 23eur </t>
  </si>
  <si>
    <t>servisas ir check engine</t>
  </si>
  <si>
    <t>85eur</t>
  </si>
  <si>
    <t>155/70r19</t>
  </si>
  <si>
    <t>giti nergy2</t>
  </si>
  <si>
    <t>balansas visa masina merso</t>
  </si>
  <si>
    <t>masina 41633e</t>
  </si>
  <si>
    <t>handling fee 448+pvm ?</t>
  </si>
  <si>
    <t>mantas mameniskis bmw x3M 42081eur</t>
  </si>
  <si>
    <t>traliukas 622+pvm</t>
  </si>
  <si>
    <t>mantas mameniskis bmw x3M fura622eur</t>
  </si>
  <si>
    <t>0 250 403 009 4vnt*13eur</t>
  </si>
  <si>
    <t>zvakiu keitimas 40e</t>
  </si>
  <si>
    <r>
      <rPr>
        <rFont val="Arial"/>
        <color rgb="FF1155CC"/>
        <sz val="11.0"/>
        <u/>
      </rPr>
      <t>OSR66440 XENARC</t>
    </r>
    <r>
      <rPr>
        <rFont val="Arial"/>
        <color rgb="FF000000"/>
        <sz val="11.0"/>
      </rPr>
      <t xml:space="preserve"> 43.33eur</t>
    </r>
  </si>
  <si>
    <r>
      <rPr>
        <rFont val="Arial"/>
        <color rgb="FF1155CC"/>
        <sz val="11.0"/>
        <u/>
      </rPr>
      <t>OSR66440 XENARC</t>
    </r>
    <r>
      <rPr>
        <rFont val="Arial"/>
        <color rgb="FF000000"/>
        <sz val="11.0"/>
      </rPr>
      <t xml:space="preserve"> 43.33eur</t>
    </r>
  </si>
  <si>
    <t>Valerij kaimynas Toyota avensis LAH862</t>
  </si>
  <si>
    <t>Rolandas Šustikas &lt;r.sustikas@gmail.com</t>
  </si>
  <si>
    <t>IDE010104</t>
  </si>
  <si>
    <t>deividas vileniskis dada kia</t>
  </si>
  <si>
    <t>IDE010087</t>
  </si>
  <si>
    <r>
      <rPr>
        <rFont val="Arial"/>
        <color rgb="FF1155CC"/>
        <sz val="11.0"/>
      </rPr>
      <t>0 258 027 215</t>
    </r>
    <r>
      <rPr>
        <rFont val="Arial"/>
        <color rgb="FF000000"/>
        <sz val="11.0"/>
      </rPr>
      <t xml:space="preserve"> 74.86eur</t>
    </r>
  </si>
  <si>
    <t>ES21272-12B1 33.57eur</t>
  </si>
  <si>
    <t>Goncauskas vw golf uvu123</t>
  </si>
  <si>
    <t>IDE010062</t>
  </si>
  <si>
    <t>martynas bisikirskas veho kaunas ŽIVILĖ KLIUČINSKIENĖ</t>
  </si>
  <si>
    <t>ADH22505 4.99eur</t>
  </si>
  <si>
    <t>OC215 6.80eur</t>
  </si>
  <si>
    <r>
      <rPr>
        <rFont val="Arial"/>
        <color rgb="FF333333"/>
        <sz val="11.0"/>
        <u/>
      </rPr>
      <t>466016355163</t>
    </r>
    <r>
      <rPr>
        <rFont val="Arial"/>
        <color rgb="FF000000"/>
        <sz val="11.0"/>
      </rPr>
      <t xml:space="preserve"> 28.02</t>
    </r>
  </si>
  <si>
    <t>8100 X-CLEAN EFE 5W30 5L 35.86eur</t>
  </si>
  <si>
    <t>C 26 006 14.93eur</t>
  </si>
  <si>
    <t>BM91719H  280eur</t>
  </si>
  <si>
    <t>keitimas katalyzo</t>
  </si>
  <si>
    <t>Akumuliatorius 52 Ah 520 A EN 12V	SD C6	54459,SD C30,EA472,533072,5524</t>
  </si>
  <si>
    <t>79eur</t>
  </si>
  <si>
    <t>EL452830 7.33eur</t>
  </si>
  <si>
    <t>ATAS5190 12.41eur</t>
  </si>
  <si>
    <t>614 650 0003 20.92eur</t>
  </si>
  <si>
    <t>3673986J00 35eur</t>
  </si>
  <si>
    <t>pirelli p7</t>
  </si>
  <si>
    <t>rolandas ginkus kryzkeles prekyba</t>
  </si>
  <si>
    <t>IDE010060</t>
  </si>
  <si>
    <t>martynas bisikirskas veho MB A odontologija</t>
  </si>
  <si>
    <t>140+190</t>
  </si>
  <si>
    <t>IDE010064</t>
  </si>
  <si>
    <t>170+220</t>
  </si>
  <si>
    <t>mantas mameniskis bmw x3</t>
  </si>
  <si>
    <t>98+108eur</t>
  </si>
  <si>
    <t>IDE010056</t>
  </si>
  <si>
    <t>E1054L  17eur</t>
  </si>
  <si>
    <t>E2996LB  32eur</t>
  </si>
  <si>
    <t>8100 XCLEAN+ EFE 0W30 5L 54eur</t>
  </si>
  <si>
    <t>8100 XCLEAN+ EFE 0W30 2l - 25eur</t>
  </si>
  <si>
    <t>tepalu filtru keitimas 35e</t>
  </si>
  <si>
    <r>
      <rPr>
        <rFont val="&quot;Open Sans&quot;, sans-serif"/>
        <color rgb="FF333333"/>
        <sz val="11.0"/>
      </rPr>
      <t xml:space="preserve">E4980LC </t>
    </r>
    <r>
      <rPr>
        <rFont val="Arial"/>
        <color rgb="FF000000"/>
        <sz val="11.0"/>
      </rPr>
      <t>17.30eur</t>
    </r>
  </si>
  <si>
    <r>
      <rPr>
        <rFont val="&quot;Open Sans&quot;, sans-serif"/>
        <color rgb="FF333333"/>
        <sz val="11.0"/>
      </rPr>
      <t xml:space="preserve">HU 6032 z </t>
    </r>
    <r>
      <rPr>
        <rFont val="Arial"/>
        <color rgb="FF000000"/>
        <sz val="11.0"/>
      </rPr>
      <t>12.22eur</t>
    </r>
  </si>
  <si>
    <t>bmw x3m WBSTS010709G36945 mantas mameniskis</t>
  </si>
  <si>
    <t>bridgestone blizzak6</t>
  </si>
  <si>
    <t>martynas bisikirskas veho daiva mazur</t>
  </si>
  <si>
    <t>IDE010068</t>
  </si>
  <si>
    <t>hankook evo suv 2 114757</t>
  </si>
  <si>
    <t>vytautas binkis ec6404</t>
  </si>
  <si>
    <t>IDE010124</t>
  </si>
  <si>
    <t>Skoda Fabia</t>
  </si>
  <si>
    <t>NJC565</t>
  </si>
  <si>
    <t>montazke r15 Dalia Binkiene	vytautas binkis</t>
  </si>
  <si>
    <r>
      <rPr>
        <rFont val="Tahoma, sans-serif"/>
        <b/>
        <color rgb="FF222222"/>
        <sz val="11.0"/>
      </rPr>
      <t xml:space="preserve">35432 01 </t>
    </r>
    <r>
      <rPr>
        <rFont val="Arial"/>
        <b val="0"/>
        <color rgb="FF222222"/>
        <sz val="11.0"/>
      </rPr>
      <t>26.14eur</t>
    </r>
  </si>
  <si>
    <t>Renualt Master VF1MA000370671119 arminas balanaitis</t>
  </si>
  <si>
    <t>E19H D83</t>
  </si>
  <si>
    <t>LX 1000 12.59eur</t>
  </si>
  <si>
    <t>Mantaspaw@gmail.com seat alhambra mantas pavliukevicius</t>
  </si>
  <si>
    <t>116 060 0003/HD 14.33eur</t>
  </si>
  <si>
    <t>Mantaspaw@gmail.com seat alhambra</t>
  </si>
  <si>
    <r>
      <rPr>
        <rFont val="Arial"/>
        <color rgb="FF1155CC"/>
        <sz val="11.0"/>
        <u/>
      </rPr>
      <t>8100 XCLEAN+ EFE 0W30 5L</t>
    </r>
    <r>
      <rPr>
        <rFont val="Arial"/>
        <color rgb="FF000000"/>
        <sz val="11.0"/>
      </rPr>
      <t xml:space="preserve"> 44.50eur</t>
    </r>
  </si>
  <si>
    <r>
      <rPr>
        <rFont val="Arial"/>
        <color rgb="FF1155CC"/>
        <sz val="11.0"/>
        <u/>
      </rPr>
      <t>FE38788</t>
    </r>
    <r>
      <rPr>
        <rFont val="Arial"/>
        <color rgb="FF000000"/>
        <sz val="11.0"/>
      </rPr>
      <t xml:space="preserve"> 3.64eur</t>
    </r>
  </si>
  <si>
    <r>
      <rPr>
        <rFont val="Arial"/>
        <color rgb="FF1155CC"/>
        <sz val="11.0"/>
        <u/>
      </rPr>
      <t>EL813036</t>
    </r>
    <r>
      <rPr>
        <rFont val="Arial"/>
        <color rgb="FF000000"/>
        <sz val="11.0"/>
      </rPr>
      <t xml:space="preserve"> 0.79eur</t>
    </r>
  </si>
  <si>
    <r>
      <rPr>
        <rFont val="Arial"/>
        <color rgb="FF1155CC"/>
        <sz val="11.0"/>
        <u/>
      </rPr>
      <t>8100 XCLEAN+ EFE 0W30 5L</t>
    </r>
    <r>
      <rPr>
        <rFont val="Arial"/>
        <color rgb="FF000000"/>
        <sz val="11.0"/>
      </rPr>
      <t xml:space="preserve"> 44.50eur</t>
    </r>
  </si>
  <si>
    <t>E864H D184 9.41eur</t>
  </si>
  <si>
    <r>
      <rPr>
        <rFont val="Tahoma, sans-serif"/>
        <b/>
        <color rgb="FF222222"/>
        <sz val="11.0"/>
      </rPr>
      <t xml:space="preserve">F 026 400 182 </t>
    </r>
    <r>
      <rPr>
        <rFont val="Arial"/>
        <b val="0"/>
        <color rgb="FF222222"/>
        <sz val="11.0"/>
      </rPr>
      <t>9.54eur</t>
    </r>
  </si>
  <si>
    <t>LAO 855 20.94eur</t>
  </si>
  <si>
    <t>robertas janickas drrobis ja LHZ256 porsche cayenne</t>
  </si>
  <si>
    <t>martynas bisikirskas veho  Senamiesčio investicijos</t>
  </si>
  <si>
    <t>IDE010071</t>
  </si>
  <si>
    <t>IDE010070</t>
  </si>
  <si>
    <t>martynas bisikirskas veho Sąskaita Guruma UAB</t>
  </si>
  <si>
    <t>draudimas</t>
  </si>
  <si>
    <t>paulius mikolaitis paul de mico</t>
  </si>
  <si>
    <t>montakze 1</t>
  </si>
  <si>
    <t>#271446</t>
  </si>
  <si>
    <t>goodyear f1 asymm suv mo1</t>
  </si>
  <si>
    <t>laurynas beriva IDE010240 albertas asymm6</t>
  </si>
  <si>
    <t>IDE010094</t>
  </si>
  <si>
    <t>sask 2,1</t>
  </si>
  <si>
    <t>ts860s 383+438eur</t>
  </si>
  <si>
    <t>275/40r21</t>
  </si>
  <si>
    <t>IDE010074</t>
  </si>
  <si>
    <t>martynas mickevicius</t>
  </si>
  <si>
    <t>heu783 volvo sonas</t>
  </si>
  <si>
    <t>235/35r20</t>
  </si>
  <si>
    <t>michelin pa4</t>
  </si>
  <si>
    <t>antonas mejus aurimas nav ev8427</t>
  </si>
  <si>
    <t>padangos+montazke+dazymas</t>
  </si>
  <si>
    <t>IDE009445</t>
  </si>
  <si>
    <t>antonas mejus aurimas nav</t>
  </si>
  <si>
    <t>china ratai dar vieni r21 9jet35</t>
  </si>
  <si>
    <t>906eur savikaina</t>
  </si>
  <si>
    <t>5H0 807 824  20+pvm savik</t>
  </si>
  <si>
    <t>Lus696 aurimas nav mano golfas</t>
  </si>
  <si>
    <t>5WA 825 102  20+pvm savik</t>
  </si>
  <si>
    <t>8V0 407 811 2x25+ovm</t>
  </si>
  <si>
    <t>aurimas nav deividas vileniskis</t>
  </si>
  <si>
    <t>aurimas nav deividas vileniskis LPD437</t>
  </si>
  <si>
    <t>Ratlankis R19 8.5 5X112 ET30 66.6 AA0000000066</t>
  </si>
  <si>
    <t>china ratai r19  735eur</t>
  </si>
  <si>
    <t>aurimas nav deividas vileniskis dada</t>
  </si>
  <si>
    <t>montazke visur ir burtai guzu/ratu 70eur su pvm</t>
  </si>
  <si>
    <t>renatas motuzas aurimas nav citroen</t>
  </si>
  <si>
    <t>162eur+montazke 2ratai</t>
  </si>
  <si>
    <t>#271447</t>
  </si>
  <si>
    <t>goodyear efficientgrip cargo 2</t>
  </si>
  <si>
    <t>laurynas beriva  IDE010240 albertas</t>
  </si>
  <si>
    <t>152.25+</t>
  </si>
  <si>
    <t>michelin pilot sport ev</t>
  </si>
  <si>
    <t>Algis Butrimovič &lt;tarandesnamas@gmail.com NYY900</t>
  </si>
  <si>
    <t>257eur+montazke</t>
  </si>
  <si>
    <t>IDE010083</t>
  </si>
  <si>
    <t>bisikirskas Moka Uab prekių ir paslaugų auditas.</t>
  </si>
  <si>
    <t>IDE010077</t>
  </si>
  <si>
    <t>michelin mo1</t>
  </si>
  <si>
    <t>martynas bisikirskas veho dainius manikas</t>
  </si>
  <si>
    <t>IDE010073</t>
  </si>
  <si>
    <t>ratu balans visu</t>
  </si>
  <si>
    <t>stabdziu patikra porsche</t>
  </si>
  <si>
    <t>kristijonas plioplys kristis</t>
  </si>
  <si>
    <t>IDE010110</t>
  </si>
  <si>
    <t>E2933LC 20eur</t>
  </si>
  <si>
    <t>LX 343 12eur</t>
  </si>
  <si>
    <t>OX 154/1D 8eur</t>
  </si>
  <si>
    <t>zilvinas ribaltavicius nemesis 4USBT53493LU02785</t>
  </si>
  <si>
    <t>8100 X-CLEAN+ 5W30 5L 40eur</t>
  </si>
  <si>
    <t>8100 X-CLEAN+ 5W30 1L 9eur</t>
  </si>
  <si>
    <t>E488L 9eur</t>
  </si>
  <si>
    <t>E115H01 D208 6eur</t>
  </si>
  <si>
    <t>8100 X-CLEAN+ 5W30 5L 44eur</t>
  </si>
  <si>
    <t>keitimas tepalu</t>
  </si>
  <si>
    <t>1 987 432 397  10eur</t>
  </si>
  <si>
    <t>50 014 504 15eur</t>
  </si>
  <si>
    <t>bmw oro filtras 130eur</t>
  </si>
  <si>
    <t>IDE010079</t>
  </si>
  <si>
    <t>trans</t>
  </si>
  <si>
    <t>michelin ps4 suv mo1</t>
  </si>
  <si>
    <t>martynas bisikirskas veho Mb ivadentus</t>
  </si>
  <si>
    <t>IDE010076</t>
  </si>
  <si>
    <t>latak</t>
  </si>
  <si>
    <t>MICHELIN PILOT SPORT EV MO1 12216</t>
  </si>
  <si>
    <t>denas danyla EE4950</t>
  </si>
  <si>
    <t>IDE010164</t>
  </si>
  <si>
    <t>cereska@d57.lt</t>
  </si>
  <si>
    <t>5045076406450192016 kuponas vidas Žilys  70eur</t>
  </si>
  <si>
    <t xml:space="preserve">	doksas@d57.lt</t>
  </si>
  <si>
    <t>5045076406450217995 kuponas alan karol 80eur</t>
  </si>
  <si>
    <t>goncauskas@d57.lt</t>
  </si>
  <si>
    <t>5045076406450284441 mantas pavliukevicius 80eur</t>
  </si>
  <si>
    <t>gravel padangos 40eur</t>
  </si>
  <si>
    <t>105eur sedyne mtb</t>
  </si>
  <si>
    <t>3shotai burokeliu 7eur?</t>
  </si>
  <si>
    <t>2gel kava, 4i gel paprasti ir 2 powerbar</t>
  </si>
  <si>
    <t>multipro</t>
  </si>
  <si>
    <t>r2bike 2026-02  80eur 4i dalykai</t>
  </si>
  <si>
    <t>splitwise skola 113eur</t>
  </si>
  <si>
    <t>nemencinej geliuku daviau 2026-05-10</t>
  </si>
  <si>
    <t>8100 XCLEAN+ EFE 0W30 5L</t>
  </si>
  <si>
    <t>2x55eur + keitimas</t>
  </si>
  <si>
    <t>E900H D431 17eur</t>
  </si>
  <si>
    <t>marius sabaliauskas baranas audi sq8</t>
  </si>
  <si>
    <t>1 langu</t>
  </si>
  <si>
    <t>westlake z107</t>
  </si>
  <si>
    <t>simonas didziulis #2603063</t>
  </si>
  <si>
    <t>IDE010128</t>
  </si>
  <si>
    <t>Goodyear asymm 6</t>
  </si>
  <si>
    <t>Ricardas Tverijonas &lt;ricardastverijonas@gmail.com</t>
  </si>
  <si>
    <t>355+360e</t>
  </si>
  <si>
    <t>1515 dave</t>
  </si>
  <si>
    <t>IDE010132</t>
  </si>
  <si>
    <t>Ricardas Tverijonas &lt;ricardastverijonas@gmail.com OAA310</t>
  </si>
  <si>
    <t>SPECIFIC 0720 5W30 1L  2x12eur</t>
  </si>
  <si>
    <t>E112H D180  10eur</t>
  </si>
  <si>
    <t>LAK 196 26eur</t>
  </si>
  <si>
    <t>SPECIFIC 0720 5W30 5L  50eur</t>
  </si>
  <si>
    <t>E415L  17eur</t>
  </si>
  <si>
    <t>1 457 431 705 13eur</t>
  </si>
  <si>
    <t>klaidu trynimas</t>
  </si>
  <si>
    <t>montazke dvieju padangu su valymu</t>
  </si>
  <si>
    <t>dvi padangos 2x10eur</t>
  </si>
  <si>
    <t>200eur viso skola</t>
  </si>
  <si>
    <t>goodyear f1 asymm 5 bmw</t>
  </si>
  <si>
    <t>sarunas skyrius fzh012</t>
  </si>
  <si>
    <t>IDE010085</t>
  </si>
  <si>
    <t>continental sportcontact7 nc0</t>
  </si>
  <si>
    <t xml:space="preserve">conti 7  </t>
  </si>
  <si>
    <t>julija ceglyte porsche</t>
  </si>
  <si>
    <t>marius sabaliauskas baranas Nlv799</t>
  </si>
  <si>
    <t>IDE010136</t>
  </si>
  <si>
    <t>R22x10 5X112 ET 45 66.6 B1766 Black Half Matt+Polished Lip (BLHMPL) For MER (P+Z3) (REAR+FRONT)</t>
  </si>
  <si>
    <t>tomas naruskevic ec7448</t>
  </si>
  <si>
    <t>IDE010115</t>
  </si>
  <si>
    <t>R22x11.5 5X112 ET 47 66.6 B1766 Black Half Matt+Polished Lip (BLHMPL) For MER (Z3) (REAR+FRONT)</t>
  </si>
  <si>
    <t>tomas naruskevic tomas.k@reklamis.lt</t>
  </si>
  <si>
    <t>debica vasarines</t>
  </si>
  <si>
    <t>montazke be masinos+r16 cargo montazke irgi</t>
  </si>
  <si>
    <t>IDE010135</t>
  </si>
  <si>
    <t>balansas volvo disku dideli</t>
  </si>
  <si>
    <t>paliko 2 komplektus prie vartu</t>
  </si>
  <si>
    <t>montazke r17 suv +util?</t>
  </si>
  <si>
    <t>montazke r17</t>
  </si>
  <si>
    <t>JR Wheels SL01 19x10 ET29 5x120 Matt</t>
  </si>
  <si>
    <t>IDE010184</t>
  </si>
  <si>
    <t>JR Wheels SL01 19x9 ET20 5x120 Matt Black SL011990F25I2</t>
  </si>
  <si>
    <t>goodyear 98Y EAG F1 ASY 6 XL 595983</t>
  </si>
  <si>
    <t>aurimas nav tayron AIA044</t>
  </si>
  <si>
    <t>antra karta uzdet rastafkes</t>
  </si>
  <si>
    <t>varztai nauji</t>
  </si>
  <si>
    <t>S90-2-08-003-B  2x95eur</t>
  </si>
  <si>
    <t>idejau keitima rastafkiu</t>
  </si>
  <si>
    <t>goodyear effc perf2 588320</t>
  </si>
  <si>
    <t>Tadas Stasiulis KBH712</t>
  </si>
  <si>
    <t>goodyear asymm 6 581472</t>
  </si>
  <si>
    <t>MNV130        Kasparas Kubilinskas</t>
  </si>
  <si>
    <t>IDE010224</t>
  </si>
  <si>
    <t>goodyear asymm 6 594585</t>
  </si>
  <si>
    <t>matas buzelis MBF020</t>
  </si>
  <si>
    <t>goodyear asymm 6 581542</t>
  </si>
  <si>
    <t>goodyear efficientgirp 542479</t>
  </si>
  <si>
    <t>goodyear asymm 6 581512</t>
  </si>
  <si>
    <t>adomas soblinskas</t>
  </si>
  <si>
    <t>fulda sportcontrol 2 579515</t>
  </si>
  <si>
    <t>rolandas sustikas</t>
  </si>
  <si>
    <t>debica 542393</t>
  </si>
  <si>
    <t>peugeot partner	MBL069 tomas mingela</t>
  </si>
  <si>
    <t>#271449</t>
  </si>
  <si>
    <t>stasys ivaskauskas  IDE010240 albertas</t>
  </si>
  <si>
    <t>fulda sportcontrol 2 579493</t>
  </si>
  <si>
    <t>tautvydas bagonas</t>
  </si>
  <si>
    <t>163e</t>
  </si>
  <si>
    <t>andrius stepankevicius golf r LOI101</t>
  </si>
  <si>
    <t>dazymas</t>
  </si>
  <si>
    <t>IDE010169</t>
  </si>
  <si>
    <t>goodyear asymm 6 724306</t>
  </si>
  <si>
    <t>goodyear asymm 6 581481</t>
  </si>
  <si>
    <t>Rytis Čius is facebook</t>
  </si>
  <si>
    <t>#255396</t>
  </si>
  <si>
    <t>IDE010142 digimas@</t>
  </si>
  <si>
    <t>reginau kupona tik</t>
  </si>
  <si>
    <t>215/55r16</t>
  </si>
  <si>
    <t>sava intensa hp2 542530</t>
  </si>
  <si>
    <t>edgaras kovaliovas lfu484</t>
  </si>
  <si>
    <t>3 397 004 631  7eur</t>
  </si>
  <si>
    <t>3 397 007 088 25eur</t>
  </si>
  <si>
    <t>ieva misiuniene LML979</t>
  </si>
  <si>
    <t>IDE010138</t>
  </si>
  <si>
    <t>#255388</t>
  </si>
  <si>
    <t>goodyear 97V EFFIGRIP PERF XL 724257</t>
  </si>
  <si>
    <t>paulius grigaitis MBC785 IDE010142-digimas@</t>
  </si>
  <si>
    <t>fulda SPORTCONTROL 2 XL FP 579490</t>
  </si>
  <si>
    <t>vw passat        NGR792 interlux</t>
  </si>
  <si>
    <t>vidut geriau</t>
  </si>
  <si>
    <t>fulda SPORTCONTROL 2 XL FP 579496</t>
  </si>
  <si>
    <t>audi a4 allroad	Mrr506 interlux</t>
  </si>
  <si>
    <t>vidut geriau tyliau</t>
  </si>
  <si>
    <t>#271450</t>
  </si>
  <si>
    <t>goodyear effic grip 2 xl  574135</t>
  </si>
  <si>
    <t>mercedes viano jtr371 Aivaras  interlux IDE010240 albertas</t>
  </si>
  <si>
    <t>1draudimas</t>
  </si>
  <si>
    <t>mercedes viano        jtr371        Aivaras  interlux</t>
  </si>
  <si>
    <t>2ieju padangu montazke atskirai</t>
  </si>
  <si>
    <t>sava 100Y INTENSA UHP 2 XL FP 579404</t>
  </si>
  <si>
    <t>cupra Formentor      NJC481  interlux</t>
  </si>
  <si>
    <t>vidut</t>
  </si>
  <si>
    <t>sava 98W INTENSA UHP 2 XL FP 579503</t>
  </si>
  <si>
    <t>passat b8	jto174  interlux</t>
  </si>
  <si>
    <t xml:space="preserve"> fulda ECOCONTROL SUV FP 721208</t>
  </si>
  <si>
    <t>kodiaq	jst157	cereska ricardas interlux</t>
  </si>
  <si>
    <t>fulda SPORTCONTROL 2 XL 579515</t>
  </si>
  <si>
    <t>audi a6	hpj757 interlux</t>
  </si>
  <si>
    <t xml:space="preserve">vidut </t>
  </si>
  <si>
    <t>goodyear efficientgrip perf2 581670</t>
  </si>
  <si>
    <t>Gediminas Kerpiskis &lt;gediminas.kerpiskis@gmail.com</t>
  </si>
  <si>
    <t>IDE010179</t>
  </si>
  <si>
    <t>295/40r21</t>
  </si>
  <si>
    <t>Goodyear supersport NE0 580135</t>
  </si>
  <si>
    <t>EC1396 tomas mingela nav</t>
  </si>
  <si>
    <t>IDE010199</t>
  </si>
  <si>
    <t>Goodyear supersport NE0 580136</t>
  </si>
  <si>
    <t>mantas jastremskas cailas AIA898</t>
  </si>
  <si>
    <t>340e+montazke</t>
  </si>
  <si>
    <t>montazke r22</t>
  </si>
  <si>
    <t>195/70r15c</t>
  </si>
  <si>
    <t>domas raskevicius</t>
  </si>
  <si>
    <t>goodyear efficeitngrip perf2</t>
  </si>
  <si>
    <t>petras jurkuvenas NDJ199</t>
  </si>
  <si>
    <t>MICHELIN PILOT SPORT CUP 2 bmw 8814</t>
  </si>
  <si>
    <t>668e savik</t>
  </si>
  <si>
    <t>VOLVO S60</t>
  </si>
  <si>
    <t>MBN536</t>
  </si>
  <si>
    <t>driving ed sask + rato lyginimas+r18 montazke</t>
  </si>
  <si>
    <t>Antanas Minkevicius</t>
  </si>
  <si>
    <t>IDE010134</t>
  </si>
  <si>
    <t>Kia Sportage</t>
  </si>
  <si>
    <t>montazke r18+util</t>
  </si>
  <si>
    <t>Skoda        MCI119 tomas mingela nav</t>
  </si>
  <si>
    <t>NOE028 montazke</t>
  </si>
  <si>
    <t>Renualt        NLN144 montazke</t>
  </si>
  <si>
    <t>Renualt master        MFI660 ratu keitimas su balansu</t>
  </si>
  <si>
    <t>julius navagrudskas info@cineservice.lt</t>
  </si>
  <si>
    <t>IDE010075</t>
  </si>
  <si>
    <t>haxer ratai r20 mustang hyuindai</t>
  </si>
  <si>
    <t>MB RIKEVA  Info@rikeva.lt</t>
  </si>
  <si>
    <t>IDE010084</t>
  </si>
  <si>
    <t>AD g12 8L 20e</t>
  </si>
  <si>
    <r>
      <rPr>
        <rFont val="Arial"/>
        <color rgb="FF1155CC"/>
        <sz val="11.0"/>
        <u/>
      </rPr>
      <t>OSM 03008817 10SZT</t>
    </r>
    <r>
      <rPr>
        <rFont val="Arial"/>
        <color rgb="FF1F1F1F"/>
        <sz val="11.0"/>
      </rPr>
      <t xml:space="preserve"> 5.70eur</t>
    </r>
  </si>
  <si>
    <r>
      <rPr>
        <rFont val="Arial"/>
        <color rgb="FF1155CC"/>
        <sz val="11.0"/>
        <u/>
      </rPr>
      <t>LE3871.00</t>
    </r>
    <r>
      <rPr>
        <rFont val="Arial"/>
        <color rgb="FF000000"/>
        <sz val="11.0"/>
      </rPr>
      <t xml:space="preserve"> 7.73eur</t>
    </r>
  </si>
  <si>
    <t>6PK948 8.66eur</t>
  </si>
  <si>
    <t>Barintas Čepukaitis LIA592 FIAT DUCATO</t>
  </si>
  <si>
    <t>265/35r22</t>
  </si>
  <si>
    <t>goodyear f1 asymm3 t0</t>
  </si>
  <si>
    <t>ugnius jankauskas EE0280</t>
  </si>
  <si>
    <t>IDE010121</t>
  </si>
  <si>
    <t>keitimas 50+30</t>
  </si>
  <si>
    <t>2648701 55eur</t>
  </si>
  <si>
    <t>P 30 140 61eur</t>
  </si>
  <si>
    <r>
      <rPr>
        <rFont val="Arial"/>
        <color rgb="FF000000"/>
        <sz val="10.0"/>
      </rPr>
      <t>Jonas Klimaitis</t>
    </r>
    <r>
      <rPr>
        <rFont val="Arial"/>
        <color rgb="FF7E8694"/>
        <sz val="8.0"/>
      </rPr>
      <t xml:space="preserve"> </t>
    </r>
    <r>
      <rPr>
        <rFont val="Arial"/>
        <color rgb="FF000000"/>
        <sz val="10.0"/>
        <u/>
      </rPr>
      <t>HYUNDAI Tucson</t>
    </r>
    <r>
      <rPr>
        <rFont val="Arial"/>
        <color rgb="FF000000"/>
        <sz val="10.0"/>
      </rPr>
      <t xml:space="preserve"> TMAJB81BANJ194299</t>
    </r>
  </si>
  <si>
    <t>montazke dar padangu</t>
  </si>
  <si>
    <t>R20x9 5X114.3 ET 35 70.5 HX036 (B5597) Black (BL) For HAXER (K4) (Rear+Front)</t>
  </si>
  <si>
    <t>370 (677) 76 626 mustang audrius rimavicius</t>
  </si>
  <si>
    <t>R20x10.5 5X114.3 ET 35 70.5 HX036 (B5597) Black (BL) For HAXER (K4) (Rear+Front)</t>
  </si>
  <si>
    <t>370 (677) 76 626 autoplius</t>
  </si>
  <si>
    <t>ed is viber</t>
  </si>
  <si>
    <t>po 200e</t>
  </si>
  <si>
    <t>edgarmichailov1993@gmail.com</t>
  </si>
  <si>
    <t>kur jis tuos 20eur pervede? :D</t>
  </si>
  <si>
    <t>goodeyar asymm 6</t>
  </si>
  <si>
    <t>IDE010147</t>
  </si>
  <si>
    <t>hankook ion</t>
  </si>
  <si>
    <t>Edgaras Krasavcevas &lt;krasavcevas@gmail.com</t>
  </si>
  <si>
    <t>Edgaras Krasavcevas  Autolead, UAB</t>
  </si>
  <si>
    <t>MULTI DCTF 1L 8.92*7=62.44eur</t>
  </si>
  <si>
    <t>8100 X-CESS GEN2 5W40 5L 31.39eur</t>
  </si>
  <si>
    <t>mantaspaw@gmail.com mantulis pavliukevicius mix</t>
  </si>
  <si>
    <t>XA PR. AMC MAXIMUM 48212 47.43eur</t>
  </si>
  <si>
    <t>HX 190D 16.13eur grazintas</t>
  </si>
  <si>
    <t>E2998LC 8.81eur</t>
  </si>
  <si>
    <t>H317W01 4.80eur</t>
  </si>
  <si>
    <t>mantaspaw@gmail.com</t>
  </si>
  <si>
    <t>HX 139D 17.05eur</t>
  </si>
  <si>
    <t>E1105L 10.14eur</t>
  </si>
  <si>
    <t xml:space="preserve">MARSHAL HP91 </t>
  </si>
  <si>
    <t>NDM840 mingela nav</t>
  </si>
  <si>
    <t>IDE010198</t>
  </si>
  <si>
    <t>OX 813/2D 12eur</t>
  </si>
  <si>
    <t>LX 3424 23eur</t>
  </si>
  <si>
    <t>BMW f36 Zilvinas Ribaltavičius</t>
  </si>
  <si>
    <r>
      <rPr>
        <color rgb="FF000000"/>
      </rPr>
      <t>8100 XCLEAN+ EFE 0W30 5L</t>
    </r>
    <r>
      <rPr/>
      <t xml:space="preserve"> 47eur</t>
    </r>
  </si>
  <si>
    <r>
      <rPr>
        <color rgb="FF000000"/>
      </rPr>
      <t>8100 XCLEAN+ EFE 0W30 1L</t>
    </r>
    <r>
      <rPr/>
      <t xml:space="preserve"> 10eur</t>
    </r>
  </si>
  <si>
    <t>295/40r20</t>
  </si>
  <si>
    <t>jonas poskus +37068603400 whatsapp</t>
  </si>
  <si>
    <t>viking transtech</t>
  </si>
  <si>
    <t>julius navagrudskas info@cineservice.lt NOE031</t>
  </si>
  <si>
    <t>tautvydas vileniskis dada  taudom uab NGT100</t>
  </si>
  <si>
    <t>IDE010166</t>
  </si>
  <si>
    <t>goodyear efficientgrip perf2 suv</t>
  </si>
  <si>
    <t>Žilvinas Skačkauskas &lt;zilvinas@contentus.lt</t>
  </si>
  <si>
    <t>157eur</t>
  </si>
  <si>
    <t>Žilvinas Skačkauskas &lt;zilvinas@contentus.lt LEB870</t>
  </si>
  <si>
    <t>IDE010151</t>
  </si>
  <si>
    <t>varztai 30eur</t>
  </si>
  <si>
    <t>sekretkos 40eur</t>
  </si>
  <si>
    <t>mantas jastremskas audi AIA898</t>
  </si>
  <si>
    <t>ismontavau r22 padangos ratlankiu kur sandeli buvo ir isemiau davyklius, davyklius uzdejau ant nauju china ratu ir sumontavau naujus goodyear padangos</t>
  </si>
  <si>
    <t>michelin pilotsport 5</t>
  </si>
  <si>
    <t>860118787 sms italala kava aleksas AID384 baniulio</t>
  </si>
  <si>
    <t>IDE010119</t>
  </si>
  <si>
    <t>53873 triangle 202</t>
  </si>
  <si>
    <t>IDE010105</t>
  </si>
  <si>
    <t>Toyota auris</t>
  </si>
  <si>
    <t>sve123</t>
  </si>
  <si>
    <t>montazke r18+pakabos patikra Laurynas Goncauskas</t>
  </si>
  <si>
    <t>295/35r23</t>
  </si>
  <si>
    <t>yokohama v107 113528</t>
  </si>
  <si>
    <t>yokohama v107 53362</t>
  </si>
  <si>
    <t>mantas jastremskas cailas ant japan racing</t>
  </si>
  <si>
    <t>163+210eur</t>
  </si>
  <si>
    <t>265/35r19</t>
  </si>
  <si>
    <t>yokohama v107 53389</t>
  </si>
  <si>
    <t>265/30r20</t>
  </si>
  <si>
    <t>yokohama v107 53535</t>
  </si>
  <si>
    <t>mantas jastremskas cailas ant dazytu ratu garaze</t>
  </si>
  <si>
    <t>192+200e</t>
  </si>
  <si>
    <t>yokohama v107 113467</t>
  </si>
  <si>
    <t>montazke abieju</t>
  </si>
  <si>
    <t>winrun r330 129829</t>
  </si>
  <si>
    <t>135+166eur</t>
  </si>
  <si>
    <t>winrun r330 129832</t>
  </si>
  <si>
    <t>michelin ps4 suv VOL 11933</t>
  </si>
  <si>
    <t>valdas ustinovicius</t>
  </si>
  <si>
    <t>238eur</t>
  </si>
  <si>
    <t>5045076406450314610 gvidas</t>
  </si>
  <si>
    <t>sailun atrezo elite 2 113556</t>
  </si>
  <si>
    <t>113627 yokohama v108 ncs</t>
  </si>
  <si>
    <t>vw tiguan	LIJ527	labradon  interlux</t>
  </si>
  <si>
    <t>12935 triangle</t>
  </si>
  <si>
    <t>vw transporter	FOS614  interlux</t>
  </si>
  <si>
    <t>pirelli pzero 9221 ao</t>
  </si>
  <si>
    <t xml:space="preserve">	LIO301	Valdas Ustinovicius</t>
  </si>
  <si>
    <t>215/50r19</t>
  </si>
  <si>
    <t xml:space="preserve">kumho ps71 ev66961 </t>
  </si>
  <si>
    <t>IDE010187</t>
  </si>
  <si>
    <t>dynamo 114047</t>
  </si>
  <si>
    <t>martynas aniulis insitus MYS328</t>
  </si>
  <si>
    <t>winrun r330 114147</t>
  </si>
  <si>
    <t>Donatas Zataveckas &lt;donatas.zataveckas@gmail.com</t>
  </si>
  <si>
    <t>IDE010096</t>
  </si>
  <si>
    <t>winrun r330 9460</t>
  </si>
  <si>
    <t>YOKOHAMA GEOLANDAR X-CV G058 133455</t>
  </si>
  <si>
    <t>IDE010063</t>
  </si>
  <si>
    <t>215/65r15c</t>
  </si>
  <si>
    <t>SAILUN COMMERCIO PRO 53821</t>
  </si>
  <si>
    <t>KUMHO KC53  134056</t>
  </si>
  <si>
    <t>215/70r15c</t>
  </si>
  <si>
    <t>sailun comercio pro 53822</t>
  </si>
  <si>
    <t xml:space="preserve">tomas mingela nav LMZ555 </t>
  </si>
  <si>
    <t>LIN821 tomas mingela</t>
  </si>
  <si>
    <t xml:space="preserve">rojus aidietis LPM617 </t>
  </si>
  <si>
    <t>IDE010165</t>
  </si>
  <si>
    <t>lipdukai 10e</t>
  </si>
  <si>
    <t>36 13 6 783 536 4x19eur</t>
  </si>
  <si>
    <t>mantas ank  NSL054</t>
  </si>
  <si>
    <t xml:space="preserve">04/07		BMW 3	NSL054		ratu uzdeimas+priority+nauji bmw rato kamstukai ((montazke r18+disku dazymas (1vnt rato lyginimas, jau rasyta exelyje virsui))	</t>
  </si>
  <si>
    <t>kumho ps72</t>
  </si>
  <si>
    <t>hankook evo suv</t>
  </si>
  <si>
    <t>JJP090 tomas mingela interlux nav</t>
  </si>
  <si>
    <t>185eur</t>
  </si>
  <si>
    <t>thule ant kablio</t>
  </si>
  <si>
    <t>R19x8.5 5X120 ET 35 72.6 B1416 (FBX124) Black (BL) For BMW (Z3+A) (HYBRID FORGED Rear+Front)</t>
  </si>
  <si>
    <t>china ratlankiai</t>
  </si>
  <si>
    <t>760eur</t>
  </si>
  <si>
    <t>R19x9.5 5X120 ET 40 72.6 B1416 (FBX124) Black (BL) For BMW (Z5+Z3+A) (HYBRID FORGED Rear+Front)</t>
  </si>
  <si>
    <t xml:space="preserve">davikliai nauji </t>
  </si>
  <si>
    <t>120eur+montazke</t>
  </si>
  <si>
    <t>880eur</t>
  </si>
  <si>
    <t>275/30r19</t>
  </si>
  <si>
    <t>Deivydas Venys</t>
  </si>
  <si>
    <t>#2604111  IDE010099</t>
  </si>
  <si>
    <t>uniroyal</t>
  </si>
  <si>
    <t>genki vita silinyte bmw krasta</t>
  </si>
  <si>
    <t>#271443</t>
  </si>
  <si>
    <t>285/60r18</t>
  </si>
  <si>
    <t>laurynas beriva IDE010239 balanaitis</t>
  </si>
  <si>
    <t>#271439</t>
  </si>
  <si>
    <t>Antanas Minkevicius  IDE010239 balanaitis</t>
  </si>
  <si>
    <t>ADT322100  8eur</t>
  </si>
  <si>
    <t>nekeite dar</t>
  </si>
  <si>
    <t>OX 416D2    8eur</t>
  </si>
  <si>
    <t>stabdziu slangos 150e</t>
  </si>
  <si>
    <t>laurynas goncauskas golf mk8 r</t>
  </si>
  <si>
    <t>#271437</t>
  </si>
  <si>
    <t>Denis Aksionov IDE010239 balanaitis asym6*</t>
  </si>
  <si>
    <t>IDE010082</t>
  </si>
  <si>
    <t>winrun r330</t>
  </si>
  <si>
    <t>tomas naruskevic tomas.k@reklamis.lt +37065581010</t>
  </si>
  <si>
    <t>IDE010178</t>
  </si>
  <si>
    <t>166eur</t>
  </si>
  <si>
    <t>R22x10 5X112 ET 56 66.6 B5318 (3S5318) Black Half Matt+Polished Lip (BLHMPL) For MER (P+M) (HYBRID FORGED Rear+Front)</t>
  </si>
  <si>
    <t>285eur</t>
  </si>
  <si>
    <t>R22x11 5X112 ET 40 66.6 B5318 (3S5318) Black Half Matt+Polished Lip (BLHMPL) For MER (P) (HYBRID FORGED Rear+Front)</t>
  </si>
  <si>
    <t>nauji varztai+davikliai+montazke</t>
  </si>
  <si>
    <t>montazke zieminiu2vnt+balans visu</t>
  </si>
  <si>
    <t>Ignas Buda &lt;ignassbuda@gmail.com</t>
  </si>
  <si>
    <t>motul xmax 0w40 2x5L</t>
  </si>
  <si>
    <t>balsana</t>
  </si>
  <si>
    <t>kumho hp91</t>
  </si>
  <si>
    <t>arturas kiselis</t>
  </si>
  <si>
    <t>93e puslapio kaina</t>
  </si>
  <si>
    <t>82e savik</t>
  </si>
  <si>
    <t>EC2002 04/08</t>
  </si>
  <si>
    <t>montazke r19</t>
  </si>
  <si>
    <t>Justas Krasuckis</t>
  </si>
  <si>
    <t>montazke r17 EV0815</t>
  </si>
  <si>
    <t>Nissan leaf</t>
  </si>
  <si>
    <t>fulda ecocontrol hp2 xl</t>
  </si>
  <si>
    <t>fulda ecocontrol hp2</t>
  </si>
  <si>
    <t>goodyear vec 4seasons g3</t>
  </si>
  <si>
    <t>martynas bisikirskas veho Vytautas Martinaitis</t>
  </si>
  <si>
    <t>IDE010116</t>
  </si>
  <si>
    <t>uniroyal rainsport5</t>
  </si>
  <si>
    <t>justas Krasuckis led333</t>
  </si>
  <si>
    <t>IDE010123</t>
  </si>
  <si>
    <t>IDE010148</t>
  </si>
  <si>
    <t>conti sportcontact7</t>
  </si>
  <si>
    <t>raimond stefanovic dofa audi rs5</t>
  </si>
  <si>
    <t>fulda sportcontrool 2</t>
  </si>
  <si>
    <t>#270522</t>
  </si>
  <si>
    <t>goodyear f1 asymm3 suv</t>
  </si>
  <si>
    <t>laurynas beriva IDE010228 zakroiskis</t>
  </si>
  <si>
    <t xml:space="preserve">michelin anakee adventure </t>
  </si>
  <si>
    <t>153eur</t>
  </si>
  <si>
    <t>NAV LMJ434 MB 20vnt nauju varztu</t>
  </si>
  <si>
    <t>MUR197 nav mingela passat</t>
  </si>
  <si>
    <t>IDE010197</t>
  </si>
  <si>
    <t>sava intensa uhp2</t>
  </si>
  <si>
    <t>rms _ &lt;papasound@gmail.com</t>
  </si>
  <si>
    <t>IDE010131</t>
  </si>
  <si>
    <t>pirelli pz5</t>
  </si>
  <si>
    <t>edvinas sabalys</t>
  </si>
  <si>
    <t>IDE010168</t>
  </si>
  <si>
    <t>conti premiumcontact 7</t>
  </si>
  <si>
    <t>romas petraitis laurynas skoda puodziukas</t>
  </si>
  <si>
    <t>antonas mejus i kauna siust</t>
  </si>
  <si>
    <t>antonas mejus kze985</t>
  </si>
  <si>
    <t xml:space="preserve">antonas mejus </t>
  </si>
  <si>
    <t>235/60r17</t>
  </si>
  <si>
    <t>#258029</t>
  </si>
  <si>
    <t>goodyear efficientgrip perf</t>
  </si>
  <si>
    <t>IDE010149</t>
  </si>
  <si>
    <t>goodeyar f1 asymm 3</t>
  </si>
  <si>
    <t>goodeyar efficeintgrip perf2</t>
  </si>
  <si>
    <t>KFV599 rolandas novikovas ratlis Eglė Hurčinaitė-Orlickienė</t>
  </si>
  <si>
    <t>IDE010152</t>
  </si>
  <si>
    <t>nerijus@zilius.eu EA6556</t>
  </si>
  <si>
    <t>IDE010155</t>
  </si>
  <si>
    <t>305/40r20</t>
  </si>
  <si>
    <t>nerijus@zilius.eu</t>
  </si>
  <si>
    <t>#270516</t>
  </si>
  <si>
    <t>3+3 geliukai su kofejinu skirtingi po 1.45e</t>
  </si>
  <si>
    <t>mantas jastremskas r2bike 2026-04-16</t>
  </si>
  <si>
    <t>martynas bisikirskas  Ramūnas Unikas</t>
  </si>
  <si>
    <t>IDE010146</t>
  </si>
  <si>
    <t xml:space="preserve">martynas bisikirskas </t>
  </si>
  <si>
    <t>IDE010189</t>
  </si>
  <si>
    <t>#258032</t>
  </si>
  <si>
    <t>goodeyar efcientgrip perf 2</t>
  </si>
  <si>
    <t>bridgestone t005 turanza demo</t>
  </si>
  <si>
    <t>Aurius &lt;beerware@gmail.com</t>
  </si>
  <si>
    <t>slangos keitimas 1.5h</t>
  </si>
  <si>
    <t>tomas peciura tavis</t>
  </si>
  <si>
    <t>IDE010167</t>
  </si>
  <si>
    <t>#270520</t>
  </si>
  <si>
    <t>paul demico toyota sonas avarija</t>
  </si>
  <si>
    <t>abi skodos mano</t>
  </si>
  <si>
    <t>tomas gluoksnis</t>
  </si>
  <si>
    <t>IDE010216</t>
  </si>
  <si>
    <t>11/20		BMW M240i	LIP333		davykliu pririsimas	gluoksnis</t>
  </si>
  <si>
    <t>daviklai nauji</t>
  </si>
  <si>
    <t>10/28		Cupra			montazke r19	Tomas Gluoksnis</t>
  </si>
  <si>
    <t>nankang</t>
  </si>
  <si>
    <t>Vladislav Stech Zwilling</t>
  </si>
  <si>
    <t>klaudijus stroginis</t>
  </si>
  <si>
    <t>0w40 300v motul 6L ?</t>
  </si>
  <si>
    <t>rimas alisauskas polo gti</t>
  </si>
  <si>
    <t>IDE010150</t>
  </si>
  <si>
    <t>uniroyal rainsport 5</t>
  </si>
  <si>
    <t>Audi a6        NMV186        Interlux</t>
  </si>
  <si>
    <t>180eur</t>
  </si>
  <si>
    <t>dvi montazkes</t>
  </si>
  <si>
    <t>270+</t>
  </si>
  <si>
    <t>fulda ecocontrol hp</t>
  </si>
  <si>
    <t>IDE010214</t>
  </si>
  <si>
    <t>valera elektrikas</t>
  </si>
  <si>
    <t>265/70r16</t>
  </si>
  <si>
    <t>maxxis at781</t>
  </si>
  <si>
    <t>IDE010193</t>
  </si>
  <si>
    <t>HU 6013 Z  12eur</t>
  </si>
  <si>
    <t>0w40 v300 3vnt ?</t>
  </si>
  <si>
    <t>rbf700 kiek?</t>
  </si>
  <si>
    <t>keitimas stabdziu skyscio ir slangu</t>
  </si>
  <si>
    <t>kestutis</t>
  </si>
  <si>
    <t>IDE010186</t>
  </si>
  <si>
    <t>goodyear f1 6</t>
  </si>
  <si>
    <t>IDE010175</t>
  </si>
  <si>
    <t>#267734</t>
  </si>
  <si>
    <t>Dominykas Navakas &lt;dominykas@anetus.lt alan karol4vntgaliniu</t>
  </si>
  <si>
    <t>IDE010188</t>
  </si>
  <si>
    <t xml:space="preserve">darius kretinga </t>
  </si>
  <si>
    <t>IDE010212</t>
  </si>
  <si>
    <t>goodyear cargo</t>
  </si>
  <si>
    <t>marius asgena LSF907</t>
  </si>
  <si>
    <t>su montazke?</t>
  </si>
  <si>
    <t>IDE010211</t>
  </si>
  <si>
    <t>#267750</t>
  </si>
  <si>
    <t>laurynas beriva alan karol  asymm5 NF1 reginau</t>
  </si>
  <si>
    <t xml:space="preserve">laurynas beriva alan karol </t>
  </si>
  <si>
    <r>
      <rPr>
        <rFont val="Tahoma, sans-serif"/>
        <b/>
        <color rgb="FF222222"/>
        <sz val="11.0"/>
      </rPr>
      <t xml:space="preserve">OX 416D2 </t>
    </r>
    <r>
      <rPr>
        <rFont val="Tahoma, sans-serif"/>
        <b/>
        <color rgb="FFFF0000"/>
        <sz val="11.0"/>
      </rPr>
      <t>5</t>
    </r>
    <r>
      <rPr>
        <rFont val="Tahoma, sans-serif"/>
        <b/>
        <color rgb="FF222222"/>
        <sz val="11.0"/>
      </rPr>
      <t>eur</t>
    </r>
  </si>
  <si>
    <r>
      <rPr>
        <rFont val="Tahoma, sans-serif"/>
        <b/>
        <color rgb="FF222222"/>
        <sz val="11.0"/>
      </rPr>
      <t xml:space="preserve">ADT322110 </t>
    </r>
    <r>
      <rPr>
        <rFont val="Tahoma, sans-serif"/>
        <b/>
        <color rgb="FFFF0000"/>
        <sz val="11.0"/>
      </rPr>
      <t>5.93</t>
    </r>
    <r>
      <rPr>
        <rFont val="Tahoma, sans-serif"/>
        <b/>
        <color rgb="FF222222"/>
        <sz val="11.0"/>
      </rPr>
      <t>eur</t>
    </r>
  </si>
  <si>
    <r>
      <rPr/>
      <t>ADT32522</t>
    </r>
    <r>
      <rPr>
        <color rgb="FFFF0000"/>
      </rPr>
      <t xml:space="preserve"> 7.21eur</t>
    </r>
  </si>
  <si>
    <t>Goncauskas toyota SVE123 sb1zs3je70e197298</t>
  </si>
  <si>
    <r>
      <rPr>
        <rFont val="Arial"/>
        <color rgb="FF1155CC"/>
        <sz val="11.0"/>
        <u/>
      </rPr>
      <t>30-16 020 0161/HD</t>
    </r>
    <r>
      <rPr>
        <rFont val="Arial"/>
        <color rgb="FF1F1F1F"/>
        <sz val="11.0"/>
      </rPr>
      <t xml:space="preserve"> </t>
    </r>
    <r>
      <rPr>
        <rFont val="Arial"/>
        <color rgb="FFFF0000"/>
        <sz val="11.0"/>
      </rPr>
      <t>18.34</t>
    </r>
    <r>
      <rPr>
        <rFont val="Arial"/>
        <color rgb="FF1F1F1F"/>
        <sz val="11.0"/>
      </rPr>
      <t>eur</t>
    </r>
  </si>
  <si>
    <r>
      <rPr>
        <rFont val="Tahoma, sans-serif"/>
        <b/>
        <color rgb="FF222222"/>
        <sz val="11.0"/>
      </rPr>
      <t>81943033</t>
    </r>
    <r>
      <rPr>
        <rFont val="Tahoma, sans-serif"/>
        <b/>
        <color rgb="FFFF0000"/>
        <sz val="11.0"/>
      </rPr>
      <t xml:space="preserve"> 13.48</t>
    </r>
    <r>
      <rPr>
        <rFont val="Tahoma, sans-serif"/>
        <b/>
        <color rgb="FF222222"/>
        <sz val="11.0"/>
      </rPr>
      <t>eur</t>
    </r>
  </si>
  <si>
    <r>
      <rPr>
        <rFont val="Tahoma, sans-serif"/>
        <b/>
        <color rgb="FF222222"/>
        <sz val="11.0"/>
      </rPr>
      <t xml:space="preserve">35003 01 </t>
    </r>
    <r>
      <rPr>
        <rFont val="Tahoma, sans-serif"/>
        <b/>
        <color rgb="FFFF0000"/>
        <sz val="11.0"/>
      </rPr>
      <t>14.42</t>
    </r>
    <r>
      <rPr>
        <rFont val="Tahoma, sans-serif"/>
        <b/>
        <color rgb="FF222222"/>
        <sz val="11.0"/>
      </rPr>
      <t>eur</t>
    </r>
  </si>
  <si>
    <r>
      <rPr>
        <rFont val="Arial"/>
        <color rgb="FF1155CC"/>
        <sz val="11.0"/>
        <u/>
      </rPr>
      <t>8100 X-CLEAN+ 5W30 5L</t>
    </r>
    <r>
      <rPr>
        <rFont val="Arial"/>
        <color rgb="FFFF0000"/>
        <sz val="11.0"/>
      </rPr>
      <t xml:space="preserve"> 40.37</t>
    </r>
    <r>
      <rPr>
        <rFont val="Arial"/>
        <color rgb="FF1F1F1F"/>
        <sz val="11.0"/>
      </rPr>
      <t>eur</t>
    </r>
  </si>
  <si>
    <r>
      <rPr>
        <rFont val="Arial"/>
        <color rgb="FF1155CC"/>
        <sz val="11.0"/>
        <u/>
      </rPr>
      <t>30-16 020 0162/HD</t>
    </r>
    <r>
      <rPr>
        <rFont val="Arial"/>
        <color rgb="FF1F1F1F"/>
        <sz val="11.0"/>
      </rPr>
      <t xml:space="preserve"> </t>
    </r>
    <r>
      <rPr>
        <rFont val="Arial"/>
        <color rgb="FFFF0000"/>
        <sz val="11.0"/>
      </rPr>
      <t>18.34</t>
    </r>
    <r>
      <rPr>
        <rFont val="Arial"/>
        <color rgb="FF1F1F1F"/>
        <sz val="11.0"/>
      </rPr>
      <t>eur</t>
    </r>
  </si>
  <si>
    <r>
      <rPr>
        <rFont val="Tahoma, sans-serif"/>
        <b/>
        <color rgb="FF222222"/>
        <sz val="11.0"/>
      </rPr>
      <t xml:space="preserve">81943033 </t>
    </r>
    <r>
      <rPr>
        <rFont val="Tahoma, sans-serif"/>
        <b/>
        <color rgb="FFFF0000"/>
        <sz val="11.0"/>
      </rPr>
      <t>13.61</t>
    </r>
    <r>
      <rPr>
        <rFont val="Tahoma, sans-serif"/>
        <b/>
        <color rgb="FF222222"/>
        <sz val="11.0"/>
      </rPr>
      <t>eur</t>
    </r>
  </si>
  <si>
    <t>IDE010177</t>
  </si>
  <si>
    <t xml:space="preserve">sunny </t>
  </si>
  <si>
    <t>45eur+montazke</t>
  </si>
  <si>
    <t>sailun atrezzo</t>
  </si>
  <si>
    <t>Miroslav Seniut  #2604932  paysera</t>
  </si>
  <si>
    <t>IDE010181</t>
  </si>
  <si>
    <t>hankook rs3 w462</t>
  </si>
  <si>
    <t>37060109109 donatas@domenai.lt donatas bartusevicius</t>
  </si>
  <si>
    <t>IDE010203</t>
  </si>
  <si>
    <t>goodyear supersport R</t>
  </si>
  <si>
    <t>IDE010196</t>
  </si>
  <si>
    <t>#267757</t>
  </si>
  <si>
    <t>laurynas beriva alankarol4vnt</t>
  </si>
  <si>
    <t>IDE010215</t>
  </si>
  <si>
    <t>#267719</t>
  </si>
  <si>
    <t>275/40r22</t>
  </si>
  <si>
    <t>laurynas beriva gvidas zilys</t>
  </si>
  <si>
    <t>#271436</t>
  </si>
  <si>
    <t>laurynas beriva IDE010239 balanaitis asym6</t>
  </si>
  <si>
    <t>goodyear efficeintgrip perf2 suv</t>
  </si>
  <si>
    <t>saulius asgena</t>
  </si>
  <si>
    <t>IDE010219</t>
  </si>
  <si>
    <t>IDE010182</t>
  </si>
  <si>
    <t>sailun elite 2</t>
  </si>
  <si>
    <t>nerijus bastys sms 061117556 EA4207</t>
  </si>
  <si>
    <t>kupon ner</t>
  </si>
  <si>
    <t xml:space="preserve">goodyear efficeintgrip perf2 </t>
  </si>
  <si>
    <t>Martin Kitkovskis</t>
  </si>
  <si>
    <t>fulda sportcontrol2</t>
  </si>
  <si>
    <t>martynas bisikirskas veho  Sf uab namu resta</t>
  </si>
  <si>
    <t>IDE010222 149-210?</t>
  </si>
  <si>
    <t>230savik</t>
  </si>
  <si>
    <t>265/50r20</t>
  </si>
  <si>
    <t>goodyear effcientgirp perf2</t>
  </si>
  <si>
    <t>#267717</t>
  </si>
  <si>
    <t>275/55r20</t>
  </si>
  <si>
    <t>#267696</t>
  </si>
  <si>
    <t>continental all season</t>
  </si>
  <si>
    <t>Robertas Butkus &lt;robertas.butkuss@gmail.com GOF797</t>
  </si>
  <si>
    <t>liutauras prekursorius chevy</t>
  </si>
  <si>
    <t>juste umbrasaite Kur345</t>
  </si>
  <si>
    <t>73eur+montaz?</t>
  </si>
  <si>
    <t>Martynas Vervecka &lt;martynas.vervecka@tradintek.com JOE555</t>
  </si>
  <si>
    <t>IDE010226</t>
  </si>
  <si>
    <t>Donatas Statulevicius JGK921</t>
  </si>
  <si>
    <t>darius riepsas kretinga</t>
  </si>
  <si>
    <t>IDE010231</t>
  </si>
  <si>
    <t>hankook k117a</t>
  </si>
  <si>
    <t>edgaras kovaliovas</t>
  </si>
  <si>
    <t>mantas mameniskis peugeot</t>
  </si>
  <si>
    <t>keitimas tepalu ir padangu 50eur</t>
  </si>
  <si>
    <t>OX 339/2D 7eur</t>
  </si>
  <si>
    <t>SPECIFIC 2312 0W30 5L 56eur</t>
  </si>
  <si>
    <t>dave 1k eur</t>
  </si>
  <si>
    <t>LX 1969  15eur</t>
  </si>
  <si>
    <t>E2967LC-2 17eur</t>
  </si>
  <si>
    <t>masina 1470eur sask</t>
  </si>
  <si>
    <t>g12 300ml dapiliau, 2vnt montazke r16 195/55, patikra pries teha, 500ml brake cleaner (isvaliau karteri), tepalu ir filtru keitimas</t>
  </si>
  <si>
    <t>tautvydas slyzius uab vytoprint</t>
  </si>
  <si>
    <t>IDE010220</t>
  </si>
  <si>
    <t xml:space="preserve">goodyear f1 asymm6 </t>
  </si>
  <si>
    <t>IDE010229</t>
  </si>
  <si>
    <t>#271434</t>
  </si>
  <si>
    <t>1200eur komplekt</t>
  </si>
  <si>
    <t>08.D575.11 (BREMBO)</t>
  </si>
  <si>
    <t xml:space="preserve">        P 24 218 (BREMBO)</t>
  </si>
  <si>
    <t>Ingrida Zabiliene &lt;ingrida.zabiliene@gmail.com</t>
  </si>
  <si>
    <t>P 24 217 (BREMBO)</t>
  </si>
  <si>
    <t>martynas bisikirskas Heiga, UAB</t>
  </si>
  <si>
    <t>IDE010180</t>
  </si>
  <si>
    <t>Raimond Černiavskij &lt;pardavimai@dofa.lt</t>
  </si>
  <si>
    <t>IDE010223</t>
  </si>
  <si>
    <t>255eur+12e kurjer</t>
  </si>
  <si>
    <t>motnazke?</t>
  </si>
  <si>
    <t>conti tx</t>
  </si>
  <si>
    <t>256+montazke</t>
  </si>
  <si>
    <t>goodyear effiecientgrip perf</t>
  </si>
  <si>
    <t>155/80r13c</t>
  </si>
  <si>
    <t>49eur</t>
  </si>
  <si>
    <t>devisor klaudijus stroginis</t>
  </si>
  <si>
    <t>norbertas gaulia</t>
  </si>
  <si>
    <t>IDE010236</t>
  </si>
  <si>
    <t>romaldas Kalinauskas 861267194</t>
  </si>
  <si>
    <t>153e</t>
  </si>
  <si>
    <t>nexen nfera sport</t>
  </si>
  <si>
    <t>martynas bisikirskas kaunas</t>
  </si>
  <si>
    <t>119+125+pvm abi</t>
  </si>
  <si>
    <t>OZ Racing Superturismo LM Matt Graphite Silver Lettering</t>
  </si>
  <si>
    <t>8x18 5x114.3 ET45 CB75,0 60° 680 kg W0185420746</t>
  </si>
  <si>
    <t>tpms 4vnt</t>
  </si>
  <si>
    <r>
      <rPr>
        <rFont val="&quot;Open Sans&quot;, sans-serif"/>
        <color rgb="FF333333"/>
        <sz val="11.0"/>
      </rPr>
      <t>OX1302D (KNECHT)</t>
    </r>
    <r>
      <rPr>
        <rFont val="&quot;Open Sans&quot;, sans-serif"/>
        <color rgb="FFFF0000"/>
        <sz val="11.0"/>
      </rPr>
      <t xml:space="preserve"> 16.72</t>
    </r>
    <r>
      <rPr>
        <rFont val="&quot;Open Sans&quot;, sans-serif"/>
        <color rgb="FF000000"/>
        <sz val="11.0"/>
      </rPr>
      <t>EUR</t>
    </r>
  </si>
  <si>
    <r>
      <rPr>
        <rFont val="&quot;Open Sans&quot;, sans-serif"/>
        <color rgb="FF333333"/>
        <sz val="11.0"/>
      </rPr>
      <t xml:space="preserve">C 28 053 (MANN-FILTER) </t>
    </r>
    <r>
      <rPr>
        <rFont val="&quot;Open Sans&quot;, sans-serif"/>
        <color rgb="FFFF0000"/>
        <sz val="11.0"/>
      </rPr>
      <t>17.13</t>
    </r>
    <r>
      <rPr>
        <rFont val="&quot;Open Sans&quot;, sans-serif"/>
        <color rgb="FF000000"/>
        <sz val="11.0"/>
      </rPr>
      <t>EUR</t>
    </r>
  </si>
  <si>
    <r>
      <rPr>
        <rFont val="&quot;Open Sans&quot;, sans-serif"/>
        <color rgb="FF333333"/>
        <sz val="11.0"/>
      </rPr>
      <t xml:space="preserve">C 26 047 (MANN-FILTER) </t>
    </r>
    <r>
      <rPr>
        <rFont val="&quot;Open Sans&quot;, sans-serif"/>
        <color rgb="FFFF0000"/>
        <sz val="11.0"/>
      </rPr>
      <t>16.71</t>
    </r>
    <r>
      <rPr>
        <rFont val="&quot;Open Sans&quot;, sans-serif"/>
        <color rgb="FF000000"/>
        <sz val="11.0"/>
      </rPr>
      <t>EUR</t>
    </r>
  </si>
  <si>
    <t>kristijonas kristis plioplys M4 XD Comp WBS43AZ08NCK96773</t>
  </si>
  <si>
    <t>RBF 700 4pcs (0.5l x1)</t>
  </si>
  <si>
    <r>
      <rPr>
        <rFont val="Tahoma, sans-serif"/>
        <b/>
        <color rgb="FF222222"/>
        <sz val="11.0"/>
      </rPr>
      <t xml:space="preserve">LAK 1398 </t>
    </r>
    <r>
      <rPr>
        <rFont val="Tahoma, sans-serif"/>
        <b val="0"/>
        <color rgb="FFFF0000"/>
        <sz val="11.0"/>
      </rPr>
      <t>37.28</t>
    </r>
    <r>
      <rPr>
        <rFont val="Tahoma, sans-serif"/>
        <b val="0"/>
        <color rgb="FF222222"/>
        <sz val="11.0"/>
      </rPr>
      <t>EUR</t>
    </r>
  </si>
  <si>
    <t>kristijonas kristis plioplys M4 WBS43AZ08NCK96773</t>
  </si>
  <si>
    <t>140/80r18</t>
  </si>
  <si>
    <t>Vilius &lt;viliusluk@gmail.com</t>
  </si>
  <si>
    <t>125+103</t>
  </si>
  <si>
    <t>90/90r21</t>
  </si>
  <si>
    <t xml:space="preserve">goodyear f1 asymm 6 </t>
  </si>
  <si>
    <t>GELI-818</t>
  </si>
  <si>
    <t xml:space="preserve">2 GELI-818 Lian Li O11Dynamic XL (ROG Certified) Big-Tower - schwarz </t>
  </si>
  <si>
    <t>MBMC-748</t>
  </si>
  <si>
    <t>MSI MPG Z690 CARBON EK X</t>
  </si>
  <si>
    <t>SSKT-065</t>
  </si>
  <si>
    <t>Kingston Fury Renegade M.2 2280 TLC NVMe 1TB</t>
  </si>
  <si>
    <t>megs-315</t>
  </si>
  <si>
    <t>G.SKILL Trident Z5 RGB DDR5 32GB 2x16GB 5600MHz CL36 1.2V XMP 3.0 black</t>
  </si>
  <si>
    <t>HPIT-809</t>
  </si>
  <si>
    <t>Intel Core i9-14900KF CM8071505094018</t>
  </si>
  <si>
    <t>GCMC-821</t>
  </si>
  <si>
    <t>MSI GeForce RTX 3090 SUPRIM X 24G GDDR6X 24GB 1xHDMI 2.0b PCIE-4.0 ATX</t>
  </si>
  <si>
    <t>waek-2065</t>
  </si>
  <si>
    <t>EK-Quantum Vector TRIO RTX 3080/3090 Active Backplate D-RGB - Plexi</t>
  </si>
  <si>
    <t>waek-2173</t>
  </si>
  <si>
    <t>EK-Quantum Vector Trio RTX 3080/3090 D-RGB - Nickel + Plexi</t>
  </si>
  <si>
    <t>https://app.caronsale.de/</t>
  </si>
  <si>
    <t>adesa bca</t>
  </si>
  <si>
    <t>P 06 055 54eur  priekis bmw</t>
  </si>
  <si>
    <t>09.B337.21 2x 72.6 stabdziu kalad ir disk keitimas 50e</t>
  </si>
  <si>
    <r>
      <rPr>
        <color rgb="FF1155CC"/>
        <u/>
      </rPr>
      <t>https://carmarket.ayvens.com</t>
    </r>
  </si>
  <si>
    <t xml:space="preserve">sailun bmw pasauga+montaz ziema </t>
  </si>
  <si>
    <t>De.bca-europe.com</t>
  </si>
  <si>
    <t>detales voztuvo dangtelio</t>
  </si>
  <si>
    <t>Openlane.eu</t>
  </si>
  <si>
    <t>Autobid.de</t>
  </si>
  <si>
    <t>merso TIK padangos sailun</t>
  </si>
  <si>
    <t>Auto1.com</t>
  </si>
  <si>
    <t>bmw diskai stabdziu galas</t>
  </si>
  <si>
    <t>SChaden autos</t>
  </si>
  <si>
    <t>keitimas galo kalades davikliai</t>
  </si>
  <si>
    <t>vfs auctions</t>
  </si>
  <si>
    <t>used cars vfs</t>
  </si>
  <si>
    <t>deividas vileniskis dada mersas preikis kaladeles</t>
  </si>
  <si>
    <t>3langu skyst</t>
  </si>
  <si>
    <t>2025-11 padangu keitimas sezono ir ratlankiu pasauga sezono merso</t>
  </si>
  <si>
    <t>bmw 2padangos, 2lyginimai, montazke</t>
  </si>
  <si>
    <t>02/13</t>
  </si>
  <si>
    <t>BMW e91</t>
  </si>
  <si>
    <t>KGK911</t>
  </si>
  <si>
    <t>dapiliau antifrizo g13 apie 1l, montazke 2vnt, 2vnt ratu lyginimas, 4vnt balansas,tepalas, tepalo filtro/oro keitimas</t>
  </si>
  <si>
    <t>10/17</t>
  </si>
  <si>
    <t>Kgk991</t>
  </si>
  <si>
    <t>montazke r18+nauji Sailun+3vnt lagu skyscio+pasauga</t>
  </si>
  <si>
    <t>09/22</t>
  </si>
  <si>
    <t>KGK991</t>
  </si>
  <si>
    <t>galiniu disku ir kaladeliu keiitmas (viskas supuvus buvo)</t>
  </si>
  <si>
    <t xml:space="preserve">MB </t>
  </si>
  <si>
    <t>LPD437</t>
  </si>
  <si>
    <t>r20 mb diskai, padangos, disku skyliu grezimas, montazke x4 , kaladeliu keitimas ir kaladeles, varztai 10vnt</t>
  </si>
  <si>
    <t>07/21</t>
  </si>
  <si>
    <t>BMW E91</t>
  </si>
  <si>
    <t>priekiniu stabdziu, stabilniku keitimas. galiniu svirciu keitimas, ir vakumines zarnos keitmas.</t>
  </si>
  <si>
    <t>BMW</t>
  </si>
  <si>
    <t>montazke r18+pasauga+tepalu ir filtru keitimas+pakabos patikra</t>
  </si>
  <si>
    <t>deividas Vileniskis</t>
  </si>
  <si>
    <t>Priekis: stabilikai,diskai ir kaladeles, amortikai. Galas: (3332676542508) sake virsutine. Vakumine zarna</t>
  </si>
  <si>
    <t>LMI35365</t>
  </si>
  <si>
    <t>LMI35364</t>
  </si>
  <si>
    <t>311 405</t>
  </si>
  <si>
    <t>311 406</t>
  </si>
  <si>
    <t>TC1945 2vnt</t>
  </si>
  <si>
    <t>09.C649.11 2vnt</t>
  </si>
  <si>
    <t>P 06 036</t>
  </si>
  <si>
    <t>WS0250A ???</t>
  </si>
  <si>
    <t>data</t>
  </si>
  <si>
    <t>varta AGM SSP D52 97eur</t>
  </si>
  <si>
    <t>3 397 014 156  26eur</t>
  </si>
  <si>
    <t>dave 200</t>
  </si>
  <si>
    <t>sailun AtrezZSR Pada 95Y XL</t>
  </si>
  <si>
    <t>Donatas Dmode</t>
  </si>
  <si>
    <t>po 50eur</t>
  </si>
  <si>
    <t>Sumoketa 100€</t>
  </si>
  <si>
    <t>po 34eur</t>
  </si>
  <si>
    <t>Sumoketa 136€</t>
  </si>
  <si>
    <t>laisvunas asvela</t>
  </si>
  <si>
    <t>113+pvm</t>
  </si>
  <si>
    <t xml:space="preserve">IDE006038     </t>
  </si>
  <si>
    <t>74+pvm</t>
  </si>
  <si>
    <t>mantvydas cekutis</t>
  </si>
  <si>
    <t>130eur</t>
  </si>
  <si>
    <t>montazke+pasauga+ 35x2</t>
  </si>
  <si>
    <t>pervede 300</t>
  </si>
  <si>
    <t>chip uninstall 10eur</t>
  </si>
  <si>
    <t xml:space="preserve">IDE006102     </t>
  </si>
  <si>
    <t xml:space="preserve">GY f1 asymm 5 </t>
  </si>
  <si>
    <t>Marius Benedikas Mykolas Raciunas</t>
  </si>
  <si>
    <t>po 88eur</t>
  </si>
  <si>
    <t>2 ratu montazke pasaugos nebus</t>
  </si>
  <si>
    <t>Sumokejo 295€</t>
  </si>
  <si>
    <t>8100 x-clean+ 5w30 is backos 5L 40eur</t>
  </si>
  <si>
    <t>LAO 93 20eur</t>
  </si>
  <si>
    <t>1 457 433 046 9eur</t>
  </si>
  <si>
    <t>HU 726/2 X 6eur</t>
  </si>
  <si>
    <t>WK 853/3 X 14eur</t>
  </si>
  <si>
    <t>Tepalu ir filtru keitimas 11eur</t>
  </si>
  <si>
    <t>sailun r01 sport</t>
  </si>
  <si>
    <t>55eur?</t>
  </si>
  <si>
    <t>245/50r18</t>
  </si>
  <si>
    <t>pirelli p7 bmw</t>
  </si>
  <si>
    <t>audrius plionkistas</t>
  </si>
  <si>
    <t>145eur</t>
  </si>
  <si>
    <t xml:space="preserve">IDE006082      </t>
  </si>
  <si>
    <t>3 397 007 638  28eur</t>
  </si>
  <si>
    <t>audi a6 c7 knh696 gediminas kaupys</t>
  </si>
  <si>
    <t>df6148 90eur</t>
  </si>
  <si>
    <t>keitimas disku ir garantinis</t>
  </si>
  <si>
    <t>120 pervede jovaldui</t>
  </si>
  <si>
    <t>toyo a/t plus</t>
  </si>
  <si>
    <t>karolis rimsa</t>
  </si>
  <si>
    <t>131eur+montazke+pasauga</t>
  </si>
  <si>
    <t xml:space="preserve">IDE006027       </t>
  </si>
  <si>
    <t>64210  3eur</t>
  </si>
  <si>
    <t>3 397 007 523  28eur</t>
  </si>
  <si>
    <t>laura dargyte</t>
  </si>
  <si>
    <t>ratu balansas</t>
  </si>
  <si>
    <t xml:space="preserve">IDE006024     </t>
  </si>
  <si>
    <t>martynas tygelis</t>
  </si>
  <si>
    <t>100vnt med kaukiu</t>
  </si>
  <si>
    <t xml:space="preserve">IDE006061      </t>
  </si>
  <si>
    <t>toyo g3 ice</t>
  </si>
  <si>
    <t xml:space="preserve">A M &lt;amscuba@gmail.com 861886880 </t>
  </si>
  <si>
    <t xml:space="preserve">IDE006039      </t>
  </si>
  <si>
    <t>goodyear efficientgrip suv</t>
  </si>
  <si>
    <t>alenas backis interlux</t>
  </si>
  <si>
    <t>montazke ir pasauga, 1rato lyg</t>
  </si>
  <si>
    <t xml:space="preserve">IDE006167   </t>
  </si>
  <si>
    <t>sava intensa uhp 2</t>
  </si>
  <si>
    <t>benas@bevita.lt</t>
  </si>
  <si>
    <t>71eur</t>
  </si>
  <si>
    <t xml:space="preserve">IDE005991      </t>
  </si>
  <si>
    <t>sava intensa hp 2</t>
  </si>
  <si>
    <t>povilas gavelis</t>
  </si>
  <si>
    <t>montazke ir pasauga  cashu</t>
  </si>
  <si>
    <t xml:space="preserve">IDE006058    </t>
  </si>
  <si>
    <t>ramunas ramas Giedrius Juodis</t>
  </si>
  <si>
    <t>94+pvm</t>
  </si>
  <si>
    <t>sumoketa</t>
  </si>
  <si>
    <t>keitimas tepalu ir filtru 30eur</t>
  </si>
  <si>
    <t>p2028 5eur</t>
  </si>
  <si>
    <t>xclean+ 4.5litro po 8eur, 40eur</t>
  </si>
  <si>
    <t>saulus paliunis toyota corolla</t>
  </si>
  <si>
    <t>masinos pirkimas ir paieskos :D</t>
  </si>
  <si>
    <t>715701 salono  15eur</t>
  </si>
  <si>
    <t>oro filtras 5eur</t>
  </si>
  <si>
    <t>ap 063/1 4eur</t>
  </si>
  <si>
    <t>k903  4eur</t>
  </si>
  <si>
    <t>0 451 203 012 4eur</t>
  </si>
  <si>
    <t>karterio varztas 3eur</t>
  </si>
  <si>
    <t xml:space="preserve">saulius paliunis </t>
  </si>
  <si>
    <t>a4 akumo tvirtinimas 10eur</t>
  </si>
  <si>
    <t>cff100117 12eur</t>
  </si>
  <si>
    <t>Motul 6100 Synergie+ 10w40 5L 30eur</t>
  </si>
  <si>
    <t>389300km pakeistas filtrai/tepalas</t>
  </si>
  <si>
    <t>dave 700eur,toyota mokejau as 800eur</t>
  </si>
  <si>
    <t>a4 skelbimas naujas 12eur 2021-09</t>
  </si>
  <si>
    <t>paulius cerniauskas tevas jo</t>
  </si>
  <si>
    <t>71eur + montazke</t>
  </si>
  <si>
    <t>IDE006026</t>
  </si>
  <si>
    <t>liutauras prekursorius</t>
  </si>
  <si>
    <t>montazke nemoketa</t>
  </si>
  <si>
    <t xml:space="preserve">IDE006030       </t>
  </si>
  <si>
    <t>lx 2049/4 11.10eur savikaina</t>
  </si>
  <si>
    <t>fp 2641 27.60eur savikaina</t>
  </si>
  <si>
    <t>8100 x-clean+ 5w30 is backos 7.2L</t>
  </si>
  <si>
    <t>audi a6 c7 Tomas Blazonis</t>
  </si>
  <si>
    <t>hu 7012 z 7.30eur savikaina</t>
  </si>
  <si>
    <t>wk6037 15.90eur savikaina</t>
  </si>
  <si>
    <t>tepalu ir filtru keitimas</t>
  </si>
  <si>
    <t>bmw ratas r22 antonas mejus dspro</t>
  </si>
  <si>
    <t>tiesinimas 90eur</t>
  </si>
  <si>
    <t>montazke ir balansas</t>
  </si>
  <si>
    <t xml:space="preserve">IDE006005    </t>
  </si>
  <si>
    <t>goodyear f1 asymm 2 suv</t>
  </si>
  <si>
    <t>223eur  950sask</t>
  </si>
  <si>
    <t xml:space="preserve">IDE006081  </t>
  </si>
  <si>
    <t>labdata interlux</t>
  </si>
  <si>
    <t>skoda octavia scout</t>
  </si>
  <si>
    <t>gbo939</t>
  </si>
  <si>
    <t xml:space="preserve">IDE006104      </t>
  </si>
  <si>
    <t>toyo proxes</t>
  </si>
  <si>
    <t>interlux dyrikas 604savikaina</t>
  </si>
  <si>
    <t>lexus rh</t>
  </si>
  <si>
    <t>JJP090</t>
  </si>
  <si>
    <t xml:space="preserve">IDE006107   </t>
  </si>
  <si>
    <t xml:space="preserve">215/65r17 </t>
  </si>
  <si>
    <t>interlux tiguan</t>
  </si>
  <si>
    <t>JJE760</t>
  </si>
  <si>
    <t xml:space="preserve">IDE006158    </t>
  </si>
  <si>
    <t>kodiaq interlux</t>
  </si>
  <si>
    <t>jst157</t>
  </si>
  <si>
    <t xml:space="preserve">IDE006159     </t>
  </si>
  <si>
    <t>sava intensa hp   senesnio modelio</t>
  </si>
  <si>
    <t>passat interlux</t>
  </si>
  <si>
    <t>jph131</t>
  </si>
  <si>
    <t>sava intensa hp2</t>
  </si>
  <si>
    <t>interlux vw passat</t>
  </si>
  <si>
    <t>vw passat</t>
  </si>
  <si>
    <t>jph121</t>
  </si>
  <si>
    <t xml:space="preserve">IDE006158     </t>
  </si>
  <si>
    <t>skoda superb</t>
  </si>
  <si>
    <t>JDT199</t>
  </si>
  <si>
    <t xml:space="preserve">IDE006181      </t>
  </si>
  <si>
    <t>superb</t>
  </si>
  <si>
    <t>jse976</t>
  </si>
  <si>
    <t>hoj907</t>
  </si>
  <si>
    <t xml:space="preserve">IDE006158           </t>
  </si>
  <si>
    <t>passat b8</t>
  </si>
  <si>
    <t>jto174</t>
  </si>
  <si>
    <t xml:space="preserve">IDE006148   </t>
  </si>
  <si>
    <t>q7</t>
  </si>
  <si>
    <t>hgz959</t>
  </si>
  <si>
    <t xml:space="preserve">IDE006106      </t>
  </si>
  <si>
    <t>sava hp 2</t>
  </si>
  <si>
    <t>golf7</t>
  </si>
  <si>
    <t>JHN676</t>
  </si>
  <si>
    <t xml:space="preserve">IDE006065  </t>
  </si>
  <si>
    <t>sava intensa suv 2</t>
  </si>
  <si>
    <t>volvo xc60</t>
  </si>
  <si>
    <t>hba652</t>
  </si>
  <si>
    <t>IDE006625</t>
  </si>
  <si>
    <t>toyo cf 2</t>
  </si>
  <si>
    <t>renault scenic?</t>
  </si>
  <si>
    <t>kbc243</t>
  </si>
  <si>
    <t xml:space="preserve">IDE006105     </t>
  </si>
  <si>
    <t>goodyear EAG F1 ASY 3 SUV J</t>
  </si>
  <si>
    <t>nav</t>
  </si>
  <si>
    <t>mersas GLC</t>
  </si>
  <si>
    <t>JRN077</t>
  </si>
  <si>
    <t xml:space="preserve">IDE006141     </t>
  </si>
  <si>
    <t>nav montaz su pasauga</t>
  </si>
  <si>
    <t>fuv569</t>
  </si>
  <si>
    <t xml:space="preserve">IDE006076           </t>
  </si>
  <si>
    <t>165/70r13</t>
  </si>
  <si>
    <t>MAXXIS AP2 AS Pada 83T</t>
  </si>
  <si>
    <t>Robertas K &lt;robkek@gmail.com&gt;</t>
  </si>
  <si>
    <t>36.5eur</t>
  </si>
  <si>
    <t xml:space="preserve">IDE006033 </t>
  </si>
  <si>
    <t>55eur</t>
  </si>
  <si>
    <t>reik atiduot</t>
  </si>
  <si>
    <t>DK-MC-27226SUB  29eur</t>
  </si>
  <si>
    <t>pirelli p zero ls</t>
  </si>
  <si>
    <t>ROTALLA RU01 Pada 94Y XL RP</t>
  </si>
  <si>
    <t>aurimas gulinas</t>
  </si>
  <si>
    <t>thule proride 598 black</t>
  </si>
  <si>
    <t>thule carbon apsauga</t>
  </si>
  <si>
    <t>IDE006037</t>
  </si>
  <si>
    <t>FDB222  18eur</t>
  </si>
  <si>
    <t>mindaugas stricka  darijus dzervus</t>
  </si>
  <si>
    <t>stabdziai+kalades</t>
  </si>
  <si>
    <t xml:space="preserve">diskai 2vnt </t>
  </si>
  <si>
    <t xml:space="preserve">IDE006166  </t>
  </si>
  <si>
    <t>goodyear ug perf g1</t>
  </si>
  <si>
    <t>donatas petkunas moller cerniauskas</t>
  </si>
  <si>
    <t xml:space="preserve">IDE006028    </t>
  </si>
  <si>
    <t>goodyear ug ice 2</t>
  </si>
  <si>
    <t>Marius orantas</t>
  </si>
  <si>
    <t>Po 89€</t>
  </si>
  <si>
    <t xml:space="preserve">IDE006032      </t>
  </si>
  <si>
    <t>5112+4566180095 Disks Nano BK967 Grey Polished</t>
  </si>
  <si>
    <t>DS-NA-BK967GP-512-895-45</t>
  </si>
  <si>
    <t>Vaidas Butkus Mykolas Raciunas</t>
  </si>
  <si>
    <t>102,91eur + siuntimas</t>
  </si>
  <si>
    <t>IDE006034  viso 113eur</t>
  </si>
  <si>
    <t>mokejimas per venipak COD</t>
  </si>
  <si>
    <t>255/45R18</t>
  </si>
  <si>
    <t>kormoran uhp</t>
  </si>
  <si>
    <t>71eur + siuntimas 10eur. viso 294eur</t>
  </si>
  <si>
    <t>IDE006059</t>
  </si>
  <si>
    <t>devetos po 10eur</t>
  </si>
  <si>
    <t>vw golf 5</t>
  </si>
  <si>
    <t>fdb1788 17.82eur savikaina</t>
  </si>
  <si>
    <t>kaladeliu keitimas</t>
  </si>
  <si>
    <t>100eur sumoketa</t>
  </si>
  <si>
    <t>225/45r19</t>
  </si>
  <si>
    <t>toyo proxes cf2s</t>
  </si>
  <si>
    <t>tomas sneidaraitis nav</t>
  </si>
  <si>
    <t>126eur</t>
  </si>
  <si>
    <t>KEJ177 nissan qasqai nav</t>
  </si>
  <si>
    <t xml:space="preserve">IDE006160         </t>
  </si>
  <si>
    <t>225/50r17 94h</t>
  </si>
  <si>
    <t>2 vnt.</t>
  </si>
  <si>
    <t>goodyear eagle ultra grip gw-3</t>
  </si>
  <si>
    <t>10eur sumoketa</t>
  </si>
  <si>
    <t>8100 x-max 0w40 6.2L</t>
  </si>
  <si>
    <t>tepalas ir filtrai pakeisti</t>
  </si>
  <si>
    <t>oro filtras paimtas nuo lentynos virs mago</t>
  </si>
  <si>
    <t>Mantas Jastremskas bmw 340i xdrive</t>
  </si>
  <si>
    <t>OX 1146D (MAHLE) 8.70eur savikaina</t>
  </si>
  <si>
    <t>spyruokliu keitimas</t>
  </si>
  <si>
    <t>exelis</t>
  </si>
  <si>
    <t>A M &lt;amscuba@gmail.com conresta</t>
  </si>
  <si>
    <t xml:space="preserve">IDE006039   </t>
  </si>
  <si>
    <t xml:space="preserve">mantas Jastremskas </t>
  </si>
  <si>
    <t>0w40 5L  4vnt  180eur</t>
  </si>
  <si>
    <t>motul 5L inugel 4vnt po 75eur</t>
  </si>
  <si>
    <t>dunlop sportsmart mk3</t>
  </si>
  <si>
    <t>gediminas baksys</t>
  </si>
  <si>
    <t>uz montazke perves 10</t>
  </si>
  <si>
    <t>155eur</t>
  </si>
  <si>
    <t>perves</t>
  </si>
  <si>
    <t xml:space="preserve">IDE006048      </t>
  </si>
  <si>
    <t>295/30r18</t>
  </si>
  <si>
    <t>245/40r21</t>
  </si>
  <si>
    <t>michelin supersport ROF</t>
  </si>
  <si>
    <t>Justas Baubonis 38711051462 350eur</t>
  </si>
  <si>
    <t>dave 715</t>
  </si>
  <si>
    <t>3 kompl. balansavimas</t>
  </si>
  <si>
    <t>saulius</t>
  </si>
  <si>
    <t>30eur sumoketa</t>
  </si>
  <si>
    <t>90/90-21 54T</t>
  </si>
  <si>
    <t>Mitas E08</t>
  </si>
  <si>
    <t>Stasys Bareikis, sbareikis@gmail.com, 868085093</t>
  </si>
  <si>
    <t>909021 OMMT 54T E08T</t>
  </si>
  <si>
    <t>51eur + Venipak COD, viso 56eur</t>
  </si>
  <si>
    <t>IDE006042</t>
  </si>
  <si>
    <t>antanas barasnevicius dvtechnika</t>
  </si>
  <si>
    <t>47eur</t>
  </si>
  <si>
    <t xml:space="preserve">IDE006043     </t>
  </si>
  <si>
    <t>SPT MAXX RACE 2 N1 XL MFS</t>
  </si>
  <si>
    <t>865017944 Paulius Strazdauskas, ps@amberbymazukna.com</t>
  </si>
  <si>
    <t>po 344eur + siuntimas apie 8 eur</t>
  </si>
  <si>
    <t>bus avansas 20% pagal PVM S/F</t>
  </si>
  <si>
    <t xml:space="preserve">IDE006041 </t>
  </si>
  <si>
    <t>Antanas Barasnevičius</t>
  </si>
  <si>
    <t>108eur sask su keitimu</t>
  </si>
  <si>
    <t xml:space="preserve">IDE006047    </t>
  </si>
  <si>
    <t>aivaras kasuba  justas klimavicius</t>
  </si>
  <si>
    <t>siusti</t>
  </si>
  <si>
    <t xml:space="preserve">IDE006062      </t>
  </si>
  <si>
    <t>83190447919  1vnt</t>
  </si>
  <si>
    <t>31607606091  2vnt</t>
  </si>
  <si>
    <t xml:space="preserve">IDE006163   </t>
  </si>
  <si>
    <t>ratu montazke/pasauga</t>
  </si>
  <si>
    <t>5Q0 61 5 301 C  168+pvm 2vnt</t>
  </si>
  <si>
    <t>tautvydas viksraitis</t>
  </si>
  <si>
    <t>5Q0 698 151 L   198+pvm</t>
  </si>
  <si>
    <t xml:space="preserve">IDE006097     </t>
  </si>
  <si>
    <t>goodyear f1 asymm suv 4x4</t>
  </si>
  <si>
    <t>103+pvm</t>
  </si>
  <si>
    <t xml:space="preserve">IDE006054     </t>
  </si>
  <si>
    <t>28vnt -1.5%</t>
  </si>
  <si>
    <t>martynas tygelis gediminas</t>
  </si>
  <si>
    <t>40eur</t>
  </si>
  <si>
    <t>vaizduske 230eur, siunta 2eur</t>
  </si>
  <si>
    <t>ruta dave 500eur</t>
  </si>
  <si>
    <t>EA770  80eur akumas</t>
  </si>
  <si>
    <t>andrej andrejav</t>
  </si>
  <si>
    <t>dave 80eur</t>
  </si>
  <si>
    <t>0.93+pvm ir 5.2+pvm</t>
  </si>
  <si>
    <t>300vnt paprastu ir 30 ffp2</t>
  </si>
  <si>
    <t>IDE006045  526.35/84vnt respiratoriu</t>
  </si>
  <si>
    <t>medicininiu 100vnt  0.93 cento</t>
  </si>
  <si>
    <t>IDE006044</t>
  </si>
  <si>
    <t>80 vnt ffp2</t>
  </si>
  <si>
    <t>IDE006071</t>
  </si>
  <si>
    <t xml:space="preserve">saulius samulevicius </t>
  </si>
  <si>
    <t>varta d47 60eur</t>
  </si>
  <si>
    <t>padangu balansavimas ir uzdejimas 15eur</t>
  </si>
  <si>
    <t>fdb4042 20eur</t>
  </si>
  <si>
    <t>5w30 xclean+  is backos beveik 5L 39eur</t>
  </si>
  <si>
    <t>toyota auris hybrid,tepalu keit 20eur</t>
  </si>
  <si>
    <t>HU 6006 Z 6eur savikaina</t>
  </si>
  <si>
    <t>lao490 16eur savikaina</t>
  </si>
  <si>
    <t xml:space="preserve">caf100937p 6eur </t>
  </si>
  <si>
    <t>590.2811.20 58eur</t>
  </si>
  <si>
    <t>stabdziu keitimas 20eur</t>
  </si>
  <si>
    <t>paulius cerniauskas</t>
  </si>
  <si>
    <t>mirentalis KPO</t>
  </si>
  <si>
    <t xml:space="preserve">IDE006049        </t>
  </si>
  <si>
    <t>305/35r21</t>
  </si>
  <si>
    <t>pirelli sottozero 3 B</t>
  </si>
  <si>
    <t>marius adomaitis</t>
  </si>
  <si>
    <t>1055eur</t>
  </si>
  <si>
    <t>8,51eur+PVM siuntimo savikaina</t>
  </si>
  <si>
    <t xml:space="preserve">IDE006057       </t>
  </si>
  <si>
    <t>po 73eur</t>
  </si>
  <si>
    <t xml:space="preserve">montazke </t>
  </si>
  <si>
    <t>sumoketa 320eur</t>
  </si>
  <si>
    <t>Julius Čėsna</t>
  </si>
  <si>
    <t xml:space="preserve">IDE006051    </t>
  </si>
  <si>
    <t>Kipras Siliunas</t>
  </si>
  <si>
    <t>Atiduota</t>
  </si>
  <si>
    <t xml:space="preserve">IDE006052  </t>
  </si>
  <si>
    <t>loonie jensen</t>
  </si>
  <si>
    <t>reik issiust</t>
  </si>
  <si>
    <t>35+pvm siunta</t>
  </si>
  <si>
    <t xml:space="preserve">IDE006174   </t>
  </si>
  <si>
    <t>BLUEWIN VAN</t>
  </si>
  <si>
    <t>e38 varta</t>
  </si>
  <si>
    <t xml:space="preserve"> atidave</t>
  </si>
  <si>
    <t>falken ze310</t>
  </si>
  <si>
    <t>103.38eur</t>
  </si>
  <si>
    <t>montazke,pasauga</t>
  </si>
  <si>
    <t xml:space="preserve">IDE006185      </t>
  </si>
  <si>
    <t>TPMS Sensor Schrader</t>
  </si>
  <si>
    <t>toyota davikliai</t>
  </si>
  <si>
    <t>po 35eur</t>
  </si>
  <si>
    <t>kgk400</t>
  </si>
  <si>
    <t>Darius Maciulevičius Mindaugas Žiemelis</t>
  </si>
  <si>
    <t xml:space="preserve">IDE006060    </t>
  </si>
  <si>
    <t>Goodyear EAG F1 ASY 3 SUV XL SCT FP577621</t>
  </si>
  <si>
    <t>mantvydas kupstys</t>
  </si>
  <si>
    <t>montazke ir pasauga itraukta</t>
  </si>
  <si>
    <t xml:space="preserve">IDE006056   </t>
  </si>
  <si>
    <t>GY EAG F1 ASY 5 SCT</t>
  </si>
  <si>
    <t>Mindaugas Liktas Mykolas Raciunas</t>
  </si>
  <si>
    <t>po 128,50eur + montazke (atskirai)</t>
  </si>
  <si>
    <t>IDEA006067 pagal isanks. sumokes 20% avansa</t>
  </si>
  <si>
    <t>IDE006119</t>
  </si>
  <si>
    <t>miroslav gavinciuk 37068445599</t>
  </si>
  <si>
    <t>195/70r14</t>
  </si>
  <si>
    <t>goodride sw608</t>
  </si>
  <si>
    <t>37eur</t>
  </si>
  <si>
    <t>sask uz lyginima ir montavima</t>
  </si>
  <si>
    <t xml:space="preserve">IDE006252     </t>
  </si>
  <si>
    <t xml:space="preserve">IDE006191        </t>
  </si>
  <si>
    <t>20vnt kaukiu ir 10 ffp2</t>
  </si>
  <si>
    <t xml:space="preserve">IDE006260     </t>
  </si>
  <si>
    <t>Robertas Klovas is fb parduotuves</t>
  </si>
  <si>
    <t>30montazke, padangos 206</t>
  </si>
  <si>
    <t>90/90-21</t>
  </si>
  <si>
    <t>Maxxis M7313</t>
  </si>
  <si>
    <t>UAB "Grindukas", 868551010, Mykolas Raciunas</t>
  </si>
  <si>
    <t>41,90eur</t>
  </si>
  <si>
    <t xml:space="preserve">IDE006063 </t>
  </si>
  <si>
    <t>130/80-18</t>
  </si>
  <si>
    <t>Mitas E-07</t>
  </si>
  <si>
    <t>66eur ir 10eur uz montazke</t>
  </si>
  <si>
    <t>tomas greenmotion</t>
  </si>
  <si>
    <t>sask bms technologija</t>
  </si>
  <si>
    <t xml:space="preserve">IDE006073    </t>
  </si>
  <si>
    <t>235/55r17</t>
  </si>
  <si>
    <t>mantvydas vagonis, mvagonis@gmail.com, Mykolas Raciunas</t>
  </si>
  <si>
    <t>po 121eur/vnt. pagal isanks. sumokes 20% avansa</t>
  </si>
  <si>
    <t>IDE006201</t>
  </si>
  <si>
    <t>sumoketa, padangos atiduotos</t>
  </si>
  <si>
    <t>HU 816 X 7.62eur savikaina</t>
  </si>
  <si>
    <t>gic266 9eur savikaina</t>
  </si>
  <si>
    <t>F 026 400 447 (bosch) 13eur savikaina</t>
  </si>
  <si>
    <t>bmw x3 28i f25 Kristina</t>
  </si>
  <si>
    <t>CUK 19 004   23.5eur savikaina</t>
  </si>
  <si>
    <t xml:space="preserve">IDE006109  </t>
  </si>
  <si>
    <t>25199.195.1 40,30eur savikaina</t>
  </si>
  <si>
    <t>5w30 5L is backos</t>
  </si>
  <si>
    <t>stabdziu kaladeliu, , tepalu ir filtru keitimas keitimas. Padangu keitimas pasauga</t>
  </si>
  <si>
    <t>povilas gintautas</t>
  </si>
  <si>
    <t>passat montazke</t>
  </si>
  <si>
    <t>gabriele nuo povilo civic gdv015</t>
  </si>
  <si>
    <t>hyuindai montazke ir pakabos apziura</t>
  </si>
  <si>
    <t xml:space="preserve">IDE006196     </t>
  </si>
  <si>
    <t>305/25r22</t>
  </si>
  <si>
    <t>conti sportcontact 6</t>
  </si>
  <si>
    <t>karolis girnys tevas</t>
  </si>
  <si>
    <t>325eur</t>
  </si>
  <si>
    <t>atidaev</t>
  </si>
  <si>
    <t>255/35r19 96t</t>
  </si>
  <si>
    <t>CONTINENTAL VIKINGCONTACT 6</t>
  </si>
  <si>
    <t>142savikaina</t>
  </si>
  <si>
    <t xml:space="preserve">IDE006089    </t>
  </si>
  <si>
    <t xml:space="preserve">245/35r21 96Y </t>
  </si>
  <si>
    <t>Michelin Pilot super sport rof XL</t>
  </si>
  <si>
    <t>mantas paliokas mapa holding</t>
  </si>
  <si>
    <t>320eur?</t>
  </si>
  <si>
    <t>IDE006068</t>
  </si>
  <si>
    <t>275/30r21 98Y</t>
  </si>
  <si>
    <t>347eur?</t>
  </si>
  <si>
    <t>montazke 30+</t>
  </si>
  <si>
    <t>gytis zvinys</t>
  </si>
  <si>
    <t>sumontuota,atiduota</t>
  </si>
  <si>
    <t xml:space="preserve">airbog rysard </t>
  </si>
  <si>
    <t xml:space="preserve">IDE006115     </t>
  </si>
  <si>
    <t>BLACKLION BU66 CHAMPOINT</t>
  </si>
  <si>
    <t>Zilvinas kaimynas 869911434 Mykolas Raciunas</t>
  </si>
  <si>
    <t>po 83eur</t>
  </si>
  <si>
    <t>352+25eur</t>
  </si>
  <si>
    <t>300 dave</t>
  </si>
  <si>
    <t>325/30r21</t>
  </si>
  <si>
    <t>po 93eur</t>
  </si>
  <si>
    <t>dar 80eur dave</t>
  </si>
  <si>
    <t>ea770 exide akumuliatorius</t>
  </si>
  <si>
    <t>jonas opelis klimaitis</t>
  </si>
  <si>
    <t>IDE006066</t>
  </si>
  <si>
    <t>Akumuliatorius 11 Ah 150 A EN 12V AGM</t>
  </si>
  <si>
    <t>skola uz dvirka 30eur</t>
  </si>
  <si>
    <t>jonas opelis klimaitis ford cmax</t>
  </si>
  <si>
    <t>po 65eur + montazke +pasauga</t>
  </si>
  <si>
    <t xml:space="preserve">IDE006126    </t>
  </si>
  <si>
    <t>800eur komplektas</t>
  </si>
  <si>
    <t>michelin ps 4s</t>
  </si>
  <si>
    <t>marijus jasinskas siramis</t>
  </si>
  <si>
    <t>205eur + siuntimas</t>
  </si>
  <si>
    <t xml:space="preserve">IDE006075     </t>
  </si>
  <si>
    <t>vytautas binkis</t>
  </si>
  <si>
    <t>34eur + montazke</t>
  </si>
  <si>
    <t>136eur sumoketa uz padangas</t>
  </si>
  <si>
    <t>uz montazke fiestos mokes Binkis</t>
  </si>
  <si>
    <t xml:space="preserve">IDE006197      </t>
  </si>
  <si>
    <t>250+20</t>
  </si>
  <si>
    <t>50eur + keitimas</t>
  </si>
  <si>
    <t xml:space="preserve">IDE006198     </t>
  </si>
  <si>
    <t>215/65r15</t>
  </si>
  <si>
    <t>kleber C</t>
  </si>
  <si>
    <t>justas klimavicius</t>
  </si>
  <si>
    <t>91.11eur + siuntimas</t>
  </si>
  <si>
    <t xml:space="preserve">IDE006080      </t>
  </si>
  <si>
    <t xml:space="preserve">IDE006080       </t>
  </si>
  <si>
    <t>33eur + montazke</t>
  </si>
  <si>
    <t>Jonas Žiaugrė</t>
  </si>
  <si>
    <t>sumokejo 155eur</t>
  </si>
  <si>
    <t>toyo cf2s</t>
  </si>
  <si>
    <t>Augustyn Ilcewicz &lt;augustyn.ilcewicz@yahoo.com</t>
  </si>
  <si>
    <t>87eur</t>
  </si>
  <si>
    <t>46eur</t>
  </si>
  <si>
    <t>1l cvt 12eur</t>
  </si>
  <si>
    <t>paulius valiukevicius audi a4</t>
  </si>
  <si>
    <t>tepalai dezes , dapilymas 10eur</t>
  </si>
  <si>
    <t>montazke mustang 20eur</t>
  </si>
  <si>
    <t>Akumuliatorius BSI 60 Ah 540 A EN 12V</t>
  </si>
  <si>
    <t>45eur</t>
  </si>
  <si>
    <t>50eur dave</t>
  </si>
  <si>
    <t>darius volvo riese</t>
  </si>
  <si>
    <t>118+montazke  +5eur</t>
  </si>
  <si>
    <t xml:space="preserve">IDE006079    </t>
  </si>
  <si>
    <t>AK-YTX9-BS</t>
  </si>
  <si>
    <t>Virginijus Raulusaitis Mykolas Raciunas</t>
  </si>
  <si>
    <t>20eur</t>
  </si>
  <si>
    <t>IDE006072</t>
  </si>
  <si>
    <t>montazke jaguar</t>
  </si>
  <si>
    <t xml:space="preserve">IDE006115       </t>
  </si>
  <si>
    <t>gedas petrauskas merso montazke is vasaros i vasara</t>
  </si>
  <si>
    <t>gedas suitsupply sask uz touarega</t>
  </si>
  <si>
    <t>montazke ir pasauga</t>
  </si>
  <si>
    <t xml:space="preserve">IDE006215      </t>
  </si>
  <si>
    <t>atiduota</t>
  </si>
  <si>
    <t>175/65r14</t>
  </si>
  <si>
    <t>paxaro</t>
  </si>
  <si>
    <t>peugeot nav</t>
  </si>
  <si>
    <t>IDE006210</t>
  </si>
  <si>
    <t xml:space="preserve">robertas@instabalt.lt Tomas Vasiliunas  </t>
  </si>
  <si>
    <t>montazke grynais</t>
  </si>
  <si>
    <t xml:space="preserve">IDE006088       </t>
  </si>
  <si>
    <t>robertas@instabalt.lt</t>
  </si>
  <si>
    <t xml:space="preserve">IDE006074     </t>
  </si>
  <si>
    <t>255/30r22</t>
  </si>
  <si>
    <t>falken fk510</t>
  </si>
  <si>
    <t>8654243  Ukininkas Vidmantas Girdzijauskas</t>
  </si>
  <si>
    <t xml:space="preserve">IDE006077    </t>
  </si>
  <si>
    <t>295/25r22</t>
  </si>
  <si>
    <t>goodyear efficientgrip cargo</t>
  </si>
  <si>
    <t>IDE006078</t>
  </si>
  <si>
    <t>xclean+   35eur</t>
  </si>
  <si>
    <t>lao181  15eur</t>
  </si>
  <si>
    <t>1987429404  9eur  W 719/45   10eur</t>
  </si>
  <si>
    <t>Rytenis Šerėnas</t>
  </si>
  <si>
    <t>xclean+ 1litras 10eur</t>
  </si>
  <si>
    <t xml:space="preserve">IDE006083  </t>
  </si>
  <si>
    <t>vgirdzijauskas@gmail.com</t>
  </si>
  <si>
    <t>sava intensa hp</t>
  </si>
  <si>
    <t>gintaras tamkus 868641325</t>
  </si>
  <si>
    <t>po 43eur +20eur</t>
  </si>
  <si>
    <t>10x su kava ir galioja jul2020</t>
  </si>
  <si>
    <t>10x mix jun2020</t>
  </si>
  <si>
    <t>20x mix may2020</t>
  </si>
  <si>
    <t>30x tropical jul2020</t>
  </si>
  <si>
    <t>thule varztai 6.5eur</t>
  </si>
  <si>
    <t>sealantas race per puse 12eur</t>
  </si>
  <si>
    <t>varztai 15eur golf</t>
  </si>
  <si>
    <t>-100eur dovanu cekis</t>
  </si>
  <si>
    <t>montazke auris</t>
  </si>
  <si>
    <t>42eur grandine</t>
  </si>
  <si>
    <t>MULTI DCTF 1L   1vnt po 10eur</t>
  </si>
  <si>
    <t xml:space="preserve">1 235 522 368  56eur </t>
  </si>
  <si>
    <t xml:space="preserve">IDE006095      </t>
  </si>
  <si>
    <t>4vnt devetos r16 po 12eur su sask</t>
  </si>
  <si>
    <t>volvo dariaus montazke 20+pvm</t>
  </si>
  <si>
    <t>ricardas stiklita 4 busikai montazke</t>
  </si>
  <si>
    <t xml:space="preserve">IDE006108     </t>
  </si>
  <si>
    <t>marius asgena</t>
  </si>
  <si>
    <t xml:space="preserve">IDE006094      </t>
  </si>
  <si>
    <t>gediminas kaupas</t>
  </si>
  <si>
    <t>46eur + montazke</t>
  </si>
  <si>
    <t>sumoketa 207eur</t>
  </si>
  <si>
    <t>aleksandr kasinskij</t>
  </si>
  <si>
    <t xml:space="preserve">IDE006114    </t>
  </si>
  <si>
    <t>Giedrius Paulavičius</t>
  </si>
  <si>
    <t>59eur</t>
  </si>
  <si>
    <t>ignas gylys</t>
  </si>
  <si>
    <t>montazke juodu ratu</t>
  </si>
  <si>
    <t xml:space="preserve">IDE006249   </t>
  </si>
  <si>
    <t>ZFR6EIX-11    6vnt</t>
  </si>
  <si>
    <t>15w50  2 itrai 27.5eur</t>
  </si>
  <si>
    <t>sailun elite</t>
  </si>
  <si>
    <t>giedrius mikaila 867137870</t>
  </si>
  <si>
    <t>245/45r17 99y</t>
  </si>
  <si>
    <t>INTENSA UHP 2 XL FP</t>
  </si>
  <si>
    <t>Virginijus Karoblis 868646096 Mykolas Raciunas</t>
  </si>
  <si>
    <t>po 75eur + siuntimas 5-6eur</t>
  </si>
  <si>
    <t>IDE006084</t>
  </si>
  <si>
    <t>sumoketa pavedimu</t>
  </si>
  <si>
    <t>dunlop 3d</t>
  </si>
  <si>
    <t>133+pvm</t>
  </si>
  <si>
    <t xml:space="preserve">IDE006086  </t>
  </si>
  <si>
    <t>rimas ex keliukas</t>
  </si>
  <si>
    <t>38eur+montazke</t>
  </si>
  <si>
    <t>Gintaras Drumsta klaudijus stroginis</t>
  </si>
  <si>
    <t>69eur + montazke</t>
  </si>
  <si>
    <t>sumoketa 300eur</t>
  </si>
  <si>
    <t>265/50r19</t>
  </si>
  <si>
    <t>michelin latsport 3 N0</t>
  </si>
  <si>
    <t>jonas porsche</t>
  </si>
  <si>
    <t xml:space="preserve">IDE006093  </t>
  </si>
  <si>
    <t>dviratis 750eur</t>
  </si>
  <si>
    <t xml:space="preserve">marius savickas </t>
  </si>
  <si>
    <t>dviratis 250eur</t>
  </si>
  <si>
    <t>rastafkes israsyt aurimas NAV</t>
  </si>
  <si>
    <t xml:space="preserve">IDE006209  </t>
  </si>
  <si>
    <t>225/50r16</t>
  </si>
  <si>
    <t>sask nill nill</t>
  </si>
  <si>
    <t xml:space="preserve">IDE006095           </t>
  </si>
  <si>
    <t>montazke volvo</t>
  </si>
  <si>
    <t>COF100102S 3eur</t>
  </si>
  <si>
    <t>Martynas // Vertimų GURU &lt;martynas@vertimuguru.lt</t>
  </si>
  <si>
    <t>turbolight 4l 20eur</t>
  </si>
  <si>
    <t xml:space="preserve">IDE006101           </t>
  </si>
  <si>
    <t>245/45r17</t>
  </si>
  <si>
    <t xml:space="preserve">jancauskas.donatas@gmail.com </t>
  </si>
  <si>
    <t>IDE006090 po 73eur</t>
  </si>
  <si>
    <t>su montazke</t>
  </si>
  <si>
    <t>3 397 007 088  24eur</t>
  </si>
  <si>
    <t>busiko ratu sukeitimas/balans</t>
  </si>
  <si>
    <t>tomas kaimynas</t>
  </si>
  <si>
    <t>volvo montazke ir 1 rato virinimas</t>
  </si>
  <si>
    <t>Juozas B &lt;juozukasb@gmail.com darius bevita</t>
  </si>
  <si>
    <t>60eur+montazke?</t>
  </si>
  <si>
    <t xml:space="preserve">IDE006100     </t>
  </si>
  <si>
    <t>Rūta Jančiauskienė &lt;r.janciauskiene@norameda.com</t>
  </si>
  <si>
    <t>montazke su pasauga  87eur padanga</t>
  </si>
  <si>
    <t xml:space="preserve">IDE006153        </t>
  </si>
  <si>
    <t>126+montazke pasauga</t>
  </si>
  <si>
    <t>giedrius jankaitis</t>
  </si>
  <si>
    <t>FP 2436  17eur</t>
  </si>
  <si>
    <t>uz montazke su pasauga</t>
  </si>
  <si>
    <t xml:space="preserve">IDE006092    </t>
  </si>
  <si>
    <t>dave 600eur kazkas</t>
  </si>
  <si>
    <t>keitimas 20 ?</t>
  </si>
  <si>
    <t>rastafkes 4vnt rcz 70eur</t>
  </si>
  <si>
    <t xml:space="preserve">marex marekas </t>
  </si>
  <si>
    <t>580 ratai keskin</t>
  </si>
  <si>
    <t>nauji varztai 20vnt  24eur</t>
  </si>
  <si>
    <t>jolanta gresyte</t>
  </si>
  <si>
    <t xml:space="preserve">donatas jucius diverus cayene </t>
  </si>
  <si>
    <t>montazke su pasauga (45eur)</t>
  </si>
  <si>
    <t>100eur nuolaida nuo padangu papildomai</t>
  </si>
  <si>
    <t>IDE008211</t>
  </si>
  <si>
    <t>michelin ps4s</t>
  </si>
  <si>
    <t>donatas jucius diverus</t>
  </si>
  <si>
    <t xml:space="preserve">IDE006190  </t>
  </si>
  <si>
    <t>taurus</t>
  </si>
  <si>
    <t>ricardas kaimynas</t>
  </si>
  <si>
    <t>285/45r19</t>
  </si>
  <si>
    <t>tomas masirka</t>
  </si>
  <si>
    <t xml:space="preserve">IDE006064     </t>
  </si>
  <si>
    <t>padangu keitimas ir pasauga 2020 pavasaris</t>
  </si>
  <si>
    <t>tepalo filtras hu9001x 13eur</t>
  </si>
  <si>
    <t>mantas jastremskas porsche macan</t>
  </si>
  <si>
    <t>tepalas xmax 0w40 5+5L (buvo 4l senam indelyje 0w40)</t>
  </si>
  <si>
    <t>245/40R19 98Y</t>
  </si>
  <si>
    <t>dunlop sp sport 01 J XL MFS</t>
  </si>
  <si>
    <t>Darius Juodeska Mykolas Raciunas</t>
  </si>
  <si>
    <t>po 150eur. Viso 300eur</t>
  </si>
  <si>
    <t xml:space="preserve">IDE006096 </t>
  </si>
  <si>
    <t>Sumoketa</t>
  </si>
  <si>
    <t>darius geguzis nav</t>
  </si>
  <si>
    <t>kurjeris plius 6,99+PVM</t>
  </si>
  <si>
    <t xml:space="preserve">IDE006131  </t>
  </si>
  <si>
    <t>rotalla</t>
  </si>
  <si>
    <t>kurjeris 4+pvm</t>
  </si>
  <si>
    <t>Ruslan Bubnel</t>
  </si>
  <si>
    <t xml:space="preserve">IDE006099       </t>
  </si>
  <si>
    <t>tomas zitikis</t>
  </si>
  <si>
    <t>po 41eur?</t>
  </si>
  <si>
    <t>sumokejo 100eur</t>
  </si>
  <si>
    <t>Justinas Bal fb</t>
  </si>
  <si>
    <t>sumokejo 310eur</t>
  </si>
  <si>
    <t>reik saskaitos</t>
  </si>
  <si>
    <t xml:space="preserve">erikas instabalt </t>
  </si>
  <si>
    <t>sask uz montavima transit/toyota</t>
  </si>
  <si>
    <t xml:space="preserve">IDE006103      </t>
  </si>
  <si>
    <t>mantvydas cekutis bmw g30 s.stanislovenas@vienasaskaita.lt</t>
  </si>
  <si>
    <t>montazke su pasauga ideta i sask</t>
  </si>
  <si>
    <t xml:space="preserve">IDE006136  </t>
  </si>
  <si>
    <t>goodyear f1 ASY 5 xl fp</t>
  </si>
  <si>
    <t>Tomas Putna Mykolas Raciunas</t>
  </si>
  <si>
    <t>513eur</t>
  </si>
  <si>
    <t>IDE006113</t>
  </si>
  <si>
    <t>175/50R15</t>
  </si>
  <si>
    <t>Triangle TR978</t>
  </si>
  <si>
    <t>Paulius Grigonis 868479391 Mykolas Raciunas</t>
  </si>
  <si>
    <t>sumokejo 136eur cash</t>
  </si>
  <si>
    <t>daiva gyliene idg service</t>
  </si>
  <si>
    <t>focus montazke</t>
  </si>
  <si>
    <t>Marius Zukauskas andrius nasvytis</t>
  </si>
  <si>
    <t xml:space="preserve">78eur </t>
  </si>
  <si>
    <t>IDE006127   sask be montazkes</t>
  </si>
  <si>
    <t>sumokes</t>
  </si>
  <si>
    <t>67eur</t>
  </si>
  <si>
    <t xml:space="preserve">IDE006123  </t>
  </si>
  <si>
    <t>261300km rida</t>
  </si>
  <si>
    <t>lx1211 9eur  ox388d  7eur</t>
  </si>
  <si>
    <t>lao181 15eur</t>
  </si>
  <si>
    <t>pu8008/1  25eur</t>
  </si>
  <si>
    <t>jurga zagaraite  tepalai  40eur</t>
  </si>
  <si>
    <t>keitimas 20eur</t>
  </si>
  <si>
    <t>ratu pasauga keitima 30eur</t>
  </si>
  <si>
    <t>narmontas normantas paliokas</t>
  </si>
  <si>
    <t>IDE006318</t>
  </si>
  <si>
    <t>2020-08men vasara</t>
  </si>
  <si>
    <t>montzke su pasauga  35</t>
  </si>
  <si>
    <t>balansas papildomai  15</t>
  </si>
  <si>
    <t>narmontas paliokas</t>
  </si>
  <si>
    <t>2vnt 235/55r18 ice2 pardaviau 270eur</t>
  </si>
  <si>
    <t>2vnt po 10L ad blue 2019-07-17</t>
  </si>
  <si>
    <t>2x ad blue 7eur</t>
  </si>
  <si>
    <t>3vnt langu skyscio,  6eur</t>
  </si>
  <si>
    <t>skoda montazke su pasauga 35eur</t>
  </si>
  <si>
    <t>jzz439 narmontas paliokas</t>
  </si>
  <si>
    <t>galiniu kaladeliu keitimas 30eur</t>
  </si>
  <si>
    <t>ferodo fdb4697  28eur</t>
  </si>
  <si>
    <t>IDE007356</t>
  </si>
  <si>
    <t>2x5L po 7eur  ad blue</t>
  </si>
  <si>
    <t>normantas paliokas narmontas</t>
  </si>
  <si>
    <t>lempas nupirko uz 180?</t>
  </si>
  <si>
    <t>950 dave</t>
  </si>
  <si>
    <t>zilvinas ribaltavicius nemesis</t>
  </si>
  <si>
    <t>2x genevo m 920eur</t>
  </si>
  <si>
    <t>po 660eur parduota</t>
  </si>
  <si>
    <t>201001548 lpexpress 5eur</t>
  </si>
  <si>
    <t>hok084 interlux</t>
  </si>
  <si>
    <t xml:space="preserve">keitimas </t>
  </si>
  <si>
    <t xml:space="preserve">IDE006181   </t>
  </si>
  <si>
    <t xml:space="preserve">IDE006181       </t>
  </si>
  <si>
    <t>paulius@diamedica.lt</t>
  </si>
  <si>
    <t>montazke ir pasauga uz dvi masinas</t>
  </si>
  <si>
    <t xml:space="preserve">IDE006208     </t>
  </si>
  <si>
    <t xml:space="preserve">IDE006116           </t>
  </si>
  <si>
    <t>DS-MO-WRVB80845512L</t>
  </si>
  <si>
    <t>po 155eur</t>
  </si>
  <si>
    <t>momo 4vnt ratlankiai</t>
  </si>
  <si>
    <t>andrius navickas</t>
  </si>
  <si>
    <t>3 397 014 244  28eur</t>
  </si>
  <si>
    <t>rimas osk baltics</t>
  </si>
  <si>
    <t>dvieju masinu montazke</t>
  </si>
  <si>
    <t xml:space="preserve">IDE006226 </t>
  </si>
  <si>
    <t>lukas burneika tramonta</t>
  </si>
  <si>
    <t>210su pvm krujeris</t>
  </si>
  <si>
    <t xml:space="preserve">IDE006117    </t>
  </si>
  <si>
    <t>Vilius Vytautas Novickas</t>
  </si>
  <si>
    <t>55eur + montazke</t>
  </si>
  <si>
    <t>sumokejo 250eur</t>
  </si>
  <si>
    <t>uz moca man 30eur</t>
  </si>
  <si>
    <t>dave 50eur</t>
  </si>
  <si>
    <t>jonas vainius raulynaitis</t>
  </si>
  <si>
    <t>hf151 6eur   15w50 4l motul  29eur</t>
  </si>
  <si>
    <t>lfp14  91eur</t>
  </si>
  <si>
    <t>tadas cernauskas</t>
  </si>
  <si>
    <t xml:space="preserve">montazke IDE006118       </t>
  </si>
  <si>
    <t>toyo cf2</t>
  </si>
  <si>
    <t>Evaldas &lt;e.prizginas@gmail.com</t>
  </si>
  <si>
    <t>49.12eur ir montazke su pasauga?</t>
  </si>
  <si>
    <t>860030350 Algirdas Genaitis</t>
  </si>
  <si>
    <t>72eur ir montazke</t>
  </si>
  <si>
    <t xml:space="preserve">IDE006122      </t>
  </si>
  <si>
    <t>galgirdas@yahoo.com</t>
  </si>
  <si>
    <t>860030350 ramute.genaitiene@gmail.com</t>
  </si>
  <si>
    <t>po 65eur ir montazke</t>
  </si>
  <si>
    <t>darius aristavos ukis</t>
  </si>
  <si>
    <t>68eur+kurjeirs</t>
  </si>
  <si>
    <t xml:space="preserve">IDE006125      </t>
  </si>
  <si>
    <t>DK-MC-27183SU  28eur</t>
  </si>
  <si>
    <t>sumoketa 30eur</t>
  </si>
  <si>
    <t>falken  WPAT01</t>
  </si>
  <si>
    <t>96.5eur</t>
  </si>
  <si>
    <t xml:space="preserve">IDE006184       </t>
  </si>
  <si>
    <t>LAO490 salono 18eur</t>
  </si>
  <si>
    <t>C 27 013 oro 15eur</t>
  </si>
  <si>
    <t>WK 8028 Z Kuro 25eur</t>
  </si>
  <si>
    <t>znutas karolis</t>
  </si>
  <si>
    <t>HU 7009 Z Alyvos 6eur</t>
  </si>
  <si>
    <t>8100 X-clean EFE 5W30 39+10eur</t>
  </si>
  <si>
    <t>uz fiesta 10eur</t>
  </si>
  <si>
    <t>sask 530eur</t>
  </si>
  <si>
    <t>lmi38516 38517  139eur</t>
  </si>
  <si>
    <t>AK-DU-DA77H</t>
  </si>
  <si>
    <t>JUSTINAS POMERNECKAS Mykolas Raciunas</t>
  </si>
  <si>
    <t>84,22eur sumoketa i paysera</t>
  </si>
  <si>
    <t>IDE006144</t>
  </si>
  <si>
    <t>235/50r18 101Y</t>
  </si>
  <si>
    <t>sava intensa uhp 2 XL FP</t>
  </si>
  <si>
    <t>VAIDAS TRAINAVIČIUS Mykolas Raciunas</t>
  </si>
  <si>
    <t>po 94,90eur</t>
  </si>
  <si>
    <t>IDE006128</t>
  </si>
  <si>
    <t>3 397 011 964   8eur</t>
  </si>
  <si>
    <t>3 397 007 570 24eur</t>
  </si>
  <si>
    <t>24.0110-0337.1 2vnt po 27eur</t>
  </si>
  <si>
    <t>FDB4048  27eur</t>
  </si>
  <si>
    <t xml:space="preserve">IDE006237   </t>
  </si>
  <si>
    <t>stabdziu keitimas</t>
  </si>
  <si>
    <t>giedrius groundwirus</t>
  </si>
  <si>
    <t>po 54eur</t>
  </si>
  <si>
    <t>sumokejo 240eur</t>
  </si>
  <si>
    <t xml:space="preserve">sailun atrezo </t>
  </si>
  <si>
    <t>marijus kebla mokilizingas</t>
  </si>
  <si>
    <t>55eur ir montazke 25eur</t>
  </si>
  <si>
    <t>tadas is alternos penkauskas</t>
  </si>
  <si>
    <t>53.eur su montazke ir pasauga</t>
  </si>
  <si>
    <t xml:space="preserve">IDE006140     </t>
  </si>
  <si>
    <t>260 dave cash</t>
  </si>
  <si>
    <t>davikliai 4i 160eur</t>
  </si>
  <si>
    <t>cayene ratu sukeitimas, padangu numontavimas</t>
  </si>
  <si>
    <t>audrius labanauskas</t>
  </si>
  <si>
    <t>Donatas Vaitkus &lt;donatasvaitkus@gmail.com</t>
  </si>
  <si>
    <t xml:space="preserve">IDE006242   </t>
  </si>
  <si>
    <t>152eur</t>
  </si>
  <si>
    <t>kristis dave medaus 1kg</t>
  </si>
  <si>
    <t>kristis riese</t>
  </si>
  <si>
    <t>TUDOR AGM 12V/70Ah/760A 278x175x190</t>
  </si>
  <si>
    <t xml:space="preserve">IDE006132    </t>
  </si>
  <si>
    <t>dovydas saules elementai</t>
  </si>
  <si>
    <t>f21 varta  143eur</t>
  </si>
  <si>
    <t xml:space="preserve">IDE006130        </t>
  </si>
  <si>
    <t>julius juodisius Daumantas Zavadskis</t>
  </si>
  <si>
    <t>montazke ir padangas i sask</t>
  </si>
  <si>
    <t xml:space="preserve">IDE006145      </t>
  </si>
  <si>
    <t>3 397 118 912   33eur</t>
  </si>
  <si>
    <t>xclean+ 6L po 7eur</t>
  </si>
  <si>
    <t>F 026 400 456 15eur</t>
  </si>
  <si>
    <t>hu7019z  6eur</t>
  </si>
  <si>
    <t>0 986 628 519 17eur</t>
  </si>
  <si>
    <t>195/55r15</t>
  </si>
  <si>
    <t>gintaras grigarvicius</t>
  </si>
  <si>
    <t xml:space="preserve">IDE006245    </t>
  </si>
  <si>
    <t>giedrius zakalskis, sask NAV</t>
  </si>
  <si>
    <t>95eur</t>
  </si>
  <si>
    <t>montazke, ratu tiesinimas 3vnt</t>
  </si>
  <si>
    <t xml:space="preserve">IDE006157        </t>
  </si>
  <si>
    <t>MAXX M6029</t>
  </si>
  <si>
    <t>Virginijus Gel</t>
  </si>
  <si>
    <t>68.5eur</t>
  </si>
  <si>
    <t>IDE006870</t>
  </si>
  <si>
    <t>kleber c</t>
  </si>
  <si>
    <t>siuntimas i siaulia 5eur</t>
  </si>
  <si>
    <t xml:space="preserve">IDE006150     </t>
  </si>
  <si>
    <t>donatas jucius</t>
  </si>
  <si>
    <t>911 montazke, pasauga,geguzes5 2020</t>
  </si>
  <si>
    <t>dovanu</t>
  </si>
  <si>
    <t>daviklis vienas 35eur</t>
  </si>
  <si>
    <t xml:space="preserve">IDE006357        </t>
  </si>
  <si>
    <t>winrun</t>
  </si>
  <si>
    <t>Justina ForHoreca &lt;justina@forhoreca.lt</t>
  </si>
  <si>
    <t>justina@forhoreca.lt</t>
  </si>
  <si>
    <t>868770006  su montazke</t>
  </si>
  <si>
    <t xml:space="preserve">IDE006133  </t>
  </si>
  <si>
    <t>265/40r22</t>
  </si>
  <si>
    <t>pirelli scorpion zero</t>
  </si>
  <si>
    <t>177eur</t>
  </si>
  <si>
    <t>montazke, pasauga ir guzu gamyba</t>
  </si>
  <si>
    <t xml:space="preserve">IDE006183    </t>
  </si>
  <si>
    <t>KPO reik nusiust</t>
  </si>
  <si>
    <t>michelin pilot 4s</t>
  </si>
  <si>
    <t>Rytis vaitiekunas</t>
  </si>
  <si>
    <t>189 sask su montazke ir pasauga</t>
  </si>
  <si>
    <t xml:space="preserve">IDE006135    </t>
  </si>
  <si>
    <t>rimantas kisielius</t>
  </si>
  <si>
    <t>56eur</t>
  </si>
  <si>
    <t xml:space="preserve">IDE006134        </t>
  </si>
  <si>
    <t>motul 0w40 5l 45eur</t>
  </si>
  <si>
    <t>inugel expert 5l 19eur</t>
  </si>
  <si>
    <t>13.0470-2770.2  90eur</t>
  </si>
  <si>
    <t>24.8190-0313.2 10eur</t>
  </si>
  <si>
    <t>13.0460-4852.2   135eur</t>
  </si>
  <si>
    <t>davikliai 2x galiniai</t>
  </si>
  <si>
    <t>porsche macan su keitimu</t>
  </si>
  <si>
    <t>dunlop deveti po 15-20eur</t>
  </si>
  <si>
    <t>audi a4 b8 uab audis</t>
  </si>
  <si>
    <t xml:space="preserve">IDE006246  </t>
  </si>
  <si>
    <t>dar 1l xclean+ is backos</t>
  </si>
  <si>
    <t>Arturas Zakroiskis</t>
  </si>
  <si>
    <t>2 auto montazke nemokejo.redaguota  2020-10-27</t>
  </si>
  <si>
    <t>1l xclean+ is backos</t>
  </si>
  <si>
    <t>sailun atrezzo zsr</t>
  </si>
  <si>
    <t>Mykolas Raciunas</t>
  </si>
  <si>
    <t>IDE006137</t>
  </si>
  <si>
    <t>149+125</t>
  </si>
  <si>
    <t>montazke 25</t>
  </si>
  <si>
    <t>laura urbonaite</t>
  </si>
  <si>
    <t>montazke ir pasauga neitraukta</t>
  </si>
  <si>
    <t xml:space="preserve">IDE006091      </t>
  </si>
  <si>
    <t>volvo 3 ratu lyginimas, vienas virintas 50eur</t>
  </si>
  <si>
    <t>volvo ratu keitimas</t>
  </si>
  <si>
    <t xml:space="preserve"> volvo sekretku grezimas 1,5h</t>
  </si>
  <si>
    <t xml:space="preserve">IDE006186          </t>
  </si>
  <si>
    <t>egidijus meilunas ovidijus</t>
  </si>
  <si>
    <t>pasauga ir montazke 25+15 2020pavasaris</t>
  </si>
  <si>
    <t>dunlop rt</t>
  </si>
  <si>
    <t>119.99eur?</t>
  </si>
  <si>
    <t xml:space="preserve">IDE006216       </t>
  </si>
  <si>
    <t>920dave</t>
  </si>
  <si>
    <t>5w30 tepalai 5l eco-nergy 40eur</t>
  </si>
  <si>
    <t>keitimas 20e</t>
  </si>
  <si>
    <t>tepalo filtras 5eur</t>
  </si>
  <si>
    <t>paskolinta 1 padanga dunlop 205/55r16</t>
  </si>
  <si>
    <t xml:space="preserve">ovidijus meilunas </t>
  </si>
  <si>
    <t>pats uzsidejo ant auto</t>
  </si>
  <si>
    <t>michelin supersport</t>
  </si>
  <si>
    <t>Mindaugas Girčius darbas868@gmail.com</t>
  </si>
  <si>
    <t xml:space="preserve">IDE006124    </t>
  </si>
  <si>
    <t>michelin pilot sport 4s xl</t>
  </si>
  <si>
    <t>kestutis madaccountant@gmail.com</t>
  </si>
  <si>
    <t>Kestutis Daunoras</t>
  </si>
  <si>
    <t xml:space="preserve">IDE006138  </t>
  </si>
  <si>
    <t>maxxis s-pro</t>
  </si>
  <si>
    <t xml:space="preserve">IDE006171     </t>
  </si>
  <si>
    <t>A20X9 5x112 ET42 66.45 BK690 (XFC64) HS RWR AUD (A)</t>
  </si>
  <si>
    <t>darijus dzervus</t>
  </si>
  <si>
    <t>650eur kompl</t>
  </si>
  <si>
    <t xml:space="preserve">IDE006166   </t>
  </si>
  <si>
    <t>70+74  montazke</t>
  </si>
  <si>
    <t>285/70r19.5</t>
  </si>
  <si>
    <t>goodyear kmax</t>
  </si>
  <si>
    <t>rimas megelinskas megrame</t>
  </si>
  <si>
    <t xml:space="preserve">IDE006170         </t>
  </si>
  <si>
    <t>montazke?</t>
  </si>
  <si>
    <t xml:space="preserve">IDE006169   </t>
  </si>
  <si>
    <t xml:space="preserve">goodyear f1 asymm 3 </t>
  </si>
  <si>
    <t xml:space="preserve">IDE006173        </t>
  </si>
  <si>
    <t>26774 01 15,30eur savikaina</t>
  </si>
  <si>
    <t>FDB5096  55eur</t>
  </si>
  <si>
    <t>keitimas kaladeliu ir stabilizo, stabdziu nuorinimas</t>
  </si>
  <si>
    <t>825 0093 10 (FAG) 2vnt po 12eur</t>
  </si>
  <si>
    <t>310 015 (SACHS) 2vnt po 34eur</t>
  </si>
  <si>
    <t>antanas barasnevicius dv technika</t>
  </si>
  <si>
    <t>69eur uzdet ant ratu</t>
  </si>
  <si>
    <t xml:space="preserve">IDE006146     </t>
  </si>
  <si>
    <t>Maxxis M6006</t>
  </si>
  <si>
    <t>Audrius Sadbaras Mykolas Raciunas</t>
  </si>
  <si>
    <t>49,76eur</t>
  </si>
  <si>
    <t>IDE006143</t>
  </si>
  <si>
    <t>sumoketa i paysera</t>
  </si>
  <si>
    <t>stabdziu skystis 2L sunaudoti ir orinimas</t>
  </si>
  <si>
    <t>stabdziu dvieju m3 sukeitimas</t>
  </si>
  <si>
    <t>6.5 valandos darbo</t>
  </si>
  <si>
    <t>27902 2vnt 32eur</t>
  </si>
  <si>
    <t>27907  15eur</t>
  </si>
  <si>
    <t>edvinas sabalys pensija</t>
  </si>
  <si>
    <t>3 397 118 401</t>
  </si>
  <si>
    <t>585044 valeo 5eur</t>
  </si>
  <si>
    <t xml:space="preserve">IDE006264    </t>
  </si>
  <si>
    <t>ar1 nankang sumontavimas</t>
  </si>
  <si>
    <t>3 397 001 582  22eur</t>
  </si>
  <si>
    <t>porse ratu numontavimas/prasukimas</t>
  </si>
  <si>
    <t>porso rato lyginimas 90eur</t>
  </si>
  <si>
    <t>ratlankiai japan racing</t>
  </si>
  <si>
    <t>mantas jastremskas mustango</t>
  </si>
  <si>
    <t>1150eur? kurjeris</t>
  </si>
  <si>
    <t xml:space="preserve">IDE006165     </t>
  </si>
  <si>
    <t>175eur kurjeris</t>
  </si>
  <si>
    <t xml:space="preserve">IDE006163           </t>
  </si>
  <si>
    <t>175+pvm</t>
  </si>
  <si>
    <t xml:space="preserve">japan racing </t>
  </si>
  <si>
    <t>950eur</t>
  </si>
  <si>
    <t>DK-MC-27230SU  32eur</t>
  </si>
  <si>
    <t>TPMS Sensor Schrader Plug&amp;Drive 7</t>
  </si>
  <si>
    <t>matas buzelis nookie</t>
  </si>
  <si>
    <t>215/40r17</t>
  </si>
  <si>
    <t>AK-GHD20H-3</t>
  </si>
  <si>
    <t>Nerijus Zekas Mykolas Raciunas</t>
  </si>
  <si>
    <t>55.74eur</t>
  </si>
  <si>
    <t>IDE006147</t>
  </si>
  <si>
    <t>redas kardauskas</t>
  </si>
  <si>
    <t>52eur ir montazke 25eur</t>
  </si>
  <si>
    <t>sumoketa 125eur</t>
  </si>
  <si>
    <t>dave 110</t>
  </si>
  <si>
    <t>7pk1629  10+pvm savik</t>
  </si>
  <si>
    <t>5pk975 4+pvm  savik</t>
  </si>
  <si>
    <t>julius puidokas ovidijus meilunas</t>
  </si>
  <si>
    <t>94274-nis  61.35eur</t>
  </si>
  <si>
    <t>55322-nrf  138eur</t>
  </si>
  <si>
    <t xml:space="preserve">IDE006172   </t>
  </si>
  <si>
    <t>Gytis Slavinskas</t>
  </si>
  <si>
    <t xml:space="preserve">IDE006152           </t>
  </si>
  <si>
    <t>laurynas skoda suvedimas</t>
  </si>
  <si>
    <t>41eur</t>
  </si>
  <si>
    <t>beriva laurynas?</t>
  </si>
  <si>
    <t>DF7369 po 26eur 2vnt.</t>
  </si>
  <si>
    <t>fdb1693 25eur savikaina</t>
  </si>
  <si>
    <t>daug valymo buvo</t>
  </si>
  <si>
    <t>gal. stabdziu kaladeliu ir disku keitimas</t>
  </si>
  <si>
    <t>renault cemperio montazke, nuo vienu ratu nuemiau vasarines, kitu ziemines, uzdejau vasarines ir subalansavau, 1.5karto montazkes beveik :)</t>
  </si>
  <si>
    <t>sava perfecta</t>
  </si>
  <si>
    <t>klaudijus stroginis devisor</t>
  </si>
  <si>
    <t>dave 165</t>
  </si>
  <si>
    <t xml:space="preserve">IDE006168     </t>
  </si>
  <si>
    <t>pauleko pusbrolis paulius balciunas</t>
  </si>
  <si>
    <t>45eur + montazke 25eur buvo</t>
  </si>
  <si>
    <t>info@flowerpower.lt</t>
  </si>
  <si>
    <t>205eur sumoketa</t>
  </si>
  <si>
    <t>IDE006192</t>
  </si>
  <si>
    <t>ismetimo keitimas ir stabdziu skyst keitimas 5h beveik</t>
  </si>
  <si>
    <t>varztai 12eur</t>
  </si>
  <si>
    <t>mantas jastremskas bmw m5</t>
  </si>
  <si>
    <t>CUK 23 014-2  75eur</t>
  </si>
  <si>
    <t>stabdziu skystis 2l motul 5.1 30eur</t>
  </si>
  <si>
    <t>spyruokliu keitimas turbut visa diena sumoje bus</t>
  </si>
  <si>
    <r>
      <rPr>
        <rFont val="Verdana, Helvetica, sans-serif"/>
        <color rgb="FF6D6D6D"/>
        <sz val="9.0"/>
        <u/>
      </rPr>
      <t>1 987 432 397</t>
    </r>
    <r>
      <rPr>
        <rFont val="Verdana, Helvetica, sans-serif"/>
        <color rgb="FF000000"/>
        <sz val="9.0"/>
      </rPr>
      <t xml:space="preserve">  10eur</t>
    </r>
  </si>
  <si>
    <t>W 719/45  12eur</t>
  </si>
  <si>
    <t>xclean+ is backos 5L</t>
  </si>
  <si>
    <t>priesrukiniu sviesu laido keitimas apie 1h</t>
  </si>
  <si>
    <t>Andrius Mezenas &lt;andrius.mezenas@gmail.com</t>
  </si>
  <si>
    <t>ner montazkes saskaitoj</t>
  </si>
  <si>
    <t xml:space="preserve">IDE006164  </t>
  </si>
  <si>
    <t>traktoriukas sniuras</t>
  </si>
  <si>
    <t>volvo 1 rata pakeist is virinto i sveika, montazke ir balansas</t>
  </si>
  <si>
    <t>https://www.stokker.lt/cordless-compact-cutter-cc-12-bl-powermaxx-carcass/2130697972?fbclid=IwAR1va9muU8KdaD2ZY-9g1cxrqcLY2YogbV96QV-j1kaJz1nwwofiHUxTnFE</t>
  </si>
  <si>
    <t>tepalai xmax 0w40 6L</t>
  </si>
  <si>
    <t>C 30 004 15eur</t>
  </si>
  <si>
    <t>3 397 007 863  21eur</t>
  </si>
  <si>
    <t>ovidijus meilunas golf gti</t>
  </si>
  <si>
    <t>hu6013z  10eur</t>
  </si>
  <si>
    <t>FP 26 009  17eur, tepalu keitimas</t>
  </si>
  <si>
    <t xml:space="preserve">IDE006169     </t>
  </si>
  <si>
    <t>stabdziu skystis 2x0.5L</t>
  </si>
  <si>
    <t>stabdziu skyscio keitimas 1L ferodo 5.1 naudotas</t>
  </si>
  <si>
    <t>uz padangas klientas dave 100eur</t>
  </si>
  <si>
    <t>keista 1 pagalve (desines puses)</t>
  </si>
  <si>
    <t>programa?  150eur</t>
  </si>
  <si>
    <t>129.96+pvm</t>
  </si>
  <si>
    <t xml:space="preserve">IDE006178    </t>
  </si>
  <si>
    <r>
      <rPr>
        <rFont val="Verdana, Helvetica, sans-serif"/>
        <color rgb="FF6D6D6D"/>
        <sz val="9.0"/>
        <u/>
      </rPr>
      <t>5PK491</t>
    </r>
    <r>
      <rPr>
        <rFont val="Verdana, Helvetica, sans-serif"/>
        <color rgb="FF000000"/>
        <sz val="9.0"/>
      </rPr>
      <t xml:space="preserve">  6eur</t>
    </r>
  </si>
  <si>
    <t>03C 129 717 C  4eur</t>
  </si>
  <si>
    <t>CAF100694P  7eur</t>
  </si>
  <si>
    <t>a14 akumas  47eur</t>
  </si>
  <si>
    <t>197pervede i  swed 05-21</t>
  </si>
  <si>
    <t>tepalas 5l    35eur</t>
  </si>
  <si>
    <t>N0138131 1eur 5vnt</t>
  </si>
  <si>
    <t>48041 4x ngk 26.5eur  108eur viso</t>
  </si>
  <si>
    <t>JTS483 2vnt po 13eur  26eur viso</t>
  </si>
  <si>
    <t>dave 200  2020-08-13</t>
  </si>
  <si>
    <t>WK 69  17eur</t>
  </si>
  <si>
    <t>XA 40212 (XADO)  49eur</t>
  </si>
  <si>
    <t xml:space="preserve">mantas pavliukevicius                                             </t>
  </si>
  <si>
    <t>0w40 5l 49.90eur</t>
  </si>
  <si>
    <t>XE540/606  5eur</t>
  </si>
  <si>
    <t>V10-2539 23eur</t>
  </si>
  <si>
    <t>cvtf tepalas 7l po 11eur</t>
  </si>
  <si>
    <t>VKJC 7003 2vnt po 121eur</t>
  </si>
  <si>
    <t>OX 143D 5eur</t>
  </si>
  <si>
    <t xml:space="preserve">mantas pavliukevicius </t>
  </si>
  <si>
    <t>BKR7EIX po 10eur 4vnt</t>
  </si>
  <si>
    <r>
      <rPr>
        <rFont val="Verdana, Helvetica, sans-serif"/>
        <color rgb="FF6D6D6D"/>
        <sz val="9.0"/>
        <u/>
      </rPr>
      <t>870-902</t>
    </r>
    <r>
      <rPr>
        <rFont val="Verdana, Helvetica, sans-serif"/>
        <color rgb="FF000000"/>
        <sz val="9.0"/>
      </rPr>
      <t xml:space="preserve">  1vnt 1eur</t>
    </r>
  </si>
  <si>
    <t>10w60 45eur 5litrai</t>
  </si>
  <si>
    <t>cof100540e 5eur</t>
  </si>
  <si>
    <t>31-16 010 0013 2vnt po 10eur</t>
  </si>
  <si>
    <t>dave 400.   08-11</t>
  </si>
  <si>
    <t>31-16 060 0054  13.50eur</t>
  </si>
  <si>
    <r>
      <rPr>
        <rFont val="Verdana, Helvetica, sans-serif"/>
        <color rgb="FF6D6D6D"/>
        <sz val="9.0"/>
        <u/>
      </rPr>
      <t>C 31 116</t>
    </r>
    <r>
      <rPr>
        <rFont val="Verdana, Helvetica, sans-serif"/>
        <color rgb="FF000000"/>
        <sz val="9.0"/>
      </rPr>
      <t xml:space="preserve"> 12eur</t>
    </r>
  </si>
  <si>
    <t>31-16 060 0055 12.28eur</t>
  </si>
  <si>
    <t>6PK1700  14eur</t>
  </si>
  <si>
    <t>el110906 4vnt po 0.3eur</t>
  </si>
  <si>
    <t>DSF091G amortai</t>
  </si>
  <si>
    <t>2vnt po 13eur</t>
  </si>
  <si>
    <t>DSB124G amortai</t>
  </si>
  <si>
    <t>2vnt po 23</t>
  </si>
  <si>
    <t>30 55 0002  2vnt po 7.5eur</t>
  </si>
  <si>
    <t>713 6104 50  2vnt po 28eur</t>
  </si>
  <si>
    <r>
      <rPr>
        <rFont val="Arial"/>
        <b val="0"/>
        <color rgb="FF000000"/>
        <u/>
      </rPr>
      <t>28SKV036</t>
    </r>
    <r>
      <rPr>
        <rFont val="Arial"/>
        <b val="0"/>
        <color rgb="FF000000"/>
      </rPr>
      <t xml:space="preserve">  15eur</t>
    </r>
  </si>
  <si>
    <t>L10600  2vnt po 9eur</t>
  </si>
  <si>
    <t>PK060  10eur</t>
  </si>
  <si>
    <t>QB109-1288  1vnt  5eur</t>
  </si>
  <si>
    <t>QB STT  2eur</t>
  </si>
  <si>
    <t>WP-258 2vnt po 3eur</t>
  </si>
  <si>
    <t>valve cleaneri viena pasieme kazkada rugpjuti ar rugseji?   28eur</t>
  </si>
  <si>
    <t>N90894601 (AUDI/VW) 8vnt</t>
  </si>
  <si>
    <t>po 1.24eur</t>
  </si>
  <si>
    <t>5910-01-040540P 23eur</t>
  </si>
  <si>
    <t>FE29434 15eur</t>
  </si>
  <si>
    <t>FP 2939 15eur</t>
  </si>
  <si>
    <t>26045 2vnt po 13.5eur</t>
  </si>
  <si>
    <t>HU 712/6 X  8eur</t>
  </si>
  <si>
    <t>26455 2x9eur</t>
  </si>
  <si>
    <t>F 00H L00 373  50eur</t>
  </si>
  <si>
    <t>5w50 motul 5l 45eur</t>
  </si>
  <si>
    <t>29318 2vnt po 7eur</t>
  </si>
  <si>
    <t>06b133753d ir sita 03C 103 474 J</t>
  </si>
  <si>
    <t>KTT070001 3eur</t>
  </si>
  <si>
    <t>10w40 synergie+ 5l</t>
  </si>
  <si>
    <t>33eur isviso uz sita eilute tep+filtr</t>
  </si>
  <si>
    <t>OC 262 tepalo filtras</t>
  </si>
  <si>
    <t>langu skyscio 3vnt</t>
  </si>
  <si>
    <t>3 397 118 950 21eur</t>
  </si>
  <si>
    <t>ANTIFREEZE AD -35C G11 GREEN 5L   8eur</t>
  </si>
  <si>
    <t>th03382g1-gat  13eur</t>
  </si>
  <si>
    <t>Elite Arion Mag 255eur</t>
  </si>
  <si>
    <t>Elite Misuro B+  55eur?</t>
  </si>
  <si>
    <t>as jam skolingas uz techa 20eur</t>
  </si>
  <si>
    <t>dave 250eur</t>
  </si>
  <si>
    <t>mantas maisto pirko 20eur</t>
  </si>
  <si>
    <t>1K1819415B9B9 31eur</t>
  </si>
  <si>
    <t>3 397 118 979 15eur</t>
  </si>
  <si>
    <t>1K0253115L 5.5eur</t>
  </si>
  <si>
    <t>pervede 250eur 2021-06-11</t>
  </si>
  <si>
    <t>dave 150eur 2021-05-29</t>
  </si>
  <si>
    <t>872eur kraken +10eur pervedimo mokesciai</t>
  </si>
  <si>
    <t>720eur dave 2021-04-07</t>
  </si>
  <si>
    <t>F101401 (KAMOKA) 2.5eur</t>
  </si>
  <si>
    <t>Alyva 10W40 5L  12eur</t>
  </si>
  <si>
    <t>MOTUL MULTI CVTF 4L  38eur</t>
  </si>
  <si>
    <t>FE170670  20eur</t>
  </si>
  <si>
    <t>GDB3493  32eur</t>
  </si>
  <si>
    <t>DF3021 2vnt po 25eur</t>
  </si>
  <si>
    <t>mantas pavliukevicius honda jazz</t>
  </si>
  <si>
    <t>VO-BJ-0319 abu 24eur</t>
  </si>
  <si>
    <t>HU 719/7 X  4.5eur</t>
  </si>
  <si>
    <t>tepalai alhambra xclean+ 5l ?</t>
  </si>
  <si>
    <t>LX1000 Oro filtras 12eur</t>
  </si>
  <si>
    <t>1 457 429 301  8eur</t>
  </si>
  <si>
    <t>tepalas is backos golfui varikli plaut?</t>
  </si>
  <si>
    <t>029 HS 21018 000 26eur</t>
  </si>
  <si>
    <t>78 635 600  6eur</t>
  </si>
  <si>
    <t>01-4100/4 STD  34eur</t>
  </si>
  <si>
    <t>mantas pavliukevicius mix</t>
  </si>
  <si>
    <t>EL381640  53eur</t>
  </si>
  <si>
    <t>OX 341D  8eur</t>
  </si>
  <si>
    <t>110.906 2vnt po 15centu</t>
  </si>
  <si>
    <t>7.04247.02.0  31eur</t>
  </si>
  <si>
    <t>FE102423   113.5eur</t>
  </si>
  <si>
    <t>xclean+  5.5L</t>
  </si>
  <si>
    <t>antifryz 5l 10eur</t>
  </si>
  <si>
    <t>551019410 25eur</t>
  </si>
  <si>
    <t>813436600   8eur</t>
  </si>
  <si>
    <t>daytch1001  33eur</t>
  </si>
  <si>
    <t>092.750  12eur</t>
  </si>
  <si>
    <t>pedalai   610eur</t>
  </si>
  <si>
    <t>dave 300eur cash 2022-02-23</t>
  </si>
  <si>
    <t>HU 712/6 X  9eur</t>
  </si>
  <si>
    <t>0w40 5L  42eur</t>
  </si>
  <si>
    <t>dave 1400eur</t>
  </si>
  <si>
    <t>300 eur skola</t>
  </si>
  <si>
    <t>DK-CN-633541 4vnt. po 1.5eur, viso: 6eur</t>
  </si>
  <si>
    <t>Marius Zalensas</t>
  </si>
  <si>
    <t>triangle th201</t>
  </si>
  <si>
    <t>nuo tadas penkisunys</t>
  </si>
  <si>
    <t>37065653045 tata draugas</t>
  </si>
  <si>
    <t>220eur sumokejo</t>
  </si>
  <si>
    <t>arunas buskevicius daruna</t>
  </si>
  <si>
    <t xml:space="preserve">IDE006238  </t>
  </si>
  <si>
    <t>mindaugas balciunas</t>
  </si>
  <si>
    <t>113-115?</t>
  </si>
  <si>
    <t>raimond stefanovic</t>
  </si>
  <si>
    <t xml:space="preserve">IDE006176    </t>
  </si>
  <si>
    <t>ratlankiai concaver r20</t>
  </si>
  <si>
    <t>varztai? savik 1936eur</t>
  </si>
  <si>
    <t xml:space="preserve">IDE006189   </t>
  </si>
  <si>
    <t>Viktorija Budriene &lt;viktoria.budriene@gmail.com</t>
  </si>
  <si>
    <t xml:space="preserve">IDE006162         </t>
  </si>
  <si>
    <t>nav rato klijavimas</t>
  </si>
  <si>
    <t>ford transit rta grupe jsn393</t>
  </si>
  <si>
    <t>IDE006933</t>
  </si>
  <si>
    <t>DF6150 2vnt. 51eur savikaina</t>
  </si>
  <si>
    <t>GDB1621 25eur savikaina</t>
  </si>
  <si>
    <t>ford transit connect xlt</t>
  </si>
  <si>
    <t>gal. stabdziu disku ir kaladeliu keitimas 20+10</t>
  </si>
  <si>
    <t>gal. stabd. kaladeliu daviklis suluzes, reik naujo</t>
  </si>
  <si>
    <t>rs5 spyruokliu keitimas 5h ?</t>
  </si>
  <si>
    <t>krenta spyruokles :D</t>
  </si>
  <si>
    <t>rb legal sask airbog ricardas</t>
  </si>
  <si>
    <t>LMI39712 113.46eur</t>
  </si>
  <si>
    <t xml:space="preserve">IDE006271      </t>
  </si>
  <si>
    <t>OX350/4D  16eur</t>
  </si>
  <si>
    <t>jjg313</t>
  </si>
  <si>
    <t>mingelos kablukas nav</t>
  </si>
  <si>
    <t>2 sniuru idejimas i 2 atskirus ratus</t>
  </si>
  <si>
    <t>ir tu 2 ratu balansas</t>
  </si>
  <si>
    <t xml:space="preserve">IDE006268 </t>
  </si>
  <si>
    <t>headway hu901</t>
  </si>
  <si>
    <t xml:space="preserve">IDE006214       </t>
  </si>
  <si>
    <t>kurjeriu siust reik i kaima 13,67+PVM</t>
  </si>
  <si>
    <t>gytis.slavinskas@integritas.lt</t>
  </si>
  <si>
    <t>reik saskaitos uz montazke 25eur</t>
  </si>
  <si>
    <t>jau sumoketa? reik paziureti banke</t>
  </si>
  <si>
    <t xml:space="preserve">IDE006193           </t>
  </si>
  <si>
    <t>14+pvm</t>
  </si>
  <si>
    <t>https://www.stokker.lt/znyples-soninio-kirpimo-jegos-140-mm-knipex/127959565?searchId=7307469</t>
  </si>
  <si>
    <t>https://www.stokker.lt/reples-verzliaraktis-180mm-hex-35mm-knipex/3246145?searchId=7307562</t>
  </si>
  <si>
    <t>bmw m5 ieskojimas kur bega skystis ir granatos gumos aptikimas, bendrai 2h</t>
  </si>
  <si>
    <t>DS-AC-TTIZ0SA48</t>
  </si>
  <si>
    <t>tomas linas leonavicius</t>
  </si>
  <si>
    <t>po 74eur</t>
  </si>
  <si>
    <t>HBA652 interlux volvo xc60</t>
  </si>
  <si>
    <t>3 397 004 631 7.5</t>
  </si>
  <si>
    <t>valytuvu uzdejimas</t>
  </si>
  <si>
    <t xml:space="preserve">IDE006272     </t>
  </si>
  <si>
    <t>aurimas nav passat</t>
  </si>
  <si>
    <t xml:space="preserve">JEL422 NAV </t>
  </si>
  <si>
    <t>3 ratu pilna montazke</t>
  </si>
  <si>
    <t>kito 1 tiesiog uzdejimas i gala</t>
  </si>
  <si>
    <t>IDE006211</t>
  </si>
  <si>
    <t>nav kablukas</t>
  </si>
  <si>
    <t xml:space="preserve">IDE006177  </t>
  </si>
  <si>
    <t>F 026 400 457  13eur</t>
  </si>
  <si>
    <t>F 026 407 160 1vnt  5eur</t>
  </si>
  <si>
    <t>CU 20 018 15eur</t>
  </si>
  <si>
    <t>X-clean EFE 5W30 5L 39eur</t>
  </si>
  <si>
    <t>varztas 10eur</t>
  </si>
  <si>
    <t xml:space="preserve">IDE006198       </t>
  </si>
  <si>
    <t>sniuro idejimas ir rato uzdejimas ant auto</t>
  </si>
  <si>
    <t xml:space="preserve">jjo202 </t>
  </si>
  <si>
    <t>interlux</t>
  </si>
  <si>
    <t xml:space="preserve">IDE006272  </t>
  </si>
  <si>
    <t>CAF100895P 10eur</t>
  </si>
  <si>
    <t>tepalo keitimas 20</t>
  </si>
  <si>
    <t>tepalas is backos 4.5L  40eur</t>
  </si>
  <si>
    <t>F 026 407 080  10eur</t>
  </si>
  <si>
    <t>gdi valve cleaner 2vnt po 23eur</t>
  </si>
  <si>
    <t>voztuvu valymas 60eur</t>
  </si>
  <si>
    <t>chip100eur</t>
  </si>
  <si>
    <t>valdas fedianinas</t>
  </si>
  <si>
    <t>akumai 2vnt is yt7b-4</t>
  </si>
  <si>
    <t>38eur</t>
  </si>
  <si>
    <t>interlux ford smax hgm813</t>
  </si>
  <si>
    <t>toyota auris</t>
  </si>
  <si>
    <t>2 riesutu sviestai</t>
  </si>
  <si>
    <t>sumokejo 10eur uz mane</t>
  </si>
  <si>
    <t>fp 25 001   40eur</t>
  </si>
  <si>
    <t>tepalai is backos 5,1L  40eur</t>
  </si>
  <si>
    <t>rytenis sklerius mantas jastremskas</t>
  </si>
  <si>
    <t>padangu keitimas/pasauga 35e</t>
  </si>
  <si>
    <t>hu 6014/1 z 14eur</t>
  </si>
  <si>
    <t xml:space="preserve">c27045 19eur </t>
  </si>
  <si>
    <t>mantas jastremskas, paulekas masina veze</t>
  </si>
  <si>
    <t>uz traliuka bmw kazkokio man 20eur</t>
  </si>
  <si>
    <t>kolgeda gediminas</t>
  </si>
  <si>
    <t>138eur</t>
  </si>
  <si>
    <t xml:space="preserve">IDE006188    </t>
  </si>
  <si>
    <t>72.68+pvm  86eur</t>
  </si>
  <si>
    <t>F026400153 11eur</t>
  </si>
  <si>
    <t>lexus ct200h ovidijus meilunas</t>
  </si>
  <si>
    <t>tepalai ir filtrai, keitimas</t>
  </si>
  <si>
    <t>HU6006z 7eur</t>
  </si>
  <si>
    <t>LA395 8eur</t>
  </si>
  <si>
    <t>195/60r15</t>
  </si>
  <si>
    <t>goodyear vector su v</t>
  </si>
  <si>
    <t>Dom Kabas &lt;domkabas@gmail.com</t>
  </si>
  <si>
    <t>ide006218</t>
  </si>
  <si>
    <t>545070 goodyear vector 3</t>
  </si>
  <si>
    <t>84.08eur+pvm</t>
  </si>
  <si>
    <t xml:space="preserve">IDE006216 </t>
  </si>
  <si>
    <t>tepalai backa 5 litrai</t>
  </si>
  <si>
    <t>1 987 432 542   24eur</t>
  </si>
  <si>
    <t>vida dolgoviene x3</t>
  </si>
  <si>
    <t xml:space="preserve">	1 457 429 269 9eur</t>
  </si>
  <si>
    <t>LX1991  20eur</t>
  </si>
  <si>
    <t xml:space="preserve">IDE006304 </t>
  </si>
  <si>
    <t>padanmgu monmtazk pasauga</t>
  </si>
  <si>
    <t xml:space="preserve">IDE006256      </t>
  </si>
  <si>
    <t>goodyear eag f1 asy 5 xl fp</t>
  </si>
  <si>
    <t>Mantvydas Vagonis Mykolas Raciunas</t>
  </si>
  <si>
    <t>108,50eur/vnt.</t>
  </si>
  <si>
    <t>IDE006187</t>
  </si>
  <si>
    <t>sumoketa ir atiduotos padangos</t>
  </si>
  <si>
    <t>585113  5eur</t>
  </si>
  <si>
    <t>FP 26 010  20eur</t>
  </si>
  <si>
    <t>HU 710 X 7eur</t>
  </si>
  <si>
    <t>3 397 118 902 23eur</t>
  </si>
  <si>
    <t>skoda fabia emilijos tevas genadijus</t>
  </si>
  <si>
    <t>JTF199  12eur</t>
  </si>
  <si>
    <t xml:space="preserve">IDE006305 </t>
  </si>
  <si>
    <t>keitimas filtru/tepalu</t>
  </si>
  <si>
    <t>tepalas is backos 3L</t>
  </si>
  <si>
    <t>keitimas disku kaladziu</t>
  </si>
  <si>
    <t>24.0118-0137.1 2vnt po 27eur</t>
  </si>
  <si>
    <t>21866.170.1 19.50eur savi</t>
  </si>
  <si>
    <t>535 0012 10   24.62eur</t>
  </si>
  <si>
    <t>VKM 31019  24eur</t>
  </si>
  <si>
    <t>6 DPK 1195  15eu</t>
  </si>
  <si>
    <t>713 6189 50  66eur</t>
  </si>
  <si>
    <t>tomas drapas</t>
  </si>
  <si>
    <t>110eur</t>
  </si>
  <si>
    <t>sumokejo 220eur</t>
  </si>
  <si>
    <t>alius kaimynas opel tomas kaimynas vitas</t>
  </si>
  <si>
    <t>spyruokles keitimas ir dvieju stabilniku</t>
  </si>
  <si>
    <t>1.5h gal</t>
  </si>
  <si>
    <t xml:space="preserve">IDE006260    </t>
  </si>
  <si>
    <t>darius stiklita</t>
  </si>
  <si>
    <t>po 35,5eur</t>
  </si>
  <si>
    <t>sumokejo 83eur</t>
  </si>
  <si>
    <t>montazke 20, padangos po 29</t>
  </si>
  <si>
    <t>Tomas Vitas kaimynas</t>
  </si>
  <si>
    <t>1 457 429 248 6eur</t>
  </si>
  <si>
    <t>LX 1926 9.10eur savi</t>
  </si>
  <si>
    <t>107206 (MOTUL) 33eur savikaina</t>
  </si>
  <si>
    <t>opel astra h 1.9cdti 110kw Tomas Vitas kaimynas</t>
  </si>
  <si>
    <t>stabilizatoriu keitimas</t>
  </si>
  <si>
    <t>visu filtru ir tepalu keitimas</t>
  </si>
  <si>
    <t>IDE006288</t>
  </si>
  <si>
    <t>DF4051 60eur/kompl. su keitimu</t>
  </si>
  <si>
    <t>DF4246 kompl 80eur</t>
  </si>
  <si>
    <t>FDB1640 (FERODO) 27.01eur savi</t>
  </si>
  <si>
    <t>opel astra h 1.9cdti 110kw Tomas Vitas</t>
  </si>
  <si>
    <t>rankinio lyno keitimas</t>
  </si>
  <si>
    <t>turbos keitimas</t>
  </si>
  <si>
    <t>ferodo dot4 apie 1L</t>
  </si>
  <si>
    <t>4301559 2vnt po 8eur</t>
  </si>
  <si>
    <t>60-0311 spyruokle 2vnt. po 13.01eur savi</t>
  </si>
  <si>
    <t>stabdziu ir kaladeliu ketimas visu</t>
  </si>
  <si>
    <t>6PK1368 13eur</t>
  </si>
  <si>
    <t>BOS256-460 2.80+pvm</t>
  </si>
  <si>
    <t>530 0562 30   95eur</t>
  </si>
  <si>
    <t>gal. spyruokliu keitimas</t>
  </si>
  <si>
    <t>875.350   7.7eur</t>
  </si>
  <si>
    <t>940052-nis  72eur</t>
  </si>
  <si>
    <t>GCH2517 (TRW) 38eur</t>
  </si>
  <si>
    <t>nauja turba su koliku 320eur</t>
  </si>
  <si>
    <t>FDB1521 23eur</t>
  </si>
  <si>
    <t>400150 5+pvm</t>
  </si>
  <si>
    <t>422 0080 10 8vnt. po 4.5eur</t>
  </si>
  <si>
    <t>isiurbimo koliko virinimas/keitimas</t>
  </si>
  <si>
    <t>LA 75  8eur</t>
  </si>
  <si>
    <t>1 457 070 001  13eur</t>
  </si>
  <si>
    <t>JBC0121  31+pvm</t>
  </si>
  <si>
    <t>opel astra h 1.9cdti 110kw Tomas kaimynas Vitas</t>
  </si>
  <si>
    <t>osm 03008841 10szt 2vnt. savi 0.54eur/vnt.</t>
  </si>
  <si>
    <t>jtc1272 ir jtc1271 100eur abi</t>
  </si>
  <si>
    <t>0xat1371 35.2eur</t>
  </si>
  <si>
    <t>569.370  4eur uz 4vnt</t>
  </si>
  <si>
    <t>programa 40eur</t>
  </si>
  <si>
    <t>1601-01-9993E 11.90eur savi</t>
  </si>
  <si>
    <t>traliukas round trip 40eur</t>
  </si>
  <si>
    <t>pr. kairio suporto keit</t>
  </si>
  <si>
    <t>vairo keitimas.</t>
  </si>
  <si>
    <t>stabdziu skyscio  keitimas</t>
  </si>
  <si>
    <t>ismetimo virinimas, varztu grezimas</t>
  </si>
  <si>
    <t>gal. suporto remontas</t>
  </si>
  <si>
    <t>abieju pr. sakiu  keitimas</t>
  </si>
  <si>
    <t>autura 140eur uz purkstukus</t>
  </si>
  <si>
    <t>0 265 007 928 19eur</t>
  </si>
  <si>
    <t>VKBA 6649  55eur</t>
  </si>
  <si>
    <t xml:space="preserve">IDE006289           </t>
  </si>
  <si>
    <t>kabriko stabdziu tuning</t>
  </si>
  <si>
    <t xml:space="preserve">IDE006289      </t>
  </si>
  <si>
    <t>eag f1 asy 3 na0</t>
  </si>
  <si>
    <t>149+PVM Savikaina</t>
  </si>
  <si>
    <t>1 rato montazke</t>
  </si>
  <si>
    <t xml:space="preserve">IDE006209          </t>
  </si>
  <si>
    <t>s90-2-15-001-b</t>
  </si>
  <si>
    <t>S90-2-10-004-b  80eur</t>
  </si>
  <si>
    <t>mantas jastremskas m3 e92</t>
  </si>
  <si>
    <t>eibach rastafkes 2vnt 87eur 15mm</t>
  </si>
  <si>
    <t>varztai 15eur</t>
  </si>
  <si>
    <t>idejimas visko i bmw</t>
  </si>
  <si>
    <t>Akumuliatorius 95 Ah 850 A EN 12V AGM</t>
  </si>
  <si>
    <t>AGM 900 (EK950)</t>
  </si>
  <si>
    <t>mantas jastremskas rs5</t>
  </si>
  <si>
    <t>sailun alpine evo xl</t>
  </si>
  <si>
    <t>Namu tvarkytoja Vilniuje is fb</t>
  </si>
  <si>
    <t>IDE006195            sumoketa</t>
  </si>
  <si>
    <t>montazke 15eur cash sumoketa</t>
  </si>
  <si>
    <t>LAO 75 26eur</t>
  </si>
  <si>
    <t>F 026 407 006 7eur</t>
  </si>
  <si>
    <t>opel astra g 2008 andrejus dolgovas</t>
  </si>
  <si>
    <t>1 457 433 281 8eur</t>
  </si>
  <si>
    <t>107206 (MOTUL) 36eur</t>
  </si>
  <si>
    <t>keitimas 25</t>
  </si>
  <si>
    <t>sumoketa 102eur</t>
  </si>
  <si>
    <t>10eur uz devetas r18</t>
  </si>
  <si>
    <t xml:space="preserve">IDE006209   </t>
  </si>
  <si>
    <t>varta e43  73eur</t>
  </si>
  <si>
    <t>ir idejimas</t>
  </si>
  <si>
    <t xml:space="preserve">IDE006260      </t>
  </si>
  <si>
    <t>reduktoriaus tepalai 1 litras</t>
  </si>
  <si>
    <t>reduktoriaus tepalu keitmas ir galinio patikra</t>
  </si>
  <si>
    <t>mantas jastremskas m5</t>
  </si>
  <si>
    <t>granatos gumos keitimas puse dienos</t>
  </si>
  <si>
    <t>tepalu nuplovimas su chain cleaneriu ir nefrasu 2x 5l</t>
  </si>
  <si>
    <t>1SxM14x1.25x43 17mm atsl skr. 1 gab. 60gr Black</t>
  </si>
  <si>
    <t>9,60eur savi</t>
  </si>
  <si>
    <t xml:space="preserve">granatos guma ir tepalas 53.69eur 83232179708 </t>
  </si>
  <si>
    <t>3.50-18 MITA H-03 Pada 62P TT</t>
  </si>
  <si>
    <t>Justas Gaurylius Mykolas Raciunas</t>
  </si>
  <si>
    <t>36eur</t>
  </si>
  <si>
    <t>mokejimas kurjeriu</t>
  </si>
  <si>
    <t>IDE006199</t>
  </si>
  <si>
    <t>3.25-18 MITA H-03 Pada 59P TT</t>
  </si>
  <si>
    <t>viso 85eur</t>
  </si>
  <si>
    <t>jonas porsche kristina masiukaite</t>
  </si>
  <si>
    <t>76eur</t>
  </si>
  <si>
    <t xml:space="preserve">IDE006213  </t>
  </si>
  <si>
    <t>goodyear rof 539155</t>
  </si>
  <si>
    <t>Audrius Trumpickas &lt;audrius.trumpickas@agrilita.lt</t>
  </si>
  <si>
    <t>sask su montazke</t>
  </si>
  <si>
    <t>IDE006200</t>
  </si>
  <si>
    <t>siust i kaima</t>
  </si>
  <si>
    <t>35.22 + 4eur+pvm</t>
  </si>
  <si>
    <t xml:space="preserve">IDE006214  </t>
  </si>
  <si>
    <t>hankook k127</t>
  </si>
  <si>
    <t>Marius Bacianskas &lt;bacianskas.marius@gmail.com</t>
  </si>
  <si>
    <t>montazke plius,  150eur padanga</t>
  </si>
  <si>
    <t>IDE006217 sumokejo, patikrinti</t>
  </si>
  <si>
    <t>montazke 25eur cash sumokejo</t>
  </si>
  <si>
    <t>giedrius gervickas</t>
  </si>
  <si>
    <t>martynas tygelis tevas</t>
  </si>
  <si>
    <t>IDE006494</t>
  </si>
  <si>
    <t>NRF 35733  76.38eur</t>
  </si>
  <si>
    <t xml:space="preserve">IDE006256   </t>
  </si>
  <si>
    <t>Kazimieras Lukauskas &lt;kazimieras.lukauskas@gmail.com</t>
  </si>
  <si>
    <t>su monazke</t>
  </si>
  <si>
    <t xml:space="preserve">IDE006205       </t>
  </si>
  <si>
    <t>amgele 865041077 raidynelis</t>
  </si>
  <si>
    <t>43eur + montazke 20-23</t>
  </si>
  <si>
    <t xml:space="preserve">IDE006212      </t>
  </si>
  <si>
    <t>toyo proxessport</t>
  </si>
  <si>
    <t>kurjeris i lazdijus +5eur, 155eur</t>
  </si>
  <si>
    <t xml:space="preserve">IDE006248  </t>
  </si>
  <si>
    <t>vytenis austejos bendradarbis</t>
  </si>
  <si>
    <t xml:space="preserve">IDE006203           </t>
  </si>
  <si>
    <t>vytenis@backstagecafe.lt</t>
  </si>
  <si>
    <t xml:space="preserve">IDE006204    </t>
  </si>
  <si>
    <t>265/30r21</t>
  </si>
  <si>
    <t>201.21+pvm</t>
  </si>
  <si>
    <t xml:space="preserve">IDE006216   </t>
  </si>
  <si>
    <t>BCD1793AT 36.30eur</t>
  </si>
  <si>
    <t>ford mustang kabrio 3.7 paulius valiukevicius</t>
  </si>
  <si>
    <t>gal. stabdziu kaladeliu keitimas 25eur</t>
  </si>
  <si>
    <t>padang vibro patikra/montazke 20eur</t>
  </si>
  <si>
    <t>dunlop sport maxx tt</t>
  </si>
  <si>
    <t>60eur uz abi</t>
  </si>
  <si>
    <t>montazke priekiniu ratu 10eur</t>
  </si>
  <si>
    <t>michelin devetos</t>
  </si>
  <si>
    <t>20eur uz abi</t>
  </si>
  <si>
    <t>montazke devetu padangu 4vnt, 2+2 bridge ir michelin 20eur</t>
  </si>
  <si>
    <t>101155  2L 15eur</t>
  </si>
  <si>
    <t>23392.200.1  43eur</t>
  </si>
  <si>
    <t>Paulius Siskevicius</t>
  </si>
  <si>
    <t>fbz100  10+15eur stabdzu skystis</t>
  </si>
  <si>
    <t>valvoline 75w80 1L  8eur</t>
  </si>
  <si>
    <t>dezes tepalu keit 10eur</t>
  </si>
  <si>
    <t xml:space="preserve">IDE006261     </t>
  </si>
  <si>
    <t>1l tepalo is backos 7eur</t>
  </si>
  <si>
    <t>d4-025 6eur</t>
  </si>
  <si>
    <t>N75 daviklio idejimas 15eur</t>
  </si>
  <si>
    <t>pr. stabd. disku ir kaladeliu keitimas 25eur</t>
  </si>
  <si>
    <t>suporto remonts 10eur</t>
  </si>
  <si>
    <t>nalini apranga kazkiek?</t>
  </si>
  <si>
    <t>staki 65eur apranga</t>
  </si>
  <si>
    <t>gy ug9+ xl</t>
  </si>
  <si>
    <t>Mindaugas Racanskas Mykolas Raciunas 869802735</t>
  </si>
  <si>
    <t>po 65</t>
  </si>
  <si>
    <t>sumokejo 130eur</t>
  </si>
  <si>
    <t>Akumuliatorius 85 Ah 800 A EN 12V</t>
  </si>
  <si>
    <t>Dovydas Jasiunas &lt;dovydas.jasiunas@gmail.com</t>
  </si>
  <si>
    <t>240eur sumokejo</t>
  </si>
  <si>
    <t>75w90 ls 300 alyva m5 bmw 55eur ir nefrasas</t>
  </si>
  <si>
    <t>audi rs5 gal. amortiku keitimas</t>
  </si>
  <si>
    <t>pusasio apkaba wurh 5eur</t>
  </si>
  <si>
    <t>golfui spiritas :D</t>
  </si>
  <si>
    <t>205/65r16</t>
  </si>
  <si>
    <t>Sailun ATR ELITE</t>
  </si>
  <si>
    <t>Egle Strungyte</t>
  </si>
  <si>
    <t>dunlop bluresponse 546275</t>
  </si>
  <si>
    <t>79.80eur</t>
  </si>
  <si>
    <t xml:space="preserve">IDE006227  </t>
  </si>
  <si>
    <t>gy f1 asymm 5</t>
  </si>
  <si>
    <t>13x5.00-6</t>
  </si>
  <si>
    <t>DURO HF252D TT</t>
  </si>
  <si>
    <t>saulius alisauskas</t>
  </si>
  <si>
    <t>14eur</t>
  </si>
  <si>
    <t>nusiurbem tepala m3... uztruko kazkiek</t>
  </si>
  <si>
    <t>pirelli pzero</t>
  </si>
  <si>
    <t>181eur</t>
  </si>
  <si>
    <t xml:space="preserve">IDE006221        </t>
  </si>
  <si>
    <t>marek stefanovic</t>
  </si>
  <si>
    <t xml:space="preserve">IDE006219  </t>
  </si>
  <si>
    <t>i klp</t>
  </si>
  <si>
    <t xml:space="preserve">IDE006220   </t>
  </si>
  <si>
    <t>edvinas pensija sabalys</t>
  </si>
  <si>
    <t>rastafkes 2cnt</t>
  </si>
  <si>
    <t xml:space="preserve">IDE006262  </t>
  </si>
  <si>
    <t>105-0010 6eur</t>
  </si>
  <si>
    <t>0 986 487 739  26eur grazinti</t>
  </si>
  <si>
    <t>530.2465.20  2vnt 66eur abu</t>
  </si>
  <si>
    <t>FDB1947   25eur</t>
  </si>
  <si>
    <t>keitimas visko ir rankinio reguliavimas?</t>
  </si>
  <si>
    <t>k. p. galines apkabos ir kreipianciuju valymas</t>
  </si>
  <si>
    <t xml:space="preserve">mantas jastremskas dejom i e90 balta priekyje </t>
  </si>
  <si>
    <t>LMI38516    LMI38517    po 68eur</t>
  </si>
  <si>
    <t>hankook k125</t>
  </si>
  <si>
    <t>ernestas vgtu</t>
  </si>
  <si>
    <t>61eur +20eur</t>
  </si>
  <si>
    <t>justas krasuckis</t>
  </si>
  <si>
    <t>su montazke led333</t>
  </si>
  <si>
    <t xml:space="preserve">IDE006231   </t>
  </si>
  <si>
    <t>thule 629701</t>
  </si>
  <si>
    <t>ignas bakanauskas emarket</t>
  </si>
  <si>
    <t>thule 9592b</t>
  </si>
  <si>
    <t xml:space="preserve">IDE006230   </t>
  </si>
  <si>
    <t>ignas bakanauskas emarket ignotas</t>
  </si>
  <si>
    <t>thule balandzio6 SAS444</t>
  </si>
  <si>
    <t>200eur</t>
  </si>
  <si>
    <t>D Vaikiško vėžimėlio priedai Thule Urban Glide Bumper Ba 24eur</t>
  </si>
  <si>
    <t>D Antgalis ProRide 598   3eur</t>
  </si>
  <si>
    <t>SAS458 birzelio 3d.</t>
  </si>
  <si>
    <t>D Atsarginės aksesuarų dalys ProRide 598 rato laik.galinis 11eur</t>
  </si>
  <si>
    <t>D Guma ant dirželio 598  5eur</t>
  </si>
  <si>
    <t>43eur uz situs</t>
  </si>
  <si>
    <t>pranas sasnauskas</t>
  </si>
  <si>
    <t>D Dviračio laikiklis ant stogo Thule ProRide 598 juodas</t>
  </si>
  <si>
    <t>123eur po 2vnt</t>
  </si>
  <si>
    <t>darius bevita</t>
  </si>
  <si>
    <t>be montazke</t>
  </si>
  <si>
    <t xml:space="preserve">IDE006228   </t>
  </si>
  <si>
    <t xml:space="preserve">IDE006247   </t>
  </si>
  <si>
    <t>montazke su pasauga</t>
  </si>
  <si>
    <t>Dalius &lt;fatisfit@gmail.com</t>
  </si>
  <si>
    <t>montazke 12eur</t>
  </si>
  <si>
    <t>sumoketa 160eur</t>
  </si>
  <si>
    <t>1457433071 23eur oro filtrai</t>
  </si>
  <si>
    <t>HU 718/5 x 10eur</t>
  </si>
  <si>
    <t>fp 2646-2 38eur</t>
  </si>
  <si>
    <t>Arminas Balanaitis MB GL 450</t>
  </si>
  <si>
    <t>3 397 007 093 28eur</t>
  </si>
  <si>
    <t xml:space="preserve">IDE006314     </t>
  </si>
  <si>
    <t>vieno rato lyginimas, montazke ir balansas 30eur</t>
  </si>
  <si>
    <t>sunkiai issiima oro ir salono filtrai</t>
  </si>
  <si>
    <t>uztrukom apie 1.5h 40eur</t>
  </si>
  <si>
    <t>0w40 95eur  10litru</t>
  </si>
  <si>
    <t>3 397 004 629  8eur</t>
  </si>
  <si>
    <t>arminas balanaitis MB GL 450</t>
  </si>
  <si>
    <t>A1649061400  50eur</t>
  </si>
  <si>
    <t>dave visus?</t>
  </si>
  <si>
    <t xml:space="preserve">IDE006314 IDE2017-121
     </t>
  </si>
  <si>
    <t>nankang ns-20</t>
  </si>
  <si>
    <t>Leonid Gurskij info@lirenta.lt</t>
  </si>
  <si>
    <t xml:space="preserve">IDE006237     </t>
  </si>
  <si>
    <t>sumokejo 70eur mariui uz rata</t>
  </si>
  <si>
    <t>kx231d 10eur</t>
  </si>
  <si>
    <t>la 75-mahle 10eur</t>
  </si>
  <si>
    <t>f 026 407 073 9eur</t>
  </si>
  <si>
    <t>Augustas Dudutis &lt;augustas.dud@gmail.com opel astra</t>
  </si>
  <si>
    <t>lx 1926-mahle 10eur</t>
  </si>
  <si>
    <t>tepalu keitimas  30eur</t>
  </si>
  <si>
    <t>padangu keitimas 20</t>
  </si>
  <si>
    <t>balansas visu 4</t>
  </si>
  <si>
    <t>interlux mb 220 jtr371  aivaras interlux</t>
  </si>
  <si>
    <t>2 ratu lyginimas, montazke</t>
  </si>
  <si>
    <t>234eur</t>
  </si>
  <si>
    <t xml:space="preserve">IDE006235   </t>
  </si>
  <si>
    <t>FP 26 009 15eur ?</t>
  </si>
  <si>
    <t>C 30 004</t>
  </si>
  <si>
    <t>HU 7020 Z</t>
  </si>
  <si>
    <t>rimas osk baltics tiguan  keitimas 22+</t>
  </si>
  <si>
    <t>PU 8028</t>
  </si>
  <si>
    <t>xclean+ kiek litru?</t>
  </si>
  <si>
    <t xml:space="preserve">IDE006226       </t>
  </si>
  <si>
    <t>uztruko apie 40min</t>
  </si>
  <si>
    <t>audi q7 egle kaimyne</t>
  </si>
  <si>
    <t>ssp g14 150eur</t>
  </si>
  <si>
    <t>akumo keitimas, krovimas</t>
  </si>
  <si>
    <t xml:space="preserve">IDE006254 </t>
  </si>
  <si>
    <t>sava suv</t>
  </si>
  <si>
    <t>867588214 kaimyne agne?</t>
  </si>
  <si>
    <t>57eur dvi montazkes 12eur</t>
  </si>
  <si>
    <t>sumokejo 69eur</t>
  </si>
  <si>
    <t>BBM237170  2vnt</t>
  </si>
  <si>
    <t>matador hectorra 3</t>
  </si>
  <si>
    <t>tomas mateliunas</t>
  </si>
  <si>
    <t>67eur ir montazke</t>
  </si>
  <si>
    <t xml:space="preserve">IDE006239    </t>
  </si>
  <si>
    <t>vkd35036 10eur</t>
  </si>
  <si>
    <t>fuchs tepalas 5  25eur</t>
  </si>
  <si>
    <t>karolis girnys no_slow</t>
  </si>
  <si>
    <t>OE 662/1  3.5eur</t>
  </si>
  <si>
    <t>bmw balans 15eur</t>
  </si>
  <si>
    <t>devetos padangos bridgestone po 10?</t>
  </si>
  <si>
    <t>golfo montazke(laimejo nemokamai)</t>
  </si>
  <si>
    <t>kompas 290eur</t>
  </si>
  <si>
    <t>pervede 400eur 2020-08-14</t>
  </si>
  <si>
    <t>AK-YTX12-BS</t>
  </si>
  <si>
    <t>MINDAUGAS NAVARDAUSKAS Mykolas Raciunas</t>
  </si>
  <si>
    <t>33.38eur sumoketa i paysera</t>
  </si>
  <si>
    <t>IDE006253</t>
  </si>
  <si>
    <t>Marijus Kebla</t>
  </si>
  <si>
    <t>DUR-043L 9.50eur savi</t>
  </si>
  <si>
    <t>DUR-065L 16.70eur savi</t>
  </si>
  <si>
    <t>26eur viso</t>
  </si>
  <si>
    <t>hzu824 interlux</t>
  </si>
  <si>
    <t xml:space="preserve">IDE006272    </t>
  </si>
  <si>
    <t>sailun aterzo</t>
  </si>
  <si>
    <t>Greta Kislovskaja</t>
  </si>
  <si>
    <t xml:space="preserve">IDE006241   </t>
  </si>
  <si>
    <t>laurynas bockus neiuva</t>
  </si>
  <si>
    <t xml:space="preserve">IDE006250      </t>
  </si>
  <si>
    <t xml:space="preserve">continental rem rinkinys 57eur </t>
  </si>
  <si>
    <t>sask interlux? jto174</t>
  </si>
  <si>
    <t>sodo zarna 20+pvm</t>
  </si>
  <si>
    <t>robot 786+pvm</t>
  </si>
  <si>
    <t>kercher 290+pvm</t>
  </si>
  <si>
    <t>universali jungtis 2vnt po 5+pvm</t>
  </si>
  <si>
    <t>terasinis antgalis 57.04+pvm</t>
  </si>
  <si>
    <t>skirmantas interlux jad361</t>
  </si>
  <si>
    <t xml:space="preserve">IDE006287  </t>
  </si>
  <si>
    <t>HU 719/8 Y  9eur</t>
  </si>
  <si>
    <t>PU 9003 Z 23eur</t>
  </si>
  <si>
    <t>C 35 177 12,40eur</t>
  </si>
  <si>
    <t>Volvo S60 2,4D 151kw tomas kaimynas</t>
  </si>
  <si>
    <t>1 987 432 405 25eur</t>
  </si>
  <si>
    <t>parku klijavimas 2vnt</t>
  </si>
  <si>
    <t>keitimas filtru hemaroj 30+</t>
  </si>
  <si>
    <t>102794 (MOTUL) 35eur</t>
  </si>
  <si>
    <t>102793 (MOTUL) 7,60eur 2x</t>
  </si>
  <si>
    <t>1 457 431 724   9eur</t>
  </si>
  <si>
    <t>W 79  6eur</t>
  </si>
  <si>
    <t>C 3251/1 5,40eur</t>
  </si>
  <si>
    <t>OPEL VIVARO 2003m 74 kw 1.9D tomas kaimynas</t>
  </si>
  <si>
    <t>FP 3454 22eur</t>
  </si>
  <si>
    <t>109776 (MOTUL) 35eur</t>
  </si>
  <si>
    <t>kuro filtra reik pakeisti</t>
  </si>
  <si>
    <t>109470 (MOTUL) 2 vnt. po 7.40eur savi</t>
  </si>
  <si>
    <t>107206 (MOTUL) 32.50eur savi</t>
  </si>
  <si>
    <t>Ovidijus Meilunas Toyota Auris</t>
  </si>
  <si>
    <t>WK 8028 Z 16.10eur savi</t>
  </si>
  <si>
    <t>HU 7009 Z 4.60eur savi</t>
  </si>
  <si>
    <t>FP 1919 13.90eur</t>
  </si>
  <si>
    <t>C 27 013 11.70eur</t>
  </si>
  <si>
    <t>marex marekas</t>
  </si>
  <si>
    <t>TC3670  19eur sarnyras</t>
  </si>
  <si>
    <t>keitimas30</t>
  </si>
  <si>
    <t>tomas kaimynas opel vivaro</t>
  </si>
  <si>
    <t>3 397 118 996 25eur</t>
  </si>
  <si>
    <t xml:space="preserve">IDE006260  </t>
  </si>
  <si>
    <t>pilna montazke 911 is cup i cup</t>
  </si>
  <si>
    <t>diverus donatas jucius</t>
  </si>
  <si>
    <t xml:space="preserve">porse 1 rato montazke </t>
  </si>
  <si>
    <t>ak-tk700</t>
  </si>
  <si>
    <t>AKUMULIATORIUS TUDOR AGM 12V/70AH/760A 278X175X190</t>
  </si>
  <si>
    <t>UAB "Baltic Media Group" Mykolas Raciunas</t>
  </si>
  <si>
    <t>93.79eur</t>
  </si>
  <si>
    <t>ide006258 sumoketa</t>
  </si>
  <si>
    <t>bridgestone a005</t>
  </si>
  <si>
    <t>marius savickas interlux petras kavaliauskas</t>
  </si>
  <si>
    <t>145eur sask nav</t>
  </si>
  <si>
    <t xml:space="preserve">IDE006280     </t>
  </si>
  <si>
    <t>keitimas lemputes 9eur</t>
  </si>
  <si>
    <t>66140CLC 36eur</t>
  </si>
  <si>
    <t>saulius rimantas samulevicius</t>
  </si>
  <si>
    <t>abs daviklis febi bilstein 41eur</t>
  </si>
  <si>
    <t>keitimas 10eur</t>
  </si>
  <si>
    <t>EB620 exide  59eur</t>
  </si>
  <si>
    <t xml:space="preserve">airbog ricardas </t>
  </si>
  <si>
    <t xml:space="preserve">IDE006270        </t>
  </si>
  <si>
    <t>d47 varta  60eur</t>
  </si>
  <si>
    <t>b33 varta 52eur</t>
  </si>
  <si>
    <t>marius lileikis</t>
  </si>
  <si>
    <t xml:space="preserve">kormoran </t>
  </si>
  <si>
    <t>montazke 30eur</t>
  </si>
  <si>
    <t xml:space="preserve">VKDS 841000 (SKF)  30eur 2vnt </t>
  </si>
  <si>
    <t>ovidijus meilunas Toyota Auris</t>
  </si>
  <si>
    <t>pjaustymai</t>
  </si>
  <si>
    <t>eb741 exide akumas</t>
  </si>
  <si>
    <t>Andrej andrejav</t>
  </si>
  <si>
    <t>225/35r19</t>
  </si>
  <si>
    <t>TRIANGLE SPORTEX TH201 M+S</t>
  </si>
  <si>
    <t>Paulius Guntys Mykolas Raciunas</t>
  </si>
  <si>
    <t>51,50eur</t>
  </si>
  <si>
    <t>IDE006240 sumoketa</t>
  </si>
  <si>
    <t>265/30r19</t>
  </si>
  <si>
    <t>61,78eur + siuntimas 8,76eur</t>
  </si>
  <si>
    <t>IDE006240</t>
  </si>
  <si>
    <t>F 026 400 172  12eur</t>
  </si>
  <si>
    <t>tepalas backa 4L</t>
  </si>
  <si>
    <t>1 457 070 008 11eur savi</t>
  </si>
  <si>
    <t>1 457 429 192  5eur</t>
  </si>
  <si>
    <t>LAO 181  16eur</t>
  </si>
  <si>
    <t>FDB1788 20eur</t>
  </si>
  <si>
    <t>FDB1398 27eur</t>
  </si>
  <si>
    <t>antifryz 1601-01-9993E 11.82eur savi</t>
  </si>
  <si>
    <t xml:space="preserve">IDE006226    </t>
  </si>
  <si>
    <t>CT 1028 WP3 120eur</t>
  </si>
  <si>
    <t>6 PK 1050 K1 50eur</t>
  </si>
  <si>
    <t>fbz100 7.50eur savi</t>
  </si>
  <si>
    <t>pr. ir gal. stabd. kaladeliu keitimas</t>
  </si>
  <si>
    <t xml:space="preserve">IDE006278 </t>
  </si>
  <si>
    <t>antifryzo keitimas</t>
  </si>
  <si>
    <t>stabd. skyscio keitimas,</t>
  </si>
  <si>
    <t>generatoriaus dizelio keitimas</t>
  </si>
  <si>
    <t>pagrindinio dirzo keitimas 100eur</t>
  </si>
  <si>
    <t>IDE006226     abus</t>
  </si>
  <si>
    <t>keitimas sarnyro</t>
  </si>
  <si>
    <t>keitimas stabdziu</t>
  </si>
  <si>
    <t>DF6472S po 50eur</t>
  </si>
  <si>
    <t>GDB1821  46eur</t>
  </si>
  <si>
    <t>keitimas nu bent 60eur?</t>
  </si>
  <si>
    <t>6h darbo net...</t>
  </si>
  <si>
    <t>65279A 67eur 94832 74eur</t>
  </si>
  <si>
    <t>NIS 96575 125eur</t>
  </si>
  <si>
    <t>diagnostika viska istrint</t>
  </si>
  <si>
    <t>antifryzo 1l</t>
  </si>
  <si>
    <t>arunas gliaudelis dave 500</t>
  </si>
  <si>
    <t>2.5eur langu skystis</t>
  </si>
  <si>
    <t>i exeli perkelta</t>
  </si>
  <si>
    <t>susimontavo sestadieni, reik saskaitos</t>
  </si>
  <si>
    <t xml:space="preserve">IDE006266 </t>
  </si>
  <si>
    <t>MK331  35eur</t>
  </si>
  <si>
    <t>chip golf 150eur</t>
  </si>
  <si>
    <t>oem prog irasymas 20eur</t>
  </si>
  <si>
    <t>HT601 SUV 108H XL</t>
  </si>
  <si>
    <t>62savik, po 65?</t>
  </si>
  <si>
    <t xml:space="preserve">IDE006263      </t>
  </si>
  <si>
    <t>155/80r13</t>
  </si>
  <si>
    <t>gislaved eurofrost 5</t>
  </si>
  <si>
    <t>33.62eur</t>
  </si>
  <si>
    <t xml:space="preserve">IDE006268  </t>
  </si>
  <si>
    <t>m3 juoda 2ratai balansas</t>
  </si>
  <si>
    <t>1 ratas lyginimas</t>
  </si>
  <si>
    <t>DS-AC-TVAZRBP60</t>
  </si>
  <si>
    <t>Disks Dezent Van dark</t>
  </si>
  <si>
    <t>Roman Nikolajav 864022037</t>
  </si>
  <si>
    <t>115eur + 25eur DPD</t>
  </si>
  <si>
    <t>ir surasti verzles</t>
  </si>
  <si>
    <t>po49eur</t>
  </si>
  <si>
    <t>1x 926101 thule</t>
  </si>
  <si>
    <t>ignotas ignas bakanauskas emarket</t>
  </si>
  <si>
    <t xml:space="preserve">IDE006499 </t>
  </si>
  <si>
    <t>121 savik</t>
  </si>
  <si>
    <t>1x 926101</t>
  </si>
  <si>
    <t>laisvis edgaras kovaliovas</t>
  </si>
  <si>
    <t>131eur</t>
  </si>
  <si>
    <t xml:space="preserve">IDE006306  </t>
  </si>
  <si>
    <t>venipak 11eur</t>
  </si>
  <si>
    <t>mykolas raciunas</t>
  </si>
  <si>
    <t>1vnt rain coverio 20110746</t>
  </si>
  <si>
    <t>29+PVM</t>
  </si>
  <si>
    <t xml:space="preserve">IDE006361 </t>
  </si>
  <si>
    <t>1vnt bamperio 20110742</t>
  </si>
  <si>
    <t>21+PVM</t>
  </si>
  <si>
    <t>1vnt Thule urban glide 2 juodo</t>
  </si>
  <si>
    <t>490eur su PVM</t>
  </si>
  <si>
    <t>vilius colibri</t>
  </si>
  <si>
    <t>po 320</t>
  </si>
  <si>
    <t xml:space="preserve">reik sask. </t>
  </si>
  <si>
    <t>po 240</t>
  </si>
  <si>
    <t>montazke 25eur?</t>
  </si>
  <si>
    <t>paulius siskevicius</t>
  </si>
  <si>
    <t>chipukas golfo 70eur ir liamda delete</t>
  </si>
  <si>
    <t>IDE006963</t>
  </si>
  <si>
    <t>balansas</t>
  </si>
  <si>
    <t>10.7816 (COFLE)  16eur 2vnt</t>
  </si>
  <si>
    <t xml:space="preserve">IDE006264 </t>
  </si>
  <si>
    <t>tomas patalavicius vw passat</t>
  </si>
  <si>
    <t xml:space="preserve">IDE006275      </t>
  </si>
  <si>
    <t>tomas patalavicius audi a6 chipukas</t>
  </si>
  <si>
    <t xml:space="preserve">IDE006294  </t>
  </si>
  <si>
    <t>869826678 tiguan vw laura q3</t>
  </si>
  <si>
    <t>100.3300.20 2x42eur</t>
  </si>
  <si>
    <t>GDB1762  45eur</t>
  </si>
  <si>
    <t>rimakas kuliesius</t>
  </si>
  <si>
    <t>hankook devetos lievokos</t>
  </si>
  <si>
    <t>Mingela NAV</t>
  </si>
  <si>
    <t>po 10eur</t>
  </si>
  <si>
    <t>Vėžimėlis laistymo žarnai HT 4.500  60.17eur</t>
  </si>
  <si>
    <t>Putos­ploviklis "Ultra Foam Cleaner" "3</t>
  </si>
  <si>
    <t>7.56eur</t>
  </si>
  <si>
    <t>EB740 akumas 69eur</t>
  </si>
  <si>
    <t xml:space="preserve">IDE006274 </t>
  </si>
  <si>
    <t>hankook nauji</t>
  </si>
  <si>
    <t>interlux hjm294</t>
  </si>
  <si>
    <t>AK-TA530</t>
  </si>
  <si>
    <t>Tudor High Tech 12V/53Ah/ 540A AKB 207x175x190</t>
  </si>
  <si>
    <t>Arūnas Buivydas Mykolas Raciunas</t>
  </si>
  <si>
    <t>51.42eur</t>
  </si>
  <si>
    <t xml:space="preserve">IDE006267   </t>
  </si>
  <si>
    <t>kazka kebla ismete</t>
  </si>
  <si>
    <t>3 397 118 324 20eur   3 397 118 325  23eur</t>
  </si>
  <si>
    <t>42eur uz 10w60 4l moco tepala</t>
  </si>
  <si>
    <t>0w30 15litru litro eco-nergy</t>
  </si>
  <si>
    <t>FP 2733</t>
  </si>
  <si>
    <t xml:space="preserve">edgaras kovaliovas </t>
  </si>
  <si>
    <t>F 026 407 075</t>
  </si>
  <si>
    <t>F 026 400 146</t>
  </si>
  <si>
    <t xml:space="preserve">IDE006332   </t>
  </si>
  <si>
    <t>FP 25 007  17eur</t>
  </si>
  <si>
    <t>w7015</t>
  </si>
  <si>
    <t>c21102</t>
  </si>
  <si>
    <t>106352 5L 39eur savi</t>
  </si>
  <si>
    <t>106317 1L 9eur savi</t>
  </si>
  <si>
    <t>1L antifryzo konctr. ipilta</t>
  </si>
  <si>
    <t>SL-1800-M 2vnt po 19eur</t>
  </si>
  <si>
    <t>55 91 9664 12eur</t>
  </si>
  <si>
    <t>8140 27143  21eur</t>
  </si>
  <si>
    <t>volvo xc90 2.4 136kw Tomas Venckunas</t>
  </si>
  <si>
    <t>OSR2827NA-02B 2.5eur</t>
  </si>
  <si>
    <t>8140 27142 23eur</t>
  </si>
  <si>
    <t>rankinio lyno keitimas kaires puses ir salone nuo pedalo iki vidurio. kairej p. pr. sakes varztas priverztas ir kiti varztai patikrinti abieju sakiu</t>
  </si>
  <si>
    <t>posukio lempuciu pakeitimas veidrodeliuose. kuro bako nesandarumo remontas, reikejo visa salona isimti, gero pusdienio darbas</t>
  </si>
  <si>
    <t>dirzas 30eur, Mykolas mokejo</t>
  </si>
  <si>
    <t>dirzo pakeitimas</t>
  </si>
  <si>
    <t>diagnostika</t>
  </si>
  <si>
    <t>0.5L antifryzo koncentranto</t>
  </si>
  <si>
    <t>radiatorius salono 30eur</t>
  </si>
  <si>
    <t>michelin primacy 4</t>
  </si>
  <si>
    <t>93eur + montazke</t>
  </si>
  <si>
    <t>maistas sportui,bca,carnitin,protein  51eur</t>
  </si>
  <si>
    <t>900 103 (SACHS)  19eur</t>
  </si>
  <si>
    <t>VKBA 3606 67eur</t>
  </si>
  <si>
    <t>JTS422 14eur</t>
  </si>
  <si>
    <t>JTS421 14eur</t>
  </si>
  <si>
    <t>JTS388 2 vnt.  viso: 32eur</t>
  </si>
  <si>
    <t>116 030 8227/HD 2 vnt. viso: 76eur</t>
  </si>
  <si>
    <t>viso uz dalis:222eur</t>
  </si>
  <si>
    <t>darbai visas sestadienis</t>
  </si>
  <si>
    <t>2x5l tepalai valvoline po 31.5</t>
  </si>
  <si>
    <t>rimvydas gudelis</t>
  </si>
  <si>
    <t xml:space="preserve">IDE006495    </t>
  </si>
  <si>
    <t>matas buzelis</t>
  </si>
  <si>
    <t xml:space="preserve">IDE006269        </t>
  </si>
  <si>
    <t>devetos malatesa</t>
  </si>
  <si>
    <t>NAV JTD590 vw golf. Jaunas is NAV buvo</t>
  </si>
  <si>
    <t>po 10eur?</t>
  </si>
  <si>
    <t>2 ratu montazke</t>
  </si>
  <si>
    <t xml:space="preserve">IDE006273     </t>
  </si>
  <si>
    <t>alternos skoda</t>
  </si>
  <si>
    <t>5eur sniuras</t>
  </si>
  <si>
    <t xml:space="preserve">IDE006496   </t>
  </si>
  <si>
    <t>keitimas 20?</t>
  </si>
  <si>
    <t>FP 31 003 34eur</t>
  </si>
  <si>
    <t>mindaugas min jastremsko audi a4</t>
  </si>
  <si>
    <t>HU 6013 z 10eur</t>
  </si>
  <si>
    <t>C 17 013  18eur</t>
  </si>
  <si>
    <t>jsj805 interlux</t>
  </si>
  <si>
    <t>sniuro idejimas ir to rato balansas</t>
  </si>
  <si>
    <t>reik sask, siusti tiesiai jiems</t>
  </si>
  <si>
    <t xml:space="preserve">IDE006497  </t>
  </si>
  <si>
    <t>ratu dazymas</t>
  </si>
  <si>
    <t xml:space="preserve">IDE006330 </t>
  </si>
  <si>
    <t>conti ecocontact5 91v</t>
  </si>
  <si>
    <t>laurynas nav skoda karolis</t>
  </si>
  <si>
    <t>montazke 3 ratu ?</t>
  </si>
  <si>
    <t xml:space="preserve">IDE006293  </t>
  </si>
  <si>
    <t>povilas dabrila</t>
  </si>
  <si>
    <t>37eur savik</t>
  </si>
  <si>
    <t>siuntimas</t>
  </si>
  <si>
    <t xml:space="preserve">IDE006363    </t>
  </si>
  <si>
    <t>30x9,5r15</t>
  </si>
  <si>
    <t>sailun terrain max</t>
  </si>
  <si>
    <t>71eur.montazke, 1lyginimas</t>
  </si>
  <si>
    <t xml:space="preserve">IDE006285 </t>
  </si>
  <si>
    <t>HF186 3.05eur savi</t>
  </si>
  <si>
    <t>U27ESR-N (DENSO) 3.80eur</t>
  </si>
  <si>
    <t>Ovidijus Meilunas Aprilia Scarabeo 200ie julius</t>
  </si>
  <si>
    <t xml:space="preserve">105958 (MOTUL) 1+1L 16eur savi </t>
  </si>
  <si>
    <t>IDE006724</t>
  </si>
  <si>
    <t>HU 7009 Z 4,51eur savi</t>
  </si>
  <si>
    <t>C 24 007 13eur savi</t>
  </si>
  <si>
    <t>109470 (MOTUL) 1L 8eur</t>
  </si>
  <si>
    <t>Tomas NAV sntomas@gmail.com lexus is 220d 130kw sask siusti jam tiesiai</t>
  </si>
  <si>
    <t>107206 (MOTUL) 5L 40eur</t>
  </si>
  <si>
    <t>CUK 1919 10,90eur savi</t>
  </si>
  <si>
    <t>Tepalu ir filtru keitimas</t>
  </si>
  <si>
    <t xml:space="preserve">IDE006292  </t>
  </si>
  <si>
    <t>265/70r17</t>
  </si>
  <si>
    <t>bf goodrich allterrain</t>
  </si>
  <si>
    <t>Audrius Malinauskas &lt;amscuba@gmail.com</t>
  </si>
  <si>
    <t xml:space="preserve">IDE006299           </t>
  </si>
  <si>
    <t>165eur ir montazke</t>
  </si>
  <si>
    <t xml:space="preserve">IDE006286   </t>
  </si>
  <si>
    <t>ge133 beru 4vnt    70eur</t>
  </si>
  <si>
    <t>jaunius dilys passat alltrack</t>
  </si>
  <si>
    <t>keitimas 40eur</t>
  </si>
  <si>
    <t>aurelijus respublikinis kaimynas</t>
  </si>
  <si>
    <t>skola 40eur</t>
  </si>
  <si>
    <t>3vnt po 5L po 55eur 0w20 motul</t>
  </si>
  <si>
    <t>issiusta i lazdijus tiesiai 167.71eur</t>
  </si>
  <si>
    <t>sava intensa hp2 91v</t>
  </si>
  <si>
    <t>i klaipeda siust reikia  +37063190115 po 45eur +kurjeris</t>
  </si>
  <si>
    <t>1 457 429 870 7eur</t>
  </si>
  <si>
    <t>1 987 432 017 6eur</t>
  </si>
  <si>
    <t>Arunas Gliaudelis audi a4 b5 1.8T 110kw</t>
  </si>
  <si>
    <t>COF101288S  7eur</t>
  </si>
  <si>
    <t>stabdziu skytis 2vnt. 26eur</t>
  </si>
  <si>
    <t>suportas 40eur</t>
  </si>
  <si>
    <t>visi stabdziai valyti/perrinkti, kad nestriktu  50eur?</t>
  </si>
  <si>
    <t>priverztas akumas</t>
  </si>
  <si>
    <t>3 397 005 031 9eur</t>
  </si>
  <si>
    <t>tepalas 4L 20w60  52eur</t>
  </si>
  <si>
    <t>1601-01-9993E  15eur</t>
  </si>
  <si>
    <t>stabdziu skys., antifryzo, tepalu ir filtru keitimas60eur</t>
  </si>
  <si>
    <t>pjaustymai pakabos,spyruokliu ir rastafkiu 30eur</t>
  </si>
  <si>
    <t>padangu montavimas</t>
  </si>
  <si>
    <t>varztai 20vnt  20eur</t>
  </si>
  <si>
    <t>300eur skola</t>
  </si>
  <si>
    <t>NGK žvakė 5773  40eur</t>
  </si>
  <si>
    <t>rato lyginimas bmw5+montavimas+balans</t>
  </si>
  <si>
    <t>Arunas Gliaudelis bmw 5</t>
  </si>
  <si>
    <t>1 bakelis langu skyscio</t>
  </si>
  <si>
    <t>dave 300eur</t>
  </si>
  <si>
    <t>padangos 100eur sumoketa semislick</t>
  </si>
  <si>
    <t>tik pasieme</t>
  </si>
  <si>
    <t>IDE006296</t>
  </si>
  <si>
    <t>toyo a/t</t>
  </si>
  <si>
    <t xml:space="preserve">IDE006276         </t>
  </si>
  <si>
    <t>OX 388D 7eur</t>
  </si>
  <si>
    <t>LAO 181 15eur</t>
  </si>
  <si>
    <t>PU 8008/1  20eur</t>
  </si>
  <si>
    <t>Marius Bernatonis Dirikas VW PASSAT 2tdi 103kw</t>
  </si>
  <si>
    <t>1 987 429 404 8eur</t>
  </si>
  <si>
    <t>tepalas is backos 4.7L turetu buti</t>
  </si>
  <si>
    <t>IDE006583</t>
  </si>
  <si>
    <t>DF4464S 2vnt. viso 88</t>
  </si>
  <si>
    <t>gabaritiniu lemp. pakeitimas</t>
  </si>
  <si>
    <t>GDB1550 28eur savi</t>
  </si>
  <si>
    <t>antifryzo dapylimas ~0.5L koncentranto</t>
  </si>
  <si>
    <t>pr. stabdziu kaladeliu ir disku keitimas. ratu sukeitimas vietomis, diagnostika</t>
  </si>
  <si>
    <t>pilna ratu montazke 2020.08.12</t>
  </si>
  <si>
    <t>DK-MC-27184SU 27.62eur sekretkos</t>
  </si>
  <si>
    <t>zilvinas ribaltavicius nemesis Vyga Zlatkus i kauna issiusta</t>
  </si>
  <si>
    <t xml:space="preserve">IDE006297       </t>
  </si>
  <si>
    <t>conti 100    139eur</t>
  </si>
  <si>
    <t>montazke 1 zapaske skolinimas</t>
  </si>
  <si>
    <t>zapaskes idejimas i vieta</t>
  </si>
  <si>
    <t xml:space="preserve">IDE006327     </t>
  </si>
  <si>
    <t>saskaita rasyti tiesiai interlux</t>
  </si>
  <si>
    <t>zapaskes permontavimas + padanga kokie 10eur?</t>
  </si>
  <si>
    <t>JJE676  interlux nuo pernai like</t>
  </si>
  <si>
    <t>Mindaugas Strička</t>
  </si>
  <si>
    <t>3 ratu lyginimas reikejo numontuoti</t>
  </si>
  <si>
    <t xml:space="preserve">IDE006584     </t>
  </si>
  <si>
    <t>IDE006977</t>
  </si>
  <si>
    <t>ratai ir t.t. 50eur</t>
  </si>
  <si>
    <t>radaras 200eur</t>
  </si>
  <si>
    <t>nemoketa. reik saskaitos</t>
  </si>
  <si>
    <t>1 kompl. padangu pilna montazke ir balansas. 1 kompl. padangu nuemimas ir uzdejimas ant kitu be balanso. 1 kompl. padangu uzdejimas ant kitu ratu be balanso. 1 kompl. davikliu sukeitimas su kitais ant senu ratu. 1 kompl. davikliu tik uzdejimas ant nauju ratu.</t>
  </si>
  <si>
    <t xml:space="preserve">IDE006528 </t>
  </si>
  <si>
    <t>285/35r18</t>
  </si>
  <si>
    <t>goodyear f1 asymm 2</t>
  </si>
  <si>
    <r>
      <rPr/>
      <t xml:space="preserve">vilius </t>
    </r>
    <r>
      <rPr>
        <color rgb="FF000000"/>
      </rPr>
      <t>paras.lt</t>
    </r>
  </si>
  <si>
    <t>170eur</t>
  </si>
  <si>
    <t xml:space="preserve">IDE006298  </t>
  </si>
  <si>
    <r>
      <rPr/>
      <t xml:space="preserve">vilius </t>
    </r>
    <r>
      <rPr>
        <color rgb="FF000000"/>
      </rPr>
      <t>paras.lt</t>
    </r>
  </si>
  <si>
    <t>pirelli luxury</t>
  </si>
  <si>
    <t xml:space="preserve">IDE006326   </t>
  </si>
  <si>
    <t>2 guzu padarymas</t>
  </si>
  <si>
    <t xml:space="preserve">IDE006308    </t>
  </si>
  <si>
    <t>GDB1495 25eur</t>
  </si>
  <si>
    <t>DF2808 2 vnt. po 23eur viso: 46eur</t>
  </si>
  <si>
    <t>Vilius Citroen C3</t>
  </si>
  <si>
    <t>sumokejo 100eur. arbata 5eur</t>
  </si>
  <si>
    <t>stabdziu kaladeliu ir disku keitimas 24eur</t>
  </si>
  <si>
    <t>0w40 10litru</t>
  </si>
  <si>
    <t>HU 9001 X 13eur</t>
  </si>
  <si>
    <t>FP 2450 22eur</t>
  </si>
  <si>
    <t>chip 300eur?</t>
  </si>
  <si>
    <t>sportmaxx tt ROF</t>
  </si>
  <si>
    <t xml:space="preserve">IDE006309    </t>
  </si>
  <si>
    <t>Antanas K &lt;antanas.kiela@gmail.com</t>
  </si>
  <si>
    <t>158eur + 123eur</t>
  </si>
  <si>
    <t>e39 + g14 su nuvezimu</t>
  </si>
  <si>
    <t>67.68+siuntimas 5eur 2x siuntimai</t>
  </si>
  <si>
    <t xml:space="preserve">IDE006301    </t>
  </si>
  <si>
    <t>contisportcontact5</t>
  </si>
  <si>
    <t>bevita darius                  montazke</t>
  </si>
  <si>
    <t xml:space="preserve">IDE006310 </t>
  </si>
  <si>
    <t>40eur uz batus</t>
  </si>
  <si>
    <t>pervede</t>
  </si>
  <si>
    <t>batu siunta i klp</t>
  </si>
  <si>
    <t>gislaved eurofrost6 xl</t>
  </si>
  <si>
    <t>Valdas Simutis &lt;valdas@kovenda.lt</t>
  </si>
  <si>
    <t xml:space="preserve">IDE006303  </t>
  </si>
  <si>
    <t>saulius vilcinskas</t>
  </si>
  <si>
    <t xml:space="preserve">IDE006316    </t>
  </si>
  <si>
    <t>tautvydas tukada</t>
  </si>
  <si>
    <t>135eur</t>
  </si>
  <si>
    <t xml:space="preserve">IDE006291    </t>
  </si>
  <si>
    <t>barum bravuris 5</t>
  </si>
  <si>
    <t>marius orantas</t>
  </si>
  <si>
    <t xml:space="preserve">IDE006307 </t>
  </si>
  <si>
    <t>buvo ilindes didokas strypelis 6mm skersmuo, dejom sniura, nelaike oro. Tai sake su tavimi atsiskaitys</t>
  </si>
  <si>
    <t xml:space="preserve">Egidijus Meilunas </t>
  </si>
  <si>
    <t>gislaved eurofrost van</t>
  </si>
  <si>
    <t>feo120 interlux</t>
  </si>
  <si>
    <t xml:space="preserve">IDE006579  </t>
  </si>
  <si>
    <t>fuv569 nav</t>
  </si>
  <si>
    <t>IDE006585</t>
  </si>
  <si>
    <t>Toyo observe van 115indeksas</t>
  </si>
  <si>
    <t>jjd439 interlux</t>
  </si>
  <si>
    <t>IDE006621</t>
  </si>
  <si>
    <t>sailun alpine evo</t>
  </si>
  <si>
    <t>laurynas goncauskas    po 55 eur</t>
  </si>
  <si>
    <t xml:space="preserve">IDE006441      </t>
  </si>
  <si>
    <t>jonas klimaitis</t>
  </si>
  <si>
    <t>20eur skola</t>
  </si>
  <si>
    <t>po 52eur</t>
  </si>
  <si>
    <t>montazke ir pasauga ir sniuras vienas 5</t>
  </si>
  <si>
    <t>dave 250</t>
  </si>
  <si>
    <t>gripmaxx pro winter</t>
  </si>
  <si>
    <t>92eur</t>
  </si>
  <si>
    <t>120eursumokejo su mntazke</t>
  </si>
  <si>
    <t>fulda ziema</t>
  </si>
  <si>
    <t>mindaugas jastremsko kec211 audi a4</t>
  </si>
  <si>
    <t>114eur 460</t>
  </si>
  <si>
    <t xml:space="preserve">IDE006466     </t>
  </si>
  <si>
    <t>goodyear ice-suv SCT   576276</t>
  </si>
  <si>
    <t>reik kazka uzsakyt jam</t>
  </si>
  <si>
    <t xml:space="preserve">IDE006236  </t>
  </si>
  <si>
    <t>ziema su SCT  545917</t>
  </si>
  <si>
    <t>marius savickas interlux vw multivan  htf127</t>
  </si>
  <si>
    <t>su montazke ir pasauga</t>
  </si>
  <si>
    <t xml:space="preserve">IDE006343    </t>
  </si>
  <si>
    <t>goodyear ug perf+  574153  XL</t>
  </si>
  <si>
    <t xml:space="preserve">arunas buskevicius daruna </t>
  </si>
  <si>
    <t xml:space="preserve">IDE006352   </t>
  </si>
  <si>
    <t>hcv746 interlux</t>
  </si>
  <si>
    <t>goodyear ug 8</t>
  </si>
  <si>
    <t>195+pvm?</t>
  </si>
  <si>
    <t xml:space="preserve">IDE006336     </t>
  </si>
  <si>
    <t>goodyear ug perf +   574213</t>
  </si>
  <si>
    <t>82.4+pvm</t>
  </si>
  <si>
    <t>goodyear ug perf +</t>
  </si>
  <si>
    <t>180+pvm -tirehotel</t>
  </si>
  <si>
    <t xml:space="preserve">IDE006354 </t>
  </si>
  <si>
    <t>JJO767 interlux</t>
  </si>
  <si>
    <t>JJE760 interlux</t>
  </si>
  <si>
    <t>jst157  interlux</t>
  </si>
  <si>
    <t>255/60r18</t>
  </si>
  <si>
    <t>goodyear ug ice suv 578150  SCT</t>
  </si>
  <si>
    <t>fou159  interlux alenas</t>
  </si>
  <si>
    <t xml:space="preserve">IDE006335      </t>
  </si>
  <si>
    <t>fnl168  interlux</t>
  </si>
  <si>
    <t>goodyear ice2</t>
  </si>
  <si>
    <t>jph131  interlux</t>
  </si>
  <si>
    <t>IDE006578</t>
  </si>
  <si>
    <t>dro328 interlux</t>
  </si>
  <si>
    <t>debica hp2  539158</t>
  </si>
  <si>
    <t>gbo939 interlux</t>
  </si>
  <si>
    <t>sava hp2 532507</t>
  </si>
  <si>
    <t>hcv331 interlux</t>
  </si>
  <si>
    <t xml:space="preserve">IDE006579   </t>
  </si>
  <si>
    <t>kjk255 interlux</t>
  </si>
  <si>
    <t xml:space="preserve">IDE006353    </t>
  </si>
  <si>
    <t>jad361 interlux</t>
  </si>
  <si>
    <t xml:space="preserve">IDE006579 </t>
  </si>
  <si>
    <t>sava eskimo suv 2, ne hp2...</t>
  </si>
  <si>
    <t>hzu996 interlux</t>
  </si>
  <si>
    <t xml:space="preserve">IDE006578 </t>
  </si>
  <si>
    <t>goodyear ug ice2 530453</t>
  </si>
  <si>
    <t>jse976 interlux</t>
  </si>
  <si>
    <t xml:space="preserve">IDE006579    </t>
  </si>
  <si>
    <t>jph121 interlux</t>
  </si>
  <si>
    <t xml:space="preserve">IDE006578   </t>
  </si>
  <si>
    <t>hoj907 interlux</t>
  </si>
  <si>
    <t>Hep631 interlux</t>
  </si>
  <si>
    <t>hba652 interlux</t>
  </si>
  <si>
    <t>IDE006620</t>
  </si>
  <si>
    <t>sava eskimo ice</t>
  </si>
  <si>
    <t>hgm813 interlux</t>
  </si>
  <si>
    <t xml:space="preserve">IDE006358     </t>
  </si>
  <si>
    <t>huv903 interlux</t>
  </si>
  <si>
    <t xml:space="preserve">IDE006577  </t>
  </si>
  <si>
    <t xml:space="preserve">175/65r14 </t>
  </si>
  <si>
    <t>fulda 577253</t>
  </si>
  <si>
    <t>fhc633 nav</t>
  </si>
  <si>
    <t xml:space="preserve">IDE006569    </t>
  </si>
  <si>
    <t>185/65r14</t>
  </si>
  <si>
    <t>fulda 531023</t>
  </si>
  <si>
    <t>hal527 nav</t>
  </si>
  <si>
    <t>fulda 530998</t>
  </si>
  <si>
    <t>hjj815 nav</t>
  </si>
  <si>
    <t>jjg313 nav</t>
  </si>
  <si>
    <t>goodyear ug perf g1 545918</t>
  </si>
  <si>
    <t xml:space="preserve">IDE006350   </t>
  </si>
  <si>
    <t>dovydas saules elementai   ldd327</t>
  </si>
  <si>
    <t xml:space="preserve">IDE006342 </t>
  </si>
  <si>
    <t>goodyear perf+ 574290</t>
  </si>
  <si>
    <t>mindaugas spyder  153eur</t>
  </si>
  <si>
    <t>sask input pro su montazke?</t>
  </si>
  <si>
    <t xml:space="preserve">IDE006511 </t>
  </si>
  <si>
    <t>gy ug perf+ 574282</t>
  </si>
  <si>
    <t xml:space="preserve">IDE006346       </t>
  </si>
  <si>
    <t>gy ug 9+</t>
  </si>
  <si>
    <t>dariaus ratai kretinga</t>
  </si>
  <si>
    <t xml:space="preserve">IDE006339     </t>
  </si>
  <si>
    <t xml:space="preserve">IDE006339       </t>
  </si>
  <si>
    <t xml:space="preserve">gy ug perf+ </t>
  </si>
  <si>
    <t>donatas siurna bmw m240i</t>
  </si>
  <si>
    <t xml:space="preserve">IDE006341   </t>
  </si>
  <si>
    <t>montazke 20(sumoketa revolut)</t>
  </si>
  <si>
    <t>hankook w320 runflat</t>
  </si>
  <si>
    <t>OX420D 7.20eur savi</t>
  </si>
  <si>
    <t>kl 596 16.20eur savi</t>
  </si>
  <si>
    <t>Dovydas Saules elementai audi a4 b8 avant 3.0tdi 150kw</t>
  </si>
  <si>
    <t>F 026 400 334 10.20eur savi</t>
  </si>
  <si>
    <t>tepalu ir visu filtru keitimas, kuro filtras po keleivio sedyne ilgesnis keitimas</t>
  </si>
  <si>
    <t xml:space="preserve">IDE006323   </t>
  </si>
  <si>
    <t>tepalas is backos apie 7.2L</t>
  </si>
  <si>
    <t>30 94 3485 4.60eur savi</t>
  </si>
  <si>
    <t>LAO 386 16.20eur savi</t>
  </si>
  <si>
    <t>ratu pakeitimas is ziemos i vasara, balansas. stabd, trinkeliu daviklio keitimas</t>
  </si>
  <si>
    <t xml:space="preserve">AK-YT12B-BS </t>
  </si>
  <si>
    <t>Akumuliatorius Landport 12V/10Ah AGM LFFi 150x69x130 L</t>
  </si>
  <si>
    <t>AUGUSTINAS VAINIUS Mykolas Raciunas</t>
  </si>
  <si>
    <t>33.38eur su siuntimu</t>
  </si>
  <si>
    <t xml:space="preserve">IDE006311 </t>
  </si>
  <si>
    <t>sumokejo per paysera</t>
  </si>
  <si>
    <t>jrl914 2 sniurai ir balansas 2 ratu</t>
  </si>
  <si>
    <t>Toman Mingela NAV</t>
  </si>
  <si>
    <t>siusti jam sask</t>
  </si>
  <si>
    <t xml:space="preserve">IDE006322  </t>
  </si>
  <si>
    <t>F 026 407 157  7eur</t>
  </si>
  <si>
    <t>PU 8021  23eur</t>
  </si>
  <si>
    <t>Deividas Vileniskis vw passat 2016 2.0tdi 110kw</t>
  </si>
  <si>
    <t>F 026 400 287  12eur</t>
  </si>
  <si>
    <t>0 986 628 530 16eur</t>
  </si>
  <si>
    <t>tepau ir filtru keitimas 25eur</t>
  </si>
  <si>
    <t xml:space="preserve">IDE006347    </t>
  </si>
  <si>
    <t>dapilta 0.5L antifryzo.konc 5eur</t>
  </si>
  <si>
    <t>tepalas is backos 5.5L  45eur</t>
  </si>
  <si>
    <t>100 810 0010  18eur</t>
  </si>
  <si>
    <t>cmp sensor keitimas</t>
  </si>
  <si>
    <t>camshaft adjuster unit keitimas apie 2.5h</t>
  </si>
  <si>
    <t>pask. dirzo uzrakinimo irankiai 66eur</t>
  </si>
  <si>
    <t>hp116743  15eur</t>
  </si>
  <si>
    <t>elektrikui 30eur</t>
  </si>
  <si>
    <t>concaver</t>
  </si>
  <si>
    <t>IDE006458</t>
  </si>
  <si>
    <t>Dunlop rt nst</t>
  </si>
  <si>
    <t>balansas visu ratu atskirai</t>
  </si>
  <si>
    <t>gy asy 3 rsc * moextended</t>
  </si>
  <si>
    <t>Sarunas Skyrius bmw 5</t>
  </si>
  <si>
    <t>montazke 1 rato ir ratlankio lyginimas</t>
  </si>
  <si>
    <t xml:space="preserve">IDE006315  </t>
  </si>
  <si>
    <t>Norbe</t>
  </si>
  <si>
    <t xml:space="preserve">IDE006313   </t>
  </si>
  <si>
    <t>mantas matiukas</t>
  </si>
  <si>
    <t>montazke 30e</t>
  </si>
  <si>
    <t>po 115eur</t>
  </si>
  <si>
    <t>montazk rav4 2025-07-08</t>
  </si>
  <si>
    <t>Sailun Ice Blazer Alpine Evo</t>
  </si>
  <si>
    <t>Gintaras Liaugminas &lt;g.liaugminas@gmail.com</t>
  </si>
  <si>
    <t>dave 672eur</t>
  </si>
  <si>
    <t>DS-AC-TTDY0GA40</t>
  </si>
  <si>
    <t>5114+4071170070 Disks
Dezent TD Graphite</t>
  </si>
  <si>
    <t>ratu perbalansavimas, stebuliu valymas</t>
  </si>
  <si>
    <t>stambus bmw perikupas karolis girnys noslow</t>
  </si>
  <si>
    <t>tepalo 0.7 litro xclean dasipyle</t>
  </si>
  <si>
    <t>karolis puodziukas kazkam</t>
  </si>
  <si>
    <t>goodyear f1 asymm 5 97y</t>
  </si>
  <si>
    <t>darius ratai kretinga</t>
  </si>
  <si>
    <t xml:space="preserve">IDE006319  </t>
  </si>
  <si>
    <t>touareg interlux jdp</t>
  </si>
  <si>
    <t>IDE006320</t>
  </si>
  <si>
    <t>matador</t>
  </si>
  <si>
    <t>jimmy is viber</t>
  </si>
  <si>
    <t>po 41eur. montazke 12eur</t>
  </si>
  <si>
    <t>sumokejo 94eur</t>
  </si>
  <si>
    <t>2x20litru motul xcess</t>
  </si>
  <si>
    <t>mantas jastremskas traliukas 865098402</t>
  </si>
  <si>
    <t>1litras 5eur?</t>
  </si>
  <si>
    <t>bridgestone alenza</t>
  </si>
  <si>
    <t>248 eur ?</t>
  </si>
  <si>
    <t xml:space="preserve">IDE006370  </t>
  </si>
  <si>
    <t>DF2803 2 vnt. po 19eur savi</t>
  </si>
  <si>
    <t>dapilta antifryzo konc. 0.5L</t>
  </si>
  <si>
    <t>GDB1274 20eur savi</t>
  </si>
  <si>
    <t>Skoda fabia I combi 1.4tdi 55kw</t>
  </si>
  <si>
    <t>pr. disku ir kaladeliu keitimas, valymas</t>
  </si>
  <si>
    <t>saugos dirzo keitimas</t>
  </si>
  <si>
    <t xml:space="preserve">IDE006560    </t>
  </si>
  <si>
    <t>6418 0.40eur savi</t>
  </si>
  <si>
    <t>numeriu apsvietimo lemputes prilitavimas prie laidu.</t>
  </si>
  <si>
    <t>desines puses pr. priesrukinio laidu aptvarkymas, kad veiktu</t>
  </si>
  <si>
    <t>varta D15</t>
  </si>
  <si>
    <t>Andrius Morkunas Mykolas Raciunas 869975290</t>
  </si>
  <si>
    <t>sask. uab bigsas. mokes grynais</t>
  </si>
  <si>
    <t xml:space="preserve">IDE006328  </t>
  </si>
  <si>
    <t>jjg313 montazke</t>
  </si>
  <si>
    <t>Tomas Mingela NAV</t>
  </si>
  <si>
    <t xml:space="preserve">IDE006329 </t>
  </si>
  <si>
    <t>goodyear vector g3 xl</t>
  </si>
  <si>
    <t>46?</t>
  </si>
  <si>
    <t xml:space="preserve">IDE006325  </t>
  </si>
  <si>
    <t>CUK 2939/1  8eur</t>
  </si>
  <si>
    <t>tepalai 40eur</t>
  </si>
  <si>
    <t>PU 8008/1  18.3eur</t>
  </si>
  <si>
    <t>arturas narusko</t>
  </si>
  <si>
    <t>LX 1211 8eur</t>
  </si>
  <si>
    <t>OX 388D 5.5eur</t>
  </si>
  <si>
    <t>diskai ir kalades + keitimas</t>
  </si>
  <si>
    <t>vkba3643 53eur</t>
  </si>
  <si>
    <t>KYB910056  12eur</t>
  </si>
  <si>
    <t>keitimas visko 20eur</t>
  </si>
  <si>
    <t>df4558 52eur abu</t>
  </si>
  <si>
    <t>gdb1622dte 32eur kaladeles</t>
  </si>
  <si>
    <t xml:space="preserve">dvi padangos ir ju keitimas </t>
  </si>
  <si>
    <t>laurynas nav</t>
  </si>
  <si>
    <t xml:space="preserve">IDE006337      </t>
  </si>
  <si>
    <t>dunlop wintersport 5</t>
  </si>
  <si>
    <t xml:space="preserve">IDE006334    </t>
  </si>
  <si>
    <t>montavimas du kartus?</t>
  </si>
  <si>
    <t>ratu dazymas 180eur</t>
  </si>
  <si>
    <t>airbog spyder rysard</t>
  </si>
  <si>
    <t>134eur</t>
  </si>
  <si>
    <t>sailun vasara</t>
  </si>
  <si>
    <t>mindaugas striska</t>
  </si>
  <si>
    <t>siust i klp</t>
  </si>
  <si>
    <t xml:space="preserve">IDE006120        </t>
  </si>
  <si>
    <t>romualdas venckevicius</t>
  </si>
  <si>
    <t>240eur</t>
  </si>
  <si>
    <t>motul 0w30 eco-nergy 6L  52eur</t>
  </si>
  <si>
    <t>W 7015  9eur</t>
  </si>
  <si>
    <t>ford edge titanium</t>
  </si>
  <si>
    <t>c25008/1  wp10084wix   26eur abu</t>
  </si>
  <si>
    <t xml:space="preserve">IDE006369    </t>
  </si>
  <si>
    <t>sava  uhp2</t>
  </si>
  <si>
    <t>kazimieras  8643 139339</t>
  </si>
  <si>
    <t>73eur berods</t>
  </si>
  <si>
    <t>andrius misevicius klaudeno</t>
  </si>
  <si>
    <t>nerijus vokiska keramika</t>
  </si>
  <si>
    <t>260eur</t>
  </si>
  <si>
    <t xml:space="preserve">IDE006335   </t>
  </si>
  <si>
    <t>priekabos padangos su kamerom</t>
  </si>
  <si>
    <t>marius savickas</t>
  </si>
  <si>
    <t>Andrius Jurkus &lt;andrius.jurkus@gmail.com</t>
  </si>
  <si>
    <t>86eur</t>
  </si>
  <si>
    <t>IDE006348           su montazke</t>
  </si>
  <si>
    <t>5112+4657160065 Disks Dezent TX Silver</t>
  </si>
  <si>
    <t>DS-AC-TTXZ8SA46E (14.16)</t>
  </si>
  <si>
    <t xml:space="preserve">IDE006348          </t>
  </si>
  <si>
    <t>185r14</t>
  </si>
  <si>
    <t>matador allseason</t>
  </si>
  <si>
    <t>54eur</t>
  </si>
  <si>
    <t xml:space="preserve">IDE006368 </t>
  </si>
  <si>
    <t>ovidijus meilunas 10w40 1 litras 6eur</t>
  </si>
  <si>
    <t>golf 8 ovidijaus draugas vaidas martinkus 861672542</t>
  </si>
  <si>
    <t xml:space="preserve">IDE006406  </t>
  </si>
  <si>
    <t>ismetimo tuning du kartus</t>
  </si>
  <si>
    <t>mantas jastremskas zvakiu keitimas e92 m3</t>
  </si>
  <si>
    <t>pisalyne 4h kazkur</t>
  </si>
  <si>
    <t>227 pervede</t>
  </si>
  <si>
    <t>sniuras 3eur</t>
  </si>
  <si>
    <t>saulius samulevicius</t>
  </si>
  <si>
    <t>jts408  12eur</t>
  </si>
  <si>
    <t>f026402809 18eur</t>
  </si>
  <si>
    <t>1987429404 7eur</t>
  </si>
  <si>
    <t>OX 388D  5eur</t>
  </si>
  <si>
    <t>arturas narusko passat</t>
  </si>
  <si>
    <t>tepalas xclean+ 40eur</t>
  </si>
  <si>
    <t>ausinimo skystis g12+ 5eur</t>
  </si>
  <si>
    <t>TH7135.75J  12eur</t>
  </si>
  <si>
    <t>TI 15 87   22eur</t>
  </si>
  <si>
    <t>cleaner</t>
  </si>
  <si>
    <t>jonas venskunas porsche cayene</t>
  </si>
  <si>
    <t xml:space="preserve">IDE006338         </t>
  </si>
  <si>
    <t>0 986 628 521 19eur</t>
  </si>
  <si>
    <t>F 026 402 005 15eur</t>
  </si>
  <si>
    <t>F 026 400 026  12eur</t>
  </si>
  <si>
    <t>edgaras kovaliovas volvo xc70 2005m. 2.4 D5 136kw</t>
  </si>
  <si>
    <t>1 457 429 244   7eur</t>
  </si>
  <si>
    <t>0w30 eco-nergy 5+1+1  litro 50.10eur savi</t>
  </si>
  <si>
    <t>tepalai ir visi filtrai keitimas</t>
  </si>
  <si>
    <t xml:space="preserve">IDE006359 </t>
  </si>
  <si>
    <t>CAF100767P 10eur</t>
  </si>
  <si>
    <t>1 457 429 244 7eur</t>
  </si>
  <si>
    <t>fp 2733 24eur</t>
  </si>
  <si>
    <t>edgaras kovaliovas volvo xc70 2016m 2.5 t5</t>
  </si>
  <si>
    <t>8100 eco-nergy 0w30 5+1L</t>
  </si>
  <si>
    <t>tepalu ir filtru keitima, apart kuro filtro</t>
  </si>
  <si>
    <t xml:space="preserve">IDE006359     </t>
  </si>
  <si>
    <t>siunta mickei ~ 12- 15eur ?</t>
  </si>
  <si>
    <t>bmw rato montazke, klijavimas</t>
  </si>
  <si>
    <t>gy efficientgrip perf 2</t>
  </si>
  <si>
    <t>Vilmantas Červinskas</t>
  </si>
  <si>
    <t>po 118eur</t>
  </si>
  <si>
    <t>montazke ir 2 ratu lyginimas</t>
  </si>
  <si>
    <t>Reik saskaitos</t>
  </si>
  <si>
    <t>MMT A040 542940</t>
  </si>
  <si>
    <t>tracmaxx</t>
  </si>
  <si>
    <t>32eur</t>
  </si>
  <si>
    <t>LX 3320  20eur</t>
  </si>
  <si>
    <t>tepalas is backos 7.5L</t>
  </si>
  <si>
    <t>OX 1146D  12eur</t>
  </si>
  <si>
    <t>FP 25 001  45eur</t>
  </si>
  <si>
    <t>uz keitima sumokejo</t>
  </si>
  <si>
    <t>sena skola 350</t>
  </si>
  <si>
    <t>pervede 300 rugseji</t>
  </si>
  <si>
    <t xml:space="preserve">26774 01 po 18.5eur  2 vnt. </t>
  </si>
  <si>
    <t>Kristis vw golf VII</t>
  </si>
  <si>
    <t>2825 po 0.3eur savi 2 vnt.</t>
  </si>
  <si>
    <t>pr .stabilizatoriu traukiu keitimas 20eur</t>
  </si>
  <si>
    <t>sava eskimo hp 2</t>
  </si>
  <si>
    <t>nezinau kam pardaviau :D</t>
  </si>
  <si>
    <t>ismetimo bakelio keitimas antra karta 20min</t>
  </si>
  <si>
    <t>ismetimo galinio bakelio keitimas 20min</t>
  </si>
  <si>
    <t>Mantas Jastremskas M5</t>
  </si>
  <si>
    <t xml:space="preserve">sniuro idejimas i rata ir jo balansas </t>
  </si>
  <si>
    <t>matador hectora 3</t>
  </si>
  <si>
    <t>darius grigaravicius daruna</t>
  </si>
  <si>
    <t>rugsejo8 hu 726/2x  4.6eur</t>
  </si>
  <si>
    <t>rugsejo8 lao 93 18eur</t>
  </si>
  <si>
    <t>kl147d-mahle rugsejo08 9.95eur</t>
  </si>
  <si>
    <t>1 457 433 046 rugsejo8  7.6eur</t>
  </si>
  <si>
    <t>sitas itrauktas paciam priekyje...</t>
  </si>
  <si>
    <t>renatas motuzas</t>
  </si>
  <si>
    <t>3 397 014 116  32eur</t>
  </si>
  <si>
    <t>tepalas backa apie 4.7L</t>
  </si>
  <si>
    <t>F 026 407 080 10eur</t>
  </si>
  <si>
    <t>egidijus meilunas jetta</t>
  </si>
  <si>
    <t>bridgestone lm25 RFT</t>
  </si>
  <si>
    <t>tomas Cep is facebook</t>
  </si>
  <si>
    <t>160eur</t>
  </si>
  <si>
    <t>13.0470-2779.2   1vnt</t>
  </si>
  <si>
    <t>gic242  3eur</t>
  </si>
  <si>
    <t>24.0130-0238.1  2vnt</t>
  </si>
  <si>
    <t>08.B348.4X  2vnt</t>
  </si>
  <si>
    <t>P 50 091 1vnt</t>
  </si>
  <si>
    <t>Porsche ratu montazke federal ir nankang semi slick</t>
  </si>
  <si>
    <t>pilna montazke su balansu</t>
  </si>
  <si>
    <t xml:space="preserve">IDE006376   </t>
  </si>
  <si>
    <t>akumas ea640 64ah  64eur</t>
  </si>
  <si>
    <t xml:space="preserve">IDE006359   </t>
  </si>
  <si>
    <t>vladislav stech</t>
  </si>
  <si>
    <t>sask be montazkes</t>
  </si>
  <si>
    <t xml:space="preserve">IDE006345    </t>
  </si>
  <si>
    <t>varta d47 62.26eur</t>
  </si>
  <si>
    <t>dave 60eur</t>
  </si>
  <si>
    <t>gripmaxx ms</t>
  </si>
  <si>
    <t>Piotras Savranskis</t>
  </si>
  <si>
    <t>IDE006355</t>
  </si>
  <si>
    <t>montazke ir numontazke ir ratus paliko r20 su cup2</t>
  </si>
  <si>
    <t>1 daviklis oem naujas savik 66+pvm</t>
  </si>
  <si>
    <t>IDE006662</t>
  </si>
  <si>
    <t xml:space="preserve">donatas jucius </t>
  </si>
  <si>
    <t>7PP907275F  83eur</t>
  </si>
  <si>
    <t xml:space="preserve">IDE006357   </t>
  </si>
  <si>
    <t>2ju ratu lyginimas</t>
  </si>
  <si>
    <t xml:space="preserve">IDE006357 </t>
  </si>
  <si>
    <t>D Dviračiui kėdutė Thule RideAlong oranžinė</t>
  </si>
  <si>
    <t>105eur</t>
  </si>
  <si>
    <t>tourador</t>
  </si>
  <si>
    <t xml:space="preserve">IDE006365       </t>
  </si>
  <si>
    <t>montazke situ r19</t>
  </si>
  <si>
    <t>130+pvm</t>
  </si>
  <si>
    <t>kurjeris</t>
  </si>
  <si>
    <t xml:space="preserve">IDE006351   </t>
  </si>
  <si>
    <t>sraderio davikliai</t>
  </si>
  <si>
    <t>po 33eur</t>
  </si>
  <si>
    <t>0 451 103 249  8eur</t>
  </si>
  <si>
    <t>edvinas sabalys pensija bulka</t>
  </si>
  <si>
    <t>10w40 turbolight 5L</t>
  </si>
  <si>
    <t>tepalu ir tepalo filtro keitimas</t>
  </si>
  <si>
    <t>2x5L 0w40 xmax  89eur</t>
  </si>
  <si>
    <t>12V 7A MXS 7.0 kroviklis</t>
  </si>
  <si>
    <t xml:space="preserve">IDE006366     </t>
  </si>
  <si>
    <t>OX171/2D 4.30eur savi</t>
  </si>
  <si>
    <t>LAK184 10,70eur savi</t>
  </si>
  <si>
    <t>0 450 907 006 17,80eur savi</t>
  </si>
  <si>
    <t>Arturas Zakroiskis peugeo partner</t>
  </si>
  <si>
    <t>1 457 433 160 6,20eur savi</t>
  </si>
  <si>
    <t>107206 (MOTUL) 32,50eur savi</t>
  </si>
  <si>
    <t>GDB1563 20,40eur savi</t>
  </si>
  <si>
    <t>DF4184 2 vnt. po 19,80eur savi</t>
  </si>
  <si>
    <t>GS8635 21,30eur</t>
  </si>
  <si>
    <t>DB4096 2 vnt. po 25,20eur savi</t>
  </si>
  <si>
    <t>stabdziu ir kaladeliu keitimas</t>
  </si>
  <si>
    <t>WP-017 2 vnt. viso: 7.40eur savi</t>
  </si>
  <si>
    <t>antgalio perejimas 1.5eur savi</t>
  </si>
  <si>
    <t>3 397 011 410 5,20eur savi</t>
  </si>
  <si>
    <t>3 397 118 906 16,60eur savi</t>
  </si>
  <si>
    <t>valytuvu keitimas</t>
  </si>
  <si>
    <t>410026 2vnt. viso 13eur savi</t>
  </si>
  <si>
    <t>priekines k. p. lemputes keitimas</t>
  </si>
  <si>
    <t>numeriu apsviet. lempuciu keitimas</t>
  </si>
  <si>
    <t>LPR4876 2 vnt. 15.40eur savi</t>
  </si>
  <si>
    <t>fbz100 0.5L sunaudota</t>
  </si>
  <si>
    <t>gal. stabd. cilindriuku ir zarneliu keitimas</t>
  </si>
  <si>
    <t>5 ratu numontavimas</t>
  </si>
  <si>
    <t xml:space="preserve">Marius savickas </t>
  </si>
  <si>
    <t>15eur viso</t>
  </si>
  <si>
    <t>sumokejo 20eur, 5eur permoka</t>
  </si>
  <si>
    <t>1 rato numontavimas</t>
  </si>
  <si>
    <t xml:space="preserve">5eur. skolos nebera </t>
  </si>
  <si>
    <t>goodyear vector 3</t>
  </si>
  <si>
    <t>marius augustinas</t>
  </si>
  <si>
    <t>10101924 -471€</t>
  </si>
  <si>
    <t>zilvinas ribaltavicius nemesis UAB VB Translogistics</t>
  </si>
  <si>
    <t>20110746 rain cover</t>
  </si>
  <si>
    <t>IDE006521</t>
  </si>
  <si>
    <t>HU 7020 Z 7eur</t>
  </si>
  <si>
    <t>PU 8028 20eur</t>
  </si>
  <si>
    <t>C 30 004 14eur</t>
  </si>
  <si>
    <t>Tomas Blažonis Skoda Superb 1.6tdi 88kw</t>
  </si>
  <si>
    <t>LAO 888 (MAHLE) 17eur</t>
  </si>
  <si>
    <t>Tepalas is Backos 5.5L po 8eur</t>
  </si>
  <si>
    <t>filtru ir tepalo keitimas 20eur</t>
  </si>
  <si>
    <t>sumoketa 120eur</t>
  </si>
  <si>
    <t>yokohama ig50</t>
  </si>
  <si>
    <t>po 76eur +1eur</t>
  </si>
  <si>
    <t>sailun atrezzo elite</t>
  </si>
  <si>
    <t>LAIMIS TRUMPICKAS Mykolas Raciunas</t>
  </si>
  <si>
    <t>po 47eur + 6 siuntimas</t>
  </si>
  <si>
    <t xml:space="preserve">IDE006356           </t>
  </si>
  <si>
    <t>pirelli rft</t>
  </si>
  <si>
    <t>tomas rizgelis</t>
  </si>
  <si>
    <t>i krasta nuvezt?</t>
  </si>
  <si>
    <t xml:space="preserve">IDE006360    </t>
  </si>
  <si>
    <t>gy ug perf+</t>
  </si>
  <si>
    <t xml:space="preserve">po 207eur   </t>
  </si>
  <si>
    <t xml:space="preserve">IDE006390    </t>
  </si>
  <si>
    <t>OX 1184D (MAHLE) 10.30eur savi</t>
  </si>
  <si>
    <t>107050 (MOTUL) 5+5+5L  200eur</t>
  </si>
  <si>
    <t>Mantas Jastremskas audi rs5 2018m.</t>
  </si>
  <si>
    <t>tepalo ir tepalo filtro keitimas</t>
  </si>
  <si>
    <t>Supilta 7.6L tepalo</t>
  </si>
  <si>
    <t>OX1184D 12.10eur savi</t>
  </si>
  <si>
    <t>Likutis 7.4L tepalo</t>
  </si>
  <si>
    <t>OX 177/3D 7eur</t>
  </si>
  <si>
    <t>tepalas is backos 8.25L</t>
  </si>
  <si>
    <t>0 450 906 457 21eur</t>
  </si>
  <si>
    <t>arunas gliaudelis bmw 530xd 170kw</t>
  </si>
  <si>
    <t>1 457 433 589 18.90eur</t>
  </si>
  <si>
    <t>LAO197 2vnt. po 24eur</t>
  </si>
  <si>
    <t xml:space="preserve">IDE006365 </t>
  </si>
  <si>
    <t>tepalu/filtru keitimas 35eur</t>
  </si>
  <si>
    <t xml:space="preserve">IDE006277       </t>
  </si>
  <si>
    <t>taurus suv winter ice</t>
  </si>
  <si>
    <t>paulius simenas</t>
  </si>
  <si>
    <t>87eur  be montaz</t>
  </si>
  <si>
    <t xml:space="preserve">IDE006362     </t>
  </si>
  <si>
    <t>pirelli all season</t>
  </si>
  <si>
    <t>193eur</t>
  </si>
  <si>
    <t xml:space="preserve">IDE006370     </t>
  </si>
  <si>
    <t>goodyear ug 9+</t>
  </si>
  <si>
    <t>pardavem fiziakui su passat</t>
  </si>
  <si>
    <t>goodyear ug ice suv</t>
  </si>
  <si>
    <t>audrius daruna  155eur nuo roberto  +370 686 05330</t>
  </si>
  <si>
    <t>215/45r16</t>
  </si>
  <si>
    <t>goodyear ug per +</t>
  </si>
  <si>
    <t>mindaugas narkus</t>
  </si>
  <si>
    <t>siust i kauna, padanga 88eur</t>
  </si>
  <si>
    <t xml:space="preserve">IDE006182    </t>
  </si>
  <si>
    <t>2x5L xmax 0w40  89eur</t>
  </si>
  <si>
    <t>2x5L 10w60 sport motul  87eur</t>
  </si>
  <si>
    <t>176eur?</t>
  </si>
  <si>
    <t>hifly</t>
  </si>
  <si>
    <t xml:space="preserve">IDE006386 </t>
  </si>
  <si>
    <t>generatoriaus angliuku 15eur, antifryzo keitimas 25eur</t>
  </si>
  <si>
    <t>VAL593940 32eur</t>
  </si>
  <si>
    <t>paulius siskevicius vw golf 4</t>
  </si>
  <si>
    <t>antifryzas 10eur</t>
  </si>
  <si>
    <t>linas drobelis</t>
  </si>
  <si>
    <t xml:space="preserve">IDE006364     </t>
  </si>
  <si>
    <t>gediminas kolgeda</t>
  </si>
  <si>
    <t>94.91+pvm</t>
  </si>
  <si>
    <t xml:space="preserve">IDE006379  </t>
  </si>
  <si>
    <t>motul 7100</t>
  </si>
  <si>
    <t>3x12.33eur</t>
  </si>
  <si>
    <t>oc5 filtras 9eur</t>
  </si>
  <si>
    <t>supuvusios verzles, ilgai uztrukau, kol atsukau/uzsukau.</t>
  </si>
  <si>
    <t>2 ratu guzu padarysimas</t>
  </si>
  <si>
    <t>Aurimas NAV range rover r21</t>
  </si>
  <si>
    <t>montazke i ziema</t>
  </si>
  <si>
    <t>petras interlux +370699 99169 landcruiser</t>
  </si>
  <si>
    <t xml:space="preserve">IDE006397  </t>
  </si>
  <si>
    <t>AK-LFP14</t>
  </si>
  <si>
    <t>akumas lfp-14</t>
  </si>
  <si>
    <t>Artūras Drigotas Mykolas Račiūnas</t>
  </si>
  <si>
    <t>IDE006371</t>
  </si>
  <si>
    <t>romas kuklys nav</t>
  </si>
  <si>
    <t>82eur</t>
  </si>
  <si>
    <t xml:space="preserve">IDE006375         </t>
  </si>
  <si>
    <t>Aleksandras Kasinskij</t>
  </si>
  <si>
    <t>sask su pasauga</t>
  </si>
  <si>
    <t xml:space="preserve">IDE006340       </t>
  </si>
  <si>
    <t>89eur</t>
  </si>
  <si>
    <t>padangu montazke 20eur</t>
  </si>
  <si>
    <t>tepalas is backos 3.2L 25.60eur</t>
  </si>
  <si>
    <t>HU 710 X  6eur</t>
  </si>
  <si>
    <t>sumoketa 60eur</t>
  </si>
  <si>
    <t>25562  15eur +30eur</t>
  </si>
  <si>
    <t xml:space="preserve">JCP449 vw passat 125kw jurga </t>
  </si>
  <si>
    <t>pakeista i ziemines padangas 30eur</t>
  </si>
  <si>
    <t>3 397 007 620  23eur</t>
  </si>
  <si>
    <t>Tomas Grinevičius &lt;tomaskanibal@gmail.com</t>
  </si>
  <si>
    <t xml:space="preserve">IDE006372    </t>
  </si>
  <si>
    <t xml:space="preserve">IDE006373 </t>
  </si>
  <si>
    <t>goodyear ug8 perf ROF</t>
  </si>
  <si>
    <t>vytautas juknevicius</t>
  </si>
  <si>
    <t>58eur + montazke</t>
  </si>
  <si>
    <t>IDE006377</t>
  </si>
  <si>
    <t>metzeler sportec m9 rr</t>
  </si>
  <si>
    <t>118eur</t>
  </si>
  <si>
    <t>163eur</t>
  </si>
  <si>
    <t>7+PVM</t>
  </si>
  <si>
    <t>pirelli padangu issiuntimas</t>
  </si>
  <si>
    <t>90skola nuo virsaus</t>
  </si>
  <si>
    <t>PU 8008/1  23eur</t>
  </si>
  <si>
    <t>F026400172  11eur</t>
  </si>
  <si>
    <t>LAO181  15eur</t>
  </si>
  <si>
    <t>vw passat 2tdi 4motion 125kw jonas vainius raulynaitis</t>
  </si>
  <si>
    <t>filtru keitimas 25. cia 20turi but</t>
  </si>
  <si>
    <t>g060175a2   58eur</t>
  </si>
  <si>
    <t>HX 132D 12eur</t>
  </si>
  <si>
    <t>105778 19eur</t>
  </si>
  <si>
    <t>105786 10eur x 6L</t>
  </si>
  <si>
    <t>galinio difo ir dsg tepalu keitimas</t>
  </si>
  <si>
    <t>TH7180.87J 28eur</t>
  </si>
  <si>
    <t>termostatu ir antifryzo, isiurbimo koliko nuemimas apvalymas keitimas</t>
  </si>
  <si>
    <t>36175  10eur</t>
  </si>
  <si>
    <t>0986479247  2vnt diskai po 25eur</t>
  </si>
  <si>
    <t xml:space="preserve">bw2003085 43eur </t>
  </si>
  <si>
    <r>
      <rPr>
        <rFont val="Verdana, Helvetica, sans-serif"/>
        <color rgb="FF6D6D6D"/>
        <sz val="9.0"/>
        <u/>
      </rPr>
      <t>LP1824</t>
    </r>
    <r>
      <rPr>
        <rFont val="Verdana, Helvetica, sans-serif"/>
        <color rgb="FF000000"/>
        <sz val="9.0"/>
      </rPr>
      <t xml:space="preserve">  20eur</t>
    </r>
  </si>
  <si>
    <t>granatos gumos, gal stabd ir kaladeliu, el rankinis keitimas</t>
  </si>
  <si>
    <t>30+30</t>
  </si>
  <si>
    <t>124eur be montazkes</t>
  </si>
  <si>
    <t xml:space="preserve">IDE006359    </t>
  </si>
  <si>
    <t>tracmax</t>
  </si>
  <si>
    <t>83eur</t>
  </si>
  <si>
    <t>245/55r19</t>
  </si>
  <si>
    <t>cooper wheather master</t>
  </si>
  <si>
    <t>jaroslav bogdevic nuo audis +370 678 15225</t>
  </si>
  <si>
    <t>137eur</t>
  </si>
  <si>
    <t>montazke ir 1 langu skyscio</t>
  </si>
  <si>
    <t>110825-hp 30eur</t>
  </si>
  <si>
    <t>ventiliatoriaus reles keitimas 20eur</t>
  </si>
  <si>
    <t>varta d24  60eur</t>
  </si>
  <si>
    <t>paulius siskevicius golf</t>
  </si>
  <si>
    <t>tepalo dapilta</t>
  </si>
  <si>
    <t>balansas ratu 15eur</t>
  </si>
  <si>
    <t>dave 350 2021-01-18</t>
  </si>
  <si>
    <t>pasiskolinau lempas</t>
  </si>
  <si>
    <t>2l tepalo ipyliau  16eur</t>
  </si>
  <si>
    <t>dave 200eur</t>
  </si>
  <si>
    <t>montazke padangu 2021-05-25 20eur</t>
  </si>
  <si>
    <t>posukis su lempute 10eur</t>
  </si>
  <si>
    <t>pavlikas srotas pas vyga</t>
  </si>
  <si>
    <t>kestutis gasiunas 865680657</t>
  </si>
  <si>
    <t>107eur +montazke</t>
  </si>
  <si>
    <t>54eur?</t>
  </si>
  <si>
    <t>Benas Kulevas &lt;benas@bevita.lt</t>
  </si>
  <si>
    <t>74.58eur</t>
  </si>
  <si>
    <t xml:space="preserve">IDE006383   </t>
  </si>
  <si>
    <t>giedrius groundwirus Jokubas Zaikauskas</t>
  </si>
  <si>
    <t>75.6eur</t>
  </si>
  <si>
    <t xml:space="preserve">IDE006386  </t>
  </si>
  <si>
    <t>gislaved ultraspeed 2</t>
  </si>
  <si>
    <t>piotras 867030978</t>
  </si>
  <si>
    <t>128eur</t>
  </si>
  <si>
    <t xml:space="preserve">IDE006380  </t>
  </si>
  <si>
    <t>dave 1050eur</t>
  </si>
  <si>
    <t xml:space="preserve">purkstukas+keitimas 240eur? </t>
  </si>
  <si>
    <t>jonas vainius raulynaitis passat</t>
  </si>
  <si>
    <t>ek700 exide 115eur</t>
  </si>
  <si>
    <t>3c8831411c vyris  60eur</t>
  </si>
  <si>
    <t>11eur skola</t>
  </si>
  <si>
    <t>IDE007054</t>
  </si>
  <si>
    <t>simas emarket</t>
  </si>
  <si>
    <t>thule adapteriai 36..34eur savik</t>
  </si>
  <si>
    <t>IDE006636</t>
  </si>
  <si>
    <t xml:space="preserve">IDE006382     </t>
  </si>
  <si>
    <t>Mindaugas &lt;staniunas.m@gmail.com</t>
  </si>
  <si>
    <t>montazke ant ratlankiu tik</t>
  </si>
  <si>
    <t>IDE006378</t>
  </si>
  <si>
    <t>aurimas nav sask</t>
  </si>
  <si>
    <t>5w30 5+3L 33+8+8+8eur</t>
  </si>
  <si>
    <t>IDE006627</t>
  </si>
  <si>
    <t>israsyta uz  padangas 178+</t>
  </si>
  <si>
    <t>IDE006581</t>
  </si>
  <si>
    <t>hankook w616</t>
  </si>
  <si>
    <t>130eur +20eur</t>
  </si>
  <si>
    <t xml:space="preserve">IDE006400   </t>
  </si>
  <si>
    <t>antifryzo 1L supilta 4max ne koncentrato 3eur</t>
  </si>
  <si>
    <t>val576014 10eur</t>
  </si>
  <si>
    <t>Lukas Talacka</t>
  </si>
  <si>
    <t>fae24762 8eur</t>
  </si>
  <si>
    <t>montazke 20eur</t>
  </si>
  <si>
    <t>uz pasauga praeita 12eur skola. dbr nepaliko nieko</t>
  </si>
  <si>
    <t>laurynas jabkevicius nav</t>
  </si>
  <si>
    <t xml:space="preserve">IDE006385   </t>
  </si>
  <si>
    <t>chaincleaneris 6eur</t>
  </si>
  <si>
    <t>padukai 100eur?</t>
  </si>
  <si>
    <t>valdoska valdas riese</t>
  </si>
  <si>
    <t>headset guoliai  ir keitimas</t>
  </si>
  <si>
    <t>guoliai 38eur</t>
  </si>
  <si>
    <t>4langu skysciai</t>
  </si>
  <si>
    <t>IDE006651</t>
  </si>
  <si>
    <t>termosiukas 19eur</t>
  </si>
  <si>
    <t>chaincleaner 6eur</t>
  </si>
  <si>
    <t>alfasteps 10eur skola 2022-02-12</t>
  </si>
  <si>
    <t>dvirkos kaladziu keitimas gale</t>
  </si>
  <si>
    <t>tublinimas dvieju padangu su montazke</t>
  </si>
  <si>
    <t>120+120ml skyscio racinginio</t>
  </si>
  <si>
    <t>q7 montazke ziemos 2021.10-11</t>
  </si>
  <si>
    <t>IDE008065</t>
  </si>
  <si>
    <t>goodyear ug ice arctic</t>
  </si>
  <si>
    <t>57+pvm</t>
  </si>
  <si>
    <t>goodride sw612</t>
  </si>
  <si>
    <t>skado medis darius araminas</t>
  </si>
  <si>
    <t>siunta 5+pvm</t>
  </si>
  <si>
    <t>IDE006384</t>
  </si>
  <si>
    <t>185r14c</t>
  </si>
  <si>
    <t>barum snovanis 2</t>
  </si>
  <si>
    <t>piotras savranskis</t>
  </si>
  <si>
    <t>62eur</t>
  </si>
  <si>
    <t>IDE006638</t>
  </si>
  <si>
    <t>barum polaris 5</t>
  </si>
  <si>
    <t>gintaras tamkus lrt  868641325</t>
  </si>
  <si>
    <t>po 48eur</t>
  </si>
  <si>
    <t>sumokejo 214eur</t>
  </si>
  <si>
    <t>giedrius paulavicius fb Hnn976</t>
  </si>
  <si>
    <t>goodyear perf+</t>
  </si>
  <si>
    <t>ovidijus meilunas draugas golf GTE mantas.lobe@gmail.com</t>
  </si>
  <si>
    <t>IDE006465</t>
  </si>
  <si>
    <t>10w40 1litras turbolight  6eur?</t>
  </si>
  <si>
    <t>st.skystis 10eur</t>
  </si>
  <si>
    <t>suportai 100eur</t>
  </si>
  <si>
    <t>tepalas backa 38eur</t>
  </si>
  <si>
    <t>GDB1957  30eur +keitimas?  30eur</t>
  </si>
  <si>
    <t>kristis plioplys</t>
  </si>
  <si>
    <t>tepalu keitimas 20eur</t>
  </si>
  <si>
    <t>HU 7020 Z  7eur</t>
  </si>
  <si>
    <t>chip 100eur</t>
  </si>
  <si>
    <t>2vnt langu skysciai</t>
  </si>
  <si>
    <t>montazke be eiles 25eur 2020-11-10</t>
  </si>
  <si>
    <t>OSR7225-02B 1.90eur savi</t>
  </si>
  <si>
    <t>skoda fabia Genadijus</t>
  </si>
  <si>
    <t>MMT O032 001 1.20eur savi</t>
  </si>
  <si>
    <t>sumokejo 15eur</t>
  </si>
  <si>
    <t>10 eur pasiemiau</t>
  </si>
  <si>
    <t>xclean+ backa 5,1L</t>
  </si>
  <si>
    <t>CUK 2336 13eur</t>
  </si>
  <si>
    <t>C 26 013  8eur</t>
  </si>
  <si>
    <t>HU 7001 X  8eur</t>
  </si>
  <si>
    <t>1 457 434 511 13eur</t>
  </si>
  <si>
    <t xml:space="preserve">IDE006441    </t>
  </si>
  <si>
    <t>63eur sask be montaz</t>
  </si>
  <si>
    <t>hankook rw10</t>
  </si>
  <si>
    <t>Egidijus Zube</t>
  </si>
  <si>
    <t>IDE006587</t>
  </si>
  <si>
    <t>rokas bilevicius</t>
  </si>
  <si>
    <t>be montazkes</t>
  </si>
  <si>
    <t xml:space="preserve">IDE006387  </t>
  </si>
  <si>
    <t>fulda cristall control suv</t>
  </si>
  <si>
    <t>Jaroslaw Sadowski</t>
  </si>
  <si>
    <t>marius survilas</t>
  </si>
  <si>
    <t>goodyear ug ice suv sct 548425</t>
  </si>
  <si>
    <t>weslav mama zapolski</t>
  </si>
  <si>
    <t xml:space="preserve">IDE006395 </t>
  </si>
  <si>
    <t>justas klimavicius  su montazke</t>
  </si>
  <si>
    <t xml:space="preserve">IDE006392    </t>
  </si>
  <si>
    <t>nuveziau</t>
  </si>
  <si>
    <t xml:space="preserve">IDE006392   </t>
  </si>
  <si>
    <t>i klp isvaziavo</t>
  </si>
  <si>
    <t xml:space="preserve">IDE006388   </t>
  </si>
  <si>
    <t>michelin alpin</t>
  </si>
  <si>
    <t>126.56eur su pvm</t>
  </si>
  <si>
    <t>4vnt i klp issiusta</t>
  </si>
  <si>
    <t>4vnt i kauna issiust reikia</t>
  </si>
  <si>
    <t>i vln nuevzta jau</t>
  </si>
  <si>
    <t>HU 719/6 X  10eur</t>
  </si>
  <si>
    <t>3x15eur RBF660</t>
  </si>
  <si>
    <t>0w40 300v 4x2L po 30eur</t>
  </si>
  <si>
    <t>2x5L g13 po 25eur</t>
  </si>
  <si>
    <t>fulda cristall control hp2</t>
  </si>
  <si>
    <t>zilvinas ribaltavicius darius patapas</t>
  </si>
  <si>
    <t>69.31+pvm</t>
  </si>
  <si>
    <t>IDE006398</t>
  </si>
  <si>
    <t>d59 60ah varta   59eur</t>
  </si>
  <si>
    <t>marex marekas stefanovic</t>
  </si>
  <si>
    <t>taurus winter suv</t>
  </si>
  <si>
    <t>sumokejo 320eur</t>
  </si>
  <si>
    <t>goodyear ug ice2 sct 548462</t>
  </si>
  <si>
    <t>darius volvo riese Gediminas Juozapavičius</t>
  </si>
  <si>
    <t>montazke ant skardu be padangu ir balansas</t>
  </si>
  <si>
    <t>IDE006506</t>
  </si>
  <si>
    <t>goodyear ug ice2 sct 548457</t>
  </si>
  <si>
    <t>dainius kavaliauskas</t>
  </si>
  <si>
    <t>89eur + montazke 14eur</t>
  </si>
  <si>
    <t>370eur sumokejo</t>
  </si>
  <si>
    <t>taurus suv winter</t>
  </si>
  <si>
    <t>domas raskevicius Mantas Simonavičius</t>
  </si>
  <si>
    <t>57.23eur</t>
  </si>
  <si>
    <t>montazke+ 25eur daug valymo buvo</t>
  </si>
  <si>
    <t xml:space="preserve">IDE006456   </t>
  </si>
  <si>
    <t>Medgana UAB &lt;info@kondicionavimas.eu</t>
  </si>
  <si>
    <t>135+pvm</t>
  </si>
  <si>
    <t xml:space="preserve">IDE006409   </t>
  </si>
  <si>
    <t>goodyear ug perf g1 +</t>
  </si>
  <si>
    <t>Rimantas  868683779 nuo educio Rimantas Garnys</t>
  </si>
  <si>
    <t>IDE006396  584eur grynais</t>
  </si>
  <si>
    <t xml:space="preserve">IDE006408   </t>
  </si>
  <si>
    <t>issiveze karolis</t>
  </si>
  <si>
    <t xml:space="preserve">IDE006389    </t>
  </si>
  <si>
    <t>gdb1956</t>
  </si>
  <si>
    <t>padangu keitimas ir pasauga</t>
  </si>
  <si>
    <t>ek700 exide agm mantvydas cekutis   113-115eur?</t>
  </si>
  <si>
    <t>sabdziu kaladeles ir keitimas</t>
  </si>
  <si>
    <t>IDE006529</t>
  </si>
  <si>
    <t>3,50-18</t>
  </si>
  <si>
    <t>35018 OMMT 62P H03</t>
  </si>
  <si>
    <t>Andrius Gurskis Mykolas Raciunas</t>
  </si>
  <si>
    <t>37+6eur siuntimas</t>
  </si>
  <si>
    <t xml:space="preserve">IDE006391           </t>
  </si>
  <si>
    <t>mokejimas venipak COD</t>
  </si>
  <si>
    <t>pirelli ice zero fr</t>
  </si>
  <si>
    <t>sunny ziemine</t>
  </si>
  <si>
    <t>Giedrius Kaupas &lt;kaukas03@gmail.com devisor klaudijus</t>
  </si>
  <si>
    <t>225/60r15C</t>
  </si>
  <si>
    <t>vytautas juchnevicius</t>
  </si>
  <si>
    <t>76eur + montazke 30eur</t>
  </si>
  <si>
    <t>IDE006393</t>
  </si>
  <si>
    <t>eitvydas lubys focus group</t>
  </si>
  <si>
    <t xml:space="preserve">IDE006399      </t>
  </si>
  <si>
    <t>sunny nw611</t>
  </si>
  <si>
    <t>31eur</t>
  </si>
  <si>
    <t>CR-1429 3eur</t>
  </si>
  <si>
    <t>GDB1908 45eur</t>
  </si>
  <si>
    <t>Paulius Slepikas Mykolas Raciunas</t>
  </si>
  <si>
    <t>DF6148 2 vnt. po 41eur</t>
  </si>
  <si>
    <t>pr. stabdziu disku, kaladeliu keitimas, ratlankio lyginimas</t>
  </si>
  <si>
    <t>atidaviau 130eur uz dalis</t>
  </si>
  <si>
    <t>10.17 sestadienis</t>
  </si>
  <si>
    <t>tomas kaimynas volvo</t>
  </si>
  <si>
    <t>IDE006872</t>
  </si>
  <si>
    <t>justas klimaviciusMobile Heavy Machinery, UAB</t>
  </si>
  <si>
    <t>63.63+pvm</t>
  </si>
  <si>
    <t xml:space="preserve">IDE006403   </t>
  </si>
  <si>
    <t>justas klimavicius Mobile Heavy Machinery, UAB</t>
  </si>
  <si>
    <t>86.35+pvm</t>
  </si>
  <si>
    <t>205/70r15c</t>
  </si>
  <si>
    <t>conti vanco winter</t>
  </si>
  <si>
    <t>92.6+pvm</t>
  </si>
  <si>
    <t>126+pvm</t>
  </si>
  <si>
    <t xml:space="preserve">IDE006428   </t>
  </si>
  <si>
    <t>hankook rw12</t>
  </si>
  <si>
    <t xml:space="preserve">justas klimavicius </t>
  </si>
  <si>
    <t>61eur su pvm</t>
  </si>
  <si>
    <t xml:space="preserve">IDE006416   </t>
  </si>
  <si>
    <t>195/60r16c</t>
  </si>
  <si>
    <t>82eur ir montazke?</t>
  </si>
  <si>
    <t xml:space="preserve">IDE006407 </t>
  </si>
  <si>
    <t>conti ts850p</t>
  </si>
  <si>
    <t>330eur</t>
  </si>
  <si>
    <t xml:space="preserve">IDE006427    </t>
  </si>
  <si>
    <t>280eur</t>
  </si>
  <si>
    <t>265/40r18</t>
  </si>
  <si>
    <t>raimundas slabosevicius</t>
  </si>
  <si>
    <t>201eur</t>
  </si>
  <si>
    <t>IDE006515</t>
  </si>
  <si>
    <t>275/30r21</t>
  </si>
  <si>
    <t>dunlop 4d</t>
  </si>
  <si>
    <t>IDE006411</t>
  </si>
  <si>
    <t>33eur</t>
  </si>
  <si>
    <t>MMT A041 AUD235 PRM 01  27eur</t>
  </si>
  <si>
    <t>FDB1627 43eur</t>
  </si>
  <si>
    <t>egle laurinavice</t>
  </si>
  <si>
    <t>GIC194 7eur</t>
  </si>
  <si>
    <t xml:space="preserve">IDE006534   </t>
  </si>
  <si>
    <t>3 397 007 215 28eur</t>
  </si>
  <si>
    <t>dugno aspauga dejom ilgai e92 m3 ir tikrinom dacika tepalo</t>
  </si>
  <si>
    <t>40eur jis sumokejo uz E85</t>
  </si>
  <si>
    <t>goodyear ug9</t>
  </si>
  <si>
    <t>vytenis sodaitis</t>
  </si>
  <si>
    <t>mindaugas +37061563404</t>
  </si>
  <si>
    <t>Milda Einikyte Deividas vilenskis</t>
  </si>
  <si>
    <t xml:space="preserve">IDE006401   </t>
  </si>
  <si>
    <t>yokohama ig50 plus</t>
  </si>
  <si>
    <t>Gediminas Seckus &lt;gedaminas@gmail.com JHG974</t>
  </si>
  <si>
    <t>82eur, 1 langu skystis, reik sask</t>
  </si>
  <si>
    <t xml:space="preserve">IDE006417 </t>
  </si>
  <si>
    <t xml:space="preserve">Zofija Sinkevičienė </t>
  </si>
  <si>
    <t>Gedvydžių g. 4-22, Vilnius</t>
  </si>
  <si>
    <t>zofijasin@gmail.com</t>
  </si>
  <si>
    <t>paulius norkus</t>
  </si>
  <si>
    <t>IDE006537</t>
  </si>
  <si>
    <t>255/40r17</t>
  </si>
  <si>
    <t>pirelli</t>
  </si>
  <si>
    <t xml:space="preserve">IDE006429 </t>
  </si>
  <si>
    <t>remigijus staisiunas</t>
  </si>
  <si>
    <t>ham766 montazke volvo seno</t>
  </si>
  <si>
    <t>montazke volvo nauju kleber les374</t>
  </si>
  <si>
    <t>IDE006591</t>
  </si>
  <si>
    <t xml:space="preserve">IDE006411   </t>
  </si>
  <si>
    <t>goodyear ug perf+ sct</t>
  </si>
  <si>
    <t>linas ramitrans</t>
  </si>
  <si>
    <t xml:space="preserve">IDE006452   </t>
  </si>
  <si>
    <t>215/65R16 102H UG PERF + XL 574302</t>
  </si>
  <si>
    <t>91+pvm sask su montazke</t>
  </si>
  <si>
    <t xml:space="preserve">IDE006551 </t>
  </si>
  <si>
    <t>daumantas@juka.lt</t>
  </si>
  <si>
    <t>montazke pezo</t>
  </si>
  <si>
    <t>Vidmantas Morkūnas &lt;vidmantas.morkunas@gmail.com</t>
  </si>
  <si>
    <t>blizzak lm005</t>
  </si>
  <si>
    <t>vip montazke subaru 2020-11-06</t>
  </si>
  <si>
    <t>197.5+pvm</t>
  </si>
  <si>
    <t>anmejus</t>
  </si>
  <si>
    <t xml:space="preserve">IDE006492  </t>
  </si>
  <si>
    <t>kaina?</t>
  </si>
  <si>
    <t>xclean+ 10l i lazdijus</t>
  </si>
  <si>
    <t>toyo s944</t>
  </si>
  <si>
    <t>dolgovienes tevas 861862334 dolgovas Vidas Bumelis</t>
  </si>
  <si>
    <t>mantas strimaitis</t>
  </si>
  <si>
    <t xml:space="preserve">IDE006421  </t>
  </si>
  <si>
    <t>toyo gal</t>
  </si>
  <si>
    <t>867382895 po 58eur,montazke 20-25 ziurint kiekdarbo) Rokas Venslovas</t>
  </si>
  <si>
    <t>Julius Griškevičius JGJ822</t>
  </si>
  <si>
    <t>138eur + montazke</t>
  </si>
  <si>
    <t xml:space="preserve">IDE006412  </t>
  </si>
  <si>
    <t>139eur + montazke</t>
  </si>
  <si>
    <t xml:space="preserve">IDE006413    </t>
  </si>
  <si>
    <t>5w40 xclean 3x po 8.5eur</t>
  </si>
  <si>
    <t>OC986 5eur</t>
  </si>
  <si>
    <t>C 2859 9eur</t>
  </si>
  <si>
    <t>Paulius Grigaitis &lt;paulasgri@gmail.com  +keitimas   FIAT punto</t>
  </si>
  <si>
    <t>1 987 432 537 8eur</t>
  </si>
  <si>
    <t>IDE006571</t>
  </si>
  <si>
    <t>FJM 320</t>
  </si>
  <si>
    <t>3 397 007 466  24eur</t>
  </si>
  <si>
    <t>W 7008 5eur</t>
  </si>
  <si>
    <t>F 026 400 135  12eur</t>
  </si>
  <si>
    <t>jankaitis@gmail.com Giedrius jankaitis  ford fiesta</t>
  </si>
  <si>
    <t>FP 2436 17eur</t>
  </si>
  <si>
    <t>5w30 eco-nergy 4L</t>
  </si>
  <si>
    <t>IDE006592</t>
  </si>
  <si>
    <t xml:space="preserve">IDE006457 </t>
  </si>
  <si>
    <t>2langu skysciai</t>
  </si>
  <si>
    <t>airbog ricard Rysard Rbl</t>
  </si>
  <si>
    <t>bmw x6 montazke</t>
  </si>
  <si>
    <t>jageris montazke</t>
  </si>
  <si>
    <t>Jonas Urbanavičius &lt;jonas.urbanavicius@gmail.com</t>
  </si>
  <si>
    <t xml:space="preserve">sumokejo 216eur, </t>
  </si>
  <si>
    <t>kleber hp3 xl</t>
  </si>
  <si>
    <t>tomas barkauskas</t>
  </si>
  <si>
    <t>48eur+montazke 25</t>
  </si>
  <si>
    <t>Sumokejo 220eur</t>
  </si>
  <si>
    <t>goodyear ug perf 543248</t>
  </si>
  <si>
    <t>marijus kebla  uab torus lt, sask</t>
  </si>
  <si>
    <t>138+pvm   vezt i latransa</t>
  </si>
  <si>
    <t>IDE006463</t>
  </si>
  <si>
    <t>marijus kebla uab inebara</t>
  </si>
  <si>
    <t>138.5eur</t>
  </si>
  <si>
    <t>IDE006464</t>
  </si>
  <si>
    <t>YOKO V905</t>
  </si>
  <si>
    <t>536savik</t>
  </si>
  <si>
    <t xml:space="preserve">IDE006711 </t>
  </si>
  <si>
    <t>130+eur +montazke</t>
  </si>
  <si>
    <t>IDE006671</t>
  </si>
  <si>
    <t>justas krasuckis jdd251 norameda</t>
  </si>
  <si>
    <t>IDE006574</t>
  </si>
  <si>
    <t>citroen c4 saulius samulevicius ruta</t>
  </si>
  <si>
    <t>fe47301 6eur</t>
  </si>
  <si>
    <t>saulius samulevicius ruta navickaite</t>
  </si>
  <si>
    <t>55eur + montazke+pasauga+lasiniai ?</t>
  </si>
  <si>
    <t>Mingela NAV JJG313 sniuro idejimas nemokejo</t>
  </si>
  <si>
    <t>IDE006569</t>
  </si>
  <si>
    <t xml:space="preserve">Laurynas Goncauskas </t>
  </si>
  <si>
    <t>6 langu skysciai po 2.5eur/vnt.</t>
  </si>
  <si>
    <t>IDE006619</t>
  </si>
  <si>
    <t>Mantas Jastremskas bmw m5</t>
  </si>
  <si>
    <t>ismetimo keitimas belekiek kartu</t>
  </si>
  <si>
    <t>marius orantas prinsta</t>
  </si>
  <si>
    <t xml:space="preserve">IDE006440  </t>
  </si>
  <si>
    <t>Žydrius Janulevičius &lt;zydrius@svarai.lt</t>
  </si>
  <si>
    <t>toyo ziema</t>
  </si>
  <si>
    <t>Ramunas Mikalauskas &lt;ramunasm@gmail.com</t>
  </si>
  <si>
    <t xml:space="preserve">IDE006414     </t>
  </si>
  <si>
    <t>po 45eur</t>
  </si>
  <si>
    <t>po 92eur</t>
  </si>
  <si>
    <t xml:space="preserve">IDE006486    </t>
  </si>
  <si>
    <t>triangle tw401</t>
  </si>
  <si>
    <t>IDE006438</t>
  </si>
  <si>
    <t>215/60R16 99H UG PERF + XL 574153</t>
  </si>
  <si>
    <t>federal</t>
  </si>
  <si>
    <t xml:space="preserve">IDE006419    </t>
  </si>
  <si>
    <t>Regimantas Jankauskas &lt;regimantas@stiklita.lt JCK553</t>
  </si>
  <si>
    <t>74eur + montazke JCK553</t>
  </si>
  <si>
    <t xml:space="preserve">IDE006465  </t>
  </si>
  <si>
    <t>LAG152 montazke</t>
  </si>
  <si>
    <t>JNG413 montazke</t>
  </si>
  <si>
    <t>LMY319 montazke</t>
  </si>
  <si>
    <t xml:space="preserve">Regimantas Jankauskas &lt;regimantas@stiklita.lt </t>
  </si>
  <si>
    <t>KPT153 montazke</t>
  </si>
  <si>
    <t>Vredestein winter PRO</t>
  </si>
  <si>
    <t>Aurimas Likus &lt;aurimaslikus@gmail.com</t>
  </si>
  <si>
    <t xml:space="preserve">IDE006415      </t>
  </si>
  <si>
    <t>darius statybos kulikauskas</t>
  </si>
  <si>
    <t>175/70r13</t>
  </si>
  <si>
    <t>paxaro winer</t>
  </si>
  <si>
    <t>fokus Group Logistics &lt;transport@fokusgroup.lt</t>
  </si>
  <si>
    <t xml:space="preserve">IDE006445   </t>
  </si>
  <si>
    <t>https://autoplius.lt/skelbimai/adr-roken-lengvojo-lydinio-r19-10671461.html</t>
  </si>
  <si>
    <t>jonas kneita</t>
  </si>
  <si>
    <t xml:space="preserve">IDE006480   </t>
  </si>
  <si>
    <t>davikliu keitimas</t>
  </si>
  <si>
    <t>sarunas zagaras  sumokejo 320eur</t>
  </si>
  <si>
    <t>73eur</t>
  </si>
  <si>
    <t>montazke 25 + 1langu skyscio</t>
  </si>
  <si>
    <t>kdd984 justas krasuckis norameda</t>
  </si>
  <si>
    <t>JDD247 justas krasuckis norameda</t>
  </si>
  <si>
    <t>kristijonas zaranka</t>
  </si>
  <si>
    <t>67eur+montazke</t>
  </si>
  <si>
    <t>sava eskimo suv 2</t>
  </si>
  <si>
    <t>Tomas kibildis sask kokybiski auto</t>
  </si>
  <si>
    <t>103eur + montzke</t>
  </si>
  <si>
    <t xml:space="preserve">IDE006434  </t>
  </si>
  <si>
    <t>airingas vas fb Žana Vaškevičienė</t>
  </si>
  <si>
    <t xml:space="preserve">IDE006461   </t>
  </si>
  <si>
    <t>43.43eur 5L 10w60 motul</t>
  </si>
  <si>
    <t>aurimas baltusis</t>
  </si>
  <si>
    <t xml:space="preserve">IDE006448    </t>
  </si>
  <si>
    <t>egidijus meilunas jetta gti</t>
  </si>
  <si>
    <t xml:space="preserve">IDE006433   </t>
  </si>
  <si>
    <t>Mantas Mozuras &lt;mantasmozuras@gmail.com</t>
  </si>
  <si>
    <t>IDE006418</t>
  </si>
  <si>
    <t>tomas mice</t>
  </si>
  <si>
    <t xml:space="preserve">IDE006558 </t>
  </si>
  <si>
    <t>tomas zitikis LJR664 Indra Kalvionyte &lt;indrakalvionyte@gmail.com</t>
  </si>
  <si>
    <t xml:space="preserve">Algimantas.Janusauskas@litagra.lt UAB Aristavos ūkis </t>
  </si>
  <si>
    <t>82+pvm  +kurjeris</t>
  </si>
  <si>
    <t xml:space="preserve">IDE006432 </t>
  </si>
  <si>
    <t>klaudijus devisor stroginis sarunas lapenas</t>
  </si>
  <si>
    <t>IDE006423</t>
  </si>
  <si>
    <t>Vytautas Žarnauskas</t>
  </si>
  <si>
    <t>36.31+pvm  su montazke</t>
  </si>
  <si>
    <t xml:space="preserve">IDE006424 </t>
  </si>
  <si>
    <t>mykolas maciulis</t>
  </si>
  <si>
    <t>50eur + 20eur montazke + pasauga 15eur</t>
  </si>
  <si>
    <t xml:space="preserve">IDE006557    </t>
  </si>
  <si>
    <t>205/80r16c</t>
  </si>
  <si>
    <t>88.6eur</t>
  </si>
  <si>
    <t xml:space="preserve">IDE006556     </t>
  </si>
  <si>
    <t>73.74eur</t>
  </si>
  <si>
    <t>westlake 612</t>
  </si>
  <si>
    <t>rimas megelisnkas</t>
  </si>
  <si>
    <t>49.5eur</t>
  </si>
  <si>
    <t xml:space="preserve">IDE006420      </t>
  </si>
  <si>
    <t>rimas megelinskas pietu megrame</t>
  </si>
  <si>
    <t>Eitvydas Lubys m.latvaitis@limgroup.lt</t>
  </si>
  <si>
    <t xml:space="preserve">IDE006436 </t>
  </si>
  <si>
    <t>mak ratai r20</t>
  </si>
  <si>
    <t>Eitvydas Lubys &lt;e.lubys@fokusgroup.lt sask lim group</t>
  </si>
  <si>
    <t>365eur + kurjeris</t>
  </si>
  <si>
    <t>davikliai shrader DK-S2A116</t>
  </si>
  <si>
    <t>darius grigaravicius</t>
  </si>
  <si>
    <t>uzdejoia nt ratu</t>
  </si>
  <si>
    <t xml:space="preserve">IDE006549 </t>
  </si>
  <si>
    <t>valera paukstynas elektrikas</t>
  </si>
  <si>
    <t>56.5eur</t>
  </si>
  <si>
    <t xml:space="preserve">IDE006527   </t>
  </si>
  <si>
    <t>tomas grebliauskas conresta</t>
  </si>
  <si>
    <t>IDE006642</t>
  </si>
  <si>
    <t>conti ts860</t>
  </si>
  <si>
    <t>59eur reik issiust kazkur</t>
  </si>
  <si>
    <t>setaltas uab henrikas</t>
  </si>
  <si>
    <t xml:space="preserve">IDE006425  </t>
  </si>
  <si>
    <t>kolegai atiduota</t>
  </si>
  <si>
    <t>hankook w452</t>
  </si>
  <si>
    <t>43.64eur montazke llj324</t>
  </si>
  <si>
    <t xml:space="preserve">IDE006465 </t>
  </si>
  <si>
    <t>159+pvm</t>
  </si>
  <si>
    <t>kaladziu keitimas</t>
  </si>
  <si>
    <t>DF4558 2vnt po 26eur</t>
  </si>
  <si>
    <t>simona backiene alenas backis</t>
  </si>
  <si>
    <t>FDB4058 30eur</t>
  </si>
  <si>
    <t>padangu montazke ir pasagua</t>
  </si>
  <si>
    <t xml:space="preserve">IDE006661 </t>
  </si>
  <si>
    <t>GIC326</t>
  </si>
  <si>
    <t>alenas backis</t>
  </si>
  <si>
    <t>13.0470-4833.2 ate 104eur</t>
  </si>
  <si>
    <t>IDE006661</t>
  </si>
  <si>
    <t>rolandas kelpsa</t>
  </si>
  <si>
    <t>michelin x-ice snow</t>
  </si>
  <si>
    <t>Tomas Raciunas Mykolas Raciunas</t>
  </si>
  <si>
    <t xml:space="preserve">IDE006443  </t>
  </si>
  <si>
    <t>fulda cristallcontrol suv</t>
  </si>
  <si>
    <t>mindaugas latvaitis limgroup</t>
  </si>
  <si>
    <t>107.5eur su montazke</t>
  </si>
  <si>
    <t xml:space="preserve">IDE006470    </t>
  </si>
  <si>
    <t>nexen winguard sport 2</t>
  </si>
  <si>
    <t>ĮI "Ernust" Mykolas Raciunas</t>
  </si>
  <si>
    <t>po 86eur</t>
  </si>
  <si>
    <t>IDE006437 sumoketa</t>
  </si>
  <si>
    <t>montazke 15eur</t>
  </si>
  <si>
    <t>IDE006467 sumoketa</t>
  </si>
  <si>
    <t>simonas murauskas</t>
  </si>
  <si>
    <t xml:space="preserve">IDE006472        </t>
  </si>
  <si>
    <t>rasa mickeviciute julius navagrudskas</t>
  </si>
  <si>
    <t>IDE006524</t>
  </si>
  <si>
    <t>Integritas sask uz montazke antra</t>
  </si>
  <si>
    <t xml:space="preserve">IDE006442  </t>
  </si>
  <si>
    <t>sailun minksta</t>
  </si>
  <si>
    <t>arunas daruna</t>
  </si>
  <si>
    <t>kurjeris 5eur po 44eur</t>
  </si>
  <si>
    <t xml:space="preserve">IDE006460  </t>
  </si>
  <si>
    <t>arunas alterna</t>
  </si>
  <si>
    <t xml:space="preserve">IDE006444   </t>
  </si>
  <si>
    <t>45408 (FEBI BILSTEIN) 10eur</t>
  </si>
  <si>
    <t xml:space="preserve">Laurynas NAV </t>
  </si>
  <si>
    <t>kelimo taskas</t>
  </si>
  <si>
    <t>Julius Silinskas Mykolas Raciunas</t>
  </si>
  <si>
    <t>po 49eur</t>
  </si>
  <si>
    <t>IDE006449 sumoketa i seb</t>
  </si>
  <si>
    <t>evaldas prizginas</t>
  </si>
  <si>
    <t>airbog sask uz tiguan montazke (tik balansas ir uzdejimas ant ratu)</t>
  </si>
  <si>
    <t>reik slapuku</t>
  </si>
  <si>
    <t xml:space="preserve">IDE006640  </t>
  </si>
  <si>
    <t xml:space="preserve">micha pilot sport 5 </t>
  </si>
  <si>
    <t>322eur montazke</t>
  </si>
  <si>
    <t xml:space="preserve">IDE006504 </t>
  </si>
  <si>
    <t>320eur</t>
  </si>
  <si>
    <t>rastafkes su varztais 122eur</t>
  </si>
  <si>
    <t>china ratai r21</t>
  </si>
  <si>
    <t xml:space="preserve">IDE006660 </t>
  </si>
  <si>
    <t>china ratai kazkurie? r20</t>
  </si>
  <si>
    <t>5x130 R20x9.5 ET47 71.6 BK5351 MB + PC</t>
  </si>
  <si>
    <t>benas diverus</t>
  </si>
  <si>
    <t>95eur +montazke</t>
  </si>
  <si>
    <t xml:space="preserve">IDE006462      </t>
  </si>
  <si>
    <t>toyo</t>
  </si>
  <si>
    <t>audrius krukonis</t>
  </si>
  <si>
    <t>Gytis Malinauskas &lt;gytis.malinauskas@gmail.com</t>
  </si>
  <si>
    <t>155eur su draudimas</t>
  </si>
  <si>
    <t>225/55r19</t>
  </si>
  <si>
    <t>toyo s954</t>
  </si>
  <si>
    <t>klaudijus stroginis devisor  lyh392  Jonas</t>
  </si>
  <si>
    <t>135eur + montazke</t>
  </si>
  <si>
    <t xml:space="preserve">IDE006478    </t>
  </si>
  <si>
    <t>norbertas norbe</t>
  </si>
  <si>
    <t xml:space="preserve">IDE006446         </t>
  </si>
  <si>
    <t>MMT RAW 044 8eur</t>
  </si>
  <si>
    <t>laura kondrataviciene rimako</t>
  </si>
  <si>
    <t>SAILUN ICE BLAZER ARCTIC</t>
  </si>
  <si>
    <t>REMIGIJUS ZABORAS Mykolas Raciunas</t>
  </si>
  <si>
    <t>po 72,23 + kurjeris, moka per paysera</t>
  </si>
  <si>
    <t>Viso sask: 297,68eur</t>
  </si>
  <si>
    <t>IDE006450</t>
  </si>
  <si>
    <t>mantas serbintas colibri</t>
  </si>
  <si>
    <t>111eur +montazke</t>
  </si>
  <si>
    <t>falken hs01 rft</t>
  </si>
  <si>
    <t>218eur  montazke</t>
  </si>
  <si>
    <t xml:space="preserve">IDE006530 </t>
  </si>
  <si>
    <t>265eur</t>
  </si>
  <si>
    <t>agnius ex nav +37062488963 AGNIUS MARCINKEVIČIUS</t>
  </si>
  <si>
    <t>98eur 420 su montazke</t>
  </si>
  <si>
    <t>montazke 304675770 virdzinija.valen@gmail.com</t>
  </si>
  <si>
    <t xml:space="preserve">IDE006490   </t>
  </si>
  <si>
    <t>Gy perf g1</t>
  </si>
  <si>
    <t>giedrius frankas</t>
  </si>
  <si>
    <t>124+montazke</t>
  </si>
  <si>
    <t xml:space="preserve">IDE006598 </t>
  </si>
  <si>
    <t>nokian snowproof</t>
  </si>
  <si>
    <t xml:space="preserve">IDE006491 </t>
  </si>
  <si>
    <t>headway</t>
  </si>
  <si>
    <t>tadas mirono brolis lechovicius</t>
  </si>
  <si>
    <t>sumokejo 200</t>
  </si>
  <si>
    <t>300eur su montazke?</t>
  </si>
  <si>
    <t xml:space="preserve">IDE006451    </t>
  </si>
  <si>
    <t>goodyear ug perf suv SCT</t>
  </si>
  <si>
    <t>Tomas Barkauskas &lt;tomas.barkauskas79@gmail.com</t>
  </si>
  <si>
    <t>tomas peciura</t>
  </si>
  <si>
    <t xml:space="preserve">IDE006469   </t>
  </si>
  <si>
    <t>domas raskevicius Tautvydas Pažūsis</t>
  </si>
  <si>
    <t>47eur+montazke</t>
  </si>
  <si>
    <t xml:space="preserve">IDE006453  </t>
  </si>
  <si>
    <t>martynas gediminas tygelis</t>
  </si>
  <si>
    <t>gediminas kaupys Gintautas Burčikas</t>
  </si>
  <si>
    <t>kurjeris i kaima</t>
  </si>
  <si>
    <t>103.5eur+pvm</t>
  </si>
  <si>
    <t xml:space="preserve">IDE006518 </t>
  </si>
  <si>
    <t>jarumbavicius@gmail.com</t>
  </si>
  <si>
    <t>861413435   66eur</t>
  </si>
  <si>
    <t>117.3+pvm</t>
  </si>
  <si>
    <t xml:space="preserve">IDE006489   </t>
  </si>
  <si>
    <t>Goodyear ug performance 2</t>
  </si>
  <si>
    <t>VŠĮ ŠEIKO ŠOKIO TEATRAS Mykolas Raciunas</t>
  </si>
  <si>
    <t>po 92,31eur + venipak, mokejimas COD</t>
  </si>
  <si>
    <t>Viso: 193,96eur</t>
  </si>
  <si>
    <t xml:space="preserve">IDE006475   </t>
  </si>
  <si>
    <t>61eur</t>
  </si>
  <si>
    <t>valera paukstynas</t>
  </si>
  <si>
    <t>77eur su draudimu</t>
  </si>
  <si>
    <t>pirelli scorpion winter</t>
  </si>
  <si>
    <t>vytautas bikinas &lt;vytautas.bikinas@gmail.com</t>
  </si>
  <si>
    <t xml:space="preserve">IDE006454   </t>
  </si>
  <si>
    <t>AK-LFP9 Su siuntimu 60,30eur</t>
  </si>
  <si>
    <t>ALGIS PETRIKAS Mykolas Raciunas</t>
  </si>
  <si>
    <t>Sumoketa i paysera</t>
  </si>
  <si>
    <t>IDE006455</t>
  </si>
  <si>
    <t>IDE006525</t>
  </si>
  <si>
    <t>aez panama ratai</t>
  </si>
  <si>
    <t>rastafkes 2vnt ir varztai 10vnt</t>
  </si>
  <si>
    <t>montazke visko ir pasauga?</t>
  </si>
  <si>
    <t>taurus winter xl</t>
  </si>
  <si>
    <t>39.3eur</t>
  </si>
  <si>
    <t xml:space="preserve">IDE006556   </t>
  </si>
  <si>
    <t>paulius balciunas montazke civic ir toyota celica</t>
  </si>
  <si>
    <t>dave 100eur</t>
  </si>
  <si>
    <t>3langu skyscio sumokejo 7.50eur</t>
  </si>
  <si>
    <t xml:space="preserve">IDE006473  </t>
  </si>
  <si>
    <t>sailun alpine+</t>
  </si>
  <si>
    <t>59eur+montazke 24eur</t>
  </si>
  <si>
    <t>sumokejo 260eur</t>
  </si>
  <si>
    <t>michelin alpin 5 suv</t>
  </si>
  <si>
    <t>karolis seskas sms 861340243</t>
  </si>
  <si>
    <t>183eur su montazke</t>
  </si>
  <si>
    <t xml:space="preserve">IDE006476  </t>
  </si>
  <si>
    <t>aleksandras conresta 67eur 860700338</t>
  </si>
  <si>
    <t>186485484 sask su montazke be eiles</t>
  </si>
  <si>
    <t xml:space="preserve">IDE006477 </t>
  </si>
  <si>
    <t>klaudijus devisor stroginis vytautas.dovydaitis@gmail.com</t>
  </si>
  <si>
    <t>Monika Šipelytė Mindaugas &lt;staniunas.m@gmail.com</t>
  </si>
  <si>
    <t>IDE006471       su montazke</t>
  </si>
  <si>
    <t>royalblack winter</t>
  </si>
  <si>
    <t xml:space="preserve">IDE006510  </t>
  </si>
  <si>
    <t>vaidotas kareckas</t>
  </si>
  <si>
    <t>123eur</t>
  </si>
  <si>
    <t>montazke 25eur + 2 langu skystis</t>
  </si>
  <si>
    <t>sumokejo 521eur</t>
  </si>
  <si>
    <t>goodyear ug 9+ xl</t>
  </si>
  <si>
    <t>93eur</t>
  </si>
  <si>
    <t>marius survilas beerware@gmail.com</t>
  </si>
  <si>
    <t>85eur + montazke/balansas po 2ratus</t>
  </si>
  <si>
    <t>190eur sumokejo</t>
  </si>
  <si>
    <t>debica frigo hp 2</t>
  </si>
  <si>
    <t>Saulius Baltrusaitis Mykolas Raciunas</t>
  </si>
  <si>
    <t>po 79,04 + VeniPak, viso: 324,92eur sumoketa per paysera</t>
  </si>
  <si>
    <t>IDE006474</t>
  </si>
  <si>
    <t>DS-AC-TTDZUKA40</t>
  </si>
  <si>
    <t>5115+4070160065 Disks Dezent TD Dark</t>
  </si>
  <si>
    <t>LYGAUDAS SAVICKAS Mykolas Raciunas 863985865</t>
  </si>
  <si>
    <t>po 77,97eur. Viso: 155,94eur</t>
  </si>
  <si>
    <t>Sumokejo cash</t>
  </si>
  <si>
    <t>sailun nw211</t>
  </si>
  <si>
    <t>ricardas pocius</t>
  </si>
  <si>
    <t xml:space="preserve">IDE006509   </t>
  </si>
  <si>
    <t>ignas jaskelevicius</t>
  </si>
  <si>
    <t xml:space="preserve">IDE006483      </t>
  </si>
  <si>
    <t>firestone winterhawk 4</t>
  </si>
  <si>
    <t>lonnie jensen</t>
  </si>
  <si>
    <t>kurjer</t>
  </si>
  <si>
    <t>IDE006536</t>
  </si>
  <si>
    <t>53eur</t>
  </si>
  <si>
    <t xml:space="preserve">185/65r15 </t>
  </si>
  <si>
    <t>hankook  xl</t>
  </si>
  <si>
    <t xml:space="preserve">IDE006556 </t>
  </si>
  <si>
    <t>egis nav</t>
  </si>
  <si>
    <t>langu skystis 4x3</t>
  </si>
  <si>
    <t xml:space="preserve">IDE006569 </t>
  </si>
  <si>
    <t xml:space="preserve">IDE006493    </t>
  </si>
  <si>
    <t>sunny nw631</t>
  </si>
  <si>
    <t>darius geguzis su kurjeriu i kaima</t>
  </si>
  <si>
    <t xml:space="preserve">IDE006555   </t>
  </si>
  <si>
    <t xml:space="preserve">laurynas suvedimas skoda </t>
  </si>
  <si>
    <t>5+1L 0w30 eco-nergy</t>
  </si>
  <si>
    <t>hankook w320</t>
  </si>
  <si>
    <t>goodyear ug8</t>
  </si>
  <si>
    <t xml:space="preserve">IDE006488  </t>
  </si>
  <si>
    <t>donatas jucius montazke cayene su pasauga 2020-11-11</t>
  </si>
  <si>
    <t>5120+4074200100 Disks MAK Rapp M-Titan</t>
  </si>
  <si>
    <t>286eur</t>
  </si>
  <si>
    <t>5120+3774200110 Disks MAK Rapp-D M-Titan</t>
  </si>
  <si>
    <t>300eur</t>
  </si>
  <si>
    <t>goodyear ug g1</t>
  </si>
  <si>
    <t xml:space="preserve">IDE006554  </t>
  </si>
  <si>
    <t xml:space="preserve">225/55r17 </t>
  </si>
  <si>
    <t>goodyear ug perf+ xl</t>
  </si>
  <si>
    <t xml:space="preserve">IDE006502    </t>
  </si>
  <si>
    <t>andrius ramonas su montazke be eiles</t>
  </si>
  <si>
    <t xml:space="preserve">IDE006479       </t>
  </si>
  <si>
    <t>algimantas radzevicius</t>
  </si>
  <si>
    <t>sumokejo uz montazke tik</t>
  </si>
  <si>
    <t xml:space="preserve">IDE006565   </t>
  </si>
  <si>
    <t>goodride sl369</t>
  </si>
  <si>
    <t>Audrius Trumpickas Mykolas Raciunas</t>
  </si>
  <si>
    <t>IDE006481</t>
  </si>
  <si>
    <t>goodyear ug perf suv g1</t>
  </si>
  <si>
    <t>Mantas Rainys</t>
  </si>
  <si>
    <t xml:space="preserve">IDE006482  </t>
  </si>
  <si>
    <t>ratlankiai  mak 4vnt</t>
  </si>
  <si>
    <t>davikliai 4vnt</t>
  </si>
  <si>
    <t>palete langu skyscio 160vnt</t>
  </si>
  <si>
    <t>IDE006513</t>
  </si>
  <si>
    <t>sunny ziema</t>
  </si>
  <si>
    <t>martynas bagazines kaimynas</t>
  </si>
  <si>
    <t>montazke dvieju skardu irketiimas</t>
  </si>
  <si>
    <t xml:space="preserve">IDE006484    </t>
  </si>
  <si>
    <t>hankook w429</t>
  </si>
  <si>
    <t>marijus kebla    varta d59    sask inebara</t>
  </si>
  <si>
    <t xml:space="preserve">IDE006493  </t>
  </si>
  <si>
    <t>sunny sn3830</t>
  </si>
  <si>
    <t xml:space="preserve">daiva@extreme-sports.lt aidas bubinas daiva </t>
  </si>
  <si>
    <t>52eur montazke 304887677  23 montazke</t>
  </si>
  <si>
    <t>IDE006553</t>
  </si>
  <si>
    <t>aidas bubinas</t>
  </si>
  <si>
    <t>3 397 008 713 5eur</t>
  </si>
  <si>
    <t>sumokejo 28eur</t>
  </si>
  <si>
    <t>robertas vysockis  868770006</t>
  </si>
  <si>
    <t>42eur montazke 13-15 ?</t>
  </si>
  <si>
    <t>tomas naruskevic vytis juozapavicius</t>
  </si>
  <si>
    <t>32eur  montazke</t>
  </si>
  <si>
    <t>IDE006599</t>
  </si>
  <si>
    <t xml:space="preserve">tomas naruskevic </t>
  </si>
  <si>
    <t>montazke ir pasauga ant seno passat</t>
  </si>
  <si>
    <t>montazke 2021-03-30</t>
  </si>
  <si>
    <t>arturas zakroiskis citroen kablukas pilna montazke nemokejo, be eiles, 2020-11men</t>
  </si>
  <si>
    <t>1 langu skyscio 1,90eur</t>
  </si>
  <si>
    <t>tepalas is backos 9L 50,4eur</t>
  </si>
  <si>
    <t xml:space="preserve">Mykolas Raciunas </t>
  </si>
  <si>
    <t>3 397 004 772 4,30eur</t>
  </si>
  <si>
    <t>3 397 001 909 16,20eur</t>
  </si>
  <si>
    <t>1 457 429 619 3,20eur</t>
  </si>
  <si>
    <t>lao93 17,80eur</t>
  </si>
  <si>
    <t>KL147D 10,85eur</t>
  </si>
  <si>
    <t>1 457 433 046 7,60eur</t>
  </si>
  <si>
    <t>lao31 16,46eur</t>
  </si>
  <si>
    <t>1 457 429 870 5,30eur</t>
  </si>
  <si>
    <t>3 397 001 583 16,50eur</t>
  </si>
  <si>
    <t>CT1028WP7 115eur</t>
  </si>
  <si>
    <t>4PK841 3,73eur</t>
  </si>
  <si>
    <t>Mykolas Raciunas priksiu veliau, pries keitima</t>
  </si>
  <si>
    <t>5PK1432K1 71,89eur</t>
  </si>
  <si>
    <t>TX 15 87D 8,80eur</t>
  </si>
  <si>
    <t>6504-04-0019312Q 28,57eur</t>
  </si>
  <si>
    <t>5511-00-0019220P 38,32eur</t>
  </si>
  <si>
    <t>6502-07-0019996P 6,20eur</t>
  </si>
  <si>
    <t>ROM C70204 10,22eur</t>
  </si>
  <si>
    <t>devisor klaudijus stroginis vaidas2@patogusnamai.lt</t>
  </si>
  <si>
    <t>41.5eur</t>
  </si>
  <si>
    <t>195eur sumoketa</t>
  </si>
  <si>
    <t>861718320 edvardas po 43eur + montazke 25eur + 1langu skyscio</t>
  </si>
  <si>
    <t>199.50eur sumokejo</t>
  </si>
  <si>
    <t>gislaved xl</t>
  </si>
  <si>
    <t>52eur ir montazel</t>
  </si>
  <si>
    <t xml:space="preserve">IDE006563  </t>
  </si>
  <si>
    <t>gintaras grigaravicius</t>
  </si>
  <si>
    <t xml:space="preserve">52eur ir montazel IDE006547 </t>
  </si>
  <si>
    <t>ir zapaskepaskolinta</t>
  </si>
  <si>
    <t>rimas megelinskas</t>
  </si>
  <si>
    <t>IDE006630</t>
  </si>
  <si>
    <t>romas kyklys nav</t>
  </si>
  <si>
    <t>IDE006568</t>
  </si>
  <si>
    <t>marijus kebla audi a4 melyna</t>
  </si>
  <si>
    <t>79eur +montazke</t>
  </si>
  <si>
    <t>IDE006498</t>
  </si>
  <si>
    <t>108su pvm</t>
  </si>
  <si>
    <t xml:space="preserve">IDE006503  </t>
  </si>
  <si>
    <t>sask uz 2montazkes po 25eur+PVM</t>
  </si>
  <si>
    <t>uab betono laiptai jaguar ir renault master info@betonolaiptai.lt</t>
  </si>
  <si>
    <t>IDE006500</t>
  </si>
  <si>
    <t>tomas sneidaraitis</t>
  </si>
  <si>
    <t xml:space="preserve">IDE006517   </t>
  </si>
  <si>
    <t>rieses seimos klinika laima puidokiene</t>
  </si>
  <si>
    <t>244eur+1langu skystis uz 2eur</t>
  </si>
  <si>
    <t xml:space="preserve">IDE006508 </t>
  </si>
  <si>
    <t>Linas Gylys Mykolas Raciunas</t>
  </si>
  <si>
    <t>105eur su siuntimu</t>
  </si>
  <si>
    <t>IDE006501 apmoketa i seb.</t>
  </si>
  <si>
    <t>tomas patalavicius 110+pvm</t>
  </si>
  <si>
    <t>montazke + pasauga</t>
  </si>
  <si>
    <t>IDE006533</t>
  </si>
  <si>
    <t>235/55R18</t>
  </si>
  <si>
    <t>GY UG perf g1</t>
  </si>
  <si>
    <t>audrius plionkes</t>
  </si>
  <si>
    <t xml:space="preserve">IDE006507 </t>
  </si>
  <si>
    <t>varta d24 kristijonas plioplys 58.35eur  kristis</t>
  </si>
  <si>
    <t>perbalansavimas ir pasauga, 1 rato permontavimas, leido ora per ventili</t>
  </si>
  <si>
    <t>normantas paliokas normantas</t>
  </si>
  <si>
    <t>ad blue 10l</t>
  </si>
  <si>
    <t>priority 2023-11 skola sudengt reik su padangom?</t>
  </si>
  <si>
    <t>langu skystis 3 bakeliai</t>
  </si>
  <si>
    <t>normantas paliokas</t>
  </si>
  <si>
    <t>raimundas sakalauskas</t>
  </si>
  <si>
    <t>yoko v905</t>
  </si>
  <si>
    <t>120? su montazke</t>
  </si>
  <si>
    <t>IDE006523</t>
  </si>
  <si>
    <t>marijus kebla volvo t8 233eur</t>
  </si>
  <si>
    <t>montazke inebara</t>
  </si>
  <si>
    <t>AAB503411  227.25eur stokker</t>
  </si>
  <si>
    <t>tuo paciu kompo plasmase keiciau,zvakes tikrinau ir pasauga</t>
  </si>
  <si>
    <t xml:space="preserve">m5 zieminiu padangu montazke </t>
  </si>
  <si>
    <t>0 450 906 429 20eur</t>
  </si>
  <si>
    <t>1457433046 10eur</t>
  </si>
  <si>
    <t>audi a4 b7 2.0tdi 125kw Q giedrius krukonis</t>
  </si>
  <si>
    <t>LAO93 20eur</t>
  </si>
  <si>
    <t>5902-01-0005P 2vnt. po 10eur</t>
  </si>
  <si>
    <t>tepalas is backos 4,3L  38eur</t>
  </si>
  <si>
    <t xml:space="preserve">audi a4 b7 2.0tdi 125kw Q </t>
  </si>
  <si>
    <t>8004216 10eur</t>
  </si>
  <si>
    <t>gal. amortiku apsaugu keitimas abieju  40eur</t>
  </si>
  <si>
    <t>tepalu ir filtru keitimas 30eur</t>
  </si>
  <si>
    <t>audi a4 b7 2.0tdi 125kw Q</t>
  </si>
  <si>
    <t>900 103  20eur</t>
  </si>
  <si>
    <t>1 rato permontavimas, ventilio pakeitimas ir visko nusveitimas, buvo tuscia</t>
  </si>
  <si>
    <t>ratu balansas ir uzdejimas ant auto  15eur</t>
  </si>
  <si>
    <t>antifryzo ir vairo stiprintuvo skysciu dapylimas nuo min iki max.</t>
  </si>
  <si>
    <t>5eur</t>
  </si>
  <si>
    <t>numeriu apsvietimo lempuciu pakeitimas + 2vnt. lempuciu osram.</t>
  </si>
  <si>
    <t>10eur</t>
  </si>
  <si>
    <t>skola 193eur, sumokejo</t>
  </si>
  <si>
    <t>8l tepalo 0w40 motul</t>
  </si>
  <si>
    <t>deividas vileniskis</t>
  </si>
  <si>
    <t>labai sunkiai keiciasi salono filtras apie 40min uztrukom...</t>
  </si>
  <si>
    <t xml:space="preserve">IDE006525  </t>
  </si>
  <si>
    <t>HU 7025 z  10eur</t>
  </si>
  <si>
    <t>C 21 020  20eur x2</t>
  </si>
  <si>
    <t>FP 26 023  40eur</t>
  </si>
  <si>
    <t>CU 25 002 8.70eur savi</t>
  </si>
  <si>
    <t>S90-2-15-017-B 90eursavik</t>
  </si>
  <si>
    <t>TYC 337-0142-3  15eur</t>
  </si>
  <si>
    <t>JTS483 x2 po 15eur stabilnikai</t>
  </si>
  <si>
    <t>skoda octavia 1.9tdi 77kw 2004-10-08</t>
  </si>
  <si>
    <t>994414 2vnt. po 29eur</t>
  </si>
  <si>
    <t>993043 2vnt. po 33eur</t>
  </si>
  <si>
    <t>desines puses veidrodelio posukio keitimas 10eur</t>
  </si>
  <si>
    <t>3177001 2vnt. po  20eur atraminiai</t>
  </si>
  <si>
    <t>visu spyruokliu keitimas 80eur</t>
  </si>
  <si>
    <t>pr. atraminiu keitimas</t>
  </si>
  <si>
    <t>stabilizatoriu keitimas abieju pusiu 20eur</t>
  </si>
  <si>
    <t>agnius nav</t>
  </si>
  <si>
    <t xml:space="preserve">IDE006516 </t>
  </si>
  <si>
    <t>zapaskes montazke ir uzdejimas</t>
  </si>
  <si>
    <t>tomas mingela  interlux sask multivan</t>
  </si>
  <si>
    <t>225/75r16c</t>
  </si>
  <si>
    <t>paxaro winter</t>
  </si>
  <si>
    <t>agnius nav autoenergija  96.18eur</t>
  </si>
  <si>
    <t>IDE006516</t>
  </si>
  <si>
    <t>215/65R16C</t>
  </si>
  <si>
    <t>Maxxis MCV3+</t>
  </si>
  <si>
    <t>Arturas Busmanas Mykolas Raciunas</t>
  </si>
  <si>
    <t>po 69eur + siuntimas 9,34</t>
  </si>
  <si>
    <t>IDE006519 sumoketa.</t>
  </si>
  <si>
    <t>Nerijus Stasiūnas &lt;info@asatransport.lt su montz?</t>
  </si>
  <si>
    <t>IDE006522</t>
  </si>
  <si>
    <t>185/70r14</t>
  </si>
  <si>
    <t>175 su pvm baltic amadeus</t>
  </si>
  <si>
    <t xml:space="preserve">IDE006520  </t>
  </si>
  <si>
    <t>dunlop 4d no</t>
  </si>
  <si>
    <t>tomas mingela porsche macan jug922</t>
  </si>
  <si>
    <t>montazke + 1 padangos pasauga</t>
  </si>
  <si>
    <t xml:space="preserve">       </t>
  </si>
  <si>
    <t>audrius lapragma galileo aurimas@eidziunas.com</t>
  </si>
  <si>
    <t xml:space="preserve">IDE006531   </t>
  </si>
  <si>
    <t>Edgaras Luscikas 860703170</t>
  </si>
  <si>
    <t>po 67eur + montazke 25eur + sniuro idejimas 4eur</t>
  </si>
  <si>
    <t>sumokejo 163eur</t>
  </si>
  <si>
    <t>akumo pakrovejas 142eur</t>
  </si>
  <si>
    <t>gripmaxx stature</t>
  </si>
  <si>
    <t>94eur montazke</t>
  </si>
  <si>
    <t>ak-lfp7</t>
  </si>
  <si>
    <t>miroslav zemaitis Mykolas Raciunas 867619649</t>
  </si>
  <si>
    <t>42.38eur</t>
  </si>
  <si>
    <t>sumokejo 42eur cash IDE006546</t>
  </si>
  <si>
    <t>F 026 407 023   5eur</t>
  </si>
  <si>
    <t>1 457 070 008 14eur</t>
  </si>
  <si>
    <t>dave 151eur</t>
  </si>
  <si>
    <t>rimas audra kuliesius vw caddy 2013 1,6tdi 75kw</t>
  </si>
  <si>
    <t>tepalas is backos 5.2L + 1L  50eur</t>
  </si>
  <si>
    <t>montazke + pasauga  20+15</t>
  </si>
  <si>
    <t>tepalu ir filtru keitimas 20eur</t>
  </si>
  <si>
    <t>1 457 429 192 5eur</t>
  </si>
  <si>
    <t>F 026 400 172 12eur</t>
  </si>
  <si>
    <t>alyvos keitimas</t>
  </si>
  <si>
    <t>Seat Leon 2,0tdi 100kw 2007m. valdoska valdas riese</t>
  </si>
  <si>
    <t>1 457 070 008 15eur</t>
  </si>
  <si>
    <t>FP 2939  16eur</t>
  </si>
  <si>
    <t xml:space="preserve">IDE006651 </t>
  </si>
  <si>
    <t>102051 (MOTUL) 39eur</t>
  </si>
  <si>
    <t>6PK1050 10eur</t>
  </si>
  <si>
    <t>3 397 004 595 7.5eur</t>
  </si>
  <si>
    <t>CT1051WP2 107eur savi</t>
  </si>
  <si>
    <t>3 397 007 099 25eur</t>
  </si>
  <si>
    <t>w5w lempute 2vnt. po 0.3eur savi</t>
  </si>
  <si>
    <t>7506-02B 2vnt. po 0.75eur savi</t>
  </si>
  <si>
    <t>SS20034  20eur</t>
  </si>
  <si>
    <t>1601-01-9993E  14.5eur</t>
  </si>
  <si>
    <t>abs daviklio varzto isgrezimas 10eur</t>
  </si>
  <si>
    <t>dirzu keitimas 120+pvm su viskuo</t>
  </si>
  <si>
    <t>itempejo sriegio remontas (bloke)</t>
  </si>
  <si>
    <t>sea vs311.01 1vnt. panaudotas 2.50eur savi  9.27saskmatau ?</t>
  </si>
  <si>
    <t>eddie lam pakuotes centras</t>
  </si>
  <si>
    <t>IDE006541   su montazke</t>
  </si>
  <si>
    <t>LA288 2vnt. po 12,90eur savi</t>
  </si>
  <si>
    <t>C 25 146 (MANN-FILTER) 7,50eur savi</t>
  </si>
  <si>
    <t>Arunas Gliaudelis GL Range Rover P38 2,5TD 100kw</t>
  </si>
  <si>
    <t>1 457 434 187 12,40eur savi</t>
  </si>
  <si>
    <t>GN909 (BERU) 6vnt. po 6.90eur savi</t>
  </si>
  <si>
    <t>HU 848/1 X 6,30eur savi</t>
  </si>
  <si>
    <t>dave uz roveri dabar 150</t>
  </si>
  <si>
    <t>102870 (MOTUL) 2x5L po 26,30eur savi</t>
  </si>
  <si>
    <t>arunas gliaudelis gl</t>
  </si>
  <si>
    <t>keitimo darbai roverio  30eur</t>
  </si>
  <si>
    <t>justas klimavicius alwark</t>
  </si>
  <si>
    <t xml:space="preserve">IDE006545      </t>
  </si>
  <si>
    <t>169eur ir montazke 2ratu.</t>
  </si>
  <si>
    <t>toyo ice freeze</t>
  </si>
  <si>
    <t xml:space="preserve">IDE006544 </t>
  </si>
  <si>
    <t>https://rekvizitai.vz.lt/imone/mindmerit/</t>
  </si>
  <si>
    <t>ginataras grigaravicius</t>
  </si>
  <si>
    <t>37eur ir montazke be masinos</t>
  </si>
  <si>
    <t>IDE006547</t>
  </si>
  <si>
    <t>100/80-17</t>
  </si>
  <si>
    <t>pirelli angel city 52S</t>
  </si>
  <si>
    <t>Rytis Kiskiunas is fb Mykolas Raciunas</t>
  </si>
  <si>
    <t>1008017 OMPI 52S ACTF 56€</t>
  </si>
  <si>
    <t>Sumokejo 118€</t>
  </si>
  <si>
    <t>130/70-17</t>
  </si>
  <si>
    <t>pirelli angel city 62S</t>
  </si>
  <si>
    <t>1307017 OMPI 62S ACTR 62€</t>
  </si>
  <si>
    <t>1 457 429 249 7eur</t>
  </si>
  <si>
    <t>F 026 400 109 12eur</t>
  </si>
  <si>
    <t>Ford S-Max 2008 2.0tdi 103kw</t>
  </si>
  <si>
    <t>FP 2559 18eur</t>
  </si>
  <si>
    <t>110eur sumoketa</t>
  </si>
  <si>
    <t>34336 01 8eur</t>
  </si>
  <si>
    <t>34001 01 21eur</t>
  </si>
  <si>
    <t>tepalu ir filtru keitimas 25eur</t>
  </si>
  <si>
    <t>vairo traukes keitimas 20eur</t>
  </si>
  <si>
    <t>IDE006643</t>
  </si>
  <si>
    <t>102870 (MOTUL) 5L 31eur</t>
  </si>
  <si>
    <t>W 712/75 4eur</t>
  </si>
  <si>
    <t>Marek Stefanovic Opel Zafira A 2004m 1,8 92kw</t>
  </si>
  <si>
    <t>LAK74 12eur</t>
  </si>
  <si>
    <t>exide ek700  114eur</t>
  </si>
  <si>
    <t>39.5eur</t>
  </si>
  <si>
    <t>montazke 25eur + 1langu skyscio</t>
  </si>
  <si>
    <t>sumokejo 185eur</t>
  </si>
  <si>
    <t xml:space="preserve">235/55r19 </t>
  </si>
  <si>
    <t xml:space="preserve">michelin pilot alpin 5 </t>
  </si>
  <si>
    <t>Rimantas Markevicius uab profmeta mykolas raciunas</t>
  </si>
  <si>
    <t>po 186eur + montazke 25+pvm.</t>
  </si>
  <si>
    <t>IDE006562 sumokejo</t>
  </si>
  <si>
    <t>HU 8005 Z 10eur</t>
  </si>
  <si>
    <t xml:space="preserve">Tepalu ir filtru keitimas, </t>
  </si>
  <si>
    <t>F 026 400 182 10eur</t>
  </si>
  <si>
    <t>Alenas Backis VW touareg 3tdi 180kw 2012m.</t>
  </si>
  <si>
    <t>F 026 402 855  25eur</t>
  </si>
  <si>
    <t>tepalas is backos 7.7L + 1L atsargai</t>
  </si>
  <si>
    <t>pr. stabd. Kaladeliu keitimas</t>
  </si>
  <si>
    <t>FP 2847/1 20eur</t>
  </si>
  <si>
    <t>Alenas Backis VW touareg 3tdi 180kw 2012m. interlux</t>
  </si>
  <si>
    <t xml:space="preserve">Desines puses lemputes keitimas. Reikejo nuimti bamperi. </t>
  </si>
  <si>
    <t>225/60r16</t>
  </si>
  <si>
    <t>tomas mingela interlux a6 su montazke</t>
  </si>
  <si>
    <t>montazke ir po 52eur</t>
  </si>
  <si>
    <t>205/70r15</t>
  </si>
  <si>
    <t>Aurimas Rasickas : MHM" &lt;aurimas@mhm.lt</t>
  </si>
  <si>
    <t>kurjeris i klp, 75eur padanga</t>
  </si>
  <si>
    <t>IDE006570</t>
  </si>
  <si>
    <t>C 16 005 16eur</t>
  </si>
  <si>
    <t>fp 2641 30eur</t>
  </si>
  <si>
    <t>8100 x-clean+ 5w30 is backos 6.1l reik</t>
  </si>
  <si>
    <t>hu 7012 z 10eur</t>
  </si>
  <si>
    <t>wk6037 20eur</t>
  </si>
  <si>
    <t>IDE006594</t>
  </si>
  <si>
    <t>tomas mingela interlux skoda huv903</t>
  </si>
  <si>
    <t>141eur</t>
  </si>
  <si>
    <t>Alyva X-CESS 5W40 2x5L 56eur</t>
  </si>
  <si>
    <t>1 457 429 263 7eur</t>
  </si>
  <si>
    <t>56eur ir miontazke</t>
  </si>
  <si>
    <t xml:space="preserve">IDE006567 </t>
  </si>
  <si>
    <t>DK-MC-28018SU</t>
  </si>
  <si>
    <t>1langu</t>
  </si>
  <si>
    <t>M14x1.5x26.7mm r13 McGard Saug.varžt.kom.</t>
  </si>
  <si>
    <t>30eur</t>
  </si>
  <si>
    <t>36165 01 11.80+pvm</t>
  </si>
  <si>
    <t>66140 38.20eur savi,  viena tik ???</t>
  </si>
  <si>
    <t>Dovydas Saules elementai bmw x1 e84 20d xdrive 130kw</t>
  </si>
  <si>
    <t>36166 01 11.80eur savi</t>
  </si>
  <si>
    <t>1L dapilta antifryzo</t>
  </si>
  <si>
    <t>IDE006781</t>
  </si>
  <si>
    <t>K13873 (A.B.S.) 10.40eur savi</t>
  </si>
  <si>
    <t>36426 01 10.90eur savi</t>
  </si>
  <si>
    <t>lemputes d1s pakeitimas</t>
  </si>
  <si>
    <t>pr. stabilizatoriaus traukiu keitimas</t>
  </si>
  <si>
    <t>sarnyro presavimas 10eur</t>
  </si>
  <si>
    <t>alyvos ir filtru keitimas</t>
  </si>
  <si>
    <t>tepalas is backos 6.3L</t>
  </si>
  <si>
    <t>F 026 400 119 15,60eur savi</t>
  </si>
  <si>
    <t>1 987 432 424 14,60eur savi</t>
  </si>
  <si>
    <t>F 026 402 106 18,80eur savi</t>
  </si>
  <si>
    <t>F 026 407 072 8,60eur savi</t>
  </si>
  <si>
    <t>pirelli w240</t>
  </si>
  <si>
    <t xml:space="preserve">IDE006652 </t>
  </si>
  <si>
    <t>867137870 is sms</t>
  </si>
  <si>
    <t>sumokejo 305eur</t>
  </si>
  <si>
    <t>paulius balciunas     po57eur</t>
  </si>
  <si>
    <t>keitimas padangu ir tepalu 45eur</t>
  </si>
  <si>
    <t>salono filtras ilgai keiciasi ir sudetingiau, reik akseleratoriaus pedala nuimti...</t>
  </si>
  <si>
    <t>W 7015   6eur</t>
  </si>
  <si>
    <t>C 16 134/2 12eur</t>
  </si>
  <si>
    <t>eco-nergy 5w30 35eur  5L</t>
  </si>
  <si>
    <t>dave 542</t>
  </si>
  <si>
    <t>FP 2440  16eur</t>
  </si>
  <si>
    <t>dave 100eur 2021-01-08</t>
  </si>
  <si>
    <t>dave 300eur 01-14</t>
  </si>
  <si>
    <t>2 ratu perbalansavimas, ju valymas, buvo pastriges smelyje kazkur, vibracija atsiradusi buvo</t>
  </si>
  <si>
    <t>Tomas Mingela NAV Peugeot kablukas jjg313</t>
  </si>
  <si>
    <t>exide 95ah ek950</t>
  </si>
  <si>
    <t>robertas janickas drrobis</t>
  </si>
  <si>
    <t xml:space="preserve">IDE006575  </t>
  </si>
  <si>
    <t>AAB467485   1440eur</t>
  </si>
  <si>
    <t>101.4+pvm</t>
  </si>
  <si>
    <t>IDE006582</t>
  </si>
  <si>
    <t>michelin alpin5</t>
  </si>
  <si>
    <t>donatas siurna kokybiski auto</t>
  </si>
  <si>
    <t>178+montazke</t>
  </si>
  <si>
    <t xml:space="preserve">IDE006580 </t>
  </si>
  <si>
    <t>83192211914 4vnt. po 7,70eur</t>
  </si>
  <si>
    <t>Marius Kebla Bmw 525D 2019m. dyzelis, automatas 170 kw. WBAJN110X0BK39471</t>
  </si>
  <si>
    <t>IDE006711</t>
  </si>
  <si>
    <t xml:space="preserve">FP19004 28eur </t>
  </si>
  <si>
    <t>3 397 118 953 21,80eur valyt</t>
  </si>
  <si>
    <t>Marius Kebla Bmw X4 2.8 xDrive 2015m. benzas USA automatas180 kw 5UXXW3C5XF0M87088</t>
  </si>
  <si>
    <t>montazkes 2x20eur</t>
  </si>
  <si>
    <t>pasauga 3x15eur</t>
  </si>
  <si>
    <t>tri-ace</t>
  </si>
  <si>
    <t>IDE006588</t>
  </si>
  <si>
    <t>fulda 4x4</t>
  </si>
  <si>
    <t xml:space="preserve">IDE006593    </t>
  </si>
  <si>
    <t>Evaldas Maculevicius Mykolas Raciunas</t>
  </si>
  <si>
    <t>po 123eur</t>
  </si>
  <si>
    <t>uz montazke 20eur ir uz lyginimas 25eur dave cash</t>
  </si>
  <si>
    <t xml:space="preserve">IDE006622 </t>
  </si>
  <si>
    <t>FP 2939  14eur</t>
  </si>
  <si>
    <t>F 026 400 172 11eur</t>
  </si>
  <si>
    <t>vw caddy 2015.11 2,0tdi 55kw andrius dviraciai</t>
  </si>
  <si>
    <t>1 457 070 014 16eur</t>
  </si>
  <si>
    <t>tepalas is backos 38eur</t>
  </si>
  <si>
    <t>andrius dviraciai dave 200eur 2021-04-30</t>
  </si>
  <si>
    <t>andrius dviraciai dave 520eur 2020-12-09</t>
  </si>
  <si>
    <t>andrius dviraciai paskolinau jam 20eur</t>
  </si>
  <si>
    <t>420/70R24</t>
  </si>
  <si>
    <t>MALHOTRA MRL FARM MAXX 70</t>
  </si>
  <si>
    <t>290eur</t>
  </si>
  <si>
    <t>IDE006654</t>
  </si>
  <si>
    <t>ak-ta530 51.42eur sumoketa i paysera</t>
  </si>
  <si>
    <t>Egidijus Mazeika Mykolas Raciunas</t>
  </si>
  <si>
    <t xml:space="preserve">IDE006589           </t>
  </si>
  <si>
    <t>genevo one m  650eur</t>
  </si>
  <si>
    <t>IDE006617</t>
  </si>
  <si>
    <t>1 987 432 163 12eur</t>
  </si>
  <si>
    <t>langu skyscio 2.5eur</t>
  </si>
  <si>
    <t>F 026 407 085   5eur</t>
  </si>
  <si>
    <t>Mazda 3 2011m. 2,0 108kw agne kaimyne</t>
  </si>
  <si>
    <t>F 026 400 129 10eur</t>
  </si>
  <si>
    <t>Tepalu ir filtru keitimas 20eur</t>
  </si>
  <si>
    <t>tepalas is backos 5L  40eur</t>
  </si>
  <si>
    <t>714 741 0002 2vnt  30eur</t>
  </si>
  <si>
    <t>343413 2vnt.   50eur</t>
  </si>
  <si>
    <t>Mazda 3 2011m. 2,0 108kw</t>
  </si>
  <si>
    <t>JBJ822 15eur</t>
  </si>
  <si>
    <t>900 064 15eur</t>
  </si>
  <si>
    <t>Langu skyscio bakelio ir varikliuko keitimas 15eur</t>
  </si>
  <si>
    <t>sarnyro keitimas 15eur</t>
  </si>
  <si>
    <t>amortu keitimas 30eur</t>
  </si>
  <si>
    <t>hp600426  6eur</t>
  </si>
  <si>
    <t>Mazda 3 2011m. 2,0 108kw     dave 270eur</t>
  </si>
  <si>
    <t xml:space="preserve">W5W osram lempute (numeriu apsvietimas) 2vnt.  5eur </t>
  </si>
  <si>
    <t>225/55r16</t>
  </si>
  <si>
    <t>Linas Rastenis</t>
  </si>
  <si>
    <t>po 78eur</t>
  </si>
  <si>
    <t>12eur montazke dvieju ratu</t>
  </si>
  <si>
    <t>marius ignatonis</t>
  </si>
  <si>
    <t>exide 95ah</t>
  </si>
  <si>
    <t>paulius mikolaitis paul de miko</t>
  </si>
  <si>
    <t xml:space="preserve">IDE006726           </t>
  </si>
  <si>
    <t>vygantas ragaisis dviraciu salonas dyrikui</t>
  </si>
  <si>
    <t>141+pvm montazke ant ratu</t>
  </si>
  <si>
    <t>IDE006637</t>
  </si>
  <si>
    <t>364eur</t>
  </si>
  <si>
    <t>355eur</t>
  </si>
  <si>
    <t>montazke ir pasauga,2020-12-30</t>
  </si>
  <si>
    <t>900 332 20eur</t>
  </si>
  <si>
    <t>Opel Insignia Sports Tourer SW 2017m. 1,6 Benzas 125kw</t>
  </si>
  <si>
    <t>audrius dronsutavicius</t>
  </si>
  <si>
    <t>gavras spakauskas</t>
  </si>
  <si>
    <t>139eur su montazke</t>
  </si>
  <si>
    <t>IDE006656</t>
  </si>
  <si>
    <t>gislaved ef6 xl</t>
  </si>
  <si>
    <t>valdas simutis &lt;valdas@kovenda.lt</t>
  </si>
  <si>
    <t>IDE006663</t>
  </si>
  <si>
    <t>roadstone dyglys</t>
  </si>
  <si>
    <t>IDE006648</t>
  </si>
  <si>
    <t>montazke fordo</t>
  </si>
  <si>
    <t>po 96eur/vnt. + siuntimas 9eur</t>
  </si>
  <si>
    <t>IDE006623</t>
  </si>
  <si>
    <t>D-POWER 50 5vnt. po 12eur</t>
  </si>
  <si>
    <t>Audi a3 2004 1,9tdi 77kw Liuda Jakubauskiene</t>
  </si>
  <si>
    <t>SEN10018 4vnt. po 10eur</t>
  </si>
  <si>
    <t>A2C59511698 135eur</t>
  </si>
  <si>
    <t>toyo c</t>
  </si>
  <si>
    <t>tomas.kurganas@diverus.com</t>
  </si>
  <si>
    <t>kurjeris ir po 55eur?</t>
  </si>
  <si>
    <t>IDE006631</t>
  </si>
  <si>
    <t>AK-ER550</t>
  </si>
  <si>
    <t>ARTURAS RUNELIS Mykolas Raciunas</t>
  </si>
  <si>
    <t>po 111,87. Viso 233,08eur</t>
  </si>
  <si>
    <t xml:space="preserve">IDE006624           </t>
  </si>
  <si>
    <t>toyo gis6</t>
  </si>
  <si>
    <t>63.65eur kurjeirs</t>
  </si>
  <si>
    <t>jon137</t>
  </si>
  <si>
    <t>2montaz ir visi balans</t>
  </si>
  <si>
    <t>jhk351</t>
  </si>
  <si>
    <t>galiniu ratu montazke ir priekiniu ratu balansas. Naujos i prieki uzdetos</t>
  </si>
  <si>
    <t>ket133 pilna montazke 12-21</t>
  </si>
  <si>
    <t>jdp  12-17diena 2montaz+4balans</t>
  </si>
  <si>
    <t>ALGIRDAS ANIULIS &lt;algirdas.aniulis@gmail.com</t>
  </si>
  <si>
    <t>117eur</t>
  </si>
  <si>
    <t>Lukas Talacka VW Golf</t>
  </si>
  <si>
    <t>50eur pervede</t>
  </si>
  <si>
    <t>D7-190C 2vnt. po 8eur</t>
  </si>
  <si>
    <t>MMT RING 64/57.1 6eur</t>
  </si>
  <si>
    <t>rato virinimas ir lyginimas 30eur</t>
  </si>
  <si>
    <t>gal. amortiku apsaugu keitimas 30eur</t>
  </si>
  <si>
    <t>ferodo dot4 skyscio nemazai pasinaudojo  10eur</t>
  </si>
  <si>
    <t>suporto restauravimas 30eur</t>
  </si>
  <si>
    <t>gal. stabdziu valymas, perrinkimas. stabdziu nuorinimas 30eur</t>
  </si>
  <si>
    <t xml:space="preserve">5008-02B 1eur </t>
  </si>
  <si>
    <t>AD55.0286 8eur  trosas rankinio</t>
  </si>
  <si>
    <t>2lemputes numeriu 5eur</t>
  </si>
  <si>
    <t>lyno keit 20eur</t>
  </si>
  <si>
    <t>suportas mano 15eur</t>
  </si>
  <si>
    <t>pervede 100eur</t>
  </si>
  <si>
    <t>pervede 121eur</t>
  </si>
  <si>
    <t>dezes keitimas pirma karta</t>
  </si>
  <si>
    <t>Honda Civic VIII hatchback Typer R 2007 edvinas sabalys</t>
  </si>
  <si>
    <t>IDE006737</t>
  </si>
  <si>
    <t>08.A147.1X 2vnt  po 42eur</t>
  </si>
  <si>
    <t>FDB1862 30eur</t>
  </si>
  <si>
    <t>458.310   30eur</t>
  </si>
  <si>
    <t>410103 2vnt. po 5.5eur</t>
  </si>
  <si>
    <t>IDE006754</t>
  </si>
  <si>
    <t>C74109 eur</t>
  </si>
  <si>
    <t>C74110 18eur</t>
  </si>
  <si>
    <t>791-958 (FA1)  2.5eur</t>
  </si>
  <si>
    <t>795-903 2vnt. po 2eur</t>
  </si>
  <si>
    <t>ROM B19233 3.5eur</t>
  </si>
  <si>
    <t>T38028 (GATES) 14eur</t>
  </si>
  <si>
    <t>532 0587 10 (INA) 34eur</t>
  </si>
  <si>
    <t>7PK1640 11+pvm</t>
  </si>
  <si>
    <t>43253-SMG-E60 53eur</t>
  </si>
  <si>
    <t>OSM 03009006/SZT 2vnt. po 2eur</t>
  </si>
  <si>
    <t>3 397 007 392  24eur</t>
  </si>
  <si>
    <t>IFR7G-11KS (NGK) 4vnt. po 16eur</t>
  </si>
  <si>
    <t>35414 01 (LEMFÖRDER) 2vnt. po 18eur</t>
  </si>
  <si>
    <t>66250 2vnt. po  32eur</t>
  </si>
  <si>
    <t>76610SMGG01 76eur</t>
  </si>
  <si>
    <t>J5674007 19eur</t>
  </si>
  <si>
    <t>109140 (MOTUL) 17eur</t>
  </si>
  <si>
    <t>109112 (MOTUL) 3.90+pvm</t>
  </si>
  <si>
    <t>2825 w5w 2vnt.</t>
  </si>
  <si>
    <t>visu amortiku ir spyruokliu keitimas  30*4+pvm</t>
  </si>
  <si>
    <t>Honda Civic VIII hatchback Typer R 2007 edvinas sabalys pensija</t>
  </si>
  <si>
    <t>IDE006761</t>
  </si>
  <si>
    <t>stabdziu visu keitimas, slanguciu ir skyscio keitimas/nuorinimas  60+pvm</t>
  </si>
  <si>
    <t>genero dirzu keitimas ir t.t. 23+pvm</t>
  </si>
  <si>
    <t>ratu dazymas porso 140+pvm</t>
  </si>
  <si>
    <t>duslintuvo keitimas  20+pvm</t>
  </si>
  <si>
    <t xml:space="preserve">osm 03008825 10szt </t>
  </si>
  <si>
    <t>ROM B19239 3.70+pvm</t>
  </si>
  <si>
    <t>ROM C60752 4.20+pvm</t>
  </si>
  <si>
    <t>stabdziu skystis ferodo dot5.1 2x0.5L</t>
  </si>
  <si>
    <t xml:space="preserve">stabdziu skystis ferodo dot4 sankabai </t>
  </si>
  <si>
    <t>alyvos keit su filtrais</t>
  </si>
  <si>
    <t>MOTUL 8100 X-MAX 0W40 5L 39.90eur savi?</t>
  </si>
  <si>
    <t xml:space="preserve">IDE006655 </t>
  </si>
  <si>
    <t>karterio virinimas 20eur</t>
  </si>
  <si>
    <t>karterio nuemimas ir uzdejimas</t>
  </si>
  <si>
    <t>C 28 023 15eur CU 2454 13eur</t>
  </si>
  <si>
    <t>W 610/6 6eur</t>
  </si>
  <si>
    <t>140eur +20eur</t>
  </si>
  <si>
    <t>IDE006653</t>
  </si>
  <si>
    <t>24.3727-0233.2 2vnt. po 15eur</t>
  </si>
  <si>
    <t>guoliu keit 80eur</t>
  </si>
  <si>
    <t>kelmu sriegiu remontas 25eur</t>
  </si>
  <si>
    <t>BMW 330xd Rimantas Samulevicius</t>
  </si>
  <si>
    <t>VKBA 6632 2vnt. po 35eur</t>
  </si>
  <si>
    <t>tc1475 2vnt. po 12eur</t>
  </si>
  <si>
    <t>lynu keit 30eur</t>
  </si>
  <si>
    <t xml:space="preserve">gal. stabdziu valymas ir perrinkimas </t>
  </si>
  <si>
    <t>JTS510 2vnt. po 11.20eur savi grazinti</t>
  </si>
  <si>
    <t>Goodyear perf+</t>
  </si>
  <si>
    <t>sarunas skyrius</t>
  </si>
  <si>
    <t>IDE006647</t>
  </si>
  <si>
    <t>IDE006641</t>
  </si>
  <si>
    <t xml:space="preserve">IDE006666 </t>
  </si>
  <si>
    <t>3 397 011 433  7eur</t>
  </si>
  <si>
    <t>3 397 118 911  20eur</t>
  </si>
  <si>
    <t>1 langu skystis 1,90eur 12.23d.</t>
  </si>
  <si>
    <t>4B0 886 373 01C 1,21eur</t>
  </si>
  <si>
    <t>25857 02 12eur</t>
  </si>
  <si>
    <t>100eur compensa draudimas+30.6viso</t>
  </si>
  <si>
    <t>vistos 01.15 44,40eur</t>
  </si>
  <si>
    <t>3 397 001 866 20,50eur</t>
  </si>
  <si>
    <t>ventiliu kalpokeliai 2x100vnt. 6eur viso</t>
  </si>
  <si>
    <t>25858 02 12eur</t>
  </si>
  <si>
    <t>1 langu skystis 1,90eur 02.12d.</t>
  </si>
  <si>
    <t>99 90 6161 6,80eur</t>
  </si>
  <si>
    <t>DAC DISTILLED WATER 5L 1,70eur</t>
  </si>
  <si>
    <t>115 070 (TOPRAN) 3vnt. po 2eur</t>
  </si>
  <si>
    <t>115 071 (TOPRAN) 2eur</t>
  </si>
  <si>
    <t>1 langu skyscio po 1,90eur 02.19d.</t>
  </si>
  <si>
    <t>ea900 exide akumas 85eur</t>
  </si>
  <si>
    <t>irankiu rinkinys 96eur 2020-11-03</t>
  </si>
  <si>
    <t>14.35eur</t>
  </si>
  <si>
    <t>kurjeris uz ratus i kauna dazyt VLT0271616</t>
  </si>
  <si>
    <t>AAL01034546   20eur</t>
  </si>
  <si>
    <t>AAB516825  30eur</t>
  </si>
  <si>
    <t>225/70r15c</t>
  </si>
  <si>
    <t>farroad</t>
  </si>
  <si>
    <t>andrej andrejav  305464662</t>
  </si>
  <si>
    <t>IDE006657</t>
  </si>
  <si>
    <t>cof102103s  4eur</t>
  </si>
  <si>
    <t>585083 valeo 5eur</t>
  </si>
  <si>
    <t>ccf0328c 14eur</t>
  </si>
  <si>
    <t>lina leonaviciute ford fiesta</t>
  </si>
  <si>
    <t>5w30 eco-nergy 39eur</t>
  </si>
  <si>
    <t>c26003 14eur</t>
  </si>
  <si>
    <t>fp1919  19eur</t>
  </si>
  <si>
    <t>OC 217 5eur</t>
  </si>
  <si>
    <t>marius savickas rav 4</t>
  </si>
  <si>
    <t>tepalas is backos 5L 38eur</t>
  </si>
  <si>
    <t>ek1050 exide akumas 152eur</t>
  </si>
  <si>
    <t>74eur+montazke +1 lyginimas</t>
  </si>
  <si>
    <t>IDE006659</t>
  </si>
  <si>
    <t>sailun blazer</t>
  </si>
  <si>
    <t>ignas aircs</t>
  </si>
  <si>
    <t>IDE006675</t>
  </si>
  <si>
    <t>245/70r16</t>
  </si>
  <si>
    <t>roadcruza</t>
  </si>
  <si>
    <t>darius geguzis</t>
  </si>
  <si>
    <t>IDE006658</t>
  </si>
  <si>
    <t>exide eb740   69eur</t>
  </si>
  <si>
    <t>sumokejo 70eur</t>
  </si>
  <si>
    <t>2 ratu montazke ir balansas</t>
  </si>
  <si>
    <t>Mingela nav Naruskevic porsche ratu paskolinimas</t>
  </si>
  <si>
    <t>veliau atves juos nudazytus ir reiks atgal uzmontuoti</t>
  </si>
  <si>
    <t>justas krasuckis norameda su kurjeriu i alytu</t>
  </si>
  <si>
    <t>IDE006664</t>
  </si>
  <si>
    <t>6vnt langu skyscio</t>
  </si>
  <si>
    <t>IDE006665</t>
  </si>
  <si>
    <t>AK-SZC58505</t>
  </si>
  <si>
    <t>LIGITA KASPERAVIČIENĖ Mykolas Raciunas</t>
  </si>
  <si>
    <t>85eur + 6+pvm siuntimas</t>
  </si>
  <si>
    <t>IDE006667</t>
  </si>
  <si>
    <t>michelin latitude n1</t>
  </si>
  <si>
    <t>raimundas slabosevicius sparco</t>
  </si>
  <si>
    <t>IDE006678</t>
  </si>
  <si>
    <t>fulda kristal ziema</t>
  </si>
  <si>
    <t>rimvydas zuperka</t>
  </si>
  <si>
    <t>44eur</t>
  </si>
  <si>
    <t>westlake z401</t>
  </si>
  <si>
    <t>remigijus guobys</t>
  </si>
  <si>
    <t>IDE006668</t>
  </si>
  <si>
    <t>varztai? 10x1.5eur</t>
  </si>
  <si>
    <t>S90-2-12-004</t>
  </si>
  <si>
    <t>dovydas Saules elementai audi a6</t>
  </si>
  <si>
    <t>rastafkiu uzdejimas</t>
  </si>
  <si>
    <t>povilas pavliukevicius</t>
  </si>
  <si>
    <t>xclean+ po 6eur litras</t>
  </si>
  <si>
    <t>f026407122 7.5eur</t>
  </si>
  <si>
    <t>1987432548 18.5eur</t>
  </si>
  <si>
    <t>karolis girnys noslow                   f026402808   16eur</t>
  </si>
  <si>
    <t>c16005  15eur</t>
  </si>
  <si>
    <t>IDE006681</t>
  </si>
  <si>
    <t>IDE006692</t>
  </si>
  <si>
    <t>Tomas gluoksnis ultrabike buso montazke</t>
  </si>
  <si>
    <t>4 ratu montazke</t>
  </si>
  <si>
    <t>sailun  Endure WSL 1</t>
  </si>
  <si>
    <t>Tomas gluoksnis ultrabike busas</t>
  </si>
  <si>
    <t>paulius cerniauskas moller</t>
  </si>
  <si>
    <t>IDE006670</t>
  </si>
  <si>
    <t>toyota</t>
  </si>
  <si>
    <t>po 57eur + 2 ratu montazke ir 2 ratu balansas</t>
  </si>
  <si>
    <t>130eur sumoketa</t>
  </si>
  <si>
    <t>michelin xice3</t>
  </si>
  <si>
    <t xml:space="preserve"> aivaras jastremsko</t>
  </si>
  <si>
    <t>IDE006680</t>
  </si>
  <si>
    <t>diamond 777</t>
  </si>
  <si>
    <t>IDE006679</t>
  </si>
  <si>
    <t>fulda kristal montero 3</t>
  </si>
  <si>
    <t>Toyota Prius andrius ramonas</t>
  </si>
  <si>
    <t>po 45eur + montazke 25eur</t>
  </si>
  <si>
    <t>plionke 700eur</t>
  </si>
  <si>
    <t>lina leonaviciute golf8</t>
  </si>
  <si>
    <t>traliukas 20eur</t>
  </si>
  <si>
    <t>goodyear ug 8 perf</t>
  </si>
  <si>
    <t>montazke,pasauga 80*4+20</t>
  </si>
  <si>
    <t>68eur  sumokejo IDE006719</t>
  </si>
  <si>
    <t>juga zagaraite</t>
  </si>
  <si>
    <t>sumokejo 120eur</t>
  </si>
  <si>
    <t>110/80-18 58P R</t>
  </si>
  <si>
    <t>MAXXIS M6034</t>
  </si>
  <si>
    <t>SVAJŪNĖ ZNEBAITĖ Mykolas Raciunas</t>
  </si>
  <si>
    <t>39,55eur + siuntimas 8,76eur</t>
  </si>
  <si>
    <t xml:space="preserve">IDE006677           </t>
  </si>
  <si>
    <t>michelin crossclimate+</t>
  </si>
  <si>
    <t>123eur +montazke</t>
  </si>
  <si>
    <t>2 ratu montazke ir 2 perbalansavimas</t>
  </si>
  <si>
    <t>64210 2.5eur</t>
  </si>
  <si>
    <t>Kristis plioplys krisitjonas</t>
  </si>
  <si>
    <t>pervede 200eur</t>
  </si>
  <si>
    <t>darbas 20eur ?</t>
  </si>
  <si>
    <t>102870 (MOTUL) 30eur</t>
  </si>
  <si>
    <t>marius savickas interlux MB 310 88m. 2,3 70kw</t>
  </si>
  <si>
    <t>H 614 N   9eur</t>
  </si>
  <si>
    <t xml:space="preserve">IDE006683   </t>
  </si>
  <si>
    <t>GIC340 8eur savi</t>
  </si>
  <si>
    <t>BMW 240i iki 2019m.  donatas siurna</t>
  </si>
  <si>
    <t>105778 (MOTUL) 3L po 16.40eur savik</t>
  </si>
  <si>
    <t>IDE006700</t>
  </si>
  <si>
    <t>montazke 01-12  12eur</t>
  </si>
  <si>
    <t>5w40 eurol  18eur</t>
  </si>
  <si>
    <t>RA.0632.1  19eur</t>
  </si>
  <si>
    <t>karolis girnys noslow</t>
  </si>
  <si>
    <t>10eur montzke 2021-01-11</t>
  </si>
  <si>
    <t>andrius norkevicius</t>
  </si>
  <si>
    <t>IDE006687</t>
  </si>
  <si>
    <t>DS-AT-M10-85945M84-5</t>
  </si>
  <si>
    <t>5112+4566190085 Disks Alutec M10 Black</t>
  </si>
  <si>
    <t>IDE006790</t>
  </si>
  <si>
    <t>toyo dygliai</t>
  </si>
  <si>
    <t>valera kaimynas</t>
  </si>
  <si>
    <t>diffo keitimas</t>
  </si>
  <si>
    <t>exide 45ah   50eur  eb455</t>
  </si>
  <si>
    <t>linas vainilaitis riese</t>
  </si>
  <si>
    <t>6vnt langu skyscio?</t>
  </si>
  <si>
    <t>varta d15 ?</t>
  </si>
  <si>
    <t>zlatkus mindaugas zilvinas nemesis ribaltavicius</t>
  </si>
  <si>
    <t>IDE006682</t>
  </si>
  <si>
    <t>conti ts860s ssr</t>
  </si>
  <si>
    <t>Aurimas Rasickas : MHM &lt;aurimas@mhm.lt</t>
  </si>
  <si>
    <t>IDE006686</t>
  </si>
  <si>
    <t>maxxis  VansmSnWL2</t>
  </si>
  <si>
    <t>Einius Galvydis 869999107</t>
  </si>
  <si>
    <t>57eur/vnt, +montazke 20eur</t>
  </si>
  <si>
    <t>ratai 40eur (sumoketa)</t>
  </si>
  <si>
    <t>sumoketa 250eur</t>
  </si>
  <si>
    <t>IDE006685</t>
  </si>
  <si>
    <t>vygantas srotas</t>
  </si>
  <si>
    <t>245/40r17</t>
  </si>
  <si>
    <t>toyo r888r</t>
  </si>
  <si>
    <t>nerijus muzle</t>
  </si>
  <si>
    <t>IDE006695</t>
  </si>
  <si>
    <t>ea640 64ah exide  65eur akumuliatorius</t>
  </si>
  <si>
    <t>dainius razanskas   isrutes 25g, pilaite, senas 64ah, 860515980</t>
  </si>
  <si>
    <t>ricardas virsickis   tolminkiemio 38-4, pilaite 868675929</t>
  </si>
  <si>
    <t xml:space="preserve">IDE006686 </t>
  </si>
  <si>
    <t>varta e39 124eur</t>
  </si>
  <si>
    <t>gintaras kuklys, tiskeviciaus 9-12.  862051988</t>
  </si>
  <si>
    <t>varta e11  78eur</t>
  </si>
  <si>
    <t>grazins 70ah ir primoket turi 10eur, 865838883 pilaite</t>
  </si>
  <si>
    <t>e23 varta 70ah 75eur</t>
  </si>
  <si>
    <t>fp 1919 17eur</t>
  </si>
  <si>
    <t>C 2201  10eur</t>
  </si>
  <si>
    <t>OC 196 2.50eur savi</t>
  </si>
  <si>
    <t>Povilas Gavelis Subaru Outback</t>
  </si>
  <si>
    <t>F 026 402 830 16,60eur savi</t>
  </si>
  <si>
    <t>IDE006789</t>
  </si>
  <si>
    <t>tepalas is backos 7L</t>
  </si>
  <si>
    <t>uz akuma 3eur</t>
  </si>
  <si>
    <t>zenonas roslikas vaduvos 16, vilnius  868218504</t>
  </si>
  <si>
    <t>IDE006684</t>
  </si>
  <si>
    <t>Akumuliatorius 100 Ah 830 A EN 12V</t>
  </si>
  <si>
    <t>varta h3</t>
  </si>
  <si>
    <t>860191709 kazkas   104eur</t>
  </si>
  <si>
    <t>D4-2005C 29.84eur pasieme</t>
  </si>
  <si>
    <t>IDE006883</t>
  </si>
  <si>
    <t>VARTA 77 Ah   e44</t>
  </si>
  <si>
    <t>860191709 akumas prie silberio  liudvinavo 15</t>
  </si>
  <si>
    <t>eb740 exide 74ah</t>
  </si>
  <si>
    <t>860105114 akum nori   72eur</t>
  </si>
  <si>
    <t>38.5X12.5-16 128K POR</t>
  </si>
  <si>
    <t>MAXXIS M9060 MUD TREPADOR</t>
  </si>
  <si>
    <t xml:space="preserve">860881881. Egidijus. egidijus@tinklita.lt. 860800119. Darius Zachaževski. Rūko g. 1, Vilnius. dariusrilva@inbox.lt </t>
  </si>
  <si>
    <t>po 265eur/vnt.</t>
  </si>
  <si>
    <t>IDE006819</t>
  </si>
  <si>
    <t>Povilas Keparutis J. Žemgulio g. 13-14, Kaunas 863120589 otozas@gmail.com</t>
  </si>
  <si>
    <t xml:space="preserve">po 270eur/vnt. siusti i Pociūnų k., pakrantės g., Kauno r. sav. </t>
  </si>
  <si>
    <t xml:space="preserve">IDEA006722  IDE006816 </t>
  </si>
  <si>
    <t>208pervede kazkurkazka</t>
  </si>
  <si>
    <t>Modestas Mažeika 867870464. Statybininkų g. 14 Plungė. modestasmazeika19@gmail.com</t>
  </si>
  <si>
    <t>po 270eur/vnt. + siuntimas 9eur+9eur. 4 padangas siusti iskart ir 1 padanga kai jau ateis vėl.</t>
  </si>
  <si>
    <t>IDEA006723 pervede 273.60 simonyte</t>
  </si>
  <si>
    <t>IDE006850</t>
  </si>
  <si>
    <t>IDE006817</t>
  </si>
  <si>
    <t>marijus kebla  bmw5</t>
  </si>
  <si>
    <t>po 145</t>
  </si>
  <si>
    <t>IDE006699</t>
  </si>
  <si>
    <t xml:space="preserve">3 langu skysciai </t>
  </si>
  <si>
    <t>matas micke</t>
  </si>
  <si>
    <t>IDE006688</t>
  </si>
  <si>
    <t>FDB4430   34eur</t>
  </si>
  <si>
    <t>giedrius povilaitis</t>
  </si>
  <si>
    <t>tomas Kaimynas FORD EDGE TITANIUM</t>
  </si>
  <si>
    <t>sniuro idejimas ir subalansavimas to rato</t>
  </si>
  <si>
    <t>IDE006689</t>
  </si>
  <si>
    <t>285/75r16</t>
  </si>
  <si>
    <t>bfgoodrich allterrain</t>
  </si>
  <si>
    <t>ea1000 exide 98eur</t>
  </si>
  <si>
    <t>8664 04401 akumas, sumokejo marekui, skola marek stafanovic marex</t>
  </si>
  <si>
    <t>IDE006693</t>
  </si>
  <si>
    <t>eb740 exide   75eur</t>
  </si>
  <si>
    <t>marex goodyear klientas</t>
  </si>
  <si>
    <t>IDE006698</t>
  </si>
  <si>
    <t>skardiniai ratai</t>
  </si>
  <si>
    <t>marex goodyear klientas marek stefanovic</t>
  </si>
  <si>
    <t>6eur as jam skoloj nuo akumo</t>
  </si>
  <si>
    <t>goodride</t>
  </si>
  <si>
    <t>Dina Sergijenko</t>
  </si>
  <si>
    <t>po 35+montzke</t>
  </si>
  <si>
    <t>sumokejo 160eur</t>
  </si>
  <si>
    <t>Mindaugas Cekauskas &lt;cekauskas@gmail.com</t>
  </si>
  <si>
    <t>IDE006694</t>
  </si>
  <si>
    <t>175/70r14c</t>
  </si>
  <si>
    <t>julius vaitiekunas</t>
  </si>
  <si>
    <t>IDE006696</t>
  </si>
  <si>
    <t>goodyear ug icearctic sct</t>
  </si>
  <si>
    <t>arvydas@masina.lt</t>
  </si>
  <si>
    <t>IDE006697</t>
  </si>
  <si>
    <t>goodyear ug ice 2 sct</t>
  </si>
  <si>
    <t>IDE006707</t>
  </si>
  <si>
    <t>IDE006705</t>
  </si>
  <si>
    <t>goodyear ug ice suv sct</t>
  </si>
  <si>
    <t>dimitrijus belousovas  869980333</t>
  </si>
  <si>
    <t>sailun alpine evo+</t>
  </si>
  <si>
    <t>senelis paulius gavro</t>
  </si>
  <si>
    <t>montazke subaru</t>
  </si>
  <si>
    <t>zigmas komaras</t>
  </si>
  <si>
    <t xml:space="preserve">marijus kebla  </t>
  </si>
  <si>
    <t>IDE006704</t>
  </si>
  <si>
    <t>porsche ratlankiai braid</t>
  </si>
  <si>
    <t>IDE006868</t>
  </si>
  <si>
    <t>Val593936  36eur</t>
  </si>
  <si>
    <t>tomas kaimynas renault</t>
  </si>
  <si>
    <t>goodyear ug perf g-1</t>
  </si>
  <si>
    <t>Aido Bubino kaimyne/drauge? Laima Vakrinaite</t>
  </si>
  <si>
    <t>IDE006702</t>
  </si>
  <si>
    <t>justas bartasiunas  869881772</t>
  </si>
  <si>
    <t>IDE006706</t>
  </si>
  <si>
    <t>bf goodrich gforce winter 2</t>
  </si>
  <si>
    <t>aleksandras 860700338   po 67eur</t>
  </si>
  <si>
    <t>montazke, langu skyscio 3vnt</t>
  </si>
  <si>
    <t>IDE006709</t>
  </si>
  <si>
    <t xml:space="preserve">aleksandras 860700338   </t>
  </si>
  <si>
    <t>montazke po 55eur</t>
  </si>
  <si>
    <t>viking wintertech</t>
  </si>
  <si>
    <t>henrikas setaltas</t>
  </si>
  <si>
    <t>montazke, lyginimas, virinimas</t>
  </si>
  <si>
    <t>IDE006750</t>
  </si>
  <si>
    <t>70.50eur  + montazke 15eur</t>
  </si>
  <si>
    <t>297eur sumokejo</t>
  </si>
  <si>
    <t>6pk1026  12eur</t>
  </si>
  <si>
    <t>dugno apsauga ir jos keitimas 15eur</t>
  </si>
  <si>
    <t>dirzelis ir itempejas +keitimas 30eur</t>
  </si>
  <si>
    <t>kristis golf kristijonas plioplys</t>
  </si>
  <si>
    <t>534055210 ina  35eur</t>
  </si>
  <si>
    <t xml:space="preserve"> dave 2 medaus  -20eur</t>
  </si>
  <si>
    <t>dave 400eur 2023-05-22</t>
  </si>
  <si>
    <t>1l antifryzo +3l antifryzo</t>
  </si>
  <si>
    <t>bmw sildymo tvarkymas</t>
  </si>
  <si>
    <t>langu skystis</t>
  </si>
  <si>
    <t>darius bernackas</t>
  </si>
  <si>
    <t>IDE006710</t>
  </si>
  <si>
    <t>IDE006701</t>
  </si>
  <si>
    <t>michelin alpin 5 suv N0</t>
  </si>
  <si>
    <t>Darius Šilinis &lt;silinisdarius@gmail.com UAB “ Sanator” (Kauno g. 31, Vilnius</t>
  </si>
  <si>
    <t>IDE006716</t>
  </si>
  <si>
    <t>Darius Šilinis &lt;silinisdarius@gmail.com</t>
  </si>
  <si>
    <t>1N0271 022-061 24.50eur savi</t>
  </si>
  <si>
    <t xml:space="preserve">ROM C60672 1vnt. panaudotas is 10vnt. </t>
  </si>
  <si>
    <t>v10-81-0011 123eur</t>
  </si>
  <si>
    <t>sklendes keitimas</t>
  </si>
  <si>
    <t>IDE006751</t>
  </si>
  <si>
    <t>994 580  sachs spyruokles</t>
  </si>
  <si>
    <t>Vidimantas Bumelis &lt;vidasbumelis@hotmail.com</t>
  </si>
  <si>
    <t>225/75r15</t>
  </si>
  <si>
    <t>GOODYEAR WRANGLER A/T ADVENTURE</t>
  </si>
  <si>
    <t>Mindaugas Saulis Mykolas Raciunas +370 683 14 832</t>
  </si>
  <si>
    <t>po 97eur/vnt.</t>
  </si>
  <si>
    <t>IDE006708 sumoketa</t>
  </si>
  <si>
    <t>arunas gliaudelis   56eur julius valickas</t>
  </si>
  <si>
    <t>montazke  20eur</t>
  </si>
  <si>
    <t>CR-1402 5eur</t>
  </si>
  <si>
    <t>LS4088329 2vnt. po 35eur</t>
  </si>
  <si>
    <t>Subaru forester 2,5 Julius Valickas Arunas Gliaudelis</t>
  </si>
  <si>
    <t>pr. spyruokliu keitimas  60eur</t>
  </si>
  <si>
    <t>e44 varta 77ah akumas</t>
  </si>
  <si>
    <t>andrej andrejav    88.5eur</t>
  </si>
  <si>
    <t>90eur sumokejo</t>
  </si>
  <si>
    <t>77ah banner</t>
  </si>
  <si>
    <t>valdoskas valdas seat leon  91eur</t>
  </si>
  <si>
    <t>S0523 85.80eur savi</t>
  </si>
  <si>
    <t>valdoskas valdas seat leon</t>
  </si>
  <si>
    <t>goodyear ug ice 2 SCT</t>
  </si>
  <si>
    <t>zilvinas rocevicius</t>
  </si>
  <si>
    <t>IDE006713</t>
  </si>
  <si>
    <t>F 026 407 023 3.50eur savi</t>
  </si>
  <si>
    <t>tepalu keitimas 20e</t>
  </si>
  <si>
    <t>vw passat 2012 2tdi 4motion 125kw jonas vainius raulynaitis</t>
  </si>
  <si>
    <t>3B7601171XRW  10+pvm</t>
  </si>
  <si>
    <t xml:space="preserve">RP111431 11.80eur savi   IDE007054 </t>
  </si>
  <si>
    <t>F 026 400 109  10eur</t>
  </si>
  <si>
    <t>1 457 429 249  5eur</t>
  </si>
  <si>
    <t>5l eco-nergy 5w30 35eur</t>
  </si>
  <si>
    <t>IDE006720</t>
  </si>
  <si>
    <t>karolis nav,  interlux masina?</t>
  </si>
  <si>
    <t>montazke, priekio su galu rato sukeitimas ir pripusta oro visiems ratams</t>
  </si>
  <si>
    <t>karolis girnys no_slow bmw</t>
  </si>
  <si>
    <t>montazke 2dvieju ratu citroeno 2021-05-12</t>
  </si>
  <si>
    <t>montazke minicooper 25eur 2021-11-17 ir padangas kur daviau nemokamai uz montazke</t>
  </si>
  <si>
    <t xml:space="preserve">karolis nemeika </t>
  </si>
  <si>
    <t>34eur ir montazke</t>
  </si>
  <si>
    <t>160eur sumokejo</t>
  </si>
  <si>
    <t>385/65r22.5</t>
  </si>
  <si>
    <t>bridgestone rsteer 002</t>
  </si>
  <si>
    <t>430su pvm</t>
  </si>
  <si>
    <t>IDE006723</t>
  </si>
  <si>
    <t>870+pvm</t>
  </si>
  <si>
    <t>5112+3570190085 Disks Dotz CP5 Graphite DS-AC-OCP9L8GA35</t>
  </si>
  <si>
    <t>po 160</t>
  </si>
  <si>
    <t>sumokejo 640eur</t>
  </si>
  <si>
    <t>robertas djrobis</t>
  </si>
  <si>
    <t>3 397 007 863   20eur</t>
  </si>
  <si>
    <t>tepal keitimas</t>
  </si>
  <si>
    <t>HU 6013 Z  10eur</t>
  </si>
  <si>
    <t>tepalai 5.5l xclean+</t>
  </si>
  <si>
    <t>padangu keitimai IDE006732</t>
  </si>
  <si>
    <t>861290844 nuo donato kricko, nuvezt i moller</t>
  </si>
  <si>
    <t>po 130eur</t>
  </si>
  <si>
    <t>33705 01 75eur</t>
  </si>
  <si>
    <t>VKBA 6543   76eur</t>
  </si>
  <si>
    <t>sakes ir guolio keitimas 50eur</t>
  </si>
  <si>
    <t>ratu keitimas ir pasauga</t>
  </si>
  <si>
    <t>IDE006778</t>
  </si>
  <si>
    <t>china ratukai</t>
  </si>
  <si>
    <t>150+pvm LED888</t>
  </si>
  <si>
    <t>IDE006805</t>
  </si>
  <si>
    <t>GSL2126891483450 GSL2126904592517</t>
  </si>
  <si>
    <t>89.56+pvm</t>
  </si>
  <si>
    <t>KYBSM1312 2 vnt. po 30eur</t>
  </si>
  <si>
    <t>atraminiu guoliu keitimas</t>
  </si>
  <si>
    <t xml:space="preserve">Michelin Pilot sport 4s </t>
  </si>
  <si>
    <t>ukininkas Tomas Raciunas Mykolas Raciunas</t>
  </si>
  <si>
    <t>IDE006729</t>
  </si>
  <si>
    <t>IDE006714</t>
  </si>
  <si>
    <t>IDE006715</t>
  </si>
  <si>
    <t>tata tadas lasinys dogpunk   reik KPO ir sask</t>
  </si>
  <si>
    <t>IDE006718</t>
  </si>
  <si>
    <t>atf VI 9litrai po 8.1eur savik</t>
  </si>
  <si>
    <t>kurjeris?</t>
  </si>
  <si>
    <t>1068.298.083 (ZF Parts)  73eur</t>
  </si>
  <si>
    <t>329003 (KILEN)  2vnt po 14.5eur</t>
  </si>
  <si>
    <t>airbog rysard</t>
  </si>
  <si>
    <t xml:space="preserve">IDE006883 </t>
  </si>
  <si>
    <t>goodyear efficientgrip suv 2 581668</t>
  </si>
  <si>
    <t>IDE006812</t>
  </si>
  <si>
    <t>Vygandas Kadzys &lt;v.kadzys@gmail.com</t>
  </si>
  <si>
    <t xml:space="preserve">IDE006858 </t>
  </si>
  <si>
    <t>Aivaras.Dadura@diverus.com</t>
  </si>
  <si>
    <t>IDE006785 be montazkes</t>
  </si>
  <si>
    <t>IDE006785</t>
  </si>
  <si>
    <t>580600 dunlop rt2 NST</t>
  </si>
  <si>
    <t>marius savickas multivan interlux  htf127</t>
  </si>
  <si>
    <t>IDE006808</t>
  </si>
  <si>
    <t>goodyear adventure 549754</t>
  </si>
  <si>
    <t>marius savickas landcruiser petras interlux hmu633</t>
  </si>
  <si>
    <t>IDE006927</t>
  </si>
  <si>
    <t>dunlop rt2 547345</t>
  </si>
  <si>
    <t>jonas sakaitis</t>
  </si>
  <si>
    <t>IDE006735</t>
  </si>
  <si>
    <t>michelin latitude sport 3 vol</t>
  </si>
  <si>
    <t>marijus kebla volvo xc90</t>
  </si>
  <si>
    <t>218eur be montazkes</t>
  </si>
  <si>
    <t>continental contisport6 su puta</t>
  </si>
  <si>
    <t>marijus kebla audi a7 tv zaidimai  LBO013</t>
  </si>
  <si>
    <t>su keitimu ir pasauga</t>
  </si>
  <si>
    <t>IDE006777</t>
  </si>
  <si>
    <t>marijus kebla tv zaidimai</t>
  </si>
  <si>
    <t>34711 01 2vnt po 23eur</t>
  </si>
  <si>
    <t>994 973  2vnt po 66eur</t>
  </si>
  <si>
    <t>spyruokliu keit</t>
  </si>
  <si>
    <t>sailenbloku keit</t>
  </si>
  <si>
    <t>michelin cup2 n2</t>
  </si>
  <si>
    <t>IDE006784</t>
  </si>
  <si>
    <t>sailun eco</t>
  </si>
  <si>
    <t>nav skoda cfe504</t>
  </si>
  <si>
    <t>IDE006929</t>
  </si>
  <si>
    <t>efficientgrip suv 2</t>
  </si>
  <si>
    <t>montazke su pasauga IDE006974</t>
  </si>
  <si>
    <t>valdoska riese valdas</t>
  </si>
  <si>
    <t>205eur montazke</t>
  </si>
  <si>
    <t xml:space="preserve">IDE007001 </t>
  </si>
  <si>
    <t>195/45r15</t>
  </si>
  <si>
    <t>dunlop rt2 nst</t>
  </si>
  <si>
    <t>147+pvm ?</t>
  </si>
  <si>
    <t>IDE006787</t>
  </si>
  <si>
    <t>3 397 008 057   6eur</t>
  </si>
  <si>
    <t>3 397 007 638  21eur</t>
  </si>
  <si>
    <t>antifryzas 2x5l motul?</t>
  </si>
  <si>
    <t>CT1139WP6 125eur</t>
  </si>
  <si>
    <t>6PK1264   10eur</t>
  </si>
  <si>
    <t>CART00201  2eur</t>
  </si>
  <si>
    <t>PRO 10-043  4eur</t>
  </si>
  <si>
    <t>OE 672/5  5.5eur</t>
  </si>
  <si>
    <t>karolis noslow  bmw1 girnys</t>
  </si>
  <si>
    <t>xclean+ 5l ?   dave 70eur</t>
  </si>
  <si>
    <t>dctf alyva diffui 1l  6eur vietoj 10eur</t>
  </si>
  <si>
    <t>F 026 400 289 12eur</t>
  </si>
  <si>
    <t>FP 2641 28eur</t>
  </si>
  <si>
    <t>Gediminas Kaupys Audi a6 2013m. 2L 162kw Q</t>
  </si>
  <si>
    <t>Tepalas is backos 5w30 ipilta 4,7L</t>
  </si>
  <si>
    <t>VKBA 6649 51eur</t>
  </si>
  <si>
    <t>tepalu ir filtru keitimas 35eur</t>
  </si>
  <si>
    <t>guolio keitimas 40eur</t>
  </si>
  <si>
    <t>GIC378 2vnt po 8eur</t>
  </si>
  <si>
    <t>FDB4050  41eur</t>
  </si>
  <si>
    <t>FDB4908  43eur</t>
  </si>
  <si>
    <t>paulius senelis   audi q5</t>
  </si>
  <si>
    <t>keitimas 50eur?</t>
  </si>
  <si>
    <t>F 026 407 080   10eur</t>
  </si>
  <si>
    <t>LAO 181   15eur</t>
  </si>
  <si>
    <t>rytenis serenas audi q3   xclean+ tepalai</t>
  </si>
  <si>
    <t>xclean+ 5L 8eur/l</t>
  </si>
  <si>
    <t>25eur tepalu keitimas</t>
  </si>
  <si>
    <t>IDE006786</t>
  </si>
  <si>
    <t>120/80-18</t>
  </si>
  <si>
    <t>VKBA 6649  51eur</t>
  </si>
  <si>
    <t>IDE006807</t>
  </si>
  <si>
    <t>federal himalleo</t>
  </si>
  <si>
    <t>51eur</t>
  </si>
  <si>
    <t>sumokejo 102eur</t>
  </si>
  <si>
    <t>montazke sumokejo</t>
  </si>
  <si>
    <t>IDE006732</t>
  </si>
  <si>
    <t>hankook s1 evo 3</t>
  </si>
  <si>
    <t>215eur montazke 25eur+20eur</t>
  </si>
  <si>
    <t>190eur dazymas 160eur</t>
  </si>
  <si>
    <t>eet999 nav</t>
  </si>
  <si>
    <t>hpt806 nav</t>
  </si>
  <si>
    <t>IDE006860</t>
  </si>
  <si>
    <t>JJO202 interlux</t>
  </si>
  <si>
    <t>IDE006924</t>
  </si>
  <si>
    <t>IDE006922</t>
  </si>
  <si>
    <t>uniroyal rainsport</t>
  </si>
  <si>
    <t>jbd825 interlux</t>
  </si>
  <si>
    <t>IDE006888</t>
  </si>
  <si>
    <t>IDE006806</t>
  </si>
  <si>
    <t>jto174 interlux</t>
  </si>
  <si>
    <t>goodyear</t>
  </si>
  <si>
    <t>JJO676 interux</t>
  </si>
  <si>
    <t>huo451 LSG364 interlux</t>
  </si>
  <si>
    <t>IDE006925</t>
  </si>
  <si>
    <t>eoz569 interlux</t>
  </si>
  <si>
    <t>IDE006910</t>
  </si>
  <si>
    <t>gtn150 interlux</t>
  </si>
  <si>
    <t>JJE670 interlux</t>
  </si>
  <si>
    <t>jst159 interlux</t>
  </si>
  <si>
    <t>JJE676 interlux</t>
  </si>
  <si>
    <t>interlux rav4   hzu850</t>
  </si>
  <si>
    <t>IDE006982</t>
  </si>
  <si>
    <t>Fulda</t>
  </si>
  <si>
    <t>fos614 interlux</t>
  </si>
  <si>
    <t>dunlop rt2 578784</t>
  </si>
  <si>
    <t>hbv909 interlux</t>
  </si>
  <si>
    <t>IDE006930</t>
  </si>
  <si>
    <t>goodyear 581665</t>
  </si>
  <si>
    <t>hug003 interlux</t>
  </si>
  <si>
    <t>JJE767 interlux</t>
  </si>
  <si>
    <t>uz klijavima ir balansa</t>
  </si>
  <si>
    <t>biovita sask</t>
  </si>
  <si>
    <t>IDE006748</t>
  </si>
  <si>
    <t>F 026 402 809 15.30eur savi</t>
  </si>
  <si>
    <t>F 026 400 172 8.70eur savi</t>
  </si>
  <si>
    <t>LAO 181 (KNECHT) 13.30eur savi</t>
  </si>
  <si>
    <t>IDE006747</t>
  </si>
  <si>
    <t>3 397 007 620 17,40eur savi</t>
  </si>
  <si>
    <t>1 rato balansavimas</t>
  </si>
  <si>
    <t>tepalas is backos apie 4.7L</t>
  </si>
  <si>
    <t>chipukas 150eur</t>
  </si>
  <si>
    <t>ek700 exide 70ah</t>
  </si>
  <si>
    <t>109eur</t>
  </si>
  <si>
    <t>645 bendra skola</t>
  </si>
  <si>
    <t>0w40 4L 35eur</t>
  </si>
  <si>
    <t>HU 68 X  4eur</t>
  </si>
  <si>
    <t>C 1036/1   7eur</t>
  </si>
  <si>
    <t>99906162 2x 5.5eur</t>
  </si>
  <si>
    <t>102051 2vnt. po 33,10eur</t>
  </si>
  <si>
    <t>0 986 452 042 (BOSCH) 8,10eur</t>
  </si>
  <si>
    <t>0 986 450 508 (BOSCH) 8,20eur</t>
  </si>
  <si>
    <t>Mykolas Raciunas Tevams</t>
  </si>
  <si>
    <t>C 16 148 11,50eur</t>
  </si>
  <si>
    <t>Viso: 94eur</t>
  </si>
  <si>
    <t>reik sask.</t>
  </si>
  <si>
    <t>IDE006833</t>
  </si>
  <si>
    <t>tepalas is backos 10L po 5,60eur/l</t>
  </si>
  <si>
    <t>1 457 429 252 7,40eur</t>
  </si>
  <si>
    <t>0 450 906 457 14,30eur</t>
  </si>
  <si>
    <t>C 15 143/1 13,70eur</t>
  </si>
  <si>
    <t>FP 6724 23,20eur</t>
  </si>
  <si>
    <t>Viso: 114,60eur</t>
  </si>
  <si>
    <t>4 langu skyscio po 1,90eur</t>
  </si>
  <si>
    <t>ukininkas audrutis raciunas</t>
  </si>
  <si>
    <t>Jonas Klimaitis Ford C-max</t>
  </si>
  <si>
    <t>gislaved van</t>
  </si>
  <si>
    <t>stanislav steckas padangos</t>
  </si>
  <si>
    <t>IDE006721</t>
  </si>
  <si>
    <t>W 940/5  6eur</t>
  </si>
  <si>
    <t>C 24 113   15eur</t>
  </si>
  <si>
    <t>2x5L turbolight 50eur</t>
  </si>
  <si>
    <t>EXELIS</t>
  </si>
  <si>
    <t>IDE006857</t>
  </si>
  <si>
    <t>52eur</t>
  </si>
  <si>
    <t>IDE006722</t>
  </si>
  <si>
    <t>goodyear f1 asymm 5 sct</t>
  </si>
  <si>
    <t>andrejus statino</t>
  </si>
  <si>
    <t>135+montzke+pasauga</t>
  </si>
  <si>
    <t>110+pvm +montazke</t>
  </si>
  <si>
    <t>langu skystis 3vnt motul</t>
  </si>
  <si>
    <t>IDE006745</t>
  </si>
  <si>
    <t>goodyear f1 asymm3 sct</t>
  </si>
  <si>
    <t>mantas mazeika</t>
  </si>
  <si>
    <t>IDE006834</t>
  </si>
  <si>
    <t>ek950 exide 95ah agm</t>
  </si>
  <si>
    <t>IDE006731</t>
  </si>
  <si>
    <t>arturas  narusko</t>
  </si>
  <si>
    <t>5x112 R19x8.5 ET40 66.5 XFE30 MG ratlankiai</t>
  </si>
  <si>
    <t>540eur</t>
  </si>
  <si>
    <t>tomas satas</t>
  </si>
  <si>
    <t xml:space="preserve">sask su montazke </t>
  </si>
  <si>
    <t>IDE006762</t>
  </si>
  <si>
    <t>tomas satas Robertas K &lt;robkek@gmail.com</t>
  </si>
  <si>
    <t>Dotz Misano grey R18 5x114.3 ET48 CB71 J8</t>
  </si>
  <si>
    <t>Andrius Stankevicius</t>
  </si>
  <si>
    <t>IDE006767</t>
  </si>
  <si>
    <t>IDE006728</t>
  </si>
  <si>
    <t>vkba 3981</t>
  </si>
  <si>
    <t>nissan primera</t>
  </si>
  <si>
    <t>ek700 exide agm  115eur</t>
  </si>
  <si>
    <t>alenas backis tiguan</t>
  </si>
  <si>
    <t>keitimas su nuvaziavimu 10eur</t>
  </si>
  <si>
    <t>IDE007113</t>
  </si>
  <si>
    <t>205/60r15</t>
  </si>
  <si>
    <t>S/F Jonas Žiaugrė. justas klimavicius</t>
  </si>
  <si>
    <t>IDE006736</t>
  </si>
  <si>
    <t>goodyear efficientgrip 2 suv</t>
  </si>
  <si>
    <t>Jurga Barbora Jauniškienė &lt;jurgabarbora@gmail.com</t>
  </si>
  <si>
    <t>IDE006865</t>
  </si>
  <si>
    <t>255/70r18</t>
  </si>
  <si>
    <t>kolgeda</t>
  </si>
  <si>
    <t>IDE006763</t>
  </si>
  <si>
    <t>IDE006741</t>
  </si>
  <si>
    <t>continental contisport 5 MO</t>
  </si>
  <si>
    <t>raimundas Sparco (Raimis) &lt;raimis@sparco.lt</t>
  </si>
  <si>
    <t xml:space="preserve">IDE006755           </t>
  </si>
  <si>
    <t>civico dezes keitimas antra karta</t>
  </si>
  <si>
    <t>arunas daruna montazke 1 padnagos garantines</t>
  </si>
  <si>
    <t>IDE006742</t>
  </si>
  <si>
    <t>pirelli pzero ao</t>
  </si>
  <si>
    <t>IDE006901</t>
  </si>
  <si>
    <t>po150eur+pasauga+keitimas</t>
  </si>
  <si>
    <t>F 026 407 128  8eur</t>
  </si>
  <si>
    <t>F 026 400 631  17eur</t>
  </si>
  <si>
    <t>FP 32 008 20eur</t>
  </si>
  <si>
    <t>ecoclean 6l 55eur</t>
  </si>
  <si>
    <t>4-5h ?</t>
  </si>
  <si>
    <t>radiatoriu keitimas ir snukio surinkimas</t>
  </si>
  <si>
    <t>109141 antifryzas 25eur</t>
  </si>
  <si>
    <t>chipas+egroff+dpfoff, 150?</t>
  </si>
  <si>
    <t>dpf removal pasipiskime 100+pvm</t>
  </si>
  <si>
    <t>tarpine ir sujungimas dusles</t>
  </si>
  <si>
    <t xml:space="preserve">IDE006731 </t>
  </si>
  <si>
    <t>IDE006734</t>
  </si>
  <si>
    <t>5120+3582190085 Disks BBS CI-R Platinum Silver</t>
  </si>
  <si>
    <t xml:space="preserve">rokas bilevicius  </t>
  </si>
  <si>
    <t>IDE006766</t>
  </si>
  <si>
    <t>5120+4082190095 Disks BBS CI-R Platinum Silver</t>
  </si>
  <si>
    <t xml:space="preserve">goodyear f1 asymm 5 </t>
  </si>
  <si>
    <t>IDE006776</t>
  </si>
  <si>
    <t>IDE006733</t>
  </si>
  <si>
    <t>thule fold xt 550eur</t>
  </si>
  <si>
    <t>IDE006739</t>
  </si>
  <si>
    <t>W 68/3 5eur</t>
  </si>
  <si>
    <t>C 2620  10eur</t>
  </si>
  <si>
    <t>M110462K  5eur</t>
  </si>
  <si>
    <t>saulius paliunis dispanceris</t>
  </si>
  <si>
    <t>xclean+ 5L + keitimas</t>
  </si>
  <si>
    <t>wp-001   3+pvm</t>
  </si>
  <si>
    <t>qbstt   2+pvm</t>
  </si>
  <si>
    <t>darbas 1h+ 40eur</t>
  </si>
  <si>
    <t>stabdziu skyscio dapyliau</t>
  </si>
  <si>
    <t>c80182abe 8eur</t>
  </si>
  <si>
    <t>60eur pasauga</t>
  </si>
  <si>
    <t>kurjer  115+pvm</t>
  </si>
  <si>
    <t>po 125eur + montazke</t>
  </si>
  <si>
    <t>tomas sajevicius greenmotion</t>
  </si>
  <si>
    <t>IDE006740</t>
  </si>
  <si>
    <t>50553730  69eur</t>
  </si>
  <si>
    <t>22605.160.2 (ZIMMERMANN) 40eur</t>
  </si>
  <si>
    <t>keitimas kaldziu</t>
  </si>
  <si>
    <t>keitimas  20eur</t>
  </si>
  <si>
    <t>xclean+ is backos 5.5L</t>
  </si>
  <si>
    <t>F 026 407 080   9eur</t>
  </si>
  <si>
    <t>paulius gavro senelis</t>
  </si>
  <si>
    <t>128eur  lcs303  IDE006859</t>
  </si>
  <si>
    <t>continenal contisport 6</t>
  </si>
  <si>
    <t>280eur be montazkes ir pasaugos</t>
  </si>
  <si>
    <t>IDE006744</t>
  </si>
  <si>
    <t>270eur</t>
  </si>
  <si>
    <t>SaLa &lt;saulius.l@gmail.com</t>
  </si>
  <si>
    <t>74eur</t>
  </si>
  <si>
    <t>MOTUL SPECIFIC FORD 948B 5W20 5L</t>
  </si>
  <si>
    <t>BCD2087AT  53.17eur</t>
  </si>
  <si>
    <t>keitimas kaladziu priekio</t>
  </si>
  <si>
    <t>IDE006831</t>
  </si>
  <si>
    <t>MOTUL SPECIFIC FORD 948B 5W20 1L</t>
  </si>
  <si>
    <t>11eur</t>
  </si>
  <si>
    <t>BCD1790AT  35.13eur</t>
  </si>
  <si>
    <t>aiste sabaliauskaite interlux   +montazke</t>
  </si>
  <si>
    <t>Jje767 IDE006931</t>
  </si>
  <si>
    <t>Gedas C &lt;gedascypas@gmail.com 865630421</t>
  </si>
  <si>
    <t>ea1000 exide 100ah</t>
  </si>
  <si>
    <t>parduota prie ergo</t>
  </si>
  <si>
    <t>IDE006738</t>
  </si>
  <si>
    <t>kipras siliunas kiprazas@gmail.com</t>
  </si>
  <si>
    <t>IDE006749</t>
  </si>
  <si>
    <t>3c8831412c   67eur</t>
  </si>
  <si>
    <t>2190730  60eur</t>
  </si>
  <si>
    <t>103-00-108  8eur</t>
  </si>
  <si>
    <t>jurga zagaraite passat igno</t>
  </si>
  <si>
    <t>valytuvo variklio keit  25eur</t>
  </si>
  <si>
    <t>2vnt lemputes po 2eur</t>
  </si>
  <si>
    <t>986594560  25eur</t>
  </si>
  <si>
    <t>antifryzo dapilta litras  2eur</t>
  </si>
  <si>
    <t>abs keitimas daviklio 15eur</t>
  </si>
  <si>
    <t>275000km</t>
  </si>
  <si>
    <t>tepalai  40eur</t>
  </si>
  <si>
    <t>F 026 407 023 7eur</t>
  </si>
  <si>
    <t>keitimas vyrio 25eur</t>
  </si>
  <si>
    <t>tepalu keitimias 20eur</t>
  </si>
  <si>
    <t>spyruokliu keitimas 40eur</t>
  </si>
  <si>
    <t>lukas talacka golf 5</t>
  </si>
  <si>
    <t>df-300  6eur</t>
  </si>
  <si>
    <t>tepalai 4.5L xclean+  36eur</t>
  </si>
  <si>
    <t>134048F 2vnt po 16eur</t>
  </si>
  <si>
    <t>0 451 103 318  4.5eur</t>
  </si>
  <si>
    <t>valytuvas ir kojele 7eur</t>
  </si>
  <si>
    <t>130/70-12</t>
  </si>
  <si>
    <t>maxxis m6024</t>
  </si>
  <si>
    <t>Donatas Nasiulevicius</t>
  </si>
  <si>
    <t>IDE006752</t>
  </si>
  <si>
    <t>evo rato lyginimas astunke 15eur</t>
  </si>
  <si>
    <t>ratu dazymas evo 160+pvm</t>
  </si>
  <si>
    <t>IDE006859</t>
  </si>
  <si>
    <t>dave medaus 1vnt 2021-07-05</t>
  </si>
  <si>
    <t>dvirkos sakes remontas gl  32eur</t>
  </si>
  <si>
    <t>dave medaus uz 10eur</t>
  </si>
  <si>
    <t>auris rato klijavimas</t>
  </si>
  <si>
    <t>m240i</t>
  </si>
  <si>
    <t>75w90 gear Ls 2x po 20eur</t>
  </si>
  <si>
    <t>diffo tepalo keitimas</t>
  </si>
  <si>
    <t xml:space="preserve">donatas siurna </t>
  </si>
  <si>
    <t>IDE006809</t>
  </si>
  <si>
    <t>goodyear f1 asymm 5 xl</t>
  </si>
  <si>
    <t>pulmanis ernestas cepulis</t>
  </si>
  <si>
    <t xml:space="preserve">IDE006758           </t>
  </si>
  <si>
    <t>175/55r20</t>
  </si>
  <si>
    <t>nankang?</t>
  </si>
  <si>
    <r>
      <rPr>
        <rFont val="Verdana, Helvetica, sans-serif"/>
        <color rgb="FF6D6D6D"/>
        <sz val="9.0"/>
        <u/>
      </rPr>
      <t>600.3234.20</t>
    </r>
    <r>
      <rPr>
        <rFont val="Verdana, Helvetica, sans-serif"/>
        <color rgb="FF000000"/>
        <sz val="9.0"/>
      </rPr>
      <t xml:space="preserve"> 2x20eur</t>
    </r>
  </si>
  <si>
    <t>FDB1788  24eur</t>
  </si>
  <si>
    <t>NF01-13-257A 2x13eur</t>
  </si>
  <si>
    <t>N3G114631  2x 50eur</t>
  </si>
  <si>
    <t>rolandas ratlis</t>
  </si>
  <si>
    <t>Arvydas Jansevičius  dspro</t>
  </si>
  <si>
    <t>IDE006964</t>
  </si>
  <si>
    <t>zapaskes paskola ir montazkes</t>
  </si>
  <si>
    <t>dviracio sakes servisas sake 12eur salnikai+darbas kazkiek</t>
  </si>
  <si>
    <t>goodyear f1 asymm5</t>
  </si>
  <si>
    <t>Gediminas Bakšys</t>
  </si>
  <si>
    <t>IDE006856</t>
  </si>
  <si>
    <t>IDE006832</t>
  </si>
  <si>
    <t>IDE006743</t>
  </si>
  <si>
    <t>295/30r22</t>
  </si>
  <si>
    <t>dunlop sportmaxx</t>
  </si>
  <si>
    <t>MB Pauresta Ernestas Rozenbergas ernestas@pauresta.lt</t>
  </si>
  <si>
    <t>IDE006756</t>
  </si>
  <si>
    <t>ratu siunta is kns i vln</t>
  </si>
  <si>
    <t>sava suv 2</t>
  </si>
  <si>
    <t>84eur+montazke</t>
  </si>
  <si>
    <t>IDE006947</t>
  </si>
  <si>
    <t>sava hp2  xl</t>
  </si>
  <si>
    <t>toyota auris montazke?</t>
  </si>
  <si>
    <t>552 400 047 varta c22 64eur</t>
  </si>
  <si>
    <t>emilijos tevas genadijus skoda fabia</t>
  </si>
  <si>
    <t>185/60r14</t>
  </si>
  <si>
    <t>genadijus emilijos tevas</t>
  </si>
  <si>
    <t>po 55eur</t>
  </si>
  <si>
    <t>140/80b17</t>
  </si>
  <si>
    <t>michelin commander 2</t>
  </si>
  <si>
    <t>zilvinas ribaltavicius nemesis  siust i klp?</t>
  </si>
  <si>
    <t>IDE006759</t>
  </si>
  <si>
    <t>170/80b15</t>
  </si>
  <si>
    <t>nexen winguard</t>
  </si>
  <si>
    <t>Zilvinas Rocevicius &lt;Zilvinas.Rocevicius@moller.lt literna</t>
  </si>
  <si>
    <t>IDE006757</t>
  </si>
  <si>
    <t>hankook s1 evo2 suv</t>
  </si>
  <si>
    <t>IDE006820</t>
  </si>
  <si>
    <t>sarunas zagaras</t>
  </si>
  <si>
    <t>IDE006760</t>
  </si>
  <si>
    <t>Termostatas</t>
  </si>
  <si>
    <t>39226   36eur</t>
  </si>
  <si>
    <t>antifryzo 5L motul 20eur</t>
  </si>
  <si>
    <t>501 pervede</t>
  </si>
  <si>
    <t>TH 5 75  20eur</t>
  </si>
  <si>
    <t>darbas 80eur</t>
  </si>
  <si>
    <t>A205 334 03 00 240eur</t>
  </si>
  <si>
    <t>dada deividas vileniskis</t>
  </si>
  <si>
    <t>uzpasauga ir keitima</t>
  </si>
  <si>
    <t>IDE006843</t>
  </si>
  <si>
    <t>skado medis Darius Araminas jonas sakaitis</t>
  </si>
  <si>
    <t>67.57 + 4+pvm</t>
  </si>
  <si>
    <t>IDE006765</t>
  </si>
  <si>
    <t>33eur +kurjeris</t>
  </si>
  <si>
    <t xml:space="preserve">kipras i klaipeda  302525672  laimingas kelias uab
</t>
  </si>
  <si>
    <t>149eur + kurjeris</t>
  </si>
  <si>
    <t>IDE006796</t>
  </si>
  <si>
    <t>michelin acoustic</t>
  </si>
  <si>
    <t>kipras i klaipeda</t>
  </si>
  <si>
    <t>240+5eur</t>
  </si>
  <si>
    <t>keitimas priekiniu</t>
  </si>
  <si>
    <t>145 040-SX  12eur kalades</t>
  </si>
  <si>
    <t>AK-AP61001</t>
  </si>
  <si>
    <t>autostar akumas 110ah  67eur</t>
  </si>
  <si>
    <t>oil filter P08154</t>
  </si>
  <si>
    <t>wix 49883 air filter</t>
  </si>
  <si>
    <t>aivaras interlux mersas  jtr371</t>
  </si>
  <si>
    <t>153eur IDE006927</t>
  </si>
  <si>
    <t>maxxis m6029</t>
  </si>
  <si>
    <t>mantas cereska mcereska1@gmail.com</t>
  </si>
  <si>
    <t>03.3556-1094.2  15eur</t>
  </si>
  <si>
    <t>goodyear f1 asymm 2 ROF</t>
  </si>
  <si>
    <t>darius kretinga</t>
  </si>
  <si>
    <t>IDE006838</t>
  </si>
  <si>
    <t>A44740154007X44</t>
  </si>
  <si>
    <t>275+pvm IDE006927</t>
  </si>
  <si>
    <t>reik israsyt jam kreditine</t>
  </si>
  <si>
    <t>F 026 407 123 12eur</t>
  </si>
  <si>
    <t xml:space="preserve">lx2796/1 30eur  </t>
  </si>
  <si>
    <t>kl169/4d 24eur</t>
  </si>
  <si>
    <t>donatas siurna bmw 530xd</t>
  </si>
  <si>
    <t xml:space="preserve"> 7l xclean+ tepalai</t>
  </si>
  <si>
    <t>CUK 2533-2  49eur</t>
  </si>
  <si>
    <t>AK-SE95807</t>
  </si>
  <si>
    <t>akumas sznajder 80ah</t>
  </si>
  <si>
    <t>Jonas Pazereckas &lt;jonas.pazereckas@gmail.com</t>
  </si>
  <si>
    <t xml:space="preserve">IDE006768 </t>
  </si>
  <si>
    <t>pirelli pzero bl</t>
  </si>
  <si>
    <t>IDE006936</t>
  </si>
  <si>
    <t>martynas aidukas zilvinas ribaltavicius</t>
  </si>
  <si>
    <t xml:space="preserve">IDE006769 </t>
  </si>
  <si>
    <t>paulius balciunas agne balciunaite</t>
  </si>
  <si>
    <t>sailun atrelite</t>
  </si>
  <si>
    <t>IDE006772</t>
  </si>
  <si>
    <t>2xdf4459 po 34.27</t>
  </si>
  <si>
    <t>gic210</t>
  </si>
  <si>
    <t>gdb1559  36.09eur</t>
  </si>
  <si>
    <t>rafal.jankovski@dofa.lt</t>
  </si>
  <si>
    <t xml:space="preserve">IDE006771 </t>
  </si>
  <si>
    <t>2xdf4450  po 31eur</t>
  </si>
  <si>
    <t>gic207</t>
  </si>
  <si>
    <t>gdb2050   30eur</t>
  </si>
  <si>
    <t>gy perf+</t>
  </si>
  <si>
    <t>PAG0017</t>
  </si>
  <si>
    <t>275/35r18</t>
  </si>
  <si>
    <t>Mindaugas Sederevicius &lt;mindatas@gmail.com</t>
  </si>
  <si>
    <t>132+pvm</t>
  </si>
  <si>
    <t>100+pvm</t>
  </si>
  <si>
    <t>152eur+montazka ir pasauga</t>
  </si>
  <si>
    <t>IDE006801</t>
  </si>
  <si>
    <t>Tourador X ALL CLIMATE VAN 115/113S</t>
  </si>
  <si>
    <t>dunlop sportmaxx rt</t>
  </si>
  <si>
    <t>vilius paras</t>
  </si>
  <si>
    <t>IDE006775</t>
  </si>
  <si>
    <t>335/25r22</t>
  </si>
  <si>
    <t>2.5-10</t>
  </si>
  <si>
    <t>maxxis m7304</t>
  </si>
  <si>
    <t>arn406@gmail.com  vitalijus markovskis</t>
  </si>
  <si>
    <t>IDE006773</t>
  </si>
  <si>
    <t>fiat ducato sniuras i rata</t>
  </si>
  <si>
    <t>tomas mingela interlux feo120</t>
  </si>
  <si>
    <t>IDE006931</t>
  </si>
  <si>
    <t>effciientgrip cargo</t>
  </si>
  <si>
    <t>IDE006802</t>
  </si>
  <si>
    <t>effciientgrip XL</t>
  </si>
  <si>
    <t>IDE006774</t>
  </si>
  <si>
    <t xml:space="preserve">goodyear efficientgrip perf </t>
  </si>
  <si>
    <t xml:space="preserve">205/60r16 </t>
  </si>
  <si>
    <t>efficient grip perf 2</t>
  </si>
  <si>
    <t>michelin latitude 3 acoustic</t>
  </si>
  <si>
    <t xml:space="preserve">IDE006782 </t>
  </si>
  <si>
    <t xml:space="preserve">IDE006941 </t>
  </si>
  <si>
    <t>IDE006827</t>
  </si>
  <si>
    <t>raimundas sakalauskas silvinas Sakalauskas</t>
  </si>
  <si>
    <t>IDE006840</t>
  </si>
  <si>
    <t>IDE006940</t>
  </si>
  <si>
    <t>dainius@dotronika.lt</t>
  </si>
  <si>
    <t>IDE006842</t>
  </si>
  <si>
    <t>VO-LS-1870 2x 13eur</t>
  </si>
  <si>
    <t>RP111431  15eur</t>
  </si>
  <si>
    <t>triangle AdvantxSUV TR259</t>
  </si>
  <si>
    <t>IDE006952</t>
  </si>
  <si>
    <t>goodride z-107</t>
  </si>
  <si>
    <t>andrej andrejav darius stiklita</t>
  </si>
  <si>
    <t>IDE006918</t>
  </si>
  <si>
    <t>thule 230eur</t>
  </si>
  <si>
    <t>elmantas latkauskas</t>
  </si>
  <si>
    <t xml:space="preserve">IDE006966 </t>
  </si>
  <si>
    <t>159eur</t>
  </si>
  <si>
    <t>IDE006906</t>
  </si>
  <si>
    <t>IDE006950</t>
  </si>
  <si>
    <t>pirelli sc verde si</t>
  </si>
  <si>
    <t xml:space="preserve">Aurimas Eidziunas &lt;aurimas@eidziunas.com UAB GALILEAS </t>
  </si>
  <si>
    <t>IDE006780</t>
  </si>
  <si>
    <t xml:space="preserve">IDE006968 </t>
  </si>
  <si>
    <t>H2B024 BTA  29eur</t>
  </si>
  <si>
    <t>karolis noslow</t>
  </si>
  <si>
    <t>5eur skola</t>
  </si>
  <si>
    <t>hankook k115</t>
  </si>
  <si>
    <t>LDC094  100eur</t>
  </si>
  <si>
    <t>IDE006967</t>
  </si>
  <si>
    <t>70.5eur</t>
  </si>
  <si>
    <t>hankkook s1 evo 3</t>
  </si>
  <si>
    <t>Tomas Kaškonas &lt;tomas.kaskonas@sb.lt AB Šiaulių bankas</t>
  </si>
  <si>
    <t>IDE006811</t>
  </si>
  <si>
    <t>VentS1Evo3 Pada 113Y AO K127A</t>
  </si>
  <si>
    <t>Tomas Kaškonas &lt;tomas.kaskonas@sb.lt</t>
  </si>
  <si>
    <t>Hankook s1 evo3</t>
  </si>
  <si>
    <t>Tomas Kaškonas &lt;tomas.kaskonas@sb.lt  mindaugas</t>
  </si>
  <si>
    <t xml:space="preserve">IDE006848  </t>
  </si>
  <si>
    <t>dazytu cvieko ratu montazke, semi-slick +2vnt seni cvieko ratai</t>
  </si>
  <si>
    <t>supersport montazke ant dazytu ratu</t>
  </si>
  <si>
    <t>AK-EL600</t>
  </si>
  <si>
    <t>akumas</t>
  </si>
  <si>
    <t>PAULIUS MACIJAUSKAS pauliumas@yahoo.com +37069825296</t>
  </si>
  <si>
    <t>IDE006798</t>
  </si>
  <si>
    <t>150/70-17</t>
  </si>
  <si>
    <t>mitas e-08 1500701704619908569</t>
  </si>
  <si>
    <t>Tomas Kasperavicius</t>
  </si>
  <si>
    <t>IDE006791</t>
  </si>
  <si>
    <t>IDE006795</t>
  </si>
  <si>
    <t>205/80r16</t>
  </si>
  <si>
    <t>toyo at plus</t>
  </si>
  <si>
    <t>IDE006939</t>
  </si>
  <si>
    <t>rotalla rf10</t>
  </si>
  <si>
    <t>225/70r16</t>
  </si>
  <si>
    <t>taurus suv</t>
  </si>
  <si>
    <t>antanas barasnevius dvtechnika</t>
  </si>
  <si>
    <t>IDE006794</t>
  </si>
  <si>
    <t>868257777 is sms  aleksandras kozlovas</t>
  </si>
  <si>
    <t>124eur, montazke 23-25eur</t>
  </si>
  <si>
    <t>IDE006847</t>
  </si>
  <si>
    <t>mykolas Raciunas Tevams</t>
  </si>
  <si>
    <t>M14x1.25x28.2mmx17 60kon McGard droš.skr.kom.BLACK</t>
  </si>
  <si>
    <t>DK-MC-27226SUB</t>
  </si>
  <si>
    <t>IDE006907</t>
  </si>
  <si>
    <t>ratu montazke ir pasauga</t>
  </si>
  <si>
    <t>varztu 16vnt</t>
  </si>
  <si>
    <t>klijavimas velykinis ir du permontavimai</t>
  </si>
  <si>
    <t>255/30r19</t>
  </si>
  <si>
    <t>firemax fm601</t>
  </si>
  <si>
    <t>IDE006902</t>
  </si>
  <si>
    <t>Vytautas Žarnauskas &lt;v.zarnauskas@gmail.com</t>
  </si>
  <si>
    <t>58eur ir montazke</t>
  </si>
  <si>
    <t>IDE006793</t>
  </si>
  <si>
    <t>IDE006866</t>
  </si>
  <si>
    <t>nerijus muzzle</t>
  </si>
  <si>
    <t>IDE006799  JDM006</t>
  </si>
  <si>
    <t>IDE006813</t>
  </si>
  <si>
    <t>Lukas Radišauskas</t>
  </si>
  <si>
    <t>81eur +montazke</t>
  </si>
  <si>
    <t xml:space="preserve">0PB115466  1x 22eur </t>
  </si>
  <si>
    <t>FP 2450 23eur</t>
  </si>
  <si>
    <t>mantas jastremskas macan</t>
  </si>
  <si>
    <t>95b129620 2vnt po 37eur</t>
  </si>
  <si>
    <t>gic389 po 9eur  2vnt</t>
  </si>
  <si>
    <t>13.0460-4852.2  132eur</t>
  </si>
  <si>
    <t>tepalu keitimas ir filtru 2021-07-01</t>
  </si>
  <si>
    <t>xmax 0w40 2vnt po 5L</t>
  </si>
  <si>
    <t>1 457 429 269 8eur</t>
  </si>
  <si>
    <t>F 026 400 356  15eur</t>
  </si>
  <si>
    <t>LAO812  25eur</t>
  </si>
  <si>
    <t>paulius valiukevicius bmw2</t>
  </si>
  <si>
    <t>xclean+ is backos 6.5L</t>
  </si>
  <si>
    <t>rastafkes + varztai i gala(neirasyta i sask</t>
  </si>
  <si>
    <t>montazke 2vnt padangu</t>
  </si>
  <si>
    <t>3 397 014 123  20eyur</t>
  </si>
  <si>
    <t>keitimas filtru tepalu</t>
  </si>
  <si>
    <t>JR ratai po 206eur?</t>
  </si>
  <si>
    <t>bmw r20 ratai</t>
  </si>
  <si>
    <t>IDE006821</t>
  </si>
  <si>
    <t>862447972 is sms marius pilkauskas</t>
  </si>
  <si>
    <t>tomas zitikis vytenis kabalinskas Indra Kalvionytė ???</t>
  </si>
  <si>
    <t>67+montazke</t>
  </si>
  <si>
    <t>thule ridealong 110eur</t>
  </si>
  <si>
    <t>https://www.thule.com/en-lt/bike-rack/towbar-bike-racks/thule-velocompact-2-7-pin-_-925</t>
  </si>
  <si>
    <t>simas emarketas grebliunas</t>
  </si>
  <si>
    <t>IDE006998</t>
  </si>
  <si>
    <t>dunlop wintersport5</t>
  </si>
  <si>
    <t>goodyear f1 asymm5 SCT</t>
  </si>
  <si>
    <t>algimantas paskevicius 867314799</t>
  </si>
  <si>
    <t>x6 montzke</t>
  </si>
  <si>
    <t>jaguar montazke</t>
  </si>
  <si>
    <t>rysard airbog</t>
  </si>
  <si>
    <t>IDE006783</t>
  </si>
  <si>
    <t>DF4558 2x 25eur</t>
  </si>
  <si>
    <t>GDB1763  30eur</t>
  </si>
  <si>
    <t>keitimas stabdziu  galiniu</t>
  </si>
  <si>
    <t>IDE007059</t>
  </si>
  <si>
    <t>raimis sparco raimundas slaboske</t>
  </si>
  <si>
    <t>IDE006803</t>
  </si>
  <si>
    <t>zilvinas ribaltavicius nemesis  martynas aidukas</t>
  </si>
  <si>
    <t>IDE006800</t>
  </si>
  <si>
    <t>178+pvm montazke IDE006937</t>
  </si>
  <si>
    <t>Agnius Marcinkevicius</t>
  </si>
  <si>
    <t>41eur montazke</t>
  </si>
  <si>
    <t>headway hh301</t>
  </si>
  <si>
    <t>54eur  montazke</t>
  </si>
  <si>
    <t>90-100-12</t>
  </si>
  <si>
    <t>mitas c20</t>
  </si>
  <si>
    <t>juta servis email</t>
  </si>
  <si>
    <t>IDE006804</t>
  </si>
  <si>
    <t>andrius misevicius</t>
  </si>
  <si>
    <t>bmw tepalu keitimas ir filtru oro</t>
  </si>
  <si>
    <t>padangu keitimas,pasauga</t>
  </si>
  <si>
    <t>per zavala vaziavimas i regitra :D</t>
  </si>
  <si>
    <t>mantas jastremskas  bmw m5</t>
  </si>
  <si>
    <t>mantas jastremskas  porsche macan</t>
  </si>
  <si>
    <t>IDE006824</t>
  </si>
  <si>
    <t>48eur</t>
  </si>
  <si>
    <t>IDE006810</t>
  </si>
  <si>
    <t>5114+4272180080 Disks Momo Revenge Matt Anth</t>
  </si>
  <si>
    <t>IDE006839</t>
  </si>
  <si>
    <t>nav romas kuklys</t>
  </si>
  <si>
    <t>po 30eur IDE006933</t>
  </si>
  <si>
    <t>dunlop streetresponse 2</t>
  </si>
  <si>
    <t>Ramunas Vaidelis vaidelisramunas@gmail.com</t>
  </si>
  <si>
    <t>IDE006814</t>
  </si>
  <si>
    <t>bridgestone ep150</t>
  </si>
  <si>
    <t>IDE006830</t>
  </si>
  <si>
    <t>dyna mu02</t>
  </si>
  <si>
    <t>861555563 diverus? is sms   montazke</t>
  </si>
  <si>
    <t>IDE006822</t>
  </si>
  <si>
    <t>justas krasuckis norameda  JDD251</t>
  </si>
  <si>
    <t>IDE006815</t>
  </si>
  <si>
    <t>460.1555.52</t>
  </si>
  <si>
    <t>460.1554.52</t>
  </si>
  <si>
    <t>po 135eur</t>
  </si>
  <si>
    <t>stabdziu keitimas 2h per zavala</t>
  </si>
  <si>
    <t>100.3358.52 2vnt po 78eur</t>
  </si>
  <si>
    <t>keitimas 40+30eur</t>
  </si>
  <si>
    <t>IDE006823</t>
  </si>
  <si>
    <t>JCK553 montazke</t>
  </si>
  <si>
    <t>montazke ford JNG413 ?</t>
  </si>
  <si>
    <t>lag152 montazke fordo</t>
  </si>
  <si>
    <t>kpt153 fordas montazke  busas</t>
  </si>
  <si>
    <t>stiklita montazke 2021-04-12</t>
  </si>
  <si>
    <t>Lmy319 stiklita</t>
  </si>
  <si>
    <t xml:space="preserve">IDE006826 </t>
  </si>
  <si>
    <t>IDE006835</t>
  </si>
  <si>
    <t>IDE006818</t>
  </si>
  <si>
    <t>daiva bubiniene</t>
  </si>
  <si>
    <t>IDE006875</t>
  </si>
  <si>
    <t>IDE006905</t>
  </si>
  <si>
    <t>uniroyal rainexpert 3</t>
  </si>
  <si>
    <t>ricardas nosevicius</t>
  </si>
  <si>
    <t>IDE006885</t>
  </si>
  <si>
    <t>mindaugas min jastremsko</t>
  </si>
  <si>
    <t>edvinas strimaitis   montazke?</t>
  </si>
  <si>
    <t>0.5l tepalo juke xclean+</t>
  </si>
  <si>
    <t>IDE006934</t>
  </si>
  <si>
    <t>hjj815 nav su montazke</t>
  </si>
  <si>
    <t>dfp487 nav su montazke</t>
  </si>
  <si>
    <t>IDE006867</t>
  </si>
  <si>
    <t>IDE006876</t>
  </si>
  <si>
    <t>karolis namelis</t>
  </si>
  <si>
    <t>IDE006890</t>
  </si>
  <si>
    <t>giedrius stanulis audis</t>
  </si>
  <si>
    <t>IDE006846</t>
  </si>
  <si>
    <t>Tomas Medeika (WAGO) &lt;tomas@instabalt.lt</t>
  </si>
  <si>
    <t>IDE006844</t>
  </si>
  <si>
    <t>IDE006853</t>
  </si>
  <si>
    <t>IDE007025</t>
  </si>
  <si>
    <t>donatas diverus porsche 911</t>
  </si>
  <si>
    <t>balansas cup2ratu IDE007025</t>
  </si>
  <si>
    <t>IDE006828</t>
  </si>
  <si>
    <t>micha 4s</t>
  </si>
  <si>
    <t>Andrius Virbickas &lt;andrius.virbickas1@gmail.com</t>
  </si>
  <si>
    <t>196eur</t>
  </si>
  <si>
    <t>goodyear efficiengrip</t>
  </si>
  <si>
    <t>Elita Ere &lt;elita.ere@gmail.com</t>
  </si>
  <si>
    <t>po 85eur ir montazke</t>
  </si>
  <si>
    <t>falken fk510suv</t>
  </si>
  <si>
    <t>tomas greenmotion bms technologija</t>
  </si>
  <si>
    <t>IDE006891</t>
  </si>
  <si>
    <t>66.5eur</t>
  </si>
  <si>
    <t>2021-04men</t>
  </si>
  <si>
    <t>ratu keitimas pasauga</t>
  </si>
  <si>
    <t>3 397 007 862  20eur</t>
  </si>
  <si>
    <t>ADBLUE 10L 7eur?</t>
  </si>
  <si>
    <t>taurus hp</t>
  </si>
  <si>
    <t>dunlop sportmaxx gt rof</t>
  </si>
  <si>
    <t>IDE006836</t>
  </si>
  <si>
    <t>tautvydas slyzius</t>
  </si>
  <si>
    <t>IDE006877</t>
  </si>
  <si>
    <t>erikas instabalt</t>
  </si>
  <si>
    <t>IDE006837</t>
  </si>
  <si>
    <t>marius zalensas</t>
  </si>
  <si>
    <t xml:space="preserve">IDE006851 </t>
  </si>
  <si>
    <t>75.5+pvm ir montazke IDE006899</t>
  </si>
  <si>
    <t>goodyear effiicientgrip perf 2</t>
  </si>
  <si>
    <t>laima puidokiene rieses seimos klinika</t>
  </si>
  <si>
    <t>IDE006855</t>
  </si>
  <si>
    <t>montazke ir padangos</t>
  </si>
  <si>
    <t>rato klijavimas su montzke</t>
  </si>
  <si>
    <t>milvita jurgis montazke subaru</t>
  </si>
  <si>
    <t>IDE007196</t>
  </si>
  <si>
    <t>nexen nfera ru1</t>
  </si>
  <si>
    <t>IDE006892</t>
  </si>
  <si>
    <t>IDE006854</t>
  </si>
  <si>
    <t>FP 1919  15eur</t>
  </si>
  <si>
    <t>F 026 400 176  15eur</t>
  </si>
  <si>
    <t>F 026 402 115  7.59eur</t>
  </si>
  <si>
    <t>F 026 407 090  5.23eur IDE006934</t>
  </si>
  <si>
    <t>8100 X-CLEAN EFE 5W-30</t>
  </si>
  <si>
    <t>6 litrai 5+1   35+8.5eur</t>
  </si>
  <si>
    <t>90/100-12</t>
  </si>
  <si>
    <t>jutas servis &lt;jutas.servis@gmail.com</t>
  </si>
  <si>
    <t>andrej andrejav                                     66-67eur viena(265eur?)</t>
  </si>
  <si>
    <t>andzejka montavosi 2+1 masinas?</t>
  </si>
  <si>
    <t>dave 310eur</t>
  </si>
  <si>
    <t>montazke fordo ir toyota</t>
  </si>
  <si>
    <t>IDE006946</t>
  </si>
  <si>
    <t>valdas valiukevicius montazke a6</t>
  </si>
  <si>
    <t>IDE006894</t>
  </si>
  <si>
    <t>stabdziu skystis 30eur dvi bonkos</t>
  </si>
  <si>
    <t>paulius valiukevicius  bmw2</t>
  </si>
  <si>
    <t>Mindaugas, Geomina &lt;info@geomina.lt</t>
  </si>
  <si>
    <t>IDE006841</t>
  </si>
  <si>
    <t>michelin road 5</t>
  </si>
  <si>
    <t>dave 560eur+100</t>
  </si>
  <si>
    <t>xclean+ is backos</t>
  </si>
  <si>
    <t>C 28 043  15eur</t>
  </si>
  <si>
    <t>0 451 103 318  5eur</t>
  </si>
  <si>
    <t>tautvydas vileniskis     keitimas</t>
  </si>
  <si>
    <t>FP 26 009  15eur</t>
  </si>
  <si>
    <t>ljf804 arunas alterna skoda montazke</t>
  </si>
  <si>
    <t>IDE006873</t>
  </si>
  <si>
    <t>dave60eur uz laidus kompo</t>
  </si>
  <si>
    <t>IDE006895</t>
  </si>
  <si>
    <t>Bidva Žygimantas</t>
  </si>
  <si>
    <t>IDE006845</t>
  </si>
  <si>
    <t>ratlankiai bmw juodi china</t>
  </si>
  <si>
    <t>tomas sneidaraitis  nav</t>
  </si>
  <si>
    <t>IDE006897</t>
  </si>
  <si>
    <t>rytis buzelis</t>
  </si>
  <si>
    <t>35eur+montazke</t>
  </si>
  <si>
    <t xml:space="preserve">goodyear f1 </t>
  </si>
  <si>
    <t>IDE006869</t>
  </si>
  <si>
    <t>1000901904613073557FWW</t>
  </si>
  <si>
    <t>aurimas vaitkevicius</t>
  </si>
  <si>
    <t>IDE006849</t>
  </si>
  <si>
    <t>1400901504613073570RWW</t>
  </si>
  <si>
    <t>1l 0w40 xmax  10eur</t>
  </si>
  <si>
    <t>IDE008249</t>
  </si>
  <si>
    <t>81 92 6587   20vnt</t>
  </si>
  <si>
    <t xml:space="preserve">ziedai 4eur </t>
  </si>
  <si>
    <t>civico ratu montazke evo swap su extrymais</t>
  </si>
  <si>
    <t>dvieju ratu montazke porsche</t>
  </si>
  <si>
    <t>daug sroto montazkes, 10 ratu</t>
  </si>
  <si>
    <t>montazke supersportu 4vnt pors be masinos</t>
  </si>
  <si>
    <t>goodyear efficientgrip perf 2 suv</t>
  </si>
  <si>
    <t>IDE006861</t>
  </si>
  <si>
    <t>pilaitej arturka veze</t>
  </si>
  <si>
    <t>DS-AT-W10X-80853V13-5</t>
  </si>
  <si>
    <t>alutec r18</t>
  </si>
  <si>
    <t>jonas samolenas   868674279</t>
  </si>
  <si>
    <t>197eur</t>
  </si>
  <si>
    <t>jonas samolenas  dave 340eur</t>
  </si>
  <si>
    <t>gedmantas kropis</t>
  </si>
  <si>
    <t>104+montazke</t>
  </si>
  <si>
    <t>lukas talacka</t>
  </si>
  <si>
    <t>190eur.   pervede 370e 2022-02-01</t>
  </si>
  <si>
    <t>pasauga, montazke 20+15</t>
  </si>
  <si>
    <t>dave 40eur</t>
  </si>
  <si>
    <t>marijus kebla Vytautas Barsys</t>
  </si>
  <si>
    <t>IDE006871 su montazke</t>
  </si>
  <si>
    <t>lempa 505eur</t>
  </si>
  <si>
    <t>egle laurinavice kaimyne montazke q7</t>
  </si>
  <si>
    <t>lempa ir jos keitimas</t>
  </si>
  <si>
    <t>bridgestone t001</t>
  </si>
  <si>
    <t>interlux  KOD506 mercedes nav</t>
  </si>
  <si>
    <t>IDE006919</t>
  </si>
  <si>
    <t>montazke opel</t>
  </si>
  <si>
    <t>IDE006937</t>
  </si>
  <si>
    <t>michelin latitude cross</t>
  </si>
  <si>
    <t>IDE006896</t>
  </si>
  <si>
    <t>206eur+montazke 1 IDE006933</t>
  </si>
  <si>
    <t>traktoriaus padangos</t>
  </si>
  <si>
    <t>IDE006921</t>
  </si>
  <si>
    <t>montazke buso</t>
  </si>
  <si>
    <t>montazke polo</t>
  </si>
  <si>
    <t>IDE006949</t>
  </si>
  <si>
    <t>evelina jolanta maciuliene</t>
  </si>
  <si>
    <t>IDE006874</t>
  </si>
  <si>
    <t xml:space="preserve">triangle </t>
  </si>
  <si>
    <t>justas straksys  ratu dazymas 150+20</t>
  </si>
  <si>
    <t>padangos 270</t>
  </si>
  <si>
    <t>justas straksys   zapaskes virinimas 15eur</t>
  </si>
  <si>
    <t>ricardas airbog   rysard</t>
  </si>
  <si>
    <r>
      <rPr/>
      <t xml:space="preserve">aurimas </t>
    </r>
    <r>
      <rPr>
        <color rgb="FF1155CC"/>
        <u/>
      </rPr>
      <t>mhm.lt</t>
    </r>
  </si>
  <si>
    <t>IDE006887</t>
  </si>
  <si>
    <t>HU 713/1 X  5.5eur</t>
  </si>
  <si>
    <t>LIM2316 5W30 5L+1L   55.5eur</t>
  </si>
  <si>
    <t>IDE006898</t>
  </si>
  <si>
    <t>140/60-13</t>
  </si>
  <si>
    <t>pirelli moto</t>
  </si>
  <si>
    <t>De Mesys &lt;vokiskeliai@gmail.com  Antanas Kliuzas</t>
  </si>
  <si>
    <t>IDE006878</t>
  </si>
  <si>
    <t>exide akumai 115ah</t>
  </si>
  <si>
    <t>uab beltus giedrius</t>
  </si>
  <si>
    <t>IDE006879</t>
  </si>
  <si>
    <t>mitas</t>
  </si>
  <si>
    <t>Raimondas Juodziukynas</t>
  </si>
  <si>
    <t>IDE006881</t>
  </si>
  <si>
    <t>laimis kvietkauskas  8699 68504</t>
  </si>
  <si>
    <t>107+montaz</t>
  </si>
  <si>
    <t>IDE006957</t>
  </si>
  <si>
    <t>goodyear f1 asymm3 rof</t>
  </si>
  <si>
    <t>nuo agniaus 864573233</t>
  </si>
  <si>
    <t>279eur+montazke</t>
  </si>
  <si>
    <t>zilvinas xenon Albinas Kuncevičius</t>
  </si>
  <si>
    <t>122+montazke?</t>
  </si>
  <si>
    <t>michelin ps3 mo</t>
  </si>
  <si>
    <t>IDE006903</t>
  </si>
  <si>
    <t>leonid gurskij lirenta</t>
  </si>
  <si>
    <t>64.26eur</t>
  </si>
  <si>
    <t>IDE006904</t>
  </si>
  <si>
    <t>dyna</t>
  </si>
  <si>
    <t>70.73eur</t>
  </si>
  <si>
    <t>215/75r16</t>
  </si>
  <si>
    <t>sailun vx1</t>
  </si>
  <si>
    <t>63.30eur</t>
  </si>
  <si>
    <t>rotalla rf09</t>
  </si>
  <si>
    <t>53.79eur</t>
  </si>
  <si>
    <t>hankook k127a</t>
  </si>
  <si>
    <t>Aurimas &lt;aurimas@eidziunas.com</t>
  </si>
  <si>
    <t>IDE006893</t>
  </si>
  <si>
    <t>Aurimas &lt;aurimas@eidziunas.com  galileas</t>
  </si>
  <si>
    <t>debica frigo 2 ms</t>
  </si>
  <si>
    <t>CORDIANT OFF ROAD OS-501 102Q</t>
  </si>
  <si>
    <t xml:space="preserve">valdas valiukevicius </t>
  </si>
  <si>
    <t>michelin ps4 scoustic</t>
  </si>
  <si>
    <t>222eur  ide006900</t>
  </si>
  <si>
    <t>60eur montazke</t>
  </si>
  <si>
    <t>IDE006938</t>
  </si>
  <si>
    <t>75eur montazke 2vnt be masinos</t>
  </si>
  <si>
    <t>tepalai ir keitimas</t>
  </si>
  <si>
    <t>04E 115 561H  15eur</t>
  </si>
  <si>
    <t>leonavicius lina tomas</t>
  </si>
  <si>
    <t>tepls 4*8</t>
  </si>
  <si>
    <t>3 397 007 638  23eur</t>
  </si>
  <si>
    <t>giedre lapenaite</t>
  </si>
  <si>
    <t>305/30r19</t>
  </si>
  <si>
    <t xml:space="preserve">dominykas kristis </t>
  </si>
  <si>
    <t>IDE006914</t>
  </si>
  <si>
    <t>275/55r19</t>
  </si>
  <si>
    <t>conti 4x4</t>
  </si>
  <si>
    <t>200eur  IDE006993  su montazke</t>
  </si>
  <si>
    <t>Mantas Čivilis &lt;A.MCI@crew.avionexpress.aero</t>
  </si>
  <si>
    <t>64eur</t>
  </si>
  <si>
    <t>keitimas kaladziu 20eur</t>
  </si>
  <si>
    <t>25028.180.1  61eur</t>
  </si>
  <si>
    <t>dave 500eur, nuorinta 10eur</t>
  </si>
  <si>
    <t>42129 01  28eur 2vnt</t>
  </si>
  <si>
    <t>42131 01  45eur  2vnt</t>
  </si>
  <si>
    <t>continental premiumcontact 6</t>
  </si>
  <si>
    <t>IDE006917</t>
  </si>
  <si>
    <t xml:space="preserve">IDE006911 </t>
  </si>
  <si>
    <t>aurimas nav interlux huv903</t>
  </si>
  <si>
    <t>montazke viennos IDE006931</t>
  </si>
  <si>
    <t>66+68+montazke</t>
  </si>
  <si>
    <t xml:space="preserve">kristijonas zaranka  </t>
  </si>
  <si>
    <t>45eur ir montazke</t>
  </si>
  <si>
    <t>Baltic Virtual Assistants, UAB 864770357</t>
  </si>
  <si>
    <t>IDE006916</t>
  </si>
  <si>
    <t>Baltic Virtual Assistants, UAB 864770357 Andzej RYNKEVIC</t>
  </si>
  <si>
    <t>montazke bus ar ne?</t>
  </si>
  <si>
    <t>IDE006915</t>
  </si>
  <si>
    <t>IDE006980</t>
  </si>
  <si>
    <t>lina leonaviciute</t>
  </si>
  <si>
    <t>stabdziai priekepe</t>
  </si>
  <si>
    <t>bmw x1 ratu balansas</t>
  </si>
  <si>
    <t>IDE007011</t>
  </si>
  <si>
    <t>402290  15eur</t>
  </si>
  <si>
    <t>suporto remontas</t>
  </si>
  <si>
    <t>elektros remontas</t>
  </si>
  <si>
    <t>wurht 27eur  IDE007011</t>
  </si>
  <si>
    <t xml:space="preserve">72eur  </t>
  </si>
  <si>
    <t>FP 2641  30eur</t>
  </si>
  <si>
    <t>OX 787D  9eur</t>
  </si>
  <si>
    <t>KL 1102   22eur  LX 2607/2  19eur</t>
  </si>
  <si>
    <t>tepalas is backos IDE007202</t>
  </si>
  <si>
    <t>keitimas IDE007202</t>
  </si>
  <si>
    <t>padangu keitimas, pasauga</t>
  </si>
  <si>
    <t>bako atidarymas /???</t>
  </si>
  <si>
    <t>4L0862153D  40eur</t>
  </si>
  <si>
    <t>IDE007202</t>
  </si>
  <si>
    <t>86eur ir montazke</t>
  </si>
  <si>
    <t>AAL01041090</t>
  </si>
  <si>
    <t>652-655eur   dave 840eur</t>
  </si>
  <si>
    <t>mirage</t>
  </si>
  <si>
    <t>IDE006953</t>
  </si>
  <si>
    <t>GIC324  10eur</t>
  </si>
  <si>
    <t>13.0460-4852.2  65+pvm</t>
  </si>
  <si>
    <t>24.0134-0123.1</t>
  </si>
  <si>
    <t>IDE006987</t>
  </si>
  <si>
    <t>stabdziu skystis ir keitimas</t>
  </si>
  <si>
    <t>24.0134-0124.1</t>
  </si>
  <si>
    <t>24.0130-0222.1 2vnt po 93eur</t>
  </si>
  <si>
    <t>Mindaugas Čegys  info@geomina.lt</t>
  </si>
  <si>
    <t>IDE006935</t>
  </si>
  <si>
    <t>rysard airbog saskaita uz montazke evo</t>
  </si>
  <si>
    <t>IDE006990</t>
  </si>
  <si>
    <t>markizę 1200 3,75 X 2,50 m</t>
  </si>
  <si>
    <t>Giedrius Žilakauskis | e-Lab &lt;giedrius@e-lab.lt</t>
  </si>
  <si>
    <t>365eur  IDE006998</t>
  </si>
  <si>
    <t>Mantas golf gte ovidijaus porsche cayman s</t>
  </si>
  <si>
    <t>1987948141  4+pvm savik</t>
  </si>
  <si>
    <t>dirzelio keitimas</t>
  </si>
  <si>
    <t>1987947616   3.8+pvm savik</t>
  </si>
  <si>
    <t>greta.stalgyte@gmail.com nissan primera  +37069195389</t>
  </si>
  <si>
    <t>IDE006945</t>
  </si>
  <si>
    <t>IDE006961</t>
  </si>
  <si>
    <t>IDE006942</t>
  </si>
  <si>
    <t>OX 420D 7eur</t>
  </si>
  <si>
    <t>WK 6003  19eur</t>
  </si>
  <si>
    <t>LX 2049/4  12eur</t>
  </si>
  <si>
    <t>FP 2641  26eur</t>
  </si>
  <si>
    <t>tepalai 6.5l is backos  52eur</t>
  </si>
  <si>
    <t>pirelli cinturato p7</t>
  </si>
  <si>
    <t>Algirdas Valančius  Ingrida Valanciene</t>
  </si>
  <si>
    <t>IDE006944</t>
  </si>
  <si>
    <t>IDE006956</t>
  </si>
  <si>
    <t>maxxis  VictrSprt5</t>
  </si>
  <si>
    <t>tomas gluoksnis ultrabike ultro</t>
  </si>
  <si>
    <t>IDE006948</t>
  </si>
  <si>
    <t>ratu balansas troikes</t>
  </si>
  <si>
    <t>09.D766.11  2x59eur</t>
  </si>
  <si>
    <t>600.3263.20  2x30eur</t>
  </si>
  <si>
    <t>2Q0698151F  97eur</t>
  </si>
  <si>
    <t>2Q0 698 451 A   75eur</t>
  </si>
  <si>
    <t>disku keitimas po 10eur</t>
  </si>
  <si>
    <t>kaladziu keitimas po20</t>
  </si>
  <si>
    <t>stabdziu skyscio keit 30eur</t>
  </si>
  <si>
    <t>8V0407812 ir 8V0407811  po 20eur</t>
  </si>
  <si>
    <t>stabdziu skysti pakeist  25eur</t>
  </si>
  <si>
    <t>stabdziu skystis rbf 3bonkutes</t>
  </si>
  <si>
    <t>michelin 4s to</t>
  </si>
  <si>
    <t>IDE006951</t>
  </si>
  <si>
    <t>leonid gurskij</t>
  </si>
  <si>
    <t>IDE006955</t>
  </si>
  <si>
    <t>fulda cristall control</t>
  </si>
  <si>
    <t>Vitas &lt;vitmas@gmx.com&gt;</t>
  </si>
  <si>
    <t>4x100 R15x5.5 ET45 56.1 TL0397NW MB</t>
  </si>
  <si>
    <t>honda ratlankiai su verzlem</t>
  </si>
  <si>
    <t>pervede 280</t>
  </si>
  <si>
    <t>vygantas ragaisis dviraciu salonas</t>
  </si>
  <si>
    <t>raimundas sparco</t>
  </si>
  <si>
    <t>IDE006954</t>
  </si>
  <si>
    <t>goodyear f1asymm5</t>
  </si>
  <si>
    <t>Renatas &lt;renatas@gwg.lt</t>
  </si>
  <si>
    <t>IDE006958</t>
  </si>
  <si>
    <t>keitimas kaladziu priekis/galas su elektra</t>
  </si>
  <si>
    <t>13.0460-2765.2  78eru</t>
  </si>
  <si>
    <t>kuro bako varikliuko keitimas</t>
  </si>
  <si>
    <t>13.0460-2769.2  64eur</t>
  </si>
  <si>
    <t>passat varztu prisukimas 10-15eur</t>
  </si>
  <si>
    <t>montazke vieno rato a6, nauj padanga</t>
  </si>
  <si>
    <t>bmw7 klijavimas su montazke</t>
  </si>
  <si>
    <t>montaz?  reik pridet pasauga ir keitima is exelio</t>
  </si>
  <si>
    <t>IDE006959</t>
  </si>
  <si>
    <t>&lt;tomas.barkauskas79@gmail.com&gt;    po 55eur</t>
  </si>
  <si>
    <t>montazke 20</t>
  </si>
  <si>
    <t>29208 16vnt - 35eur</t>
  </si>
  <si>
    <t>&lt;tomas.barkauskas79@gmail.com&gt;</t>
  </si>
  <si>
    <t>H97W05 2vnt po 4.29eur</t>
  </si>
  <si>
    <t>C 28 023  15.96eur</t>
  </si>
  <si>
    <t>1 987 432 203  8.69eur</t>
  </si>
  <si>
    <t>6284 600 588   121.39eur</t>
  </si>
  <si>
    <t>0w40 8vnt po 2litrus motul v300</t>
  </si>
  <si>
    <t>exide agm 70ah</t>
  </si>
  <si>
    <t>ek700</t>
  </si>
  <si>
    <t>airbog ricardas</t>
  </si>
  <si>
    <t>IDE006989</t>
  </si>
  <si>
    <t>TOYO NanoEnrgy3 Pada 86T</t>
  </si>
  <si>
    <t>paul de mico mikolaitis</t>
  </si>
  <si>
    <t>IDE007044</t>
  </si>
  <si>
    <t>X-clean EFE 5W30 5L 38eur</t>
  </si>
  <si>
    <t>tepalu.filtru keitimas</t>
  </si>
  <si>
    <t>KYBSM1024  34eur ir keitimas 30</t>
  </si>
  <si>
    <t>KYB910047  22eur</t>
  </si>
  <si>
    <t>VKBA 3929  30eur+30keitimas</t>
  </si>
  <si>
    <t>to-wp-0807  51eur +20keitimas</t>
  </si>
  <si>
    <t>sakes keitimas,guolio keitimas,atraminio guolio keitimas, tepalu ir filtru keitimas, padangu keitimas,</t>
  </si>
  <si>
    <t>W 712/83  5eur</t>
  </si>
  <si>
    <t>1 457 434 440  15eur</t>
  </si>
  <si>
    <t>1 987 429 177  10eur</t>
  </si>
  <si>
    <t>CUK 2226  13eur</t>
  </si>
  <si>
    <t>801 051   13.2eur</t>
  </si>
  <si>
    <t>OX 1217D  10eur</t>
  </si>
  <si>
    <t>xmax 5+1L   60eur 0w40</t>
  </si>
  <si>
    <t>IDE007049</t>
  </si>
  <si>
    <t>802 696  17eur</t>
  </si>
  <si>
    <t>FP 26 009  18eur</t>
  </si>
  <si>
    <t>k/n oro filtras</t>
  </si>
  <si>
    <t>kaires sakes keitimas</t>
  </si>
  <si>
    <t>suvedimas 35eur</t>
  </si>
  <si>
    <t>desnes sarnyro keitimas, amorto, atraminio</t>
  </si>
  <si>
    <t>atraminis guolis naujas yra?</t>
  </si>
  <si>
    <t>FE44860  15eur</t>
  </si>
  <si>
    <t>linas briaunys</t>
  </si>
  <si>
    <t>0w30 motul 5+1  52.73+11.39eur</t>
  </si>
  <si>
    <t>1vnt filtrai oem vw polo 10eur</t>
  </si>
  <si>
    <t>gislaved</t>
  </si>
  <si>
    <t>IDE006988</t>
  </si>
  <si>
    <t>nerijus 864358845 nuo talackos                                76eur</t>
  </si>
  <si>
    <t>1rato lyg, montazke,</t>
  </si>
  <si>
    <t>guolio keitimas kaires puses</t>
  </si>
  <si>
    <t>713 6109 80  92eur guolis</t>
  </si>
  <si>
    <t>713 6109 80 90eur antras golis</t>
  </si>
  <si>
    <t>FE48439 2vnt po 12eur</t>
  </si>
  <si>
    <t>MK354 2vnt,grazinimo mokestis 10+pvm</t>
  </si>
  <si>
    <t>OX 128/1D  11eur</t>
  </si>
  <si>
    <t>CU 3360  9eur</t>
  </si>
  <si>
    <t>E1178L  2vnt  24eur</t>
  </si>
  <si>
    <t>OX366D 12eur</t>
  </si>
  <si>
    <t>FP 2847/1  21eur</t>
  </si>
  <si>
    <t>0PB115466 1x 22eur</t>
  </si>
  <si>
    <t>civic balansas 2021-07-13</t>
  </si>
  <si>
    <t>76600SMGG11 65+pvm</t>
  </si>
  <si>
    <t>IDE007907</t>
  </si>
  <si>
    <t>pirelli pzero bmw</t>
  </si>
  <si>
    <t>marijus kebla su kurjeriu</t>
  </si>
  <si>
    <t>IDE007050</t>
  </si>
  <si>
    <t>245/45r18 f1 asymm3 rof po 10eur?</t>
  </si>
  <si>
    <t>montazke+lyginimas  20+10</t>
  </si>
  <si>
    <t>aurelijus respublikinis mentas mersas</t>
  </si>
  <si>
    <t>285/50r20</t>
  </si>
  <si>
    <t>triangle advantx suv  tr259</t>
  </si>
  <si>
    <t>aurimas nav   +montazke</t>
  </si>
  <si>
    <t>e92 m3 ismetimo pjaustymai ir burtai, irasyta ar ne?</t>
  </si>
  <si>
    <t>868678910 toyotra prius reik sask</t>
  </si>
  <si>
    <t>66eur  IDE006973</t>
  </si>
  <si>
    <t>daviklis 30eur</t>
  </si>
  <si>
    <t>montazke triju ratu   IDE006973</t>
  </si>
  <si>
    <t>pirelli pzero luxury N0</t>
  </si>
  <si>
    <t>IDE006994</t>
  </si>
  <si>
    <t>24.0124-0259  2vnt po  75eur</t>
  </si>
  <si>
    <t>20 10 1072  10eur</t>
  </si>
  <si>
    <t>keitimas stabdziu 20+20eur</t>
  </si>
  <si>
    <t>paulius valiukevicius valdas bmw x1</t>
  </si>
  <si>
    <t>FDB4689 45eur</t>
  </si>
  <si>
    <t>IDE007218</t>
  </si>
  <si>
    <t>ratu dazymas 150e</t>
  </si>
  <si>
    <t>lempute pakeiciau 5eur</t>
  </si>
  <si>
    <t>dakaro ratu montazke 12vnt</t>
  </si>
  <si>
    <t>120/70-12</t>
  </si>
  <si>
    <t>MAXX M6024</t>
  </si>
  <si>
    <t>Laima Meiziene Rasvita Stirbienė ZENONAS MEIŽIS</t>
  </si>
  <si>
    <t>IDE006978</t>
  </si>
  <si>
    <t>Algirdas is Critical &lt;algirdas@wearecritical.com</t>
  </si>
  <si>
    <t>133eur  IDE006979 su montazke</t>
  </si>
  <si>
    <t>3 397 007 309   23eur +skola 10eur</t>
  </si>
  <si>
    <t>marijus kebla valytuvai bmw g31</t>
  </si>
  <si>
    <t>IDE007065</t>
  </si>
  <si>
    <t>lexus ratu balansas 15eur</t>
  </si>
  <si>
    <t>lyginimas vieno rato probleminis 100eur</t>
  </si>
  <si>
    <t>lexus senu ratu montazke,balansas, uzdejimas  25eur</t>
  </si>
  <si>
    <t>ratu dazymas  160eur</t>
  </si>
  <si>
    <t>lexuso ratu numontavimas ir uzmontavimas su dejimu ant auto 25eur</t>
  </si>
  <si>
    <t>Dorota Bluj</t>
  </si>
  <si>
    <t>IDE006976</t>
  </si>
  <si>
    <t>IDE006986</t>
  </si>
  <si>
    <t>martynas grieze</t>
  </si>
  <si>
    <t>IDE006991</t>
  </si>
  <si>
    <t>0 451 103 033  4eur</t>
  </si>
  <si>
    <t>585165  5eur</t>
  </si>
  <si>
    <t>LA19  16eur</t>
  </si>
  <si>
    <t>valdoska valdas riese golf</t>
  </si>
  <si>
    <t>10w40 5l turbolight 30eur</t>
  </si>
  <si>
    <t>IDE007001</t>
  </si>
  <si>
    <t>212817km</t>
  </si>
  <si>
    <t>VO-BJ-3254 8eur +keitimas</t>
  </si>
  <si>
    <t>amortu perrinkimas?</t>
  </si>
  <si>
    <t>fe07359 2vnt po 15eur</t>
  </si>
  <si>
    <t>keitimas tepalu/filtru</t>
  </si>
  <si>
    <t>juoda thule komplektas 297eur</t>
  </si>
  <si>
    <t>ide006983</t>
  </si>
  <si>
    <t>ECO-CLEAN 0W30 5L 50eur</t>
  </si>
  <si>
    <t>ECO-CLEAN 0W30 1L 13eur</t>
  </si>
  <si>
    <t>W 914/28  18eur</t>
  </si>
  <si>
    <t>jaunius dilys</t>
  </si>
  <si>
    <t>slieku ieskojimas 2h, rata permontavom, ismetima palankstem ir brukais pasivazinejom</t>
  </si>
  <si>
    <t xml:space="preserve">mantas jastremskas bmw m5 </t>
  </si>
  <si>
    <t>dunlop sportmaxx tt</t>
  </si>
  <si>
    <t>IDE006985</t>
  </si>
  <si>
    <t>5w30 ecolite 5+1 8+35eur</t>
  </si>
  <si>
    <t>IDE007258</t>
  </si>
  <si>
    <t>Algimantas.Janusauskas@litagra.lt</t>
  </si>
  <si>
    <t>IDE006984</t>
  </si>
  <si>
    <t>man mtb dvirati sutvarke pries cempa, stipinu keitimas 2021-07-13</t>
  </si>
  <si>
    <t>arunas gliaudelis  400eur dave</t>
  </si>
  <si>
    <t>michelin ps4 s</t>
  </si>
  <si>
    <t>IDE006981</t>
  </si>
  <si>
    <t>0 986 628 543   28eur</t>
  </si>
  <si>
    <t>LX 3320  24eur</t>
  </si>
  <si>
    <t>OX 813/2D  14eur</t>
  </si>
  <si>
    <t>keitimas ir backa xclean+</t>
  </si>
  <si>
    <t>keitimas 20+20 ?</t>
  </si>
  <si>
    <t>24.0128-0313.1 2vnt po 60eur</t>
  </si>
  <si>
    <t>Gintaras Drumsta &lt;gintaras.drumsta@gmail.com</t>
  </si>
  <si>
    <t>OC 456  13eur</t>
  </si>
  <si>
    <t>keitimas 30eur su inserto remove</t>
  </si>
  <si>
    <t>giedrius audis stanulis</t>
  </si>
  <si>
    <t>po 35eur  IDE007000</t>
  </si>
  <si>
    <t>sumokejo uz mano ratu dazyma 130</t>
  </si>
  <si>
    <t>35416 nrf  63eur savik</t>
  </si>
  <si>
    <t>keitimas guolio 30eur</t>
  </si>
  <si>
    <t>36426 01  16eur</t>
  </si>
  <si>
    <t>4tma dviraciui adapteris  150eur</t>
  </si>
  <si>
    <t>thule 927   490eur</t>
  </si>
  <si>
    <t>valdoska riese fedianinas</t>
  </si>
  <si>
    <t>rato klijavimas ir keitimas</t>
  </si>
  <si>
    <t>biovita tiguan kfm315 kupstys</t>
  </si>
  <si>
    <t>Danielius &lt;Danielius@biovita.lt</t>
  </si>
  <si>
    <t>IDE007032</t>
  </si>
  <si>
    <t>goodyear performance suv +</t>
  </si>
  <si>
    <t>biovita tiguan kfm315</t>
  </si>
  <si>
    <t>157+pvm  montake</t>
  </si>
  <si>
    <t>giedrius paulavicius</t>
  </si>
  <si>
    <t>vilius paras.lt</t>
  </si>
  <si>
    <t>IDE007004</t>
  </si>
  <si>
    <t>goodyear f1 asymm5 sct</t>
  </si>
  <si>
    <t>petras andrasiunas ssportas</t>
  </si>
  <si>
    <t>IDE007005</t>
  </si>
  <si>
    <t>barum vanis 2</t>
  </si>
  <si>
    <t>aurimas mhm</t>
  </si>
  <si>
    <t>IDE007003</t>
  </si>
  <si>
    <t>skardinis ratlankiss</t>
  </si>
  <si>
    <t>goodyear perf2</t>
  </si>
  <si>
    <t>IDE006996</t>
  </si>
  <si>
    <t>diverus su siuntimu Tomas.Kurganas@diverus.com &lt;tomas.kurganas@diverus.com</t>
  </si>
  <si>
    <t>271savik   IDE007002</t>
  </si>
  <si>
    <t>Tomas Gajauskas &lt;gajauskas.tomas@gmail.com</t>
  </si>
  <si>
    <t>65eur  868240297 IDE007017</t>
  </si>
  <si>
    <t>IDE007017</t>
  </si>
  <si>
    <t>dvi poros rastafkiu</t>
  </si>
  <si>
    <t>S90-7-23-001  23mm ber0299144</t>
  </si>
  <si>
    <t>10varztu nauju po 0.8eur</t>
  </si>
  <si>
    <t>OX 388D  6eur</t>
  </si>
  <si>
    <t>LX 1211 10eur</t>
  </si>
  <si>
    <t>KX 342  20eur  LAO 181  15eur</t>
  </si>
  <si>
    <t>keitimas ir teplas is backos</t>
  </si>
  <si>
    <t>ox188d 5eur</t>
  </si>
  <si>
    <t>lx1211  10eur    12045-00-119 2.8eur</t>
  </si>
  <si>
    <t>skoda octavia Rimas B &lt;rimas100@gmail.com</t>
  </si>
  <si>
    <t>keitimas visko + ratu pasauga</t>
  </si>
  <si>
    <t>IDE007014</t>
  </si>
  <si>
    <t>09.9172.1X 2vnt po 88eur</t>
  </si>
  <si>
    <t>09.B313.11 2vnt po 57eur</t>
  </si>
  <si>
    <t>GIC209 GIC187  20eur</t>
  </si>
  <si>
    <t>FDB1748 38eur FDB1628 52eur</t>
  </si>
  <si>
    <t>keitimas 20+20+40</t>
  </si>
  <si>
    <t>stabdziu skystis ir keitimas jo</t>
  </si>
  <si>
    <t>30eur skystis + keitimas 20eur</t>
  </si>
  <si>
    <t>dave 400eur</t>
  </si>
  <si>
    <t>mantas jastremskas  dave 300eur pries kelione, 2021-07-14ar18 ?</t>
  </si>
  <si>
    <t>713 6211 10  117eur</t>
  </si>
  <si>
    <t>ovidijus meilunas auris</t>
  </si>
  <si>
    <t>sask uab mylios  IDE007049</t>
  </si>
  <si>
    <t>guolio keitimas, galas</t>
  </si>
  <si>
    <t>braidai 4vnt</t>
  </si>
  <si>
    <t>po 325  +dangteliai po 19eur 4vnt</t>
  </si>
  <si>
    <t>IDE007240</t>
  </si>
  <si>
    <t>400eur  + montazke visko</t>
  </si>
  <si>
    <t>chipas variklio 250eur</t>
  </si>
  <si>
    <t>chipas dsg 200eur</t>
  </si>
  <si>
    <t>eibach stabilizu komplektas 580eur</t>
  </si>
  <si>
    <t>IDE007387</t>
  </si>
  <si>
    <t>165/65r14</t>
  </si>
  <si>
    <t>debica navigator 3</t>
  </si>
  <si>
    <t>Azuolis Koverka &lt;azuolis@gmail.com UAB “Vilniaus durys”</t>
  </si>
  <si>
    <t xml:space="preserve">su montazke   IDE007006 </t>
  </si>
  <si>
    <t>pirelli verde</t>
  </si>
  <si>
    <t>tomas kasponis kodo robotas</t>
  </si>
  <si>
    <t>IDE007007   bez montazkes</t>
  </si>
  <si>
    <t>fulda KRI CONTROL HP 2 XL</t>
  </si>
  <si>
    <t>tomas mingela skoda octavia asmenine</t>
  </si>
  <si>
    <t>65+pvm  + montazke/pasauga</t>
  </si>
  <si>
    <t>IDE007066 300eur israsyta</t>
  </si>
  <si>
    <t>marijus kebla lexus</t>
  </si>
  <si>
    <t>114+pvm</t>
  </si>
  <si>
    <t>sumokejo 700eur uz lexus</t>
  </si>
  <si>
    <t>davikliai po 30eur</t>
  </si>
  <si>
    <t>montazke 30+20</t>
  </si>
  <si>
    <t>marijus kebla bmw x1 140kw dyzel</t>
  </si>
  <si>
    <t>3 397 007 945 20eur IDE007235</t>
  </si>
  <si>
    <t>volvo xc90 klijavimas ir balans, 20eur+pvm?</t>
  </si>
  <si>
    <t>EV6778, Volvo xc90</t>
  </si>
  <si>
    <t xml:space="preserve">marijus kebla bmw </t>
  </si>
  <si>
    <t>IDE007235</t>
  </si>
  <si>
    <t>IDE007065 be montazkes</t>
  </si>
  <si>
    <t>montavimas pilnas</t>
  </si>
  <si>
    <t>pasauga 2021-11men, 2x</t>
  </si>
  <si>
    <t>marius ramanauskas</t>
  </si>
  <si>
    <t>128+pvm IDE007249</t>
  </si>
  <si>
    <t>sailun iceblazer evo</t>
  </si>
  <si>
    <t>mantas pavliukevicius mix  honda crv</t>
  </si>
  <si>
    <t>po 80eur</t>
  </si>
  <si>
    <t>falken snow</t>
  </si>
  <si>
    <t>mantas pavliukevicius mix  honda jazz</t>
  </si>
  <si>
    <t>56eur   langu skyscio?</t>
  </si>
  <si>
    <t>IDE007255</t>
  </si>
  <si>
    <t>goodyear ug arctic 2</t>
  </si>
  <si>
    <t>petras interlux hmu633</t>
  </si>
  <si>
    <t>IDE007241</t>
  </si>
  <si>
    <t>goodyear ug perf+ SCT</t>
  </si>
  <si>
    <t>deimante interlux htf127</t>
  </si>
  <si>
    <t>581386 gy ug perf+ suv</t>
  </si>
  <si>
    <t>mantvydas kupstys biovita touareg</t>
  </si>
  <si>
    <t>montaz be eiles IDE007250</t>
  </si>
  <si>
    <t>574243 goodyear ug perf +</t>
  </si>
  <si>
    <t>hpj757 interlux audi a6</t>
  </si>
  <si>
    <t>jdp573 interlux</t>
  </si>
  <si>
    <t>hhh525 interlux</t>
  </si>
  <si>
    <t>JHN676 interlux</t>
  </si>
  <si>
    <t>578518 gy perf+ sct</t>
  </si>
  <si>
    <t>jtr371 interlux</t>
  </si>
  <si>
    <t>hgb400 interlux</t>
  </si>
  <si>
    <t>581373 gy perf+ suv</t>
  </si>
  <si>
    <t>574271 fulda hp2</t>
  </si>
  <si>
    <t>dave 692</t>
  </si>
  <si>
    <t>goodyear ug ice suv SCT</t>
  </si>
  <si>
    <t>mantvydas jasinskas</t>
  </si>
  <si>
    <t>184+pvm ir montazke ir pasauga</t>
  </si>
  <si>
    <t>IDE007086</t>
  </si>
  <si>
    <t>IDE007061</t>
  </si>
  <si>
    <t>jurgis pakenas audi</t>
  </si>
  <si>
    <t>vidma milzinas Vidma V &lt;vidmav@gmail.com</t>
  </si>
  <si>
    <t>104+pvm</t>
  </si>
  <si>
    <t xml:space="preserve">goodyear ug perf+ </t>
  </si>
  <si>
    <t>mantas staliunas</t>
  </si>
  <si>
    <t>IDE007165</t>
  </si>
  <si>
    <t>goodyear UG ICE 2 SCT</t>
  </si>
  <si>
    <t>Ginas darbas &lt;ginasdarbas@gmail.com</t>
  </si>
  <si>
    <t>185eur  be montazkes</t>
  </si>
  <si>
    <t>IDE007072</t>
  </si>
  <si>
    <t>bridgestone</t>
  </si>
  <si>
    <t>julius puidokas audi s2</t>
  </si>
  <si>
    <t>po 80eur ?    IDE007240</t>
  </si>
  <si>
    <t>OC 456  12eur</t>
  </si>
  <si>
    <t>LX 2046  12eur</t>
  </si>
  <si>
    <t>LAO 386  22eur</t>
  </si>
  <si>
    <t>audi q5 860103112</t>
  </si>
  <si>
    <t>tepalu/filtru keitimas 25eur</t>
  </si>
  <si>
    <t>taurus cargo</t>
  </si>
  <si>
    <t>einius gal is fb  info@abcargo.lt</t>
  </si>
  <si>
    <t>57eur +montazke IDE007008</t>
  </si>
  <si>
    <t>2 ratu lyginimas,montzke</t>
  </si>
  <si>
    <t>visu balansas</t>
  </si>
  <si>
    <r>
      <rPr/>
      <t xml:space="preserve">arteon </t>
    </r>
    <r>
      <rPr>
        <color rgb="FF1155CC"/>
        <u/>
      </rPr>
      <t>mhm.lt</t>
    </r>
    <r>
      <rPr/>
      <t xml:space="preserve"> aurimas? kec111 869910980</t>
    </r>
  </si>
  <si>
    <t>IDE007013</t>
  </si>
  <si>
    <t>13.0460-7294.2  51eur</t>
  </si>
  <si>
    <t>24.0112-0210.1  po 55eur</t>
  </si>
  <si>
    <t>mantvydas cekutis passat alltrack</t>
  </si>
  <si>
    <t>keitimas stabdziu IDE007009</t>
  </si>
  <si>
    <t>S90-2-08-003-B</t>
  </si>
  <si>
    <t>golf r mart</t>
  </si>
  <si>
    <t>196.2+pvm IDE007012</t>
  </si>
  <si>
    <t>xclean+ 38eur,</t>
  </si>
  <si>
    <t xml:space="preserve">rytenis serenas audi q3  </t>
  </si>
  <si>
    <t>13.0460-7242.2  65eur</t>
  </si>
  <si>
    <t>13.0460-2790.2  45eur</t>
  </si>
  <si>
    <t>st.skystis 30+25eur</t>
  </si>
  <si>
    <t>kaladeliu keitimas 50e</t>
  </si>
  <si>
    <t xml:space="preserve">176000km </t>
  </si>
  <si>
    <t>FP 2440  20eur</t>
  </si>
  <si>
    <t>1 457 433 096  9eur</t>
  </si>
  <si>
    <t>eco-nergy 5w30  5+1L  39+9eur</t>
  </si>
  <si>
    <t>HU 711/51 X  7eur</t>
  </si>
  <si>
    <t>900 157  23eur</t>
  </si>
  <si>
    <t>313 665  50eur</t>
  </si>
  <si>
    <t>313 667  50eur</t>
  </si>
  <si>
    <t>PU 1018 X  15eur</t>
  </si>
  <si>
    <t>802 460  2vnt po 18eur</t>
  </si>
  <si>
    <t>tepalu filtriu keitimas 30eur</t>
  </si>
  <si>
    <t>KYBRC3461 2vnt po 35eur</t>
  </si>
  <si>
    <t>goodyear ug ice arctic 2</t>
  </si>
  <si>
    <t>400eur, pats montavo</t>
  </si>
  <si>
    <t>bikediscount uzsakymas 85eur</t>
  </si>
  <si>
    <t>3C8 831 411 C  67eur</t>
  </si>
  <si>
    <t>ratu pasauga keitmas 35eur</t>
  </si>
  <si>
    <t>138eur  IDE007011  montazke</t>
  </si>
  <si>
    <t>fulda CONVEO TRAC 3</t>
  </si>
  <si>
    <t>Darius Araminas &lt;d.araminas@skadomedis.lt</t>
  </si>
  <si>
    <t>80+pvm +siuntimas IDE007010</t>
  </si>
  <si>
    <t>IDE007042</t>
  </si>
  <si>
    <t>IDE007018</t>
  </si>
  <si>
    <t>24.0125-0145.1 2vnt po 50eur</t>
  </si>
  <si>
    <t>stabdziu skystis 20eur</t>
  </si>
  <si>
    <t>13.0460-7293.2   51eur</t>
  </si>
  <si>
    <t xml:space="preserve">tautvydas vileniskis dada deividas </t>
  </si>
  <si>
    <t>keitimas priekio 20+20</t>
  </si>
  <si>
    <t>13.0460-2785.2    67eur</t>
  </si>
  <si>
    <t>stabdziu skyst keitimas 30eur</t>
  </si>
  <si>
    <t>24.0110-0356.1    2vnt po 42eur</t>
  </si>
  <si>
    <t>keitimas galo 30+20eur</t>
  </si>
  <si>
    <t>reik pridet klijavima ir montazke 1 rato</t>
  </si>
  <si>
    <t>liutauras prekursorius volt</t>
  </si>
  <si>
    <t>IDE007132</t>
  </si>
  <si>
    <t>pirelli rof pz4</t>
  </si>
  <si>
    <t>montazke  246eur IDE007015</t>
  </si>
  <si>
    <t>xcess motul 5+1 33+8eur</t>
  </si>
  <si>
    <t>1 457 433 300  10eur</t>
  </si>
  <si>
    <t>W1130/3  8eur</t>
  </si>
  <si>
    <t xml:space="preserve">IDE007016           </t>
  </si>
  <si>
    <t>F 026 400 457  10eur</t>
  </si>
  <si>
    <t>F 026 407 160  8eur</t>
  </si>
  <si>
    <t>CU 20 018  17eur</t>
  </si>
  <si>
    <t>IDE007058</t>
  </si>
  <si>
    <t>da6c67483  13eur</t>
  </si>
  <si>
    <t>pridet ir montazke</t>
  </si>
  <si>
    <t>80302km ir 2021-09-09</t>
  </si>
  <si>
    <t>1 rato montazke ir klijavimas</t>
  </si>
  <si>
    <t>arunas matelis espace interlux dro328</t>
  </si>
  <si>
    <t xml:space="preserve">gripmaxx suregrip as </t>
  </si>
  <si>
    <t>varta g14 95ah</t>
  </si>
  <si>
    <t>162eur</t>
  </si>
  <si>
    <t>FCP4611H  143eur</t>
  </si>
  <si>
    <t>keitimas disku ir kaladziu</t>
  </si>
  <si>
    <t xml:space="preserve">IDE007227 </t>
  </si>
  <si>
    <t>09.c542.11  108eur 2vnt</t>
  </si>
  <si>
    <t>gdb2009  43eur</t>
  </si>
  <si>
    <t>rucke, montazke, pasauga</t>
  </si>
  <si>
    <t>langu skyscio 2x3 ?</t>
  </si>
  <si>
    <t>corolla montazke, be eiles</t>
  </si>
  <si>
    <t>EXIDE AGM 12V/70Ah/760A</t>
  </si>
  <si>
    <t>marek marex stefanovic</t>
  </si>
  <si>
    <t>108eur</t>
  </si>
  <si>
    <t>4iu ratu lyginimas ir montazke 50eur</t>
  </si>
  <si>
    <t>ls4095094   75eur uz abi</t>
  </si>
  <si>
    <t>801038 20eur uz abu</t>
  </si>
  <si>
    <t>LMI27184  2vnt po 16eur</t>
  </si>
  <si>
    <t>spyruokliu keitimas  50eur</t>
  </si>
  <si>
    <t>lao181  16eur</t>
  </si>
  <si>
    <t>F 026 407 023  7eur</t>
  </si>
  <si>
    <t>1 987 429 404  9eur</t>
  </si>
  <si>
    <t>arturas narusko passat                          F 026 402 809   22eur</t>
  </si>
  <si>
    <t>tepalai 40eur + keitimas 25eur</t>
  </si>
  <si>
    <t>gabrielis kacanauskas patalavicius tomas touareg</t>
  </si>
  <si>
    <t>IDE007039</t>
  </si>
  <si>
    <t>pirelli pzero n0</t>
  </si>
  <si>
    <t>aurimas nav karolis uzsake</t>
  </si>
  <si>
    <t>270eur, montazke IDE007055</t>
  </si>
  <si>
    <t>opel astra goh423 montazke du kart 2+2</t>
  </si>
  <si>
    <t>dvieju kablu keitimas ratu</t>
  </si>
  <si>
    <t>IDE007055</t>
  </si>
  <si>
    <t>DF6216 2vnt po 85eur</t>
  </si>
  <si>
    <t>GDB1897  69eur</t>
  </si>
  <si>
    <t>keitimas 20+20</t>
  </si>
  <si>
    <t>dovydas saules elementai audi a6 kaladeles ir diskai</t>
  </si>
  <si>
    <t>IDE007048</t>
  </si>
  <si>
    <t>tomas masirka i kauna</t>
  </si>
  <si>
    <t>IDE007038</t>
  </si>
  <si>
    <t>OX 171/2D  7eur</t>
  </si>
  <si>
    <t>KL 431D   23eur</t>
  </si>
  <si>
    <t>CUK 2245 15e</t>
  </si>
  <si>
    <t>arturas zakroiskis pezot            tepalas 5l EFE 40eur</t>
  </si>
  <si>
    <t>LX 1452  13eur</t>
  </si>
  <si>
    <t>X-clean EFE 5W30 5L</t>
  </si>
  <si>
    <t>arturas zakroiskis pezot</t>
  </si>
  <si>
    <t>415074409   350eur</t>
  </si>
  <si>
    <t>411 0133 10 luk varztai 7eur</t>
  </si>
  <si>
    <t>greiciu dezes/smagracio keitimas</t>
  </si>
  <si>
    <t xml:space="preserve">IDE007049 </t>
  </si>
  <si>
    <t>PAL 6   3eur</t>
  </si>
  <si>
    <t>200+pvm israsyta sask</t>
  </si>
  <si>
    <t>chipas 150 su pvm jei</t>
  </si>
  <si>
    <t>5w30 econergy 39eur</t>
  </si>
  <si>
    <t>F 026 407 077 6eur</t>
  </si>
  <si>
    <t>C 17 016 15eur</t>
  </si>
  <si>
    <t>IDE007047</t>
  </si>
  <si>
    <t>1 987 435 587   35eur</t>
  </si>
  <si>
    <t>27599 (FEBI BILSTEIN) 2x15eur</t>
  </si>
  <si>
    <t>mantas jastremskas e92 m3 sidabrine</t>
  </si>
  <si>
    <t>3 397 007 579 20eur</t>
  </si>
  <si>
    <t>diskus sukeitem stabdziu galinius</t>
  </si>
  <si>
    <t>stabdziu skyscio keitimas 25eur</t>
  </si>
  <si>
    <t>difo tepalas 90w140     2x17eur</t>
  </si>
  <si>
    <t>difo tepalo keitimas</t>
  </si>
  <si>
    <t>rbf600    4x17eur</t>
  </si>
  <si>
    <t>FP 2847/1   24eur</t>
  </si>
  <si>
    <t>F 026 400 182 2x 13eur</t>
  </si>
  <si>
    <t>1 457 429 268  12eur</t>
  </si>
  <si>
    <t>drRobis Ja jastremsko robertas cayene hybrid</t>
  </si>
  <si>
    <t>103344 3eur</t>
  </si>
  <si>
    <t>filtru/tepalu keitimas 40eur</t>
  </si>
  <si>
    <t>alyva xlean+ 6.8litro</t>
  </si>
  <si>
    <t>priek.kaladziu keitimas 25eur</t>
  </si>
  <si>
    <t>13.0460-7242.2    80eur</t>
  </si>
  <si>
    <t>IDE007045</t>
  </si>
  <si>
    <t>IMP220215  9.5eur</t>
  </si>
  <si>
    <t>316 030 4214 2vnt po 23eur</t>
  </si>
  <si>
    <t>julius puidokas bmw</t>
  </si>
  <si>
    <t>D1-165 3.8eur</t>
  </si>
  <si>
    <t>0219-14-0116P 2vnt po 2.6eur</t>
  </si>
  <si>
    <t>D41185C  2vnt po 16eur</t>
  </si>
  <si>
    <t xml:space="preserve">julius puidokas bmw </t>
  </si>
  <si>
    <t>D41085C  2vnt po 13.5eur</t>
  </si>
  <si>
    <t>0 986 487 202  17eur</t>
  </si>
  <si>
    <t>SFK165  11eur</t>
  </si>
  <si>
    <t>C 26 110/1 13.5eur</t>
  </si>
  <si>
    <t>24.0310-0150.1 2vnt po  34eur</t>
  </si>
  <si>
    <t>PHB177  2vnt po  8eur</t>
  </si>
  <si>
    <t>PHA346 2vnt po 7eur</t>
  </si>
  <si>
    <t>PHB126  2vnt po 7eur</t>
  </si>
  <si>
    <t>300 237 1104  4vnt po  3.5eur</t>
  </si>
  <si>
    <t>FE04220 2vnt po 9.5eur</t>
  </si>
  <si>
    <t>300 118 1105 2vnt po 8eur</t>
  </si>
  <si>
    <t>LMI10518 2vnt po 14eur</t>
  </si>
  <si>
    <t>LMI10519 2vnt po 13.4eur</t>
  </si>
  <si>
    <t>300 321 1100 2vnt po 4eur</t>
  </si>
  <si>
    <t>316 030 4303  2vnt po 15eur</t>
  </si>
  <si>
    <t>W 719/15 9eur</t>
  </si>
  <si>
    <t>WK 516  20eur</t>
  </si>
  <si>
    <t>316 020 4302 2vnt po 12eur</t>
  </si>
  <si>
    <t>03.9901-6403.2   26eur</t>
  </si>
  <si>
    <t>CT 520 K1  35eur</t>
  </si>
  <si>
    <t>AVX10X965 5eur</t>
  </si>
  <si>
    <t>773.183  2eur</t>
  </si>
  <si>
    <t>RAV TTC READY 5L 3vnt po 11eur</t>
  </si>
  <si>
    <t>P458 34eur</t>
  </si>
  <si>
    <t>FE12189 8eur</t>
  </si>
  <si>
    <t>98079-558-5V 6vnt po 3.5eur</t>
  </si>
  <si>
    <t>12111285058  75eur</t>
  </si>
  <si>
    <t>D1165 1vnt po 4eur</t>
  </si>
  <si>
    <t>0 986 356 323  110eur</t>
  </si>
  <si>
    <t>el773183 tarpine  2.3eur ideta210924038:</t>
  </si>
  <si>
    <t>13.0460-2921.2 26eur</t>
  </si>
  <si>
    <t>julius puidokas bmw meilunas</t>
  </si>
  <si>
    <t>24.0322-0122.1 2vnt po  38eur idejau SAS533 VAL577978</t>
  </si>
  <si>
    <t>D1165 1vnt po 4eur  idejau FE103344</t>
  </si>
  <si>
    <t>EVL 0401  16eur</t>
  </si>
  <si>
    <t>EL774693 9eur</t>
  </si>
  <si>
    <t>13.0460-7036.2 27eur</t>
  </si>
  <si>
    <t>0219-14-0127P 2vnt po 2eur  64210  CO12010823B</t>
  </si>
  <si>
    <t>300 322 1101  9eur  E122HD187</t>
  </si>
  <si>
    <t>300 335 5102  2x8.5eur</t>
  </si>
  <si>
    <t>802 383  2x11.5eur</t>
  </si>
  <si>
    <t>julius meilunas ovidijus bmw</t>
  </si>
  <si>
    <t>xclean+ tepalai  5l</t>
  </si>
  <si>
    <t>stabdziu skystis 10eur, keitimas 25eur</t>
  </si>
  <si>
    <t>H339WK - HENGST FILTER  25eur</t>
  </si>
  <si>
    <t>fp8430  35eur</t>
  </si>
  <si>
    <t>585401 - VALEO 15eur</t>
  </si>
  <si>
    <t>E122H D187 - HENGST FILTER  14eur</t>
  </si>
  <si>
    <t>OSR66140 XNL-HCB  135eur</t>
  </si>
  <si>
    <t>GIC325   10eur</t>
  </si>
  <si>
    <t>13.0460-4872.2  95eur</t>
  </si>
  <si>
    <t>24.0128-0149.1 2vnt po 90eur</t>
  </si>
  <si>
    <t>karolis puodziukas porsche</t>
  </si>
  <si>
    <t>stabdziu disku ir kalodkiu keitimas</t>
  </si>
  <si>
    <t>IDE007057</t>
  </si>
  <si>
    <t>dusliko virinimas,dpf nuemimas 30eur</t>
  </si>
  <si>
    <t>JMJ 55X200P  11eur</t>
  </si>
  <si>
    <t>0 281 006 082  30eur</t>
  </si>
  <si>
    <t>sailenbloku keitimas</t>
  </si>
  <si>
    <t>amortu keitimas su spyruoklem 50eur</t>
  </si>
  <si>
    <t>LMI34711 2x25eur</t>
  </si>
  <si>
    <t>FE22502 2x25eur</t>
  </si>
  <si>
    <t>pal6  3eur</t>
  </si>
  <si>
    <t>25047   2x35eur</t>
  </si>
  <si>
    <t>varztai 3eur</t>
  </si>
  <si>
    <t>PHB101  2x 11eur</t>
  </si>
  <si>
    <t>PHA346  2x 7eur</t>
  </si>
  <si>
    <t>PHB126  2x7eur</t>
  </si>
  <si>
    <t>300 333 1106   34eur</t>
  </si>
  <si>
    <t>AD05.0216   2x10eur</t>
  </si>
  <si>
    <t>90563   3x2.3eur</t>
  </si>
  <si>
    <t>0w40 xmax 5l</t>
  </si>
  <si>
    <t>90563   2x2.3eur  idejau sita21588</t>
  </si>
  <si>
    <t>1 235 522 365   80eur IDE007240</t>
  </si>
  <si>
    <t>vredestein wintrac pro</t>
  </si>
  <si>
    <t xml:space="preserve">mantas jastremskas audi </t>
  </si>
  <si>
    <t>226eur</t>
  </si>
  <si>
    <t>pirelli scorpion verde all season</t>
  </si>
  <si>
    <t>Ernestas Kalasinskas</t>
  </si>
  <si>
    <t>IDE007053,su ventiliu ir montazke</t>
  </si>
  <si>
    <t>kestas zaiskit kestutis is email</t>
  </si>
  <si>
    <t>IDE007046  kpo reik</t>
  </si>
  <si>
    <t>IDE007046</t>
  </si>
  <si>
    <t>5112+4570170080 Disks Dotz CP5 Dark</t>
  </si>
  <si>
    <t>jurgis pakenas audi jurgis@bmx.lt</t>
  </si>
  <si>
    <t>goodyear gt3</t>
  </si>
  <si>
    <t>mingela nav</t>
  </si>
  <si>
    <t>95? IDE007069</t>
  </si>
  <si>
    <t>tepalu keitimas ir filtru 25e</t>
  </si>
  <si>
    <t>tepalas is backos 40eur</t>
  </si>
  <si>
    <t>1 457 429 269  10eur</t>
  </si>
  <si>
    <t>andrejus dolgovas x3</t>
  </si>
  <si>
    <t>F 026 400 447 18eur</t>
  </si>
  <si>
    <t>FP19004  36eur</t>
  </si>
  <si>
    <t>algis butrimovic &lt;tarandesnamas@gmail.com</t>
  </si>
  <si>
    <t>IDE007051</t>
  </si>
  <si>
    <t>valandele darbuko</t>
  </si>
  <si>
    <t>mantas jastremskas tepalu keitimas m5, savo viska atsiveze</t>
  </si>
  <si>
    <t>thule 440eur  + kurjeris</t>
  </si>
  <si>
    <t>zilvinas ribaltavicius vb translogistics rietavas siuntimas</t>
  </si>
  <si>
    <t>IDE007052</t>
  </si>
  <si>
    <t>900 329 (SACHS)  20eur</t>
  </si>
  <si>
    <t>36165+36166  35eur</t>
  </si>
  <si>
    <t>3266230062    85eur</t>
  </si>
  <si>
    <t>rimantas samulevicius bmw</t>
  </si>
  <si>
    <t>993 252  2x40eur</t>
  </si>
  <si>
    <t>g1b015pc  55eur  2vbt?</t>
  </si>
  <si>
    <t>3266230063   85eur</t>
  </si>
  <si>
    <t>803 006  2x35eur</t>
  </si>
  <si>
    <t>granatu keitimas 70eur</t>
  </si>
  <si>
    <t>amortu keitimas 70eur</t>
  </si>
  <si>
    <t>dave 630</t>
  </si>
  <si>
    <t>09.B972.11  2x75eur</t>
  </si>
  <si>
    <t>13.0460-2765   80eur</t>
  </si>
  <si>
    <t>keitimas disku/kaladziu</t>
  </si>
  <si>
    <t>IDE007056</t>
  </si>
  <si>
    <t>C 42 002 11eur</t>
  </si>
  <si>
    <t>F 026 407 112  7eur</t>
  </si>
  <si>
    <t>langu skystis 1eur skola :D</t>
  </si>
  <si>
    <t xml:space="preserve">nuo gliaudelio atidaviau su lexus c200 denas ramanauskas </t>
  </si>
  <si>
    <t>205eur +klijavimas 1 rato su montzke</t>
  </si>
  <si>
    <t>dezes tepalu keitimas</t>
  </si>
  <si>
    <t>ismetimo keitimas?</t>
  </si>
  <si>
    <t>multi dctf 11 litru ?</t>
  </si>
  <si>
    <t>varztai 4vnt m3 juodi   5eur</t>
  </si>
  <si>
    <t>m3 bamperio ir lempu keitimai</t>
  </si>
  <si>
    <t>multi hf 2l  28eur</t>
  </si>
  <si>
    <t>12180SV+C1   15eur</t>
  </si>
  <si>
    <t>64212CBI-HCB  2x30eur</t>
  </si>
  <si>
    <t>0w20  3vnt po 5l,  162eur, 21-10-04</t>
  </si>
  <si>
    <t>rato lopymas 10eur</t>
  </si>
  <si>
    <t>dave 400eur,buvo uz gpu</t>
  </si>
  <si>
    <t>siuntimas 12  80+pvm</t>
  </si>
  <si>
    <t>IDE007070</t>
  </si>
  <si>
    <t>siuntimas 12   80+pvm</t>
  </si>
  <si>
    <t>EXIDE EXCELL 12V/62Ah/ 540A AKU 242x175x190 62eur</t>
  </si>
  <si>
    <t xml:space="preserve">IDE007356 </t>
  </si>
  <si>
    <t>nerijus kersys</t>
  </si>
  <si>
    <t>IDE007064</t>
  </si>
  <si>
    <t>Akumuliatorius 40 Ah 330 A EN 12V</t>
  </si>
  <si>
    <t>BD A13</t>
  </si>
  <si>
    <t>Akumuliatorius 19 Ah 12V</t>
  </si>
  <si>
    <t>YB16CL-B</t>
  </si>
  <si>
    <t>43eur IDE007257</t>
  </si>
  <si>
    <t>195/60r16</t>
  </si>
  <si>
    <t>mindaugas kauno perdanga</t>
  </si>
  <si>
    <t>kurjeris IDE007068</t>
  </si>
  <si>
    <t>marijus kebla accord</t>
  </si>
  <si>
    <t>19-0881    17eur</t>
  </si>
  <si>
    <t>19-2401  2x25</t>
  </si>
  <si>
    <t>19-0880  15eur</t>
  </si>
  <si>
    <t>19-1843  2x17</t>
  </si>
  <si>
    <t>13.0460-3859.2   63eur</t>
  </si>
  <si>
    <t>13.0460-3857.2  80eur</t>
  </si>
  <si>
    <t>rytenis bmw sklerius</t>
  </si>
  <si>
    <t>stabdziu skystis 15eur</t>
  </si>
  <si>
    <t>FE39139  10eur</t>
  </si>
  <si>
    <t>FE39138  10eur</t>
  </si>
  <si>
    <t>st.skyst keitimas 25eur</t>
  </si>
  <si>
    <t>3 397 007 462  20eur</t>
  </si>
  <si>
    <t>kaladeliu keitimas priekis/galas 50eur</t>
  </si>
  <si>
    <t>conti sport 6</t>
  </si>
  <si>
    <t>montazke 3vnt + daviklis</t>
  </si>
  <si>
    <t>IDE007084</t>
  </si>
  <si>
    <t>340eur be montazkes</t>
  </si>
  <si>
    <t>lukas burneika bmw x5</t>
  </si>
  <si>
    <t>IDE007060 su montazke ir davik</t>
  </si>
  <si>
    <t>IDE007060</t>
  </si>
  <si>
    <t>4vnt davikliai ir montazke</t>
  </si>
  <si>
    <t>ana is fb, aidas bubinas skaitmeninio turto bankas mb</t>
  </si>
  <si>
    <t>105eur +montazke IDE007062</t>
  </si>
  <si>
    <t>michelin xice snow</t>
  </si>
  <si>
    <t>montazke IDE007204</t>
  </si>
  <si>
    <t>diplomat</t>
  </si>
  <si>
    <t>58.5eur IDE007204</t>
  </si>
  <si>
    <t>IDE007077</t>
  </si>
  <si>
    <t>Goodyear ug perf+</t>
  </si>
  <si>
    <t>IDE007135</t>
  </si>
  <si>
    <t>IDE007067</t>
  </si>
  <si>
    <t>Goodyear ug perf suv g1</t>
  </si>
  <si>
    <t>IDE007298</t>
  </si>
  <si>
    <t>goodyear ug ice suv g1 sct</t>
  </si>
  <si>
    <t>sneidaraitis aurimas nav  jrn077</t>
  </si>
  <si>
    <t>145+pvm IDE007179</t>
  </si>
  <si>
    <t>goodyear ug ice suv g1</t>
  </si>
  <si>
    <t>sneidaraitis aurimas nav  jmd009</t>
  </si>
  <si>
    <t>195eur  IDE007242</t>
  </si>
  <si>
    <t>toyo sn954</t>
  </si>
  <si>
    <t>sneidaraitis aurimas nav  jsh455</t>
  </si>
  <si>
    <t>130+pvm IDE007179</t>
  </si>
  <si>
    <t>IDE007078</t>
  </si>
  <si>
    <t>IDE007078 su montazke</t>
  </si>
  <si>
    <t>F 026 400 182  13eur</t>
  </si>
  <si>
    <t>OX 420D (MAHLE)  10eur</t>
  </si>
  <si>
    <t>KX341   28eur</t>
  </si>
  <si>
    <t>alenas backis touareg</t>
  </si>
  <si>
    <t>FP2847/1  22eur</t>
  </si>
  <si>
    <t>103344  4eur</t>
  </si>
  <si>
    <t>tepalas backa  8l kolkas</t>
  </si>
  <si>
    <t>filtru ir tepl keitimas</t>
  </si>
  <si>
    <t>ratu keit ir pasauga</t>
  </si>
  <si>
    <t>matas mickevicius ukmerge</t>
  </si>
  <si>
    <t>89eur    372viso su apatinem</t>
  </si>
  <si>
    <t>tracmax as</t>
  </si>
  <si>
    <t>matas mickevicius</t>
  </si>
  <si>
    <t>45eur kurjeris +1eur ?  184e</t>
  </si>
  <si>
    <t>matas micke su kurjeriu 5eur</t>
  </si>
  <si>
    <t>53eur   212</t>
  </si>
  <si>
    <t xml:space="preserve">eduardas savcenko </t>
  </si>
  <si>
    <t>173eur</t>
  </si>
  <si>
    <t>gislaved eurofrost 6 xl</t>
  </si>
  <si>
    <t>61.5eur  IDE007071</t>
  </si>
  <si>
    <t>135eur+montazke IDE007077</t>
  </si>
  <si>
    <t>kc18  9eur</t>
  </si>
  <si>
    <r>
      <rPr>
        <rFont val="Verdana, Helvetica, sans-serif"/>
        <color rgb="FF6D6D6D"/>
        <sz val="9.0"/>
        <u/>
      </rPr>
      <t>HU 848/1 X</t>
    </r>
    <r>
      <rPr>
        <rFont val="Verdana, Helvetica, sans-serif"/>
        <color rgb="FF000000"/>
        <sz val="9.0"/>
      </rPr>
      <t xml:space="preserve">   10eur</t>
    </r>
  </si>
  <si>
    <t>C 25 146  11eur</t>
  </si>
  <si>
    <t>arunas gliaudelis   range rover</t>
  </si>
  <si>
    <t>1 987 432 169  20eur</t>
  </si>
  <si>
    <t>xcess 5w40  10l  60eur</t>
  </si>
  <si>
    <t>dave 150eur</t>
  </si>
  <si>
    <t>FP 26 009 17eur</t>
  </si>
  <si>
    <t>C 30 004 16eur</t>
  </si>
  <si>
    <t>E340H D247  9eur</t>
  </si>
  <si>
    <t xml:space="preserve">rimas osk baltics tiguan  </t>
  </si>
  <si>
    <t>keitimas IDE007229</t>
  </si>
  <si>
    <t>elijus civilis</t>
  </si>
  <si>
    <t>IDE007073 su montazke</t>
  </si>
  <si>
    <t>ovidijus meilunas              gavo 770eur ukmergej, nuo mickes</t>
  </si>
  <si>
    <t>matador MP92 SIBIR SNOW 92V XL FR</t>
  </si>
  <si>
    <t>jonas klimaitis  Invitee: Asta Taranenko</t>
  </si>
  <si>
    <t>63eur+montazke</t>
  </si>
  <si>
    <t>marijus kebla   porsche</t>
  </si>
  <si>
    <t>222+pvm uab torus IDE007239</t>
  </si>
  <si>
    <t>149eur su pvm +montzzke</t>
  </si>
  <si>
    <t>IDE007074</t>
  </si>
  <si>
    <t>177eur + montazke su pasauga</t>
  </si>
  <si>
    <t>IDE007087  LJN517</t>
  </si>
  <si>
    <t>116+montaz IDE007295</t>
  </si>
  <si>
    <t>JBC0312   41eur</t>
  </si>
  <si>
    <t>JBC0311   41eur</t>
  </si>
  <si>
    <t>432+pvm</t>
  </si>
  <si>
    <t>BMW EU 12120040551 4vnt po 21eur</t>
  </si>
  <si>
    <t>E362H D313  10eur</t>
  </si>
  <si>
    <t>Simonas Goberis</t>
  </si>
  <si>
    <t>0w40 xmax  5L+1L   58eur</t>
  </si>
  <si>
    <t>zvakiu keitimas 30e</t>
  </si>
  <si>
    <t>amortu keitimas priekis 50eur</t>
  </si>
  <si>
    <t>visu filtru keitimas ir visi filtrai 30eur</t>
  </si>
  <si>
    <t>arunas gliaudelis bmw 535xd</t>
  </si>
  <si>
    <t>1987432402  25eur</t>
  </si>
  <si>
    <t>e28h01 d26   10eur</t>
  </si>
  <si>
    <t>c15143/1   23eur</t>
  </si>
  <si>
    <t>0450906457   25eur</t>
  </si>
  <si>
    <t>tepalai 10l   76eur xclean+</t>
  </si>
  <si>
    <t xml:space="preserve">arunas gliaudelis </t>
  </si>
  <si>
    <t>dirbo pas mane 2021-11-8.9 nuo 13h iki 18h ar 18.30 ?</t>
  </si>
  <si>
    <t>dirbo pas mane 2021-11-10 nuo 8h iki 14h</t>
  </si>
  <si>
    <t>dirbo lapkricio 11-12 nuo ryto iki pietu? 13.30/14h</t>
  </si>
  <si>
    <t>235/65r18</t>
  </si>
  <si>
    <t>Raimundas Jusas  Kristijonas plioplys</t>
  </si>
  <si>
    <t>IDE007075</t>
  </si>
  <si>
    <t>uab judisa Sigitas Kasciukas &lt;sigitas.kasciukas@gmail.com</t>
  </si>
  <si>
    <t>IDE007079  be montaz</t>
  </si>
  <si>
    <t>76eur+montazke, MAB459 vytautas dovydaitis</t>
  </si>
  <si>
    <t>FE01672  2x4eur</t>
  </si>
  <si>
    <t>FEB 12431  2x19eur</t>
  </si>
  <si>
    <t>300 311 3003    2x6eur</t>
  </si>
  <si>
    <t>JTS143  2x11.5eur</t>
  </si>
  <si>
    <t>300 333 2902  2x6eur</t>
  </si>
  <si>
    <t>LMI37168 35eur</t>
  </si>
  <si>
    <t>300 118 1105 2x8eur</t>
  </si>
  <si>
    <t>xmax 0w40  1 litras  10eur</t>
  </si>
  <si>
    <t>antonas mejus  dspro</t>
  </si>
  <si>
    <t>295eur</t>
  </si>
  <si>
    <t xml:space="preserve">IDE007084 </t>
  </si>
  <si>
    <t>fp26009  15eur</t>
  </si>
  <si>
    <t>oc295  8eur</t>
  </si>
  <si>
    <t>tautvydas vileniskis dada deividas  golf7</t>
  </si>
  <si>
    <t>xclean+ backa IDE007307</t>
  </si>
  <si>
    <t>ratu montazke</t>
  </si>
  <si>
    <t>IDE007307</t>
  </si>
  <si>
    <t>po 250eur IDE007081 montazke?</t>
  </si>
  <si>
    <t>kestutis karlonas 865905439  kestutis.karlonas@gmail.com</t>
  </si>
  <si>
    <t>74eur+montazke</t>
  </si>
  <si>
    <t>goodyear ug9+ su H</t>
  </si>
  <si>
    <t>hra081 Rokas Lubys Focus group</t>
  </si>
  <si>
    <t>75+pvm +montazke 4vnt</t>
  </si>
  <si>
    <t>IDE007280</t>
  </si>
  <si>
    <t>jurga lotusu jura</t>
  </si>
  <si>
    <t>IDE007083 su montazke</t>
  </si>
  <si>
    <t>michelin alpin 6</t>
  </si>
  <si>
    <t>arunas.maciunas@agrilita.lt</t>
  </si>
  <si>
    <t>147eur+kurjeris</t>
  </si>
  <si>
    <t>IDE007085</t>
  </si>
  <si>
    <t>swalbe g0ne   2x36eur savikaina</t>
  </si>
  <si>
    <t>siuntimas bike discount</t>
  </si>
  <si>
    <t>conti ceossking  2x23eur savikaina</t>
  </si>
  <si>
    <t>Andžejus Medgana &lt;pardavimai@kondicionavimas.eu&gt;</t>
  </si>
  <si>
    <t>IDE007106</t>
  </si>
  <si>
    <t>goodyear ug ice2  SCT</t>
  </si>
  <si>
    <t>Ignas Jaskelevičius │ MVP Group &lt;ignas@mvpgroup.pro</t>
  </si>
  <si>
    <t>120+pvm +montazke IDE007091</t>
  </si>
  <si>
    <t>0w40 2x2L motul trophy 60eur</t>
  </si>
  <si>
    <t>80eur+montazke</t>
  </si>
  <si>
    <t>simonas vareikis is fb  304737193 vabi sabi</t>
  </si>
  <si>
    <t>125+montazke+pasauga  IDE007082</t>
  </si>
  <si>
    <t>IDE007092</t>
  </si>
  <si>
    <t>tomas mockevicius</t>
  </si>
  <si>
    <t>56eur + montazke</t>
  </si>
  <si>
    <t>sava intensa uhp</t>
  </si>
  <si>
    <t>rimvyvas gudelis</t>
  </si>
  <si>
    <t>Žygimantas Bidva &lt;zygimantas.bidva@gmail.com</t>
  </si>
  <si>
    <t xml:space="preserve">117eur+montazke IDE007095 </t>
  </si>
  <si>
    <t>MB "Abcargo"</t>
  </si>
  <si>
    <t>IDE007080</t>
  </si>
  <si>
    <t>33551129677  2x 10eur</t>
  </si>
  <si>
    <t>julius meilunas ovidijus</t>
  </si>
  <si>
    <t>3vnt langu skyscio</t>
  </si>
  <si>
    <t>jonas venskunas porsche</t>
  </si>
  <si>
    <t>IDE007110</t>
  </si>
  <si>
    <t>Michelin pa4 n0</t>
  </si>
  <si>
    <t>377eur montazke be masinos</t>
  </si>
  <si>
    <t>IDE007099</t>
  </si>
  <si>
    <t>280eur +kurjeris is vokieciu</t>
  </si>
  <si>
    <t>goodyear ug perf+  sct</t>
  </si>
  <si>
    <t>Renatas &lt;renatas@gwg.lt  KBE894. BMW428</t>
  </si>
  <si>
    <t>IDE007101</t>
  </si>
  <si>
    <t>ovidijus meilunas kazkam</t>
  </si>
  <si>
    <t>IDE007088</t>
  </si>
  <si>
    <t>continental allseason contact</t>
  </si>
  <si>
    <t>79+siusti IDE007094</t>
  </si>
  <si>
    <t>6 PK 1413  15eur</t>
  </si>
  <si>
    <t>darbas 15eur</t>
  </si>
  <si>
    <t>VKM 32046   31eur</t>
  </si>
  <si>
    <t>Asta Taranenko</t>
  </si>
  <si>
    <t>tomas zitikis JST052  Algimantas +37069975328</t>
  </si>
  <si>
    <t>72eur+montazke 30eur</t>
  </si>
  <si>
    <t>pirelli winter</t>
  </si>
  <si>
    <t>Sparco (Raimis) &lt;raimis@sparco.lt&gt; raimundas</t>
  </si>
  <si>
    <t>IDE007123</t>
  </si>
  <si>
    <t>Sparco (Raimis) &lt;raimis@sparco.lt&gt;</t>
  </si>
  <si>
    <t>5112+4257160065 Disks Dzelzs Black (RSTEEL)</t>
  </si>
  <si>
    <t>skardos</t>
  </si>
  <si>
    <t>vilius fokas</t>
  </si>
  <si>
    <t>po 62eur montazke 25eur</t>
  </si>
  <si>
    <t>paulius paulius@diamedica.lt  norkus</t>
  </si>
  <si>
    <t>153+montazke  IDE007090</t>
  </si>
  <si>
    <t>goodride westlake z507</t>
  </si>
  <si>
    <t>Justas Bugailiškis &lt;justas.bugailiskis@pfellas.lt</t>
  </si>
  <si>
    <t>IDE007089</t>
  </si>
  <si>
    <t>Clamp-in Valve Black x 10</t>
  </si>
  <si>
    <t>TPMS ServiceKit Hamaton</t>
  </si>
  <si>
    <t>2x35eur</t>
  </si>
  <si>
    <t>nexen 4season</t>
  </si>
  <si>
    <t>po 65eur montavosi</t>
  </si>
  <si>
    <t>hankook w330a</t>
  </si>
  <si>
    <t>g.norvilas@nav.lt  gediminas</t>
  </si>
  <si>
    <t>178e+montaz  IDE007115</t>
  </si>
  <si>
    <t>Domas &lt;domas.vielavicius@gmail.com</t>
  </si>
  <si>
    <t>87eur+montazke</t>
  </si>
  <si>
    <t>goodyear perf +</t>
  </si>
  <si>
    <t>Mindaugas Krilavicius &lt;krilas@gmail.com</t>
  </si>
  <si>
    <t>131eur+montazke</t>
  </si>
  <si>
    <t>Mindaugas Ravesa &lt;mindaugas@ravesa.lt</t>
  </si>
  <si>
    <t>montazke be masinos,  IDE007093</t>
  </si>
  <si>
    <t>paulius balciunas   Inga Baranauskaitė</t>
  </si>
  <si>
    <t>montazke po 130</t>
  </si>
  <si>
    <t>montazke mondeo 20eur 2022-05-10</t>
  </si>
  <si>
    <t>matador mp93</t>
  </si>
  <si>
    <t>arvydas kaimynas riese</t>
  </si>
  <si>
    <t>po 75, montazke 15</t>
  </si>
  <si>
    <t>fulda montero 3</t>
  </si>
  <si>
    <t xml:space="preserve">48eur </t>
  </si>
  <si>
    <t>kipras siliunas</t>
  </si>
  <si>
    <t>IDE007117</t>
  </si>
  <si>
    <t>tomas gajauskas  Fhc391  rieses seimos klinika</t>
  </si>
  <si>
    <t>IDE007215</t>
  </si>
  <si>
    <t>tomas gajauskas</t>
  </si>
  <si>
    <t>ZNAJDER SILVER PREM 12V/ 85Ah/800A AKU 313x175x175</t>
  </si>
  <si>
    <t>mantvydas cekutis    akumas 88eur</t>
  </si>
  <si>
    <t>dvi montazkes su pasauga</t>
  </si>
  <si>
    <t>Gintaras Žiaukas &lt;gintaras@kondicionavimas.eu</t>
  </si>
  <si>
    <t>saetta winter</t>
  </si>
  <si>
    <t>41eur+montazke</t>
  </si>
  <si>
    <t>lukas burneika LYY010</t>
  </si>
  <si>
    <t>sask uz padangas</t>
  </si>
  <si>
    <t>IDE007105</t>
  </si>
  <si>
    <t>73.5eur</t>
  </si>
  <si>
    <t>IDE007096</t>
  </si>
  <si>
    <t>93eur  viena montazke</t>
  </si>
  <si>
    <t>goodyear ug suv +</t>
  </si>
  <si>
    <t xml:space="preserve">montazke  IDE007161
</t>
  </si>
  <si>
    <t>149+pvm</t>
  </si>
  <si>
    <t>F 026 407 097  10eur</t>
  </si>
  <si>
    <t>F 026 402 128  25eur</t>
  </si>
  <si>
    <t>F 026 400 181  15eur</t>
  </si>
  <si>
    <t>E2949LC  22eur</t>
  </si>
  <si>
    <t>salono filtro keitimas nahuj</t>
  </si>
  <si>
    <t>85eur montazke? be eiles</t>
  </si>
  <si>
    <t>IDE007203</t>
  </si>
  <si>
    <t>108eur montazke</t>
  </si>
  <si>
    <t>tomas sajevicius</t>
  </si>
  <si>
    <t>IDE007104</t>
  </si>
  <si>
    <t>tomas sajevicius Tomas Šajevičius Mcb654</t>
  </si>
  <si>
    <t xml:space="preserve">146+pvm  </t>
  </si>
  <si>
    <t>montazke ir kas dar?</t>
  </si>
  <si>
    <t>IDE007098</t>
  </si>
  <si>
    <t>IDE007275</t>
  </si>
  <si>
    <t>bmw m240 montazke</t>
  </si>
  <si>
    <t>montazke bmw x3 beeiles</t>
  </si>
  <si>
    <t>Dominykas Stragys &lt;domis200@gmail.com</t>
  </si>
  <si>
    <t>toyo sn944</t>
  </si>
  <si>
    <t>interlux seat MCT673</t>
  </si>
  <si>
    <t>tomas besenas</t>
  </si>
  <si>
    <t>risard airbog RB Legal &lt;teise.tau@gmail.com</t>
  </si>
  <si>
    <t>IDE007146</t>
  </si>
  <si>
    <t>IDE007292</t>
  </si>
  <si>
    <t>evox montazke be eiles</t>
  </si>
  <si>
    <t>montazke x6 ir 2vnt langu</t>
  </si>
  <si>
    <t xml:space="preserve">IDE007276 </t>
  </si>
  <si>
    <t>53.10eur IDE007120</t>
  </si>
  <si>
    <t>mingela nav   VW T-roc LZH943</t>
  </si>
  <si>
    <t>mingelai sask reikia IDE007294</t>
  </si>
  <si>
    <t>vytastamosiunas@gmail.com  868278997 passat</t>
  </si>
  <si>
    <t>77.5+montazke</t>
  </si>
  <si>
    <t>55.1eur   IDE007119 po 57e</t>
  </si>
  <si>
    <t>pirelli sotozero 3</t>
  </si>
  <si>
    <t>IDE007109</t>
  </si>
  <si>
    <t>gsiauciulis@gmail.com</t>
  </si>
  <si>
    <t>IDE007100</t>
  </si>
  <si>
    <t>toyo gsi6</t>
  </si>
  <si>
    <t>Vladas S. - &lt;zwilling@acipisi.lt</t>
  </si>
  <si>
    <t>56eur montazke</t>
  </si>
  <si>
    <t>Laurynas Levulis &lt;laurynas_le@yahoo.com</t>
  </si>
  <si>
    <t>225eur + montaz</t>
  </si>
  <si>
    <t>IDE007102</t>
  </si>
  <si>
    <t>continental ts870 xl</t>
  </si>
  <si>
    <t>su kurjeriu  420eur IDE007324</t>
  </si>
  <si>
    <t>Jan Zajankovskij | DS-1 &lt;jan@ds1.lt</t>
  </si>
  <si>
    <t>IDE007103    po 179eur</t>
  </si>
  <si>
    <t xml:space="preserve">  124+pvm</t>
  </si>
  <si>
    <t>IDE007181</t>
  </si>
  <si>
    <t>montazke be eiles, durnius</t>
  </si>
  <si>
    <t>Laurynas Bockus &lt;laurynas@neiluva.lt</t>
  </si>
  <si>
    <t>IDE007118</t>
  </si>
  <si>
    <t>taurus winter ?</t>
  </si>
  <si>
    <t>14x3vnt langu skyscio</t>
  </si>
  <si>
    <t xml:space="preserve">IDE007179 </t>
  </si>
  <si>
    <t>110eur  ktk488  lexus ct IDE007179</t>
  </si>
  <si>
    <t>vytenis austejos</t>
  </si>
  <si>
    <t>IDE007166</t>
  </si>
  <si>
    <t>julius vaitiekunas mantas milonas Luk759</t>
  </si>
  <si>
    <t>montzke  IDE007137</t>
  </si>
  <si>
    <t>Julius Navagrudskas rasos</t>
  </si>
  <si>
    <t>79+montaz IDE007247</t>
  </si>
  <si>
    <t>tadas malinauskas</t>
  </si>
  <si>
    <t xml:space="preserve"> 939eur</t>
  </si>
  <si>
    <t xml:space="preserve">115+pvm  IDE007135 </t>
  </si>
  <si>
    <t>sneidaraitis tomas nav</t>
  </si>
  <si>
    <t>47eur  IDE007179</t>
  </si>
  <si>
    <t>200/60-14,5 4PR</t>
  </si>
  <si>
    <t>speedways</t>
  </si>
  <si>
    <t>65+ kurjeris ar ne?</t>
  </si>
  <si>
    <t>IDE007114</t>
  </si>
  <si>
    <t>kameros</t>
  </si>
  <si>
    <t>7,36 savik</t>
  </si>
  <si>
    <t>goodyear ug perf g1  su v</t>
  </si>
  <si>
    <t>1040eur</t>
  </si>
  <si>
    <t>continental ts870</t>
  </si>
  <si>
    <t>IDE007156</t>
  </si>
  <si>
    <t>IDE007108  montazke</t>
  </si>
  <si>
    <t>62eur IDE007098</t>
  </si>
  <si>
    <t>tepalai 7L xmax 0w40</t>
  </si>
  <si>
    <t>rastafkes ir varztai</t>
  </si>
  <si>
    <t>montazke be eil audi a6</t>
  </si>
  <si>
    <t>lx3320  22eur</t>
  </si>
  <si>
    <t>lao812   28eur</t>
  </si>
  <si>
    <t>ox1146d  15eur</t>
  </si>
  <si>
    <t>hankook  rw15</t>
  </si>
  <si>
    <t>100eur +montazke be eiles IDE007274</t>
  </si>
  <si>
    <t>Eugenijus &lt;eugenijus@vta.lt&gt;</t>
  </si>
  <si>
    <t>154eur</t>
  </si>
  <si>
    <t>pirelli fr</t>
  </si>
  <si>
    <t>montazke? 505eur padangos</t>
  </si>
  <si>
    <t>arnoldas valiauga</t>
  </si>
  <si>
    <t>105eur ??</t>
  </si>
  <si>
    <t>andrius nasvytis</t>
  </si>
  <si>
    <t>57+kurjeris  IDE007112</t>
  </si>
  <si>
    <t>lauffen</t>
  </si>
  <si>
    <t>g.norvilas &lt;g.norvilas@nav.lt&gt;</t>
  </si>
  <si>
    <t>85eur  IDE007115</t>
  </si>
  <si>
    <t>goodyear ug perf + suv</t>
  </si>
  <si>
    <t>148eur  IDE007216</t>
  </si>
  <si>
    <t>ramunas armalis  egle   +37069975423  Gabija Armalytė</t>
  </si>
  <si>
    <t>po 131eur +montazke  IDE007170</t>
  </si>
  <si>
    <t>armalytegabija@gmail.com</t>
  </si>
  <si>
    <t>tautvydas mikolaitis LUR074  Remigija Mikolaitiene</t>
  </si>
  <si>
    <t>8699 66676 175eur+montazke</t>
  </si>
  <si>
    <t>90eur IDE007111</t>
  </si>
  <si>
    <t>86+pvm kreditine, montazke IDE007177</t>
  </si>
  <si>
    <t>matador xl</t>
  </si>
  <si>
    <t>montazke?  54eur IDE007177</t>
  </si>
  <si>
    <t>225/65r17xxxxxxx</t>
  </si>
  <si>
    <t>remigijus staisiunas JZP234 GWL2113609081566</t>
  </si>
  <si>
    <t>garaze ant desktop saskaita</t>
  </si>
  <si>
    <t>110eur +siunta i klaipeda IDE007173</t>
  </si>
  <si>
    <t>robertas i siaulius  131eur IDE007173</t>
  </si>
  <si>
    <t xml:space="preserve">81.2eur  i siaulius IDE007173 </t>
  </si>
  <si>
    <t xml:space="preserve">81.2eur  i kauna IDE007173 </t>
  </si>
  <si>
    <t>78eur pasiimt bobike ruta IDE007173</t>
  </si>
  <si>
    <t>142eur +siunta i kauna IDE007173</t>
  </si>
  <si>
    <t>goodyear ug perf suv +</t>
  </si>
  <si>
    <t>aurimas matkevicius</t>
  </si>
  <si>
    <t>195eur  IDE007136</t>
  </si>
  <si>
    <t>IDE007136</t>
  </si>
  <si>
    <t>IDE007140</t>
  </si>
  <si>
    <t>subaru montazke</t>
  </si>
  <si>
    <t>Vilius Ivanauskas &lt;viliuz@icloud.com</t>
  </si>
  <si>
    <t>dvi montazkes be beiles 30+pvm</t>
  </si>
  <si>
    <t>martynas.bartkevicius@gmail.com</t>
  </si>
  <si>
    <t>IDE007220</t>
  </si>
  <si>
    <t>eduardas sevcenko</t>
  </si>
  <si>
    <t>99eur?</t>
  </si>
  <si>
    <t>egidijus povilaitis  868619232</t>
  </si>
  <si>
    <t>Tomas Mažeika &lt;tomas@tomturas.eu</t>
  </si>
  <si>
    <t>141.5+pvm su montazke</t>
  </si>
  <si>
    <t>IDE007116</t>
  </si>
  <si>
    <t>150+pvm su montazke</t>
  </si>
  <si>
    <t>paxaro van winter</t>
  </si>
  <si>
    <t>IDE007219</t>
  </si>
  <si>
    <t>IDE007122</t>
  </si>
  <si>
    <t>IDE007122  365+745 turejo but</t>
  </si>
  <si>
    <t>exide ea900</t>
  </si>
  <si>
    <t>remigijus staisiunas JZP234 volvo</t>
  </si>
  <si>
    <t>pasieme 2 langu skysciu 2022-01-21, anksciau ar eme nzn ?</t>
  </si>
  <si>
    <t>Continental VancoWinter 2</t>
  </si>
  <si>
    <t>laurynas katalizator dagys</t>
  </si>
  <si>
    <t>175eur   IDE007139  montaz</t>
  </si>
  <si>
    <t>langu skyscio palete 160vnt 1.93savik</t>
  </si>
  <si>
    <t>darius bevita bernackas</t>
  </si>
  <si>
    <t>IDE007251</t>
  </si>
  <si>
    <t>michelin xicesnow</t>
  </si>
  <si>
    <t>hankook w429 xl</t>
  </si>
  <si>
    <t>46eur IDE007156</t>
  </si>
  <si>
    <t>tomas ustinavicius</t>
  </si>
  <si>
    <t>73eur montazke</t>
  </si>
  <si>
    <t>montazke IDE007131</t>
  </si>
  <si>
    <t>mindaugas ravesa &lt;mindaugas@ravesa.lt</t>
  </si>
  <si>
    <t>61.3eur  IDE007124</t>
  </si>
  <si>
    <t>michail kacemcev 860833715</t>
  </si>
  <si>
    <t>po 91eur ir montazke?</t>
  </si>
  <si>
    <t>liutauras prekursorius mantas</t>
  </si>
  <si>
    <t>67.5eur IDE007132</t>
  </si>
  <si>
    <t>zilvinas kaimynas</t>
  </si>
  <si>
    <t>114eur be montaz  IDE007128</t>
  </si>
  <si>
    <t>ovidijus meilunas kia optima Justinas Lape Kre129</t>
  </si>
  <si>
    <t>150+montaz?</t>
  </si>
  <si>
    <t>IDE007121</t>
  </si>
  <si>
    <t>81eur  IDE007179</t>
  </si>
  <si>
    <t>Algimantas.Janusauskas@litagra.lt  aristava</t>
  </si>
  <si>
    <t>92eur su kurjeriu</t>
  </si>
  <si>
    <t>IDE007127</t>
  </si>
  <si>
    <t>barum snovanis 3</t>
  </si>
  <si>
    <t>aurimas rasickas mhm</t>
  </si>
  <si>
    <t>siunta i klo ?  92eur IDE007221</t>
  </si>
  <si>
    <t>strdanielius@gmail.com  darius bevita  strelkovas</t>
  </si>
  <si>
    <t>47.5eur montazke  IDE007142</t>
  </si>
  <si>
    <t>greenmax</t>
  </si>
  <si>
    <t>povilas pasaravicius 8627 17252</t>
  </si>
  <si>
    <t>100+montazke</t>
  </si>
  <si>
    <t>Gedas &lt;gedas@gwg.lt  Renatas &lt;renatas@gwg.lt</t>
  </si>
  <si>
    <t>157+pvm  IDE007129</t>
  </si>
  <si>
    <t>fulda kristall control hp2</t>
  </si>
  <si>
    <t>andrius stepankevicius</t>
  </si>
  <si>
    <t>80eur montazke</t>
  </si>
  <si>
    <t>instabalt tomas</t>
  </si>
  <si>
    <t>127eur  IDE007134</t>
  </si>
  <si>
    <t>gwl2113433310681  deh071</t>
  </si>
  <si>
    <t>56eur IDE007206</t>
  </si>
  <si>
    <t>188eur IDE007206</t>
  </si>
  <si>
    <t>zilvinas kaimynas viskauskas</t>
  </si>
  <si>
    <t>IDE007125</t>
  </si>
  <si>
    <t>montazke IDE007125</t>
  </si>
  <si>
    <t>hankook evo 3</t>
  </si>
  <si>
    <t>130eur IDE007179</t>
  </si>
  <si>
    <t>188eur IDE007133</t>
  </si>
  <si>
    <t>280eur  sumokejo</t>
  </si>
  <si>
    <t>diplomat winter hp</t>
  </si>
  <si>
    <t>Greta Kislovskaja : Alwark &lt;greta.kislovskaja@alwark.lt</t>
  </si>
  <si>
    <t>IDE007153</t>
  </si>
  <si>
    <t>zilvinas kaimynas viskauskas zilwinas@inbox.lt</t>
  </si>
  <si>
    <t>111eur  IDE007128</t>
  </si>
  <si>
    <t>UAB "Integritas GS"</t>
  </si>
  <si>
    <t>gytis slavinskas</t>
  </si>
  <si>
    <t>dvi montazkes, bmw 5 ir kazkas dar</t>
  </si>
  <si>
    <t>IDE007130</t>
  </si>
  <si>
    <t>klaudijus stroginis Justinas Velička</t>
  </si>
  <si>
    <t>IDE007168</t>
  </si>
  <si>
    <t>goodyear ug perf+  XL</t>
  </si>
  <si>
    <t>142eur+montazke</t>
  </si>
  <si>
    <t>IDE007223</t>
  </si>
  <si>
    <t>gislaved euro van</t>
  </si>
  <si>
    <t>montazke 2vnt</t>
  </si>
  <si>
    <t>119eur montazke+pasauga</t>
  </si>
  <si>
    <t>uab masida IDE007222</t>
  </si>
  <si>
    <t>SWF 119434  33eur</t>
  </si>
  <si>
    <t>adblue 9eur</t>
  </si>
  <si>
    <t>Audrius Jas</t>
  </si>
  <si>
    <t>IDE007138</t>
  </si>
  <si>
    <t>skardiniai 5130+6689160065 Dzelzs Disks KFZ RENAULT</t>
  </si>
  <si>
    <t>86eur montaz 30eur</t>
  </si>
  <si>
    <t>imantas.b@gmail.com</t>
  </si>
  <si>
    <t>198eur</t>
  </si>
  <si>
    <t>IDE007147</t>
  </si>
  <si>
    <t>222eur montazke 35</t>
  </si>
  <si>
    <t>Vilius Milašius &lt;vilius.milasius@gmail.com</t>
  </si>
  <si>
    <t>260+225+35eur</t>
  </si>
  <si>
    <t>antonas mejuss</t>
  </si>
  <si>
    <t>41.6eur  montazke,pasauga?</t>
  </si>
  <si>
    <t>IDE007224</t>
  </si>
  <si>
    <t>tesla balansas</t>
  </si>
  <si>
    <t>evelina austejos</t>
  </si>
  <si>
    <t>80+kurjeris IDE007141</t>
  </si>
  <si>
    <t>toyo observe van</t>
  </si>
  <si>
    <t>Ernestas D &lt;dr.ernestas@gmail.com</t>
  </si>
  <si>
    <t>IDE007144</t>
  </si>
  <si>
    <t>240eur ar pigiau? montaze pasauga</t>
  </si>
  <si>
    <t>IDE007213</t>
  </si>
  <si>
    <t>aplus a506 xl</t>
  </si>
  <si>
    <t>Kazimieras Piliponis &lt;k.piliponis00@gmail.com</t>
  </si>
  <si>
    <t>sumokejo?</t>
  </si>
  <si>
    <t>laurynas bockus &lt;laurynas@neiluva.lt</t>
  </si>
  <si>
    <t>IDE007172</t>
  </si>
  <si>
    <t>Živilė Zivilyte</t>
  </si>
  <si>
    <t>190eur</t>
  </si>
  <si>
    <t>IDE007226</t>
  </si>
  <si>
    <t>Leonas V. &lt;leonas.valvonis@gmail.com</t>
  </si>
  <si>
    <t>60+kurjeris</t>
  </si>
  <si>
    <t>marex marek stefanovic</t>
  </si>
  <si>
    <t xml:space="preserve">goodyear f1 asymm5 </t>
  </si>
  <si>
    <t>311.08+pvm</t>
  </si>
  <si>
    <t>montazke 4vnt</t>
  </si>
  <si>
    <t>235/45r18 gy perf+ dave kad parduot man, kiek eur?</t>
  </si>
  <si>
    <t>paliko parduot</t>
  </si>
  <si>
    <t>265/35r20  ?</t>
  </si>
  <si>
    <t>paliko  parduot 2, dvi naujas pirkau</t>
  </si>
  <si>
    <t>305/70r16</t>
  </si>
  <si>
    <t>bf goodrich mud terrain</t>
  </si>
  <si>
    <t>220eur IDE007273</t>
  </si>
  <si>
    <t>Vilmantas Červinskas &lt;vilmantas.c@gmail.com</t>
  </si>
  <si>
    <t>rolandas novikovas ratlis  8699 75495 jurate</t>
  </si>
  <si>
    <t>150eur IDE007184</t>
  </si>
  <si>
    <t>pirelli sottozero 3</t>
  </si>
  <si>
    <t>IDE007173</t>
  </si>
  <si>
    <t>3x5L motul 0w30 eco-nergy 102794</t>
  </si>
  <si>
    <t>edgaras kovaliovas utvt</t>
  </si>
  <si>
    <t>po 52eur IDE007227</t>
  </si>
  <si>
    <t>dvi montazkes? langu skystis? IDE007228</t>
  </si>
  <si>
    <t>goodride z507</t>
  </si>
  <si>
    <t>79eur IDE007148</t>
  </si>
  <si>
    <t>montazke m240</t>
  </si>
  <si>
    <t>3 397 007 696 23eur</t>
  </si>
  <si>
    <t>3langu skysciu</t>
  </si>
  <si>
    <t>dofa.pardavimai@gmail.com  Raimond Stefanovič</t>
  </si>
  <si>
    <t>montazke be eiles crv IDE007272</t>
  </si>
  <si>
    <t>Jaroslav Cerniavskij</t>
  </si>
  <si>
    <t>155+115eur  montazke?</t>
  </si>
  <si>
    <t>IDE007163</t>
  </si>
  <si>
    <t>179eur montazke? IDE007211</t>
  </si>
  <si>
    <t>Matas Pilkauskas  862447972</t>
  </si>
  <si>
    <t>stiklita montazke  LMY319  LAG152   KPT153   JCK553</t>
  </si>
  <si>
    <t>IDE007217</t>
  </si>
  <si>
    <t>fulda kristall montero 3</t>
  </si>
  <si>
    <t>julius lizunas</t>
  </si>
  <si>
    <t>866361958 mindaugas foko ?</t>
  </si>
  <si>
    <t>IDE007149</t>
  </si>
  <si>
    <t>IDE007169</t>
  </si>
  <si>
    <t>178eur</t>
  </si>
  <si>
    <t>siunta i kauna 5eur</t>
  </si>
  <si>
    <t>siuntia is eu</t>
  </si>
  <si>
    <t>IDE007155</t>
  </si>
  <si>
    <t xml:space="preserve">porsas ir audi  ratu permetimas </t>
  </si>
  <si>
    <t>869841627 karolis suminas</t>
  </si>
  <si>
    <t>IDE007157</t>
  </si>
  <si>
    <t>IDE007261</t>
  </si>
  <si>
    <t>montazke citro kazkokio?</t>
  </si>
  <si>
    <t>Vaitvilas Driskius Teisės aktų žinios, UAB  303382241</t>
  </si>
  <si>
    <t>IDE007150</t>
  </si>
  <si>
    <t>Voldemar General Wood Group &lt;voldemar@gwg.lt</t>
  </si>
  <si>
    <t>121.5+pvm +kurjer IDE007162</t>
  </si>
  <si>
    <t>vredestein</t>
  </si>
  <si>
    <t>IDE007152</t>
  </si>
  <si>
    <t>PU 823</t>
  </si>
  <si>
    <t>HU 719/8x</t>
  </si>
  <si>
    <t>C23129</t>
  </si>
  <si>
    <t>45eur visi</t>
  </si>
  <si>
    <t>IDRatai &lt;info@idratai.lt&gt;</t>
  </si>
  <si>
    <t>dave 900</t>
  </si>
  <si>
    <t xml:space="preserve">235/45r17 </t>
  </si>
  <si>
    <t>Giedrius Kaupas &lt;kaukas03@gmail.com</t>
  </si>
  <si>
    <t>kestas zaiskit lt   Tomas sTaskunas</t>
  </si>
  <si>
    <t>nexen g3</t>
  </si>
  <si>
    <t>67-70eur  dave 265eur</t>
  </si>
  <si>
    <t>uab.dalversa &lt;uab.dalversa@gmail.com</t>
  </si>
  <si>
    <t>IDE007158</t>
  </si>
  <si>
    <t>stiklita  JNG413  Regimantas Jankauskas &lt;regimantas@stiklita.lt</t>
  </si>
  <si>
    <t>89eur ir montazke 3kartus pagal kalendoriu :D</t>
  </si>
  <si>
    <t>123eur IDE007210</t>
  </si>
  <si>
    <t>vikingas</t>
  </si>
  <si>
    <t xml:space="preserve"> 180eur su viskuo</t>
  </si>
  <si>
    <t>IDE007676</t>
  </si>
  <si>
    <t>3 397 007 570  23eur</t>
  </si>
  <si>
    <t>dainius energijos parkas darius.ciap@gmail.com</t>
  </si>
  <si>
    <t>65+montazke? IDE007175</t>
  </si>
  <si>
    <t>265/40r21 ar  285/40r21</t>
  </si>
  <si>
    <t>pirell winter</t>
  </si>
  <si>
    <t>Tomas.Jucius@diverus.com &lt;Tomas.Jucius@diverus.com</t>
  </si>
  <si>
    <t>montaz be eiles IDE007209</t>
  </si>
  <si>
    <t>fulda kristall control 2</t>
  </si>
  <si>
    <t>algimantas.Janusauskas@litagra.lt    UAB Baušų ūkis</t>
  </si>
  <si>
    <t>po 48eur, nuvezta IDE007208</t>
  </si>
  <si>
    <t>Nermalas Tralialia &lt;nermalas123@yahoo.com Norvilas Zebenka</t>
  </si>
  <si>
    <t>52+montaz</t>
  </si>
  <si>
    <t>ad blue 2x11eur</t>
  </si>
  <si>
    <t>pasauga ir keitimas IDE007356</t>
  </si>
  <si>
    <t>oro,salono,tepalo ir zvakes 32eur</t>
  </si>
  <si>
    <t>ADUK398975</t>
  </si>
  <si>
    <t>gislaved eurofrost</t>
  </si>
  <si>
    <t>arunas daruna buskevicius</t>
  </si>
  <si>
    <t>70+montazke IDE007204</t>
  </si>
  <si>
    <t>30vnt langu skyscio</t>
  </si>
  <si>
    <t>IDE007200</t>
  </si>
  <si>
    <t>Linas Uab EMPL</t>
  </si>
  <si>
    <t>IDE007164 su montazke</t>
  </si>
  <si>
    <t>skirmantas paulavicius</t>
  </si>
  <si>
    <t>IDE007167</t>
  </si>
  <si>
    <t>Rimas B &lt;rimas100@gmail.com</t>
  </si>
  <si>
    <t>po 64+montazke IDE007229 +montaz tiguan nauji hankook</t>
  </si>
  <si>
    <t xml:space="preserve">Rimas B &lt;rimas100@gmail.com JOT433 </t>
  </si>
  <si>
    <t>119eur  IDE007230</t>
  </si>
  <si>
    <t>giedrius kvedaravicius</t>
  </si>
  <si>
    <t>IDE007193</t>
  </si>
  <si>
    <t>klaudijus stroginis Gintaras Drumsta &lt;gintaras.drumsta@gmail.com</t>
  </si>
  <si>
    <t>337eur IDE007186</t>
  </si>
  <si>
    <t>380eur IDE007186</t>
  </si>
  <si>
    <t>Κυκεβικιους Πόβιλας  Povilas</t>
  </si>
  <si>
    <t>250eur IDE007187</t>
  </si>
  <si>
    <t>tomas zitikis gauza</t>
  </si>
  <si>
    <t>dainius sinkevicius dviraciai sinkevicius82@gmail.com</t>
  </si>
  <si>
    <t>IDE007174</t>
  </si>
  <si>
    <t>z507 china</t>
  </si>
  <si>
    <t>montzke, su pasauga IDE007178</t>
  </si>
  <si>
    <t>IDE007180</t>
  </si>
  <si>
    <t>100+130eur IDE007183</t>
  </si>
  <si>
    <t>gripmaxx i5 suv</t>
  </si>
  <si>
    <t>861260662 IDE007183</t>
  </si>
  <si>
    <t>IDE007183</t>
  </si>
  <si>
    <t>IDE007270</t>
  </si>
  <si>
    <t>keitimas 30+5e</t>
  </si>
  <si>
    <t>24.8190-0987  13eur</t>
  </si>
  <si>
    <t>gintare jarosaite zarskiene</t>
  </si>
  <si>
    <t>P06107  130eur</t>
  </si>
  <si>
    <t>kebla</t>
  </si>
  <si>
    <t>varta d47  65eur?</t>
  </si>
  <si>
    <t>Arturas K. &lt;arturas.kiselis@gmail.com</t>
  </si>
  <si>
    <t>IDE007271</t>
  </si>
  <si>
    <t>doublestart</t>
  </si>
  <si>
    <t>motazke? IDE007256</t>
  </si>
  <si>
    <t>IDE007214</t>
  </si>
  <si>
    <t>Žydrūnas Strumila | CRITICAL &lt;zydrunas@wearecritical.com</t>
  </si>
  <si>
    <t>160 su kurjeriu ? IDE007185</t>
  </si>
  <si>
    <t>24578.165.1  42eur</t>
  </si>
  <si>
    <t>snieguole dantisto</t>
  </si>
  <si>
    <t>80+85eur</t>
  </si>
  <si>
    <t>574652 X4 vnt</t>
  </si>
  <si>
    <t>IDE007188</t>
  </si>
  <si>
    <t>574652  dunlop w5</t>
  </si>
  <si>
    <t>99+pvm IDE007195</t>
  </si>
  <si>
    <t>532331 X8 vnt</t>
  </si>
  <si>
    <t>548173 X4 vnt</t>
  </si>
  <si>
    <t>574313 X4vnt</t>
  </si>
  <si>
    <t>574629  dunlop w5</t>
  </si>
  <si>
    <t>72+pvm IDE007195</t>
  </si>
  <si>
    <t>574660 X4</t>
  </si>
  <si>
    <t>545077 X8vnt</t>
  </si>
  <si>
    <t>IDE007233</t>
  </si>
  <si>
    <t>contikai</t>
  </si>
  <si>
    <t>167eur savik IDE007204</t>
  </si>
  <si>
    <t>bridgestone blizzak ice</t>
  </si>
  <si>
    <t>ignasmarcinkevicius90@gmail.com</t>
  </si>
  <si>
    <t>montazke  75eur IDE007189</t>
  </si>
  <si>
    <t>108+montazke IDE007190</t>
  </si>
  <si>
    <t>tomas adamovic</t>
  </si>
  <si>
    <t>po 185eur IDE007191</t>
  </si>
  <si>
    <t>Aurimas Matkevicius &lt;aurimas.matkevicius@gmail.com</t>
  </si>
  <si>
    <t>178eur IDE007197</t>
  </si>
  <si>
    <t>IDE007357</t>
  </si>
  <si>
    <t>motazke   IDE007242</t>
  </si>
  <si>
    <t>Agrodetalės UAB &lt;agrodetales@inbox.lt&gt;</t>
  </si>
  <si>
    <t>99eur montazke IDE007268</t>
  </si>
  <si>
    <t>asgena marius</t>
  </si>
  <si>
    <t>IDE007198</t>
  </si>
  <si>
    <t xml:space="preserve">205/55r16 </t>
  </si>
  <si>
    <t>motazke  dave 250</t>
  </si>
  <si>
    <t>99e, siunta i kaima ir grazinimas 12eur</t>
  </si>
  <si>
    <t>IDE007201</t>
  </si>
  <si>
    <t>IDE007199</t>
  </si>
  <si>
    <t>n72 varta  110eur</t>
  </si>
  <si>
    <t>3eur langu skystis</t>
  </si>
  <si>
    <t>IDE007206</t>
  </si>
  <si>
    <t>120eur+30+akumas</t>
  </si>
  <si>
    <t>gt radial wt2</t>
  </si>
  <si>
    <t>IDE007265 montazke</t>
  </si>
  <si>
    <t>A 000 423 17 12 2vnt po 150+pvm</t>
  </si>
  <si>
    <t>GIC242 2vnt po 4eur</t>
  </si>
  <si>
    <t>13.0460-2627.2  72eur  (133sask)</t>
  </si>
  <si>
    <t>A2053340300 ~250eur H1M034BTA</t>
  </si>
  <si>
    <t xml:space="preserve">47800 km </t>
  </si>
  <si>
    <t>HU 7025 Z  12eur</t>
  </si>
  <si>
    <t>C 21 020  24eur  2vnt</t>
  </si>
  <si>
    <t>FP 26 023  37eur</t>
  </si>
  <si>
    <t>xmax 5+3 l</t>
  </si>
  <si>
    <t>stabdziu keitimas  IDE007307</t>
  </si>
  <si>
    <t>Aretas Petraitis &lt;aretaspetraitis89@gmail.com</t>
  </si>
  <si>
    <t>69+montazke</t>
  </si>
  <si>
    <t>Eismantas Vaitiekunas</t>
  </si>
  <si>
    <t>102eur+kurjeris</t>
  </si>
  <si>
    <t>IDE007232</t>
  </si>
  <si>
    <t>audrius malinauskas conresta</t>
  </si>
  <si>
    <t>990+montazke</t>
  </si>
  <si>
    <t>IDE007205</t>
  </si>
  <si>
    <t xml:space="preserve">goodyear ug arctic </t>
  </si>
  <si>
    <t>marius augustinas idea3</t>
  </si>
  <si>
    <t>IDE007234</t>
  </si>
  <si>
    <t xml:space="preserve">lina gavro </t>
  </si>
  <si>
    <t>165eur ir montazke IDE007346</t>
  </si>
  <si>
    <t>129eur montazke</t>
  </si>
  <si>
    <t>triangle pl 01</t>
  </si>
  <si>
    <t>vytautas morkus 867885833</t>
  </si>
  <si>
    <t>goodyear ug perf+  98h</t>
  </si>
  <si>
    <t>113+pvm IDE007267</t>
  </si>
  <si>
    <t>45.26eur ir mointazke IDE007217</t>
  </si>
  <si>
    <t>Eitvydas Lubys &lt;e.lubys@fokusgroup.lt</t>
  </si>
  <si>
    <t>155+montazke IDE007246</t>
  </si>
  <si>
    <t>62eur ? IDE007237</t>
  </si>
  <si>
    <t>tomas mockevicius laurynas duoba</t>
  </si>
  <si>
    <t xml:space="preserve">  IDE008249</t>
  </si>
  <si>
    <t>el700 exide</t>
  </si>
  <si>
    <t>valdas mameniskis</t>
  </si>
  <si>
    <t>FDB4433  43eur</t>
  </si>
  <si>
    <t>keitimas priekio galo 45+pvm</t>
  </si>
  <si>
    <t>FDB4697 30eur</t>
  </si>
  <si>
    <t>IDE007231</t>
  </si>
  <si>
    <t>Laurynas Grinevičius &lt;laurynas.grinevicius@sb.lt</t>
  </si>
  <si>
    <t>IDE007282</t>
  </si>
  <si>
    <t>129eur</t>
  </si>
  <si>
    <t>IDE007262</t>
  </si>
  <si>
    <t>daiva guntyte</t>
  </si>
  <si>
    <t>158+dvi montazkes IDE007245</t>
  </si>
  <si>
    <t>5G0805931</t>
  </si>
  <si>
    <t>5G0805932</t>
  </si>
  <si>
    <t>5Q0 199 262 bk</t>
  </si>
  <si>
    <t xml:space="preserve">IDE007301 </t>
  </si>
  <si>
    <t>4D0317867A 6+pvm</t>
  </si>
  <si>
    <t>5Q0122291AL  10+pvm</t>
  </si>
  <si>
    <t>IDE007301</t>
  </si>
  <si>
    <t>IDE007266</t>
  </si>
  <si>
    <t>ratai china  680eur</t>
  </si>
  <si>
    <t>dave 620eur  IDE007286</t>
  </si>
  <si>
    <t>greenmax gm608</t>
  </si>
  <si>
    <t>vaitvilas driskius</t>
  </si>
  <si>
    <t>xclean+ 5l ? 40eur</t>
  </si>
  <si>
    <t>H97W06 6eur</t>
  </si>
  <si>
    <t>E1045L 10eur</t>
  </si>
  <si>
    <t>LAK396 15eur</t>
  </si>
  <si>
    <t>keitimas 25eur?</t>
  </si>
  <si>
    <t>33x12.5r18</t>
  </si>
  <si>
    <t>toyo m/t</t>
  </si>
  <si>
    <t>IDE007291 sask avansu</t>
  </si>
  <si>
    <t>IDE007393</t>
  </si>
  <si>
    <t>3 397 008 537 2vnt po 13eur?</t>
  </si>
  <si>
    <t>IDE007257</t>
  </si>
  <si>
    <t>fronway icepower</t>
  </si>
  <si>
    <t>40.2eur  montazke IDE007256</t>
  </si>
  <si>
    <t xml:space="preserve">julius vaitiekunas </t>
  </si>
  <si>
    <t>ivore  2x6.18+pvm</t>
  </si>
  <si>
    <t>kronsteinas 2x9.71+pvm</t>
  </si>
  <si>
    <t>ivore 11.63+pvm</t>
  </si>
  <si>
    <t>vyriai 2x19.87+pvm</t>
  </si>
  <si>
    <t>IDE007244</t>
  </si>
  <si>
    <t>87+montazke</t>
  </si>
  <si>
    <t>aironas kelpsa 864624686</t>
  </si>
  <si>
    <t>51+montazke</t>
  </si>
  <si>
    <t>75ah akumas 65eur</t>
  </si>
  <si>
    <t>gerta kidikaite opel astra</t>
  </si>
  <si>
    <t>235/45r19</t>
  </si>
  <si>
    <t>IDE007286</t>
  </si>
  <si>
    <t>conti ts850</t>
  </si>
  <si>
    <t>210eur IDE007286</t>
  </si>
  <si>
    <t>24.0112-0210.1 2x56eur</t>
  </si>
  <si>
    <t>keitimas 30eur?</t>
  </si>
  <si>
    <t>interlux jsj805 zydrunas.daunoravicius@interlux.lt 865692354</t>
  </si>
  <si>
    <t>IDE007333</t>
  </si>
  <si>
    <t>13.0460-7294.2  1x 52eur</t>
  </si>
  <si>
    <t>julius ovidijus ?</t>
  </si>
  <si>
    <t>julius ?</t>
  </si>
  <si>
    <t>6.5 savik</t>
  </si>
  <si>
    <t>matas buzelis dipteris</t>
  </si>
  <si>
    <t>IDE007281</t>
  </si>
  <si>
    <t>265eur skola</t>
  </si>
  <si>
    <t>diplomat winter</t>
  </si>
  <si>
    <t>867950916 is sms paulius.paskeviciuss@gmail.com</t>
  </si>
  <si>
    <t>58eur+30eur</t>
  </si>
  <si>
    <t>Darius.Matiejunas@diverus.com</t>
  </si>
  <si>
    <t>86eur montazke 2vnt ir balans visu be masinos</t>
  </si>
  <si>
    <t>IDE007318</t>
  </si>
  <si>
    <t>pirelli icezero fr</t>
  </si>
  <si>
    <t>telefonu uzsakiau, protingesnis lt</t>
  </si>
  <si>
    <t>145eur IDE007288</t>
  </si>
  <si>
    <t>goodyear eagle touring</t>
  </si>
  <si>
    <t>208+pvm IDE007298</t>
  </si>
  <si>
    <t>diverus</t>
  </si>
  <si>
    <t>donatas jucius, montazke, 3iju lyginimas, visu balans, 2ieju virinimas</t>
  </si>
  <si>
    <t>paklijuot skilima reikejo dar</t>
  </si>
  <si>
    <t>IDE007950</t>
  </si>
  <si>
    <t>F 026 407 023  9eur</t>
  </si>
  <si>
    <t>LX1211 12eur</t>
  </si>
  <si>
    <t>FP 2939 18eur      PU 8008/1 25eur</t>
  </si>
  <si>
    <t>jurga passat</t>
  </si>
  <si>
    <t>xclean+  40eur</t>
  </si>
  <si>
    <t>tepalo filtras OEM</t>
  </si>
  <si>
    <t>FP 26 009  19eur</t>
  </si>
  <si>
    <t>xmax 0w40 5+1</t>
  </si>
  <si>
    <t>06K 905 601 B   76eur</t>
  </si>
  <si>
    <t>dna racing amortam 500eur</t>
  </si>
  <si>
    <t xml:space="preserve">IDE007387 </t>
  </si>
  <si>
    <t>Simonas Pocius kristijonas.zaranka@gmail.com</t>
  </si>
  <si>
    <t>IDE007287</t>
  </si>
  <si>
    <t>sava s3+</t>
  </si>
  <si>
    <t>vyga srotas</t>
  </si>
  <si>
    <t>firestone 4</t>
  </si>
  <si>
    <t>104savik  po 120eur IDE007306</t>
  </si>
  <si>
    <t>KYBRA5080  2x35eur</t>
  </si>
  <si>
    <t>LMI37110 2x20eur</t>
  </si>
  <si>
    <t>diana tenisas</t>
  </si>
  <si>
    <t>Gabija Jakutyte</t>
  </si>
  <si>
    <t>73eur  ide007299</t>
  </si>
  <si>
    <t>253+pvm IDE007298</t>
  </si>
  <si>
    <t>103eur? +davikliai 4vnt</t>
  </si>
  <si>
    <t xml:space="preserve">pirelli ice zero fr </t>
  </si>
  <si>
    <t>birute alunderyte</t>
  </si>
  <si>
    <t>106eur  IDE007302</t>
  </si>
  <si>
    <t>5G0 805 904 D 041  32.86+</t>
  </si>
  <si>
    <t>5G0 853 651 CS ZLL  190.28+</t>
  </si>
  <si>
    <t>5Q0 199 555 BJ   62.32+</t>
  </si>
  <si>
    <t>5G0 853 949 J 9B9   7.62+</t>
  </si>
  <si>
    <t>5G0 853 101 G 041   26.29+</t>
  </si>
  <si>
    <t>5G0 121 284 J    7.25+</t>
  </si>
  <si>
    <t>5G0 853 671 M FOD 75.04+</t>
  </si>
  <si>
    <t>5G0 853 102 D 041   26.29+</t>
  </si>
  <si>
    <t>5G0 805 915 P 9B9  54.27+</t>
  </si>
  <si>
    <t>5G0 121 283 AP   7.25+</t>
  </si>
  <si>
    <t>5G0 853 666 R 041   27.66+</t>
  </si>
  <si>
    <t>5G0 805 903 J 041  32.86+</t>
  </si>
  <si>
    <t>5G0 853 950 M 9B9   7.62+</t>
  </si>
  <si>
    <t>5G0 853 665 R 041   27.66+</t>
  </si>
  <si>
    <t>goodyear ug ice suv  sct</t>
  </si>
  <si>
    <t>guldija kestutis</t>
  </si>
  <si>
    <t>IDE007303</t>
  </si>
  <si>
    <t>IDE007319</t>
  </si>
  <si>
    <t>jonas raulynaitis vainius</t>
  </si>
  <si>
    <t>po73+25eur montazke+balans</t>
  </si>
  <si>
    <t>IDE007263</t>
  </si>
  <si>
    <t>montaz? kaina?</t>
  </si>
  <si>
    <t>IDE007314</t>
  </si>
  <si>
    <t>15eur skola keblai</t>
  </si>
  <si>
    <t>3 397 007 088 2vnt po 23eur</t>
  </si>
  <si>
    <t>2+2</t>
  </si>
  <si>
    <t>goodyear ug ice suv  SCT ir ne</t>
  </si>
  <si>
    <t>Tomas.Jucius@diverus.com</t>
  </si>
  <si>
    <t>kurjeris IDE007285</t>
  </si>
  <si>
    <t>is sms, montavo remigijus</t>
  </si>
  <si>
    <t>IDE007305</t>
  </si>
  <si>
    <t>montazke IDE007306</t>
  </si>
  <si>
    <t>aurimas nav  karolis nav</t>
  </si>
  <si>
    <t>295+355eur IDE007306</t>
  </si>
  <si>
    <t>eb740 exide akumas 76eur honda crv</t>
  </si>
  <si>
    <t>6vnt langu skyscios</t>
  </si>
  <si>
    <t>tomas mingela nav  interlux? hoj</t>
  </si>
  <si>
    <t>87.5+montazke? IDE007340</t>
  </si>
  <si>
    <t xml:space="preserve">lizunas kovenda </t>
  </si>
  <si>
    <t>IDE007259</t>
  </si>
  <si>
    <t>109eur+montazke IDE007339</t>
  </si>
  <si>
    <t>275eur IDE007317</t>
  </si>
  <si>
    <t>marshal mw15</t>
  </si>
  <si>
    <t>45eur IDE007306</t>
  </si>
  <si>
    <t>kurjer IDE007313</t>
  </si>
  <si>
    <t>visu filtru keitimas ir visi filtrai 40eur</t>
  </si>
  <si>
    <t>revolut pervede kriste 119eur</t>
  </si>
  <si>
    <t>LX818  23eur</t>
  </si>
  <si>
    <t>tepalai 10l   75eur xclean+</t>
  </si>
  <si>
    <t>197+pvm  +montazke</t>
  </si>
  <si>
    <t>IDE007334</t>
  </si>
  <si>
    <t>20x6eur varzttai nauji</t>
  </si>
  <si>
    <t>lao181  18eur</t>
  </si>
  <si>
    <t>xado stage1  51eur</t>
  </si>
  <si>
    <t>1.5l tepalo</t>
  </si>
  <si>
    <t>crc valve cleaneris</t>
  </si>
  <si>
    <t>xado 1vnt  16eur</t>
  </si>
  <si>
    <t>Vaidotas Rimeikis &lt;rimeikis.vaidotas@gmail.com</t>
  </si>
  <si>
    <t>IDE007315 su montazke</t>
  </si>
  <si>
    <t>michelin xice 3</t>
  </si>
  <si>
    <t>IDE007316</t>
  </si>
  <si>
    <t>3 397 008 532  10eur</t>
  </si>
  <si>
    <t>3 397 008 538  14eur</t>
  </si>
  <si>
    <t>5w40 xcess 5+1L+1L</t>
  </si>
  <si>
    <t>E11H D52  6eur</t>
  </si>
  <si>
    <t>arturas zakroiskis opel zafira</t>
  </si>
  <si>
    <t>keitimas tepalo</t>
  </si>
  <si>
    <t>IDE007321</t>
  </si>
  <si>
    <t>2+2 0w40 v300</t>
  </si>
  <si>
    <t>pirelli sotozero 3 mo</t>
  </si>
  <si>
    <t>vytautas bikinas</t>
  </si>
  <si>
    <t>220eur  IDE007320</t>
  </si>
  <si>
    <t>5QM 816 411 B   213+pvm</t>
  </si>
  <si>
    <t>5Q0121251GN  175+pvm</t>
  </si>
  <si>
    <t>wagnerio IC  1000eur</t>
  </si>
  <si>
    <t>wagnerio IC</t>
  </si>
  <si>
    <t>IDE007322</t>
  </si>
  <si>
    <t>185+pvm IDE007341</t>
  </si>
  <si>
    <t>5Q0121251GN   175+pvm</t>
  </si>
  <si>
    <t>06K905601M  4vnt po 19+pvm</t>
  </si>
  <si>
    <t>IDE007345</t>
  </si>
  <si>
    <t>5Q0 615 311G  23eur</t>
  </si>
  <si>
    <t xml:space="preserve">1 rato klijavimas  IDE007364           </t>
  </si>
  <si>
    <t>3 397 007 297  25eur</t>
  </si>
  <si>
    <t>5G0 853 946  12.48+</t>
  </si>
  <si>
    <t>5G0 853 945 12.48+pvm</t>
  </si>
  <si>
    <t>5C5 853 893 5.71+</t>
  </si>
  <si>
    <t>N 909 747 01 2+pvm</t>
  </si>
  <si>
    <t>5G0 823 535 B 26+pvm</t>
  </si>
  <si>
    <t>5G2 823 531 D 12.24+pvm</t>
  </si>
  <si>
    <t>ratu balansas 15eur</t>
  </si>
  <si>
    <t>ATE 24.0120-0243.1 2vnt po 60eur</t>
  </si>
  <si>
    <t>Deividas Rinkevičius</t>
  </si>
  <si>
    <t>LAO812 25eur</t>
  </si>
  <si>
    <t>132088 km</t>
  </si>
  <si>
    <t>stabdziu disku keitimas/kaladziu 40eur</t>
  </si>
  <si>
    <t>amortu apsaugu keitimas 2vnt 50eur</t>
  </si>
  <si>
    <t>tepalu/filtru keitimas 30eur</t>
  </si>
  <si>
    <t>pirelli MO</t>
  </si>
  <si>
    <t>IDE007324</t>
  </si>
  <si>
    <t>0w40 5L xmax  49eur</t>
  </si>
  <si>
    <t>1 457 429 301   8eur</t>
  </si>
  <si>
    <t>xado stage1</t>
  </si>
  <si>
    <t>mantas pavliukevicius vw golf 5</t>
  </si>
  <si>
    <t>ECO-NERGY 0W-30 5L 49eur</t>
  </si>
  <si>
    <t>H97W05  5eur</t>
  </si>
  <si>
    <t>mantas pavliukevicius  honda jazz</t>
  </si>
  <si>
    <t>langu skyscio 3vnt pasieme 2022-02-23</t>
  </si>
  <si>
    <t>5x2L  0w40 300v COMP po 32eur</t>
  </si>
  <si>
    <t>tautvydas redline viksraitis</t>
  </si>
  <si>
    <t>issiusta</t>
  </si>
  <si>
    <t>goodyear uz perf+</t>
  </si>
  <si>
    <t>martynas jetta  868794674</t>
  </si>
  <si>
    <t>2ratu lyg irmontazke IDE007323</t>
  </si>
  <si>
    <t>F 026 400 289  15eur</t>
  </si>
  <si>
    <t>FP 2641  35eur</t>
  </si>
  <si>
    <t>valdoska valdas fedianinas riese audi a6</t>
  </si>
  <si>
    <t>2langu skysciu</t>
  </si>
  <si>
    <t>IDE007344</t>
  </si>
  <si>
    <t>WK 6003   24eur</t>
  </si>
  <si>
    <t>xclean+ tepalai</t>
  </si>
  <si>
    <t>filtru keitimas ir tepalu, 3h nepilnai</t>
  </si>
  <si>
    <t xml:space="preserve">montazke   53eur IDE007342           </t>
  </si>
  <si>
    <t>laimute nuo bubino xtrail laima.vakrinaite@gmail.com Laima Steponaviciene</t>
  </si>
  <si>
    <t>montazke du kart +37061858582</t>
  </si>
  <si>
    <t>IDE007557</t>
  </si>
  <si>
    <t>Nissan xtrail DGJ992</t>
  </si>
  <si>
    <t>ratu keitimas, balans, purvini ratai ?</t>
  </si>
  <si>
    <t>michelin pa4 N0</t>
  </si>
  <si>
    <t>antonas mejus tesla</t>
  </si>
  <si>
    <t>345eur montzke  IDE007338</t>
  </si>
  <si>
    <t>darius bevita  120 langu skysciu</t>
  </si>
  <si>
    <t>IDE007343</t>
  </si>
  <si>
    <t>goodyear duratrack</t>
  </si>
  <si>
    <t>149+kurjer 20eur? IDE007366</t>
  </si>
  <si>
    <t xml:space="preserve">225/45r17 </t>
  </si>
  <si>
    <t>povilas pasaravicius &lt;povilas.pasaravicius@gmail.com</t>
  </si>
  <si>
    <t>137eur +montazke</t>
  </si>
  <si>
    <t>ratlankiai nauji</t>
  </si>
  <si>
    <t>po 107eur</t>
  </si>
  <si>
    <t>matas pilkauskas geliu baronas</t>
  </si>
  <si>
    <t>IDE007331 su montazke</t>
  </si>
  <si>
    <t>paulius balciunas  865035119 po 60eur</t>
  </si>
  <si>
    <t>racilng line silikono zarna oro</t>
  </si>
  <si>
    <t>racingline antifryzo slanga</t>
  </si>
  <si>
    <t>turbo inlet pipe(china) mano</t>
  </si>
  <si>
    <t>keitimas siu oro dalyku 1h uztruko</t>
  </si>
  <si>
    <t>downpipe keitimas?</t>
  </si>
  <si>
    <t>Hardrace galinës reguliuojamos traukës VW Golf MK7</t>
  </si>
  <si>
    <t>rm sport cat downpipe</t>
  </si>
  <si>
    <t>racingline oro deze VWR1200R600</t>
  </si>
  <si>
    <t>akumas exide 70ah  73eur</t>
  </si>
  <si>
    <t>eimantas gudiskis</t>
  </si>
  <si>
    <t>vytenis danyla austejos</t>
  </si>
  <si>
    <t>Gintarė Jarošaitė zarskiene bmw &lt;g.jarosaite@gmail.com</t>
  </si>
  <si>
    <t>IDE007782</t>
  </si>
  <si>
    <t>Andrius Stirblys &lt;andrius.stirblys@gmail.com</t>
  </si>
  <si>
    <t>goodyear f1 asymm 5 sct MO</t>
  </si>
  <si>
    <t>Gedas Petrauskas &lt;gedas@suitsupply.lt</t>
  </si>
  <si>
    <t>IDE007459</t>
  </si>
  <si>
    <t xml:space="preserve">dariaus ratai kretinga </t>
  </si>
  <si>
    <t>IDE007436</t>
  </si>
  <si>
    <t>IDE007515</t>
  </si>
  <si>
    <t>IDE007496</t>
  </si>
  <si>
    <t>gy asymm 6</t>
  </si>
  <si>
    <t>po 106</t>
  </si>
  <si>
    <t>supersport  AO</t>
  </si>
  <si>
    <t>justas cerniauskas hyundai LUO012</t>
  </si>
  <si>
    <t>IDE007390</t>
  </si>
  <si>
    <t>gy efficietngrip perf 2 XL     542499</t>
  </si>
  <si>
    <t>laura dargyte bmw</t>
  </si>
  <si>
    <t>111+pvm IDE007426</t>
  </si>
  <si>
    <t xml:space="preserve">gy efficientgrip perf2 suv </t>
  </si>
  <si>
    <t>jurgabarbora@gmail.com lotusu jura</t>
  </si>
  <si>
    <t>IDE007560</t>
  </si>
  <si>
    <t>186eur  IDE007416</t>
  </si>
  <si>
    <t>285/30r19</t>
  </si>
  <si>
    <t xml:space="preserve"> uzsakyta is DE brangiai IDE007555</t>
  </si>
  <si>
    <t>Žydrūnas strumila | CRITICAL &lt;zydrunas@wearecritical.com</t>
  </si>
  <si>
    <t>78eur</t>
  </si>
  <si>
    <t xml:space="preserve">goodyear efficientgrip perf2 </t>
  </si>
  <si>
    <t>IDE007498</t>
  </si>
  <si>
    <t xml:space="preserve">IDE007402 </t>
  </si>
  <si>
    <t>Kęstutis &lt;misteriskestas@gmail.com</t>
  </si>
  <si>
    <t>IDE007419</t>
  </si>
  <si>
    <t>753dave</t>
  </si>
  <si>
    <t>547510 goodyear supersport ao</t>
  </si>
  <si>
    <t>Vytenis Butkevičius</t>
  </si>
  <si>
    <t>goodyear efficientgrip 2 suv 99h</t>
  </si>
  <si>
    <t>Martynas Vervečka &lt;Martynas.Vervecka@tradintek.com</t>
  </si>
  <si>
    <t>IDE007477</t>
  </si>
  <si>
    <t xml:space="preserve">aurimas nav fuv569 </t>
  </si>
  <si>
    <t>IDE007452</t>
  </si>
  <si>
    <t>aurimas nav  mbi069</t>
  </si>
  <si>
    <t>aurimas nav  kpk455</t>
  </si>
  <si>
    <t>IDE007425</t>
  </si>
  <si>
    <t>jcz505 aurimas nav</t>
  </si>
  <si>
    <t xml:space="preserve">IDE007469 </t>
  </si>
  <si>
    <t>gy EFFICIENTGRIP 2 SUV XL FP</t>
  </si>
  <si>
    <t>aurimas nav jmd009</t>
  </si>
  <si>
    <t>JJP377 aurimas nav</t>
  </si>
  <si>
    <t>goodyear efficientgrip suv 2 su V</t>
  </si>
  <si>
    <t>interlux multivan HTF157</t>
  </si>
  <si>
    <t>IDE007537</t>
  </si>
  <si>
    <t>ldy125 mantvydas kupstys</t>
  </si>
  <si>
    <t>IDE007479</t>
  </si>
  <si>
    <t>fulda eco control suv</t>
  </si>
  <si>
    <t>daina guntyte hgm519</t>
  </si>
  <si>
    <t>IDE007420</t>
  </si>
  <si>
    <t>fulda eco control hp2</t>
  </si>
  <si>
    <t>jgl330 LOI969 marijus kebla</t>
  </si>
  <si>
    <t>IDE007542</t>
  </si>
  <si>
    <t>interlux  fzm385</t>
  </si>
  <si>
    <t>IDE007499</t>
  </si>
  <si>
    <t>interlux dro328</t>
  </si>
  <si>
    <t>IDE007577</t>
  </si>
  <si>
    <t>fulda multicontrol</t>
  </si>
  <si>
    <t>micha ps4</t>
  </si>
  <si>
    <t>tadas saltenis</t>
  </si>
  <si>
    <t>dyna MH01</t>
  </si>
  <si>
    <t>IDE007437</t>
  </si>
  <si>
    <t>hankook s1 evo3</t>
  </si>
  <si>
    <t>IDE007481</t>
  </si>
  <si>
    <t>2022-05-05 montazke ir pasauga</t>
  </si>
  <si>
    <t>Rytis Jagminas &lt;rytis.jagminas@tradintek.com</t>
  </si>
  <si>
    <t>IDE007486</t>
  </si>
  <si>
    <t>Voldemaras Kallo &lt;voldemaras@carsrent.lt&gt;</t>
  </si>
  <si>
    <t>IDE007471</t>
  </si>
  <si>
    <t xml:space="preserve">aurimas nav LTO972 </t>
  </si>
  <si>
    <t>debica hp2  91v</t>
  </si>
  <si>
    <t>kov069 aurimas nav</t>
  </si>
  <si>
    <t>IDE007431</t>
  </si>
  <si>
    <t>IDE007428</t>
  </si>
  <si>
    <t>sailun atrezo elite</t>
  </si>
  <si>
    <t>andrius nasvytis?</t>
  </si>
  <si>
    <t>IDE007441</t>
  </si>
  <si>
    <t>donatas siurna bmw 2 ?</t>
  </si>
  <si>
    <t>IDE007571</t>
  </si>
  <si>
    <t>IDE007488</t>
  </si>
  <si>
    <t>concaver ratlankiai</t>
  </si>
  <si>
    <t>IDE007652</t>
  </si>
  <si>
    <t>laurynas beriva preorder</t>
  </si>
  <si>
    <t>IDE007374</t>
  </si>
  <si>
    <t>IDE007435</t>
  </si>
  <si>
    <t xml:space="preserve">IDE007435 </t>
  </si>
  <si>
    <t>gy asymm 5</t>
  </si>
  <si>
    <t>IDE007517</t>
  </si>
  <si>
    <t>gy asymm suv m01</t>
  </si>
  <si>
    <t>martynas bisikirskas Paulius Gabsevičius</t>
  </si>
  <si>
    <t>IDE007347</t>
  </si>
  <si>
    <t>230+motaz? IDE007360</t>
  </si>
  <si>
    <t>andrejus mejus model x tesla</t>
  </si>
  <si>
    <t>IDE007391</t>
  </si>
  <si>
    <t>pagalba kelyje?</t>
  </si>
  <si>
    <t>110eur uz plento taure</t>
  </si>
  <si>
    <t>06L121111P 262+pvm</t>
  </si>
  <si>
    <t>IDE007385</t>
  </si>
  <si>
    <t>285eur IDE007367</t>
  </si>
  <si>
    <t>permoka 120eur su pvm</t>
  </si>
  <si>
    <t>6 PK 1070 15eur+keitimas</t>
  </si>
  <si>
    <t>IDE007363</t>
  </si>
  <si>
    <t>IDE007361</t>
  </si>
  <si>
    <t>dainius cinaitis biokosmetika sask</t>
  </si>
  <si>
    <t xml:space="preserve">9vnt langu skyscio IDE007362 </t>
  </si>
  <si>
    <t>OX 171/2D  6.5+pvm</t>
  </si>
  <si>
    <t>wk939/2  23+pvm</t>
  </si>
  <si>
    <t>cuk2245  13+pvm</t>
  </si>
  <si>
    <t xml:space="preserve">arturas zakroiskis pezot           </t>
  </si>
  <si>
    <t>1457433160  9+pvm</t>
  </si>
  <si>
    <t>JTS125 2x15 + keitimas uzpisa</t>
  </si>
  <si>
    <t>713 6401 80  25eur guolis</t>
  </si>
  <si>
    <t>X-clean EFE 5W30 5+1L   50eur</t>
  </si>
  <si>
    <t>h411w  7.5+pvm</t>
  </si>
  <si>
    <t>arturas zakroiskis subaru outback</t>
  </si>
  <si>
    <t>m</t>
  </si>
  <si>
    <t>c2201 10.5+pvm</t>
  </si>
  <si>
    <t>lao490 16.5+pvm</t>
  </si>
  <si>
    <t>3 397 014 214 25eur</t>
  </si>
  <si>
    <t>3 397 004 631 2vnt po 6.5eur</t>
  </si>
  <si>
    <t>sask be keitimo</t>
  </si>
  <si>
    <t>IDE007567</t>
  </si>
  <si>
    <t>106352 5L 40eur savi</t>
  </si>
  <si>
    <t>106317 1L 9eur savikaina</t>
  </si>
  <si>
    <t>N 902 818 02</t>
  </si>
  <si>
    <t>N90974701  50x   10eur+</t>
  </si>
  <si>
    <t>021 971 921 4.6+pvm</t>
  </si>
  <si>
    <t>5Q0 122 291 CT  8.3+pvm</t>
  </si>
  <si>
    <t>IDE007514</t>
  </si>
  <si>
    <t>5G1 823 531 C 11.5+pvm</t>
  </si>
  <si>
    <t>5Q0 122 051 at  19+pvm</t>
  </si>
  <si>
    <t>G 060 175 A2</t>
  </si>
  <si>
    <t>N 910 827 01</t>
  </si>
  <si>
    <t xml:space="preserve">IDE007407 </t>
  </si>
  <si>
    <t>1K8 972 928 B  4x</t>
  </si>
  <si>
    <t>5G1 052 200 C   550 ?</t>
  </si>
  <si>
    <t>3Q0825235A  56+pvm</t>
  </si>
  <si>
    <t>N90959101  35x0.68eur+pvm</t>
  </si>
  <si>
    <t>5G0805911AK 24.16+pvm</t>
  </si>
  <si>
    <t>WHT000729A   10x1.28eur+pvm</t>
  </si>
  <si>
    <t>1K0121367F  2x4.5+pvm</t>
  </si>
  <si>
    <t>6N0809966A  15x1eur+</t>
  </si>
  <si>
    <t>5Q0121367G  15+pvm</t>
  </si>
  <si>
    <t>5G0 805 969 P 41+pvm</t>
  </si>
  <si>
    <t>5G0805970N 41+vpm</t>
  </si>
  <si>
    <t>5G0805912L  24.16+pvm</t>
  </si>
  <si>
    <t xml:space="preserve">IDE007385 </t>
  </si>
  <si>
    <t>vilius lukasevicius  860050118</t>
  </si>
  <si>
    <t>127+montaz?</t>
  </si>
  <si>
    <t>IDE007401</t>
  </si>
  <si>
    <t xml:space="preserve">IDE007401 </t>
  </si>
  <si>
    <t>marius bernatonis cupra</t>
  </si>
  <si>
    <t xml:space="preserve"> IDE007363</t>
  </si>
  <si>
    <t>ram ddr5 310eur</t>
  </si>
  <si>
    <t>IDE007960</t>
  </si>
  <si>
    <t>50eur skola man uz airbagga</t>
  </si>
  <si>
    <t>3eur kurjer</t>
  </si>
  <si>
    <t>90685395 82.5e</t>
  </si>
  <si>
    <t>Art-Nr. 90841784  108.4e</t>
  </si>
  <si>
    <t>Art-Nr. 90846481  135e</t>
  </si>
  <si>
    <t>universe uzsakymas zilvinas ribaltavicius nemesis</t>
  </si>
  <si>
    <t>90849129 224.5e</t>
  </si>
  <si>
    <t>IDE007398</t>
  </si>
  <si>
    <t>183 uzmontazke</t>
  </si>
  <si>
    <t>195/50r16</t>
  </si>
  <si>
    <t>audi a1 865817981</t>
  </si>
  <si>
    <t>po 53eur+montazke 3iju ratu ?</t>
  </si>
  <si>
    <t>conti allseason</t>
  </si>
  <si>
    <t xml:space="preserve">vladislav is viber </t>
  </si>
  <si>
    <t>DE007380</t>
  </si>
  <si>
    <t>265/75r16</t>
  </si>
  <si>
    <t>bf goodrich</t>
  </si>
  <si>
    <t>200-220eur</t>
  </si>
  <si>
    <t>IDE007415</t>
  </si>
  <si>
    <t>montazke du kart</t>
  </si>
  <si>
    <t>IDE007445</t>
  </si>
  <si>
    <t>interlux hba652</t>
  </si>
  <si>
    <t>IDE007395</t>
  </si>
  <si>
    <t>860034478 rokas buzelis</t>
  </si>
  <si>
    <t>68eur+montazke</t>
  </si>
  <si>
    <t>sumokejo remigijuj 78? remigijus staisiunas</t>
  </si>
  <si>
    <t>IDE007371 su montazke</t>
  </si>
  <si>
    <t>IDE007371</t>
  </si>
  <si>
    <t>8k0121251ab 53065  145eur</t>
  </si>
  <si>
    <t>8k0260401s  106eur</t>
  </si>
  <si>
    <t>941079  212eur</t>
  </si>
  <si>
    <t>VKPC 81231  39eur</t>
  </si>
  <si>
    <t>48eur IDE007375</t>
  </si>
  <si>
    <t>Ainis Girnys &lt;ainis.girnys@gmail.com</t>
  </si>
  <si>
    <t>148eur</t>
  </si>
  <si>
    <t>EA1305  gwl2292339133351</t>
  </si>
  <si>
    <t>gintare zarskiene jarosaite</t>
  </si>
  <si>
    <t>IDE007377</t>
  </si>
  <si>
    <t>kurjeris +10eur</t>
  </si>
  <si>
    <t>DS-AC-TTWZ3SA20 (18.08</t>
  </si>
  <si>
    <t>4108+2065160065 Disks Dezent TW</t>
  </si>
  <si>
    <t>Viktoras Kasulaitis &lt;viktoras.kasulaitis@gmail.com</t>
  </si>
  <si>
    <t>slapukai   32eur</t>
  </si>
  <si>
    <t>IDE007373</t>
  </si>
  <si>
    <t>girpmaxx</t>
  </si>
  <si>
    <t>130eur ++3vnt langu skyscio</t>
  </si>
  <si>
    <t>tomas mingela nav interlux</t>
  </si>
  <si>
    <t>90+montazke  IDE007395</t>
  </si>
  <si>
    <r>
      <rPr/>
      <t xml:space="preserve">linas </t>
    </r>
    <r>
      <rPr>
        <color rgb="FF1155CC"/>
        <u/>
      </rPr>
      <t>empl.lt</t>
    </r>
  </si>
  <si>
    <t>IDE007379</t>
  </si>
  <si>
    <t>remigijus pasieme 650eur  uz contikus universala</t>
  </si>
  <si>
    <t>haltura kia+ford edge? 2022-04-01</t>
  </si>
  <si>
    <t>gavois sabaliausko 40eur revolut 2022-04-13</t>
  </si>
  <si>
    <t>52e+montaz</t>
  </si>
  <si>
    <t>IDE007386</t>
  </si>
  <si>
    <t>bridgestone lm001</t>
  </si>
  <si>
    <t>225eur+kurjer ar ne?</t>
  </si>
  <si>
    <t>iDE007382  945eur viso</t>
  </si>
  <si>
    <t>micha pa5</t>
  </si>
  <si>
    <t>236eur</t>
  </si>
  <si>
    <t>IDE007384  1004 viso</t>
  </si>
  <si>
    <t>233+5e kurjer</t>
  </si>
  <si>
    <t>IDE007383   932 viso</t>
  </si>
  <si>
    <t>415054710  415eur</t>
  </si>
  <si>
    <t>montazke polo ?</t>
  </si>
  <si>
    <t>Azuolis Koverka &lt;azuolis@gmail.com  vilniaus durys</t>
  </si>
  <si>
    <t>IDE007381</t>
  </si>
  <si>
    <t>adomas ginevicius siunta i klp pas zilva   pranas zabinskas</t>
  </si>
  <si>
    <t>IDE007412</t>
  </si>
  <si>
    <t>220eur issiusta i mare</t>
  </si>
  <si>
    <t>IDE007416</t>
  </si>
  <si>
    <t>205eur, brangiau nes is myway</t>
  </si>
  <si>
    <t>227 ? IDE007416</t>
  </si>
  <si>
    <t>aurimas nav passat JEL422</t>
  </si>
  <si>
    <t>roadstone winguard ice</t>
  </si>
  <si>
    <t>romas nav aurimas</t>
  </si>
  <si>
    <t>48eur IDE007398</t>
  </si>
  <si>
    <t>Michelin pa5</t>
  </si>
  <si>
    <t>Martynas bisikirskas</t>
  </si>
  <si>
    <t>172eur +5eur kurjeris</t>
  </si>
  <si>
    <t xml:space="preserve">IDE007392  </t>
  </si>
  <si>
    <t>IDE007392</t>
  </si>
  <si>
    <t>3Q0 121 205  57.14+</t>
  </si>
  <si>
    <t>06L 121 131   8+</t>
  </si>
  <si>
    <t>5Q0 971 615 P 6+</t>
  </si>
  <si>
    <t>7P6 955 964 B  4+</t>
  </si>
  <si>
    <t>IDE007407</t>
  </si>
  <si>
    <t>5G0 971 095 L 50.1+</t>
  </si>
  <si>
    <t>1K0 122 291 BN  5.5+</t>
  </si>
  <si>
    <t>8V0 857 819 41+</t>
  </si>
  <si>
    <t>06K 133 073   14+</t>
  </si>
  <si>
    <t>5w30 tepalas 18eur</t>
  </si>
  <si>
    <t>OX341D  2vnt po 9eur</t>
  </si>
  <si>
    <t>mantas pavliukevicius golf</t>
  </si>
  <si>
    <t>xclean+ backa 5l pasieme 40eur</t>
  </si>
  <si>
    <t>racingline intake system</t>
  </si>
  <si>
    <t>downpipe golf 7r</t>
  </si>
  <si>
    <t>racingline spyruokles</t>
  </si>
  <si>
    <t>armuotos slangos stabdziu</t>
  </si>
  <si>
    <t>stabilizu traukes racingline</t>
  </si>
  <si>
    <t>amortiku atraminiu ardymas check antra karta, 1-2h ?</t>
  </si>
  <si>
    <t>pakabos darbai, spyruokles,stabilizai, antgaliai, ir t.t.  visa diena beveik?</t>
  </si>
  <si>
    <t>235/40r17</t>
  </si>
  <si>
    <t>yokohama ad08rs</t>
  </si>
  <si>
    <t>Rytis Markevicius &lt;Rytis@protingesnis.lt</t>
  </si>
  <si>
    <t>IDE007388</t>
  </si>
  <si>
    <t>47eur+montazke caddy</t>
  </si>
  <si>
    <t>92eur  montazke buvo ar ne?</t>
  </si>
  <si>
    <t>58101S0A10  168eur</t>
  </si>
  <si>
    <t>09.D626.11 po 79</t>
  </si>
  <si>
    <t>justinas cerniauskas</t>
  </si>
  <si>
    <t>58302S0A50  238eur</t>
  </si>
  <si>
    <t>09.D085.11  po 59e</t>
  </si>
  <si>
    <t>pirelli pzero winter RFT</t>
  </si>
  <si>
    <t>265+5eurkurjeris</t>
  </si>
  <si>
    <t>IDE007394 1305sask suma</t>
  </si>
  <si>
    <t>375eur</t>
  </si>
  <si>
    <t>IDE007394</t>
  </si>
  <si>
    <t>egr voztuvas 200eur</t>
  </si>
  <si>
    <r>
      <rPr>
        <rFont val="Verdana, Helvetica, sans-serif"/>
        <color rgb="FF6D6D6D"/>
        <sz val="9.0"/>
        <u/>
      </rPr>
      <t>JTS39</t>
    </r>
    <r>
      <rPr>
        <rFont val="Verdana, Helvetica, sans-serif"/>
        <color rgb="FF6D6D6D"/>
        <sz val="9.0"/>
      </rPr>
      <t>3  25eur</t>
    </r>
  </si>
  <si>
    <t>ismetimo sujungimas 5eur</t>
  </si>
  <si>
    <t>5h - 150eur</t>
  </si>
  <si>
    <t>subaru diskai, kaladeles gale</t>
  </si>
  <si>
    <t>kreipenciiosios naujos ir ju remontas</t>
  </si>
  <si>
    <t>1rato montazke ir remont</t>
  </si>
  <si>
    <t>gdb3373  25+pvm</t>
  </si>
  <si>
    <t>df6306  2vnt uz 60+pvm</t>
  </si>
  <si>
    <t>suporto kreip kompl 18eur</t>
  </si>
  <si>
    <t>montaz 2022-04-01 subaru</t>
  </si>
  <si>
    <t>montaz peugeot 2022-04-11</t>
  </si>
  <si>
    <t>goodyear f1 asymm6 XL</t>
  </si>
  <si>
    <t>denas ramanauskas</t>
  </si>
  <si>
    <t>95eur+montaz</t>
  </si>
  <si>
    <t>DS-OZ-W01A40200T6</t>
  </si>
  <si>
    <t>OZ Racing Hyper GT HLT Gr</t>
  </si>
  <si>
    <t>po 284eur</t>
  </si>
  <si>
    <t>DK-BIM-D6-ZNNI  16vnt po 1.2eur</t>
  </si>
  <si>
    <t>DK-MC-24157SUB   36eur</t>
  </si>
  <si>
    <t>keitimas skardos</t>
  </si>
  <si>
    <t>5Q0 615 312G desnes</t>
  </si>
  <si>
    <t>3 397 008 634  7.31eur</t>
  </si>
  <si>
    <t>IDE007579</t>
  </si>
  <si>
    <t>3 397 008 713 7.5eur</t>
  </si>
  <si>
    <t>3 397 014 116  24eur</t>
  </si>
  <si>
    <t>3 397 007 863  23eur</t>
  </si>
  <si>
    <t>VAG DE 8V0407812  24eur</t>
  </si>
  <si>
    <t>VAG DE 8V0407811   24eur</t>
  </si>
  <si>
    <t>81A407183  2x20eur +pvm</t>
  </si>
  <si>
    <t>donatas mickus</t>
  </si>
  <si>
    <t xml:space="preserve">114e+montaz </t>
  </si>
  <si>
    <t>IDE007397</t>
  </si>
  <si>
    <t>NIS 60372  135eur</t>
  </si>
  <si>
    <t>285/70r17</t>
  </si>
  <si>
    <t>IDE007399</t>
  </si>
  <si>
    <t>goodride z107</t>
  </si>
  <si>
    <t>mantulio tevas kazka idet jam mantas pavliukevicius mix</t>
  </si>
  <si>
    <t>245/50r20</t>
  </si>
  <si>
    <t>toyo open country u/t</t>
  </si>
  <si>
    <t>tomas vitas kaimynas tomas kaimynas ford edge titanium</t>
  </si>
  <si>
    <t>160eur+montaz be eiles??IDE007445</t>
  </si>
  <si>
    <t>32x11.5r15</t>
  </si>
  <si>
    <t>IDE007421</t>
  </si>
  <si>
    <t>hankook k125 ventus prime3</t>
  </si>
  <si>
    <t>gintaras ziaukas</t>
  </si>
  <si>
    <t>opel moka</t>
  </si>
  <si>
    <t>goodyear f1 asymm 3 ROF</t>
  </si>
  <si>
    <t>IDE007449</t>
  </si>
  <si>
    <t>nokian snowproof P</t>
  </si>
  <si>
    <t>romas nav aurimas kuklys</t>
  </si>
  <si>
    <t xml:space="preserve">242eur  IDE007396 </t>
  </si>
  <si>
    <t>bridgestone ws810</t>
  </si>
  <si>
    <t xml:space="preserve">125eur IDE007396 </t>
  </si>
  <si>
    <t>Gytis Žvinys &lt;gytiszvinys@gmail.com</t>
  </si>
  <si>
    <t>IDE007372</t>
  </si>
  <si>
    <t>motul 0w30 eco-nergy 6L  68eur</t>
  </si>
  <si>
    <t>F 026 407 203  7eur</t>
  </si>
  <si>
    <t>tomas kaimynas ford edge titanium</t>
  </si>
  <si>
    <t>WP10084WIX  20eur</t>
  </si>
  <si>
    <t>E1302L  15eur</t>
  </si>
  <si>
    <t>vivaro keitimas ratu</t>
  </si>
  <si>
    <t>09.D626.11 2x79eur</t>
  </si>
  <si>
    <t>170+240</t>
  </si>
  <si>
    <t>justas cerniauskas J &lt;phicus@gmail.com</t>
  </si>
  <si>
    <t>keitimas visko?</t>
  </si>
  <si>
    <t>09.D085.11  2x59eur</t>
  </si>
  <si>
    <t>stabdziu skystis rbf</t>
  </si>
  <si>
    <t>armuotos slangos</t>
  </si>
  <si>
    <t>raktai thule 2x7eur</t>
  </si>
  <si>
    <t>dunlop rt2 suv</t>
  </si>
  <si>
    <t>135eur+vezt ?</t>
  </si>
  <si>
    <t>IDE007403</t>
  </si>
  <si>
    <t>lao120 18eur</t>
  </si>
  <si>
    <t>ox388d   7eur</t>
  </si>
  <si>
    <t>kl778  22eur</t>
  </si>
  <si>
    <t>140eur viso</t>
  </si>
  <si>
    <t>MOTUL 80W90 4x12eur ?</t>
  </si>
  <si>
    <t>rbf700  3 vnt ?</t>
  </si>
  <si>
    <t>5h darbo</t>
  </si>
  <si>
    <t>sailentu prieki keitimas</t>
  </si>
  <si>
    <t>4h darbo</t>
  </si>
  <si>
    <t>ADBLUE 10L  3x 13eur</t>
  </si>
  <si>
    <t>2055516 sava hp2 deveta</t>
  </si>
  <si>
    <t>ratlankio virinimas 90eur</t>
  </si>
  <si>
    <t>dazymas + kiek ?</t>
  </si>
  <si>
    <t>ratai r21  964eur</t>
  </si>
  <si>
    <t>permoka 40eur</t>
  </si>
  <si>
    <t>3vnt rbf 700</t>
  </si>
  <si>
    <t>sport slangutes</t>
  </si>
  <si>
    <t>100/90-19</t>
  </si>
  <si>
    <t>maxxis m6001</t>
  </si>
  <si>
    <t>170/80-15</t>
  </si>
  <si>
    <t>PKER7A8EGS          95463 4x14eur</t>
  </si>
  <si>
    <t>mantas pavliukevicius passat gte</t>
  </si>
  <si>
    <t xml:space="preserve"> dave 250e 2022-04-01</t>
  </si>
  <si>
    <t>FE173611 1x23eur</t>
  </si>
  <si>
    <t>FE47367  2x10eur</t>
  </si>
  <si>
    <t>13.0460-4852.2  130eur</t>
  </si>
  <si>
    <t>hu9001x  16eur</t>
  </si>
  <si>
    <t>GIC361  8eur  2x?</t>
  </si>
  <si>
    <t>13.0470-2770.2  88eur</t>
  </si>
  <si>
    <t>FE101965  11eur</t>
  </si>
  <si>
    <t>motul multi dctf 1l   7x10eur</t>
  </si>
  <si>
    <t>A141934  32eur</t>
  </si>
  <si>
    <t>audi ratu dazymas</t>
  </si>
  <si>
    <t>ratu dazymas+kurjeris IDE007396</t>
  </si>
  <si>
    <t>mantas pavliukevicius tevas sharan</t>
  </si>
  <si>
    <t>ratu dazymas+kurjeris</t>
  </si>
  <si>
    <t>proso ratu sumontavimas su davikliai</t>
  </si>
  <si>
    <t>porso ratu numontavimas</t>
  </si>
  <si>
    <t>daviklio galva 1vnt</t>
  </si>
  <si>
    <t>ratu dazymas+kurjeris IDE007428</t>
  </si>
  <si>
    <t>sask inebara</t>
  </si>
  <si>
    <t>160+?</t>
  </si>
  <si>
    <t>lexus ratu dazymas+kurjer</t>
  </si>
  <si>
    <t>90eur skola kurjerio uz cup2</t>
  </si>
  <si>
    <t>dave 300eur ir montavom semick bmw2</t>
  </si>
  <si>
    <t>IDE007424</t>
  </si>
  <si>
    <t>goodyear f1 asymm suv</t>
  </si>
  <si>
    <t>245.5+pvm +montazke</t>
  </si>
  <si>
    <t>235/35r22</t>
  </si>
  <si>
    <t>po 300e +montaz?</t>
  </si>
  <si>
    <t>0w40 motul comp tepalai 4x2l</t>
  </si>
  <si>
    <t>0w40 motul comp tepalai 3x2l</t>
  </si>
  <si>
    <t>FP26009  19eur</t>
  </si>
  <si>
    <t>tepal filtras oem  15eur</t>
  </si>
  <si>
    <t>1x2l motul gear 300LS</t>
  </si>
  <si>
    <t>dsg filtras?</t>
  </si>
  <si>
    <t>sekmad 3h,haldex,difai tep keit</t>
  </si>
  <si>
    <t>motul multi dctf 6l</t>
  </si>
  <si>
    <t>dsg alyvos keitimas</t>
  </si>
  <si>
    <t>sestad 2h</t>
  </si>
  <si>
    <t>stabdziu ortakiu idejimas</t>
  </si>
  <si>
    <t>kelly uhp</t>
  </si>
  <si>
    <t>tomas grinevicius</t>
  </si>
  <si>
    <t>IDE007418</t>
  </si>
  <si>
    <t>55eur ir montaz? konveda?</t>
  </si>
  <si>
    <t>montazke 4+2+2 ratai?</t>
  </si>
  <si>
    <t>IDE007568</t>
  </si>
  <si>
    <t>kurjer?  110+pvm IDE007429</t>
  </si>
  <si>
    <t>goodyear ug ice2 sct</t>
  </si>
  <si>
    <t>168+pvm as rasiau</t>
  </si>
  <si>
    <t>217eur sask IDE007460</t>
  </si>
  <si>
    <t>1100eur</t>
  </si>
  <si>
    <t>IDE007460</t>
  </si>
  <si>
    <t>nuo rimako 865294131 rutkausko i</t>
  </si>
  <si>
    <t>IDE007405</t>
  </si>
  <si>
    <t>3 397 011 802  4eur</t>
  </si>
  <si>
    <t>akumas 95ah tudor 95eur</t>
  </si>
  <si>
    <t>3 397 118 984  19eur</t>
  </si>
  <si>
    <t>rato virinimas 100eur savik</t>
  </si>
  <si>
    <t>montazke x3m ratu</t>
  </si>
  <si>
    <t>pasauga padangu vasariniu nuo kovo22.2022</t>
  </si>
  <si>
    <t>IDE007551</t>
  </si>
  <si>
    <t>tracmax xprivilo trac saver</t>
  </si>
  <si>
    <t>868794674 martynas@insitus.lt</t>
  </si>
  <si>
    <t>IDE007410</t>
  </si>
  <si>
    <t>6PX 358 141-121 30eur</t>
  </si>
  <si>
    <t>padangu keitimas,pasauga 2022-03-23</t>
  </si>
  <si>
    <t>kaladziu keitimas priekis galas</t>
  </si>
  <si>
    <t>variklio tepalu keitimas ir greiciu dezes</t>
  </si>
  <si>
    <t>IDE007434</t>
  </si>
  <si>
    <t>Vitalijus Žiauga</t>
  </si>
  <si>
    <t>IDE007417</t>
  </si>
  <si>
    <t>EXIDE PREMIUM 12V/85Ah/ 800A AKU 315x175x175</t>
  </si>
  <si>
    <t>julius nill nill</t>
  </si>
  <si>
    <t>IDE007408</t>
  </si>
  <si>
    <t>toyota montazke 30eur</t>
  </si>
  <si>
    <t>stabdziu apziura</t>
  </si>
  <si>
    <t>gal suport remont 30eur</t>
  </si>
  <si>
    <t>LES374 montazke volvo</t>
  </si>
  <si>
    <t>mototoya saskaita 380e</t>
  </si>
  <si>
    <t>Erika Slunksnytė  tadas saltenis HJS554</t>
  </si>
  <si>
    <t>135eur +montazkes ir .tt.t.</t>
  </si>
  <si>
    <t>IDE007443</t>
  </si>
  <si>
    <t>Vytautas Tamošiūnas</t>
  </si>
  <si>
    <t>contisport</t>
  </si>
  <si>
    <t>IDE007433</t>
  </si>
  <si>
    <t>0w20 15litri   175eur</t>
  </si>
  <si>
    <t>mantas jastremskas  sq5 ir q7</t>
  </si>
  <si>
    <t>FP31003  2x35eur</t>
  </si>
  <si>
    <t>yokohama v105  N2</t>
  </si>
  <si>
    <t>uab akcininko teise, ovidijus meilunas</t>
  </si>
  <si>
    <t>IDE007432</t>
  </si>
  <si>
    <t>LMI37356 2x20eur</t>
  </si>
  <si>
    <t>deividas rinkevicius</t>
  </si>
  <si>
    <t>gy efficientgrip perf2</t>
  </si>
  <si>
    <t>ieva du is email</t>
  </si>
  <si>
    <t>IDE007413</t>
  </si>
  <si>
    <t>845153 valeo sankabos komplektas</t>
  </si>
  <si>
    <t>Laurynas Duoba &lt;duobaster@gmail.com</t>
  </si>
  <si>
    <t>DK-MC-24152SL</t>
  </si>
  <si>
    <t>montazke,pasauga,slapukai</t>
  </si>
  <si>
    <t>conti premium contact 6</t>
  </si>
  <si>
    <t>justinas Lape is FB</t>
  </si>
  <si>
    <t>123eur+montaz</t>
  </si>
  <si>
    <t>klaudijus stroginis devisor 	Karol &lt;psyooze@gmail.com</t>
  </si>
  <si>
    <t>po 59e</t>
  </si>
  <si>
    <t>IDE007516</t>
  </si>
  <si>
    <t>150e+keitimai ir pasauga 2x?</t>
  </si>
  <si>
    <t>ir tie 5cm 10x2eur</t>
  </si>
  <si>
    <t>DK-BIM-C17F43-ZNNI   8vnt  2eur?</t>
  </si>
  <si>
    <t>martynas insitus</t>
  </si>
  <si>
    <t>IDE007455</t>
  </si>
  <si>
    <t>r18 china ratai 630eur</t>
  </si>
  <si>
    <t>mindaugas ravesa Saulius Lukoševičius &lt;steelgrinders@gmail.com</t>
  </si>
  <si>
    <t>IDE007448</t>
  </si>
  <si>
    <t>Aistė Jokimčiūtė marijus kebla</t>
  </si>
  <si>
    <t>80eur ir montazke IDE007427</t>
  </si>
  <si>
    <t>sask 88eur ant fiziako su pasauga</t>
  </si>
  <si>
    <t>kfm315 biovita kupstys  868470720</t>
  </si>
  <si>
    <t xml:space="preserve">IDE007457 </t>
  </si>
  <si>
    <t>rytis pareigis braziunas</t>
  </si>
  <si>
    <t>640eur</t>
  </si>
  <si>
    <t>S4028 bosch akumas 95ah</t>
  </si>
  <si>
    <t>porsco ratu patikra 2komplkt</t>
  </si>
  <si>
    <t>trys ratai lyginti, 2x30eur</t>
  </si>
  <si>
    <t>montazke ir balans r21</t>
  </si>
  <si>
    <t>r21ratu keitimas ir vieno permontazke</t>
  </si>
  <si>
    <t>180+pvm dazymas ratu</t>
  </si>
  <si>
    <t>montazkes</t>
  </si>
  <si>
    <t>vredestein wintrac PRO</t>
  </si>
  <si>
    <t>ignas kamantauskas</t>
  </si>
  <si>
    <t>IDE007450</t>
  </si>
  <si>
    <t>pirelli pzero pz4 rof</t>
  </si>
  <si>
    <t>Justinas Bal Justinas Balinskas</t>
  </si>
  <si>
    <t>IDE007456</t>
  </si>
  <si>
    <t>Justinas Bal</t>
  </si>
  <si>
    <t>arvydas sereicikas</t>
  </si>
  <si>
    <t>70+montaz</t>
  </si>
  <si>
    <t>175+182 saskaitoj IDE007423</t>
  </si>
  <si>
    <t>IDE007423     -5eur kurjeris</t>
  </si>
  <si>
    <t>195/75r16</t>
  </si>
  <si>
    <t>hankook ra18</t>
  </si>
  <si>
    <t>erimselis@gmail.com  Ernestas R.  Lexus CT200h</t>
  </si>
  <si>
    <t>4x72eur +30eur montazke</t>
  </si>
  <si>
    <t>Anna Vanage  fb</t>
  </si>
  <si>
    <t>125x4+35eur   IDE007466</t>
  </si>
  <si>
    <t>1UxM14x1.5 27hex flat OEM RRD500560    145eur</t>
  </si>
  <si>
    <t>20vnt+siuntimas 5eur ?</t>
  </si>
  <si>
    <t>IDE007566</t>
  </si>
  <si>
    <t>lassa hp2</t>
  </si>
  <si>
    <t>zilvinas viskauskas kaimyna</t>
  </si>
  <si>
    <t>140x4+montazke</t>
  </si>
  <si>
    <t>toyo s953</t>
  </si>
  <si>
    <t>interlu seat ateca ?</t>
  </si>
  <si>
    <t>IDE007534</t>
  </si>
  <si>
    <t>IDE007438</t>
  </si>
  <si>
    <t>WP5-600-229 2vnt.   10eur viso</t>
  </si>
  <si>
    <t>3 397 008 634  8eur</t>
  </si>
  <si>
    <t>Algimantas Janušauskas &lt;Algimantas.Janusauskas@litagra.l</t>
  </si>
  <si>
    <t>ide007484</t>
  </si>
  <si>
    <t>debica navigator</t>
  </si>
  <si>
    <t>2montazkes</t>
  </si>
  <si>
    <t>IDE007671</t>
  </si>
  <si>
    <t>michelin primacy 4+</t>
  </si>
  <si>
    <t>135+35</t>
  </si>
  <si>
    <t>jaroslav sadovski</t>
  </si>
  <si>
    <t>IDE007511</t>
  </si>
  <si>
    <t>Žygintas Budrys is fb</t>
  </si>
  <si>
    <t>IDE007476</t>
  </si>
  <si>
    <t>24.0122-0272.1   2x66+pvm</t>
  </si>
  <si>
    <t>13.0460-2796.2  65+pvm</t>
  </si>
  <si>
    <t>13.0470-5678.2   165+pvm</t>
  </si>
  <si>
    <t>4M0 615 301 Q  2x310+pvm</t>
  </si>
  <si>
    <t>IDE007554</t>
  </si>
  <si>
    <t>davikliu reik 2vnt</t>
  </si>
  <si>
    <t>VAL577978  36eur</t>
  </si>
  <si>
    <t xml:space="preserve">IDE007485 </t>
  </si>
  <si>
    <t>dviracio remontas</t>
  </si>
  <si>
    <t>kalades+grandine 50eur</t>
  </si>
  <si>
    <t xml:space="preserve">jonas klimaitis </t>
  </si>
  <si>
    <t>dave100eur</t>
  </si>
  <si>
    <t>blokas galinis 90eur</t>
  </si>
  <si>
    <t>ITC-AGM-YTX14-BS  40eur</t>
  </si>
  <si>
    <t>140-80r17</t>
  </si>
  <si>
    <t>mitas e07</t>
  </si>
  <si>
    <t>tomas zitikias</t>
  </si>
  <si>
    <t>90-90r21</t>
  </si>
  <si>
    <t>conti tkc80</t>
  </si>
  <si>
    <t>A0054662201   97eur</t>
  </si>
  <si>
    <t>A1645400717  23eur</t>
  </si>
  <si>
    <t>paulius bagonas autodina</t>
  </si>
  <si>
    <t>IDE007442</t>
  </si>
  <si>
    <t>rav4 montazke be eiles</t>
  </si>
  <si>
    <t>ratu pasauga 20eur</t>
  </si>
  <si>
    <t>MAM00035M  51eur</t>
  </si>
  <si>
    <t>deividas vileniskis bmw 3</t>
  </si>
  <si>
    <t>20 22 0001  6eur</t>
  </si>
  <si>
    <t>diplomat st</t>
  </si>
  <si>
    <t>IDE007451</t>
  </si>
  <si>
    <t>365eur  IDE007462</t>
  </si>
  <si>
    <t>andrius navickas golf r</t>
  </si>
  <si>
    <t>po 102eur</t>
  </si>
  <si>
    <t>continental tkc</t>
  </si>
  <si>
    <t>vanilas kaimynas</t>
  </si>
  <si>
    <t>255/30r21</t>
  </si>
  <si>
    <t>justas.bugailiskis@pfellas.lt</t>
  </si>
  <si>
    <t>IDE007483</t>
  </si>
  <si>
    <t>295/25r21</t>
  </si>
  <si>
    <t>el604  93eur akumas exide</t>
  </si>
  <si>
    <t>TC6874 2vnt po 15eur</t>
  </si>
  <si>
    <t>keitimai 20eur</t>
  </si>
  <si>
    <t>IDE007458</t>
  </si>
  <si>
    <t xml:space="preserve">taurus </t>
  </si>
  <si>
    <t xml:space="preserve">ricardas pocius </t>
  </si>
  <si>
    <t>81eur</t>
  </si>
  <si>
    <t>fulda sportcontact2</t>
  </si>
  <si>
    <t>arturas andriejauskas  greenmotion</t>
  </si>
  <si>
    <t>IDE007471  montazke atskirai</t>
  </si>
  <si>
    <t>120eur</t>
  </si>
  <si>
    <t>audi a6 ratu montazke ir keitimas du kompl</t>
  </si>
  <si>
    <t>ratu keitimas porsche cayene</t>
  </si>
  <si>
    <t>IDE007582</t>
  </si>
  <si>
    <t>FDB1573  32eur</t>
  </si>
  <si>
    <t>D7-061C  12eur</t>
  </si>
  <si>
    <t>D4-2226C  2vnt po 12eur</t>
  </si>
  <si>
    <t>saulius paliunis corolla</t>
  </si>
  <si>
    <t>kaladeliu keitimas 30eur</t>
  </si>
  <si>
    <t>remontas suportu 40eur abieju priekiniu</t>
  </si>
  <si>
    <t>288 viso dalys</t>
  </si>
  <si>
    <t>stabd skyst keitimas 40eur</t>
  </si>
  <si>
    <t>apkaba galas 2vnt 80eur</t>
  </si>
  <si>
    <t>depozitas 19x2eur</t>
  </si>
  <si>
    <t>suportai 2vnt po 40eur</t>
  </si>
  <si>
    <t>balansas ratu 10eur</t>
  </si>
  <si>
    <t>gal suport keitimas 30eur</t>
  </si>
  <si>
    <t>bendra skola 438 su deopiztu</t>
  </si>
  <si>
    <t>idejo 2200min-440eur kitaip tariant</t>
  </si>
  <si>
    <t>IDE007470</t>
  </si>
  <si>
    <t>exide akumas 95ah  160eur</t>
  </si>
  <si>
    <t>Vidas Bumelis</t>
  </si>
  <si>
    <t>goodride  z401</t>
  </si>
  <si>
    <t>IDE007478</t>
  </si>
  <si>
    <t>jonas alisauskas</t>
  </si>
  <si>
    <t>150+88</t>
  </si>
  <si>
    <t>75eur+montazke 2vnt IDE007491</t>
  </si>
  <si>
    <t>bmw ratu paskola su montazke</t>
  </si>
  <si>
    <t xml:space="preserve">renatas forlit </t>
  </si>
  <si>
    <t>IDE007502</t>
  </si>
  <si>
    <t xml:space="preserve">goodyear f1 asymm3 sct </t>
  </si>
  <si>
    <t>marius sabaliauskas</t>
  </si>
  <si>
    <t>IDE007531</t>
  </si>
  <si>
    <t>taurus suv summer</t>
  </si>
  <si>
    <t>ryzenokiene@gmail.com Giedre Ryženokiene</t>
  </si>
  <si>
    <t>IDE007464</t>
  </si>
  <si>
    <t>andrius@stareka.lt</t>
  </si>
  <si>
    <t>ratu balansas 20eur</t>
  </si>
  <si>
    <t>ratu montazke 35</t>
  </si>
  <si>
    <t>rato lyginimas 30eur</t>
  </si>
  <si>
    <t xml:space="preserve">IDE007465 </t>
  </si>
  <si>
    <t>3 397 014 116  25eur</t>
  </si>
  <si>
    <t>mantas pavliukevicius passat</t>
  </si>
  <si>
    <t>markas gsi</t>
  </si>
  <si>
    <t>66eur?</t>
  </si>
  <si>
    <t>dunlop bluresposne</t>
  </si>
  <si>
    <t>IDE007475</t>
  </si>
  <si>
    <t>conti premiumcontact 6</t>
  </si>
  <si>
    <t>IDE007653</t>
  </si>
  <si>
    <t>5eur ir 10eur kurjer</t>
  </si>
  <si>
    <t>IDE007512</t>
  </si>
  <si>
    <t>555+530 mano pasiulymas</t>
  </si>
  <si>
    <t>Vidas Bumelis opel zafira</t>
  </si>
  <si>
    <t>edvinas santockis  passat gte</t>
  </si>
  <si>
    <t>dezent r15 ratlankiai</t>
  </si>
  <si>
    <t>Žydrūnas Daunoravičius &lt;Zydrunas.Daunoravicius@interlux.lt</t>
  </si>
  <si>
    <t>93eur+montakze+pasauga</t>
  </si>
  <si>
    <t>OSR66340 XENARC 2vnt po 58eur</t>
  </si>
  <si>
    <t>padangu montaz</t>
  </si>
  <si>
    <t>168+195 kaina pasiuliau+kurjeris</t>
  </si>
  <si>
    <t>Andrius Misevicius</t>
  </si>
  <si>
    <t>61.24eur IDE007487 sask poo 68</t>
  </si>
  <si>
    <t>triangle tv701</t>
  </si>
  <si>
    <t>IDE007520</t>
  </si>
  <si>
    <t>685eur</t>
  </si>
  <si>
    <t>paulius pjarusevicius@gmail.com gavro</t>
  </si>
  <si>
    <t>conti sportcontact 7</t>
  </si>
  <si>
    <t>IDE007510</t>
  </si>
  <si>
    <t>205/50r16</t>
  </si>
  <si>
    <t>federal rs-r</t>
  </si>
  <si>
    <t>evaldas paulius valke</t>
  </si>
  <si>
    <t>po 105e</t>
  </si>
  <si>
    <t>toyo t888r</t>
  </si>
  <si>
    <t>nerijus kiseliovas</t>
  </si>
  <si>
    <t>IDE007549</t>
  </si>
  <si>
    <t>Mindaugas Azusilis donatas siurna</t>
  </si>
  <si>
    <t>Mindaugas Azusilis &lt;mindaugasazusilis@gmail.com</t>
  </si>
  <si>
    <t>spyruokliu adapteriai 90+pvm</t>
  </si>
  <si>
    <t>spyruokliu keitimo darbai  105+pvm</t>
  </si>
  <si>
    <t>E10-85-041-01-22</t>
  </si>
  <si>
    <t>montazke goodrichu ir dejimas ant masinos</t>
  </si>
  <si>
    <t>8k0941597b  160eur?</t>
  </si>
  <si>
    <t>egle laurinavice q7</t>
  </si>
  <si>
    <t>erikas instabalt dvi masinos</t>
  </si>
  <si>
    <t>skdoa ir toyota   IDE007584</t>
  </si>
  <si>
    <t>jad361 interlux skirmantas</t>
  </si>
  <si>
    <t>delinte</t>
  </si>
  <si>
    <t>IDE007506</t>
  </si>
  <si>
    <t>taurus lt101</t>
  </si>
  <si>
    <t>IDE007507</t>
  </si>
  <si>
    <t>90200km</t>
  </si>
  <si>
    <t>W 7008  7eur</t>
  </si>
  <si>
    <t>FP 2436   25eur</t>
  </si>
  <si>
    <t>SPECIFIC 913D 5W30 5L  45eur</t>
  </si>
  <si>
    <t>IDE007564</t>
  </si>
  <si>
    <t>09.C422.75 2vnt po 69eur</t>
  </si>
  <si>
    <t>13.0460-2835.2   25eur</t>
  </si>
  <si>
    <t>08.4931.2X  2vnt po 47eur</t>
  </si>
  <si>
    <t>25134.170.2 50eur</t>
  </si>
  <si>
    <t>HP305 188  5eur</t>
  </si>
  <si>
    <t>OSR7528-02B  5eur</t>
  </si>
  <si>
    <t>rbf700 trys bankes?</t>
  </si>
  <si>
    <t>24.0124-0203.1  2x70eur</t>
  </si>
  <si>
    <t>P 06 055   55eur</t>
  </si>
  <si>
    <t>dovydas saules elementai bmw x1</t>
  </si>
  <si>
    <t>IDE007585</t>
  </si>
  <si>
    <t>314 527 0028   10eur</t>
  </si>
  <si>
    <t>1klijavimas</t>
  </si>
  <si>
    <t>2raty lyginimas a6</t>
  </si>
  <si>
    <t>audi q7 montazke</t>
  </si>
  <si>
    <t>audi a6 ratu keitimas</t>
  </si>
  <si>
    <t xml:space="preserve">valdoska valdas fedianinas </t>
  </si>
  <si>
    <t>seat ratu ketimas ir du klijavimai</t>
  </si>
  <si>
    <t>IDE007583</t>
  </si>
  <si>
    <t>pirelli scorpion verde</t>
  </si>
  <si>
    <t>Leonid Gurskij &lt;info@lirenta.lt&gt; Raimondas Žilevičius</t>
  </si>
  <si>
    <t>IDE007490</t>
  </si>
  <si>
    <t>bridgestone alenza 001</t>
  </si>
  <si>
    <t>aurimas nav siuntimas i kauna norameda</t>
  </si>
  <si>
    <t>163eur IDE007561</t>
  </si>
  <si>
    <t>antanas barasnevicius</t>
  </si>
  <si>
    <t>IDE007489</t>
  </si>
  <si>
    <t>68eur ir montazke</t>
  </si>
  <si>
    <t>1rato lyg, montaz r18 balans 40eur</t>
  </si>
  <si>
    <t>sailentai 40eur</t>
  </si>
  <si>
    <t>sailentu keitimas 50eur</t>
  </si>
  <si>
    <t>mantas staliunas ovidijus meilunas golf R project</t>
  </si>
  <si>
    <t>pisalynes su draudimu,montavimai etc...   40eur</t>
  </si>
  <si>
    <t>valytuvai priekiniai 20eur</t>
  </si>
  <si>
    <t>pirkau naujus r18 2vnt 290eur, 600eur komplektas?</t>
  </si>
  <si>
    <t>hankook evo3 naudoti</t>
  </si>
  <si>
    <t>ratlankiai JR racing r19</t>
  </si>
  <si>
    <t xml:space="preserve">999eur </t>
  </si>
  <si>
    <t>FP 26 009 20eur</t>
  </si>
  <si>
    <t>PLFER7A8EG          94833</t>
  </si>
  <si>
    <t>4vnt po 13.7eur</t>
  </si>
  <si>
    <t>mantas pavliukevicius mix arteon</t>
  </si>
  <si>
    <t>mtb padangos thunderburt 90eur</t>
  </si>
  <si>
    <t>MAGNETI MARELLI GS0501 2x7eur</t>
  </si>
  <si>
    <t>gavo revolut nuo soblinskas 35eur 2022-06-17 ?</t>
  </si>
  <si>
    <t>revolut mindaugas krilavicius 5eur remygai 2022-06-10</t>
  </si>
  <si>
    <t>869804801 tomas putna</t>
  </si>
  <si>
    <t>IDE007497</t>
  </si>
  <si>
    <t xml:space="preserve">pirelli scorpion </t>
  </si>
  <si>
    <t>rytis buracas uab dimeka</t>
  </si>
  <si>
    <t>IDE007494 su montazke</t>
  </si>
  <si>
    <t>beerware@gmail.com Aurius P</t>
  </si>
  <si>
    <t>100-103eur ir montazke?</t>
  </si>
  <si>
    <t>f1 asymm 3</t>
  </si>
  <si>
    <t>dvi po 80, kitos 6vnt po 10eur</t>
  </si>
  <si>
    <t>efficientgrip perf 2</t>
  </si>
  <si>
    <t>dalia kubiliute</t>
  </si>
  <si>
    <t>varta 63ah</t>
  </si>
  <si>
    <t>563400061 SILVER D15</t>
  </si>
  <si>
    <t>85eur dave</t>
  </si>
  <si>
    <t>antonas mejus kairytekristina@gmail.com        montazke</t>
  </si>
  <si>
    <t>montazke IDE007551</t>
  </si>
  <si>
    <t>ratu montazke visu pilna su viskuo</t>
  </si>
  <si>
    <t>lyginimas visu savik 140</t>
  </si>
  <si>
    <t>balansas antra karta kita diena</t>
  </si>
  <si>
    <t>tesla3  IDE007551</t>
  </si>
  <si>
    <t>LX2076/1 15eur</t>
  </si>
  <si>
    <t>E61H D215  8eur</t>
  </si>
  <si>
    <t>0w40 v300 motul  8l</t>
  </si>
  <si>
    <t>rbf700  3 bankes?</t>
  </si>
  <si>
    <t>IDE007547</t>
  </si>
  <si>
    <t>13.0460-4874.2  80eur</t>
  </si>
  <si>
    <t>3145270021  10eur</t>
  </si>
  <si>
    <t>E40-20-031-01-11  450eur</t>
  </si>
  <si>
    <t>IDE007548</t>
  </si>
  <si>
    <t>chain cleaner 8eur</t>
  </si>
  <si>
    <t>brunox amortui  8eur</t>
  </si>
  <si>
    <t>ritchey kempines 12eur</t>
  </si>
  <si>
    <t>squirt chain lube 12eur</t>
  </si>
  <si>
    <t>dviracio daliu kruvele</t>
  </si>
  <si>
    <t>karterio keitimas ir t.t.</t>
  </si>
  <si>
    <t>HU 816 X  10eur</t>
  </si>
  <si>
    <t>0w40 4x2L motul v300</t>
  </si>
  <si>
    <t>skyscio keitimas stabdziu</t>
  </si>
  <si>
    <t>stabdziu kaladeliu keiitmas</t>
  </si>
  <si>
    <t>2h karteri nuimt +4h kita diena</t>
  </si>
  <si>
    <t>stabilizu keitimas  priekyje</t>
  </si>
  <si>
    <t>71-41291-00  25eur</t>
  </si>
  <si>
    <t>rbf700 stabdziu skystis</t>
  </si>
  <si>
    <t>gal diffo keitimas 2h vakare ir kita diena dar 1h+kazkiek difo tepala pakeist</t>
  </si>
  <si>
    <t>gy grazino 100eur uz dvi senas priekines man</t>
  </si>
  <si>
    <t>gear LS tepalas 3l 65eur</t>
  </si>
  <si>
    <t>galinio stabilizo hemarojinis keitimas</t>
  </si>
  <si>
    <t>robertas daunoravicius norbe</t>
  </si>
  <si>
    <t xml:space="preserve">IDE007501 </t>
  </si>
  <si>
    <t>zeta</t>
  </si>
  <si>
    <t>farroad frd26</t>
  </si>
  <si>
    <t>montazke IDE007582</t>
  </si>
  <si>
    <t>IDE007508</t>
  </si>
  <si>
    <t>IDE007573</t>
  </si>
  <si>
    <t>861209208 is sms</t>
  </si>
  <si>
    <t>260eur+montaz?</t>
  </si>
  <si>
    <t>interlux jph131</t>
  </si>
  <si>
    <t>13.0460-7327.2  70eur</t>
  </si>
  <si>
    <t>13.0460-2736.2   50eur</t>
  </si>
  <si>
    <t>24.0128-0310.1  2x 76eur</t>
  </si>
  <si>
    <t>padangu keitimas pasauga</t>
  </si>
  <si>
    <t>24.0122-0261.1   2x62eur</t>
  </si>
  <si>
    <t>565eur</t>
  </si>
  <si>
    <t>disku ir kaladziu keitimas</t>
  </si>
  <si>
    <t>dave 555eur</t>
  </si>
  <si>
    <t>DS-AT-ADX1-85848V23-1</t>
  </si>
  <si>
    <t>220eur</t>
  </si>
  <si>
    <t>IDE007503</t>
  </si>
  <si>
    <t>bridgestone turanza t005</t>
  </si>
  <si>
    <t>120-130 eur</t>
  </si>
  <si>
    <t>2k eur ?</t>
  </si>
  <si>
    <t>DK-MC-27222SUB  35eur</t>
  </si>
  <si>
    <t>DK-BIM-B13-ZNNI  16vnt - 20eur</t>
  </si>
  <si>
    <t>salono filtras 20eur</t>
  </si>
  <si>
    <t>tepalo filtras 15eur</t>
  </si>
  <si>
    <t>0w40 v300  3x40eur</t>
  </si>
  <si>
    <t>24.0124-0196.1  2x60eur</t>
  </si>
  <si>
    <t>13.0460-5787   70eur</t>
  </si>
  <si>
    <t>zilvinas ribaltavicius nemesis ovasta</t>
  </si>
  <si>
    <t>IDE007513</t>
  </si>
  <si>
    <t>P 85 144X  105eur</t>
  </si>
  <si>
    <t>P 85 124X    65eur</t>
  </si>
  <si>
    <t>AUTO STAR 12V/78Ah/680A AKU 278x175x190</t>
  </si>
  <si>
    <t>65eur IDE007514</t>
  </si>
  <si>
    <t>Oleg Abeliashiev &lt;o.abeliashiev@gmail.com</t>
  </si>
  <si>
    <t>123+35+30</t>
  </si>
  <si>
    <t>total 5+1   50eur</t>
  </si>
  <si>
    <t>13.0460-7243.2  57eur</t>
  </si>
  <si>
    <t>24.0328-0162.1  2x73eur</t>
  </si>
  <si>
    <t>keitimas visko ?</t>
  </si>
  <si>
    <t>toyo  opencountry at+</t>
  </si>
  <si>
    <t>104 ? IDE007530 sask po 105</t>
  </si>
  <si>
    <t>GDB2122   43eur</t>
  </si>
  <si>
    <t>keitimas stabdziu 25eur</t>
  </si>
  <si>
    <t>MONG8004  45eur</t>
  </si>
  <si>
    <t>alius vitas opel astra</t>
  </si>
  <si>
    <t>keitimas amorto</t>
  </si>
  <si>
    <t>5NA805588L</t>
  </si>
  <si>
    <t>5NA 854 731 J 9B9</t>
  </si>
  <si>
    <t>halturos taisymas 2h darbo</t>
  </si>
  <si>
    <t>1l antifryzo g13 motul</t>
  </si>
  <si>
    <t>1 balionelis valiklio</t>
  </si>
  <si>
    <t>eibach rastafkes 8mm i prieki 80eur</t>
  </si>
  <si>
    <t>varztai juodi ilgi 10vnt</t>
  </si>
  <si>
    <t>IDE007618</t>
  </si>
  <si>
    <t>S90-2-15-013-B  115eur</t>
  </si>
  <si>
    <t>dvi naudotos geros</t>
  </si>
  <si>
    <t xml:space="preserve">montazke ju IDE007514 </t>
  </si>
  <si>
    <t>IDE007538</t>
  </si>
  <si>
    <t>sailun evo1 winter</t>
  </si>
  <si>
    <t>julius puidokas  nill nill</t>
  </si>
  <si>
    <t xml:space="preserve">IDE007532 </t>
  </si>
  <si>
    <t>IDE007540</t>
  </si>
  <si>
    <t>337eur IDE007545</t>
  </si>
  <si>
    <t>sask 349</t>
  </si>
  <si>
    <t>199+pvm savikaina</t>
  </si>
  <si>
    <t>256eur +kurjeri reik pridet</t>
  </si>
  <si>
    <t>IDE007685</t>
  </si>
  <si>
    <t>IDE007548 montazke</t>
  </si>
  <si>
    <t>13.0460-5604.2  45eur</t>
  </si>
  <si>
    <t>kristis riese plioplys auris</t>
  </si>
  <si>
    <t>WA0863&amp;WORX   120eur</t>
  </si>
  <si>
    <t>tomas mingela</t>
  </si>
  <si>
    <t>kleber hp4</t>
  </si>
  <si>
    <t>20eur+montazke</t>
  </si>
  <si>
    <t>gesintuvas 45eur</t>
  </si>
  <si>
    <t>tepalas backa 5l ar bbz kiek</t>
  </si>
  <si>
    <t>OC977/1  6eur</t>
  </si>
  <si>
    <t>ultrabike padangos 180eur</t>
  </si>
  <si>
    <t>sarnyras 20eur</t>
  </si>
  <si>
    <t>dugno apsauga nuimt  5eur</t>
  </si>
  <si>
    <t>gal dirzo keitimas 30eur</t>
  </si>
  <si>
    <t>sarnyra keist 30eur</t>
  </si>
  <si>
    <t>380eur dave</t>
  </si>
  <si>
    <t>slangutes remontas pizdiec dvi dienas nors realiai turbut 1-2h max</t>
  </si>
  <si>
    <t>vasaros pasauga ir montazke ratu</t>
  </si>
  <si>
    <t xml:space="preserve">sakotuvas 20eur </t>
  </si>
  <si>
    <t>sujungimu ir t.t. kruva 25eur</t>
  </si>
  <si>
    <t>diplomat hp winter</t>
  </si>
  <si>
    <t>IDE007509</t>
  </si>
  <si>
    <t>205/65r15c</t>
  </si>
  <si>
    <t>kumho solus</t>
  </si>
  <si>
    <t>hankook ventus s1 evo 2</t>
  </si>
  <si>
    <t>IDE007559</t>
  </si>
  <si>
    <t>exide ek950   149eur</t>
  </si>
  <si>
    <t>pasieme jutoj kaune ?</t>
  </si>
  <si>
    <t>xclean backa</t>
  </si>
  <si>
    <t>IDE007492</t>
  </si>
  <si>
    <t>F 026 400 182  15eur</t>
  </si>
  <si>
    <t>OX 420D (MAHLE)  12eur</t>
  </si>
  <si>
    <t>F 026 402 855   30eur</t>
  </si>
  <si>
    <t>FP2847/1  29eur</t>
  </si>
  <si>
    <t>ratai r22 china</t>
  </si>
  <si>
    <t>Žilvinas Viskauskas &lt;zilwinas@inbox.lt</t>
  </si>
  <si>
    <t>259eur</t>
  </si>
  <si>
    <t>FE176452 16eur</t>
  </si>
  <si>
    <t>13.0460-2760.2  70eur</t>
  </si>
  <si>
    <t>stabdziu keiitmas</t>
  </si>
  <si>
    <t>padangos</t>
  </si>
  <si>
    <t>233+kurjer? IDE007545</t>
  </si>
  <si>
    <t>250 i sask irasyta</t>
  </si>
  <si>
    <t>IDE007545 150+215eur</t>
  </si>
  <si>
    <t>sask 165+230</t>
  </si>
  <si>
    <t>IDE007545</t>
  </si>
  <si>
    <t>pirelli trail 2</t>
  </si>
  <si>
    <t>tadas liachovicius mirono brolis</t>
  </si>
  <si>
    <t>189eur</t>
  </si>
  <si>
    <t>general altimax</t>
  </si>
  <si>
    <t>~140-145eur ? montakzedar</t>
  </si>
  <si>
    <t>IDE007563</t>
  </si>
  <si>
    <t>china r20</t>
  </si>
  <si>
    <t>215eur</t>
  </si>
  <si>
    <t>fulda hp2 ziema</t>
  </si>
  <si>
    <t>po 135e, sask prase po 145</t>
  </si>
  <si>
    <t>IDE007614</t>
  </si>
  <si>
    <t>yokohama ao</t>
  </si>
  <si>
    <t>IDE007550</t>
  </si>
  <si>
    <t>Andrius Šoblinskas</t>
  </si>
  <si>
    <t>180+montazke+pasauga</t>
  </si>
  <si>
    <t>norbe norbertas daunoravicius</t>
  </si>
  <si>
    <t>IDE007541</t>
  </si>
  <si>
    <t>romas kuklys nav aurimas</t>
  </si>
  <si>
    <t>300eu IDE007556</t>
  </si>
  <si>
    <t>lemputes 5eur</t>
  </si>
  <si>
    <t>filtrai 80eur</t>
  </si>
  <si>
    <t>xclean 5w40  42+10eur</t>
  </si>
  <si>
    <t>diana tenisas opel moka</t>
  </si>
  <si>
    <t>452viso</t>
  </si>
  <si>
    <t>HU 820/1 Y     PU 7012 Z</t>
  </si>
  <si>
    <t>F 026 400 345   FP 2442</t>
  </si>
  <si>
    <t>filtru tepalu keitimas 40eur</t>
  </si>
  <si>
    <t>atraminis 28eur ir keitimas</t>
  </si>
  <si>
    <t>atmusejas 2vnt 38eur</t>
  </si>
  <si>
    <t>amorto keitimas 40eur</t>
  </si>
  <si>
    <t>stabdziu keitimas 50eur</t>
  </si>
  <si>
    <t>DF6340  2x42eur</t>
  </si>
  <si>
    <t>GDB1844   35eur</t>
  </si>
  <si>
    <t>2kart tenisa zaidem free 2022-06-25 ir 06-21</t>
  </si>
  <si>
    <t>2kart tenisa zaidem free 2022-07-05 ir 07-08</t>
  </si>
  <si>
    <t>1kart tenisas 2022-07-29</t>
  </si>
  <si>
    <t>2022-08-30 1kart tenisas</t>
  </si>
  <si>
    <t>2022-09-02  1kart</t>
  </si>
  <si>
    <t>3 397 007 295 25eur  valytuvai liko</t>
  </si>
  <si>
    <t>1kart tenisas 2022-08-26</t>
  </si>
  <si>
    <t>2022-08-10  buvo 1 kartas?</t>
  </si>
  <si>
    <t>2022-09-09 1kart</t>
  </si>
  <si>
    <t>simonas kazbaras</t>
  </si>
  <si>
    <t>IDE007552</t>
  </si>
  <si>
    <t>0 258 017 187   90eur</t>
  </si>
  <si>
    <t>bmw m5 tepalu keitimas ir oro filtru 2022-06-22</t>
  </si>
  <si>
    <t>0w40 xmax 10+1l</t>
  </si>
  <si>
    <t>filtrus turejo savo</t>
  </si>
  <si>
    <t>170eur isvis uz viska</t>
  </si>
  <si>
    <t>GDB3482 po 38eur</t>
  </si>
  <si>
    <t>DF4982   37eur</t>
  </si>
  <si>
    <t>55eur darbas</t>
  </si>
  <si>
    <t xml:space="preserve">airbog </t>
  </si>
  <si>
    <t>1 sniuras i bmw 5</t>
  </si>
  <si>
    <t>IDE007734</t>
  </si>
  <si>
    <t>DF4448   33eur</t>
  </si>
  <si>
    <t>kalad.galines  1132   21eur</t>
  </si>
  <si>
    <t>0 986 487 608  23eur</t>
  </si>
  <si>
    <t>mantas mameniskis</t>
  </si>
  <si>
    <t>IDE007580</t>
  </si>
  <si>
    <t>ratu dazymas vieno vnt</t>
  </si>
  <si>
    <t>aurimas nav laurynas</t>
  </si>
  <si>
    <t>montazke  IDE007889</t>
  </si>
  <si>
    <t>gt radial berods</t>
  </si>
  <si>
    <t>pranas kentra</t>
  </si>
  <si>
    <t>montakze?</t>
  </si>
  <si>
    <t>0w40 v300 racing 8litrai</t>
  </si>
  <si>
    <t>oem tepalo filtras</t>
  </si>
  <si>
    <t>michelin agilis 3</t>
  </si>
  <si>
    <t>laurynas katalizatoriai</t>
  </si>
  <si>
    <t>186eur IDE007603</t>
  </si>
  <si>
    <t>valytuvai 25eur</t>
  </si>
  <si>
    <t>tepalo filtras 7eur</t>
  </si>
  <si>
    <t>deividas vileniskis dada saza</t>
  </si>
  <si>
    <t>15w50 tepalas 6l  po12eur?</t>
  </si>
  <si>
    <t>IDE007592</t>
  </si>
  <si>
    <t>gdb1330  22eur</t>
  </si>
  <si>
    <t>diskai 4452bs trw 140eur</t>
  </si>
  <si>
    <t>LAU 77.1557  55eurq</t>
  </si>
  <si>
    <t>ruta saulius samulevicius citroen</t>
  </si>
  <si>
    <t>darbas 85eur</t>
  </si>
  <si>
    <t>LAU 77.1556  55eurq</t>
  </si>
  <si>
    <t>padangos 55eur</t>
  </si>
  <si>
    <t>0w30 spec motul 5+1 68eur</t>
  </si>
  <si>
    <t>oem filtras</t>
  </si>
  <si>
    <t>michelin agilis</t>
  </si>
  <si>
    <t>dominykas panevezys</t>
  </si>
  <si>
    <t>IDE007572</t>
  </si>
  <si>
    <t>pirelli pzero t0=o</t>
  </si>
  <si>
    <t>jonas taraska kaimynas</t>
  </si>
  <si>
    <t>IDE007570</t>
  </si>
  <si>
    <t>kormoran</t>
  </si>
  <si>
    <t>IDE007574</t>
  </si>
  <si>
    <t>FP 2440  23eur</t>
  </si>
  <si>
    <t>1 457 429 249 6eur</t>
  </si>
  <si>
    <t>eco-nergy 5w30  5+1L  53eur</t>
  </si>
  <si>
    <t>1 457 431 723  13eur</t>
  </si>
  <si>
    <t xml:space="preserve">tepalu filtriu keitimas </t>
  </si>
  <si>
    <t>Motul 7100 ESTER 10W40 4L MTL836341 MTL104092  43eur</t>
  </si>
  <si>
    <t>zapakse1s montaz ir 1 padanga zie1ma</t>
  </si>
  <si>
    <t>1rato klijavimas  IDE007579</t>
  </si>
  <si>
    <t>conti premium 6</t>
  </si>
  <si>
    <t>montaz ir balans 4iu IDE007612</t>
  </si>
  <si>
    <t>tracmax tx1</t>
  </si>
  <si>
    <t>lukas urbonas</t>
  </si>
  <si>
    <t>po 60eur</t>
  </si>
  <si>
    <t>contiko ceshkes</t>
  </si>
  <si>
    <t>arunas aurimas nav</t>
  </si>
  <si>
    <t>IDE007578</t>
  </si>
  <si>
    <t>mingela nav norameda ?</t>
  </si>
  <si>
    <t>IDE007575</t>
  </si>
  <si>
    <t>IDE007576 montazke skardos</t>
  </si>
  <si>
    <t>e92m3 atraminiu keitimas/tuning</t>
  </si>
  <si>
    <t xml:space="preserve">remigijus staisiunas  </t>
  </si>
  <si>
    <t>daviau 500e 2022-07-05</t>
  </si>
  <si>
    <t>daviau 500e 2022-07-29</t>
  </si>
  <si>
    <t>daviau 450e 2022-08-22</t>
  </si>
  <si>
    <t>daviau 600e  2022-09-23</t>
  </si>
  <si>
    <t>daviau 600e 2022-10-27</t>
  </si>
  <si>
    <t>daviau 600e 2022-11-29</t>
  </si>
  <si>
    <t>pervedziau 2022-12-15 1988eur</t>
  </si>
  <si>
    <t xml:space="preserve">105+montaz IDE007602 </t>
  </si>
  <si>
    <t>gsl2268286143284</t>
  </si>
  <si>
    <t>ratu uzdejimas/apkeitimas be balanso</t>
  </si>
  <si>
    <t>marex marekas mersas</t>
  </si>
  <si>
    <t>20varztu 25eur</t>
  </si>
  <si>
    <t>IDE007601</t>
  </si>
  <si>
    <t>0w20 5+1   61eur+13eur?</t>
  </si>
  <si>
    <t>filtras sumokejo pats cash molleryje 16eur</t>
  </si>
  <si>
    <t>dalys stabdziu 25eur</t>
  </si>
  <si>
    <t>0 986 452 028 5eur</t>
  </si>
  <si>
    <t>F 026 400 017  10eur</t>
  </si>
  <si>
    <t>valera tevo draugas kaimynas toyota avensis</t>
  </si>
  <si>
    <t>xclean+ backa 5l 40e</t>
  </si>
  <si>
    <t>B42006CPR  7eur</t>
  </si>
  <si>
    <t>285plytak zabral 6cm</t>
  </si>
  <si>
    <t>julius friskas</t>
  </si>
  <si>
    <t>montazke  IDE007588</t>
  </si>
  <si>
    <t>jurgita makselyte</t>
  </si>
  <si>
    <t>160+montaz</t>
  </si>
  <si>
    <t>IDE007599</t>
  </si>
  <si>
    <t>175/80r13</t>
  </si>
  <si>
    <t>113eur IDE007611</t>
  </si>
  <si>
    <t>0w30 shell 47eur</t>
  </si>
  <si>
    <t>E1017L  13eur</t>
  </si>
  <si>
    <t>F 026 407 144  7.5eur</t>
  </si>
  <si>
    <t>FP 26 010  19eur</t>
  </si>
  <si>
    <t>F 026 402 835  23eur</t>
  </si>
  <si>
    <t>0 281 002 976  23eur</t>
  </si>
  <si>
    <t>GDB1658  27eur</t>
  </si>
  <si>
    <t>DF2803  2x28eur</t>
  </si>
  <si>
    <t>ismetimo sujungimas 12eur</t>
  </si>
  <si>
    <t>ismetimas 15</t>
  </si>
  <si>
    <t>keitimas tepalu filtru 25</t>
  </si>
  <si>
    <t>diagnostika 5eur</t>
  </si>
  <si>
    <t>kaladziu ir disku keitimas 40</t>
  </si>
  <si>
    <t>PUR-PC0022C  7eur</t>
  </si>
  <si>
    <t>PUR-PA0055  9eur</t>
  </si>
  <si>
    <t>pirelli rally str</t>
  </si>
  <si>
    <t>aringas vas</t>
  </si>
  <si>
    <t>IDE007615</t>
  </si>
  <si>
    <t>F 026 407 112  10eur</t>
  </si>
  <si>
    <t>E1014L  30eur</t>
  </si>
  <si>
    <t>H406WK  75eur</t>
  </si>
  <si>
    <t>kristis riese plioplys  mersas</t>
  </si>
  <si>
    <t>FP 29 005  42eur</t>
  </si>
  <si>
    <t>IDE007674</t>
  </si>
  <si>
    <t>keitimas 2x50</t>
  </si>
  <si>
    <t>atf 236.15 tepalu 9litrai po 17eur</t>
  </si>
  <si>
    <t>xclean+ 7litrai</t>
  </si>
  <si>
    <t>HX81D  15eur</t>
  </si>
  <si>
    <t>232dave</t>
  </si>
  <si>
    <t>raimondas sparco</t>
  </si>
  <si>
    <t>IDE007608</t>
  </si>
  <si>
    <t>180+pvm ratu dazymas</t>
  </si>
  <si>
    <t>ratu dazymas tesla mejus</t>
  </si>
  <si>
    <t>du montavimai ?</t>
  </si>
  <si>
    <t>IDE007623</t>
  </si>
  <si>
    <t>tomas patalavicius audi a6</t>
  </si>
  <si>
    <t>IDE007890</t>
  </si>
  <si>
    <t>KL 1102   26eur  LX 2607/2  19eur</t>
  </si>
  <si>
    <t>visu filtru keitimas, kuro hemarojinis tepalas irgi</t>
  </si>
  <si>
    <t>diagnostika del davikliu ir pan</t>
  </si>
  <si>
    <t>50 79 0004  22eur abi</t>
  </si>
  <si>
    <t>HU 726/2 X  5eur</t>
  </si>
  <si>
    <t>C1G056ABE  25eur</t>
  </si>
  <si>
    <t>mantas pavliukevicius sharan</t>
  </si>
  <si>
    <t>DDF1559C  75eur</t>
  </si>
  <si>
    <t>AP 186  8eur</t>
  </si>
  <si>
    <t>C2W012ABE  17eur</t>
  </si>
  <si>
    <t>C4W005ABE  35eur</t>
  </si>
  <si>
    <t>D4-1941C  12eur</t>
  </si>
  <si>
    <t>8150 29131  6eur</t>
  </si>
  <si>
    <t>dot4  5eur</t>
  </si>
  <si>
    <t>6 DPK 1215  25eur</t>
  </si>
  <si>
    <t>atf 1l  10eur</t>
  </si>
  <si>
    <t>stabilizo gumos 4vnt 10eur</t>
  </si>
  <si>
    <t>balanaitis nedadave uz kura 8eur 2022-07-23 del mantulio dvirkos vezimo</t>
  </si>
  <si>
    <t xml:space="preserve">toyo </t>
  </si>
  <si>
    <t>piotras savranskis airenai</t>
  </si>
  <si>
    <t>IDE007610</t>
  </si>
  <si>
    <t>rbf660 2vnt</t>
  </si>
  <si>
    <t>siunta i marijampole 16-18eur padangos 2022-07-19</t>
  </si>
  <si>
    <t>exelis 2022-07-01</t>
  </si>
  <si>
    <t>IDE007607</t>
  </si>
  <si>
    <t>benas lizunas</t>
  </si>
  <si>
    <t>varta j10</t>
  </si>
  <si>
    <t>andrius misevicius uab satybines ir apdailos prekes</t>
  </si>
  <si>
    <t>IDE007606</t>
  </si>
  <si>
    <t>a6 ventilio keitimas montazke</t>
  </si>
  <si>
    <t>IDE007891</t>
  </si>
  <si>
    <t>mindaugas krilavicius</t>
  </si>
  <si>
    <t>IDE007609</t>
  </si>
  <si>
    <t>E1054L   16eur</t>
  </si>
  <si>
    <t>fp 2641 34eur</t>
  </si>
  <si>
    <t>8100 x-clean+ 5w30 is backos 6.5L reik</t>
  </si>
  <si>
    <t>wk6037 25eur</t>
  </si>
  <si>
    <t>176k km</t>
  </si>
  <si>
    <t>F 026 407 152  10eur</t>
  </si>
  <si>
    <t>5l - 45eur</t>
  </si>
  <si>
    <t>RBS0-2AE  0w20 motul 1l -  14eur</t>
  </si>
  <si>
    <t>3x20eur lyginimas</t>
  </si>
  <si>
    <t>balansas/montazke 25eur</t>
  </si>
  <si>
    <t>keitimas 25eur</t>
  </si>
  <si>
    <t>pirelli pzero mo-s</t>
  </si>
  <si>
    <t>ox420d 10eur</t>
  </si>
  <si>
    <t>f026402068  19eur</t>
  </si>
  <si>
    <t>c16005   22eur</t>
  </si>
  <si>
    <t>valdas valiukevicius audi a6</t>
  </si>
  <si>
    <t>xclean+ 6.5l  55eur</t>
  </si>
  <si>
    <t>1987432548 salono filtras 28eur</t>
  </si>
  <si>
    <t>ketimas 50eur</t>
  </si>
  <si>
    <t>smeiges golfui racingline 200eur</t>
  </si>
  <si>
    <t>downpipe 620eur</t>
  </si>
  <si>
    <t>maxton design spoileris 140eur</t>
  </si>
  <si>
    <t>maxton difuzorius 200eur</t>
  </si>
  <si>
    <t>darbaiv isko  100eur</t>
  </si>
  <si>
    <t>pasieme tepalo 2l 0w40 v300</t>
  </si>
  <si>
    <t>ismetimo sujungimas 10eur</t>
  </si>
  <si>
    <t>keiciau downpipe ir ratu keitimas ir pasauga</t>
  </si>
  <si>
    <t>conti ecocontact 6 bmw</t>
  </si>
  <si>
    <t>dainius sidlauskas x5</t>
  </si>
  <si>
    <t>IDE007626</t>
  </si>
  <si>
    <t>varztai 20eur 60mm</t>
  </si>
  <si>
    <t>hr rastafkes  120eur</t>
  </si>
  <si>
    <t>S90-7-20-016-B   165eur</t>
  </si>
  <si>
    <t>mantas jastremskas mersas glc s63</t>
  </si>
  <si>
    <t>varztai 20eur 45mm</t>
  </si>
  <si>
    <t>exel 2024-07-08 ir zemyn</t>
  </si>
  <si>
    <t>1 987 432 397  15eur</t>
  </si>
  <si>
    <t>F 026 402 809  25eur</t>
  </si>
  <si>
    <t>1 987 429 404</t>
  </si>
  <si>
    <t>rida 300k</t>
  </si>
  <si>
    <t>E115H01 D208  10eur</t>
  </si>
  <si>
    <t>xclean+ 5l   50eur</t>
  </si>
  <si>
    <t>keitimas  40eur</t>
  </si>
  <si>
    <t>IDE007616</t>
  </si>
  <si>
    <t>230eur</t>
  </si>
  <si>
    <t>heidenau k60 ranger</t>
  </si>
  <si>
    <t>IDE007617</t>
  </si>
  <si>
    <t>130/80-17</t>
  </si>
  <si>
    <t>411 0133 10  6eur</t>
  </si>
  <si>
    <t>415 0740 09   280eur</t>
  </si>
  <si>
    <t>mantas mameniskas valdas</t>
  </si>
  <si>
    <t>122000km</t>
  </si>
  <si>
    <t>0w40 300v  8 litrai</t>
  </si>
  <si>
    <t>filtras tepalo oem</t>
  </si>
  <si>
    <t>laurynas goncauskas golf r</t>
  </si>
  <si>
    <t>rastafkes uzdejau</t>
  </si>
  <si>
    <t>IDE007647</t>
  </si>
  <si>
    <t>hankook vantra lt</t>
  </si>
  <si>
    <t>jurgis pakenas topteam</t>
  </si>
  <si>
    <t>238eur +kurjer ?  IDE007628</t>
  </si>
  <si>
    <t>i/c, kondiske,a/c</t>
  </si>
  <si>
    <t>radiatoriu keitimas ir t.t. 2022-08-01</t>
  </si>
  <si>
    <t>FE106170  12eur</t>
  </si>
  <si>
    <t>vandens siurblio ir termostato keitimas</t>
  </si>
  <si>
    <t>racingline rasporke 300eur</t>
  </si>
  <si>
    <t>538 0360 10   300eur</t>
  </si>
  <si>
    <t>turba 1150eur</t>
  </si>
  <si>
    <t>g13 5l antifryzas 20eur</t>
  </si>
  <si>
    <t>graztu dezute</t>
  </si>
  <si>
    <t>rasporke 300eur</t>
  </si>
  <si>
    <t>galiniu traukiu keitimas su balkio nuleidimu</t>
  </si>
  <si>
    <t>martynas bisikirskas EQE 53 AMG</t>
  </si>
  <si>
    <t>IDE007628</t>
  </si>
  <si>
    <t>latakko preorder</t>
  </si>
  <si>
    <t>michelin pa5 NA0</t>
  </si>
  <si>
    <t>80eur exelis</t>
  </si>
  <si>
    <t>dave 300</t>
  </si>
  <si>
    <t>Dynamo MWH01</t>
  </si>
  <si>
    <t>67eur  lexus</t>
  </si>
  <si>
    <t>IDE007889</t>
  </si>
  <si>
    <t>pirelli pzero winter pigios</t>
  </si>
  <si>
    <t>232eur</t>
  </si>
  <si>
    <t>michelin pa5  pigios</t>
  </si>
  <si>
    <t>Martynas.Vervecka@tradintek.com</t>
  </si>
  <si>
    <t>IDE007753</t>
  </si>
  <si>
    <t>88eur</t>
  </si>
  <si>
    <t>IDE007711</t>
  </si>
  <si>
    <t>michelin pa5 ROF</t>
  </si>
  <si>
    <t>gediminas koryzna</t>
  </si>
  <si>
    <t>IDE007695</t>
  </si>
  <si>
    <t>michelin pa5 N0</t>
  </si>
  <si>
    <t>IDE007681</t>
  </si>
  <si>
    <t>lassa snoways 4</t>
  </si>
  <si>
    <t>IDE007694</t>
  </si>
  <si>
    <t>petras andrasiunas</t>
  </si>
  <si>
    <t>IDE007701</t>
  </si>
  <si>
    <t>gabriele andrasiuniene</t>
  </si>
  <si>
    <t>IDE007892</t>
  </si>
  <si>
    <t>LJU858 GWL2218693000291</t>
  </si>
  <si>
    <t>kristis plioplys paulius valiukevicius</t>
  </si>
  <si>
    <t>79eur IDE007674</t>
  </si>
  <si>
    <t>sava eskimo stud</t>
  </si>
  <si>
    <t>jonas porsche Remigijus Š. &lt;vienuolika11@gmail.com</t>
  </si>
  <si>
    <t>kaina? viber rase</t>
  </si>
  <si>
    <t>montazke skodos</t>
  </si>
  <si>
    <t>182eur IDE007662  su montazke</t>
  </si>
  <si>
    <t>327eur</t>
  </si>
  <si>
    <t>IDE007706</t>
  </si>
  <si>
    <t>hos011</t>
  </si>
  <si>
    <t>304eur</t>
  </si>
  <si>
    <t>GWL2246853387169</t>
  </si>
  <si>
    <t>julius juodisius ea1224</t>
  </si>
  <si>
    <t>IDE007746</t>
  </si>
  <si>
    <t>GWL2232209949495</t>
  </si>
  <si>
    <t>po 145eur</t>
  </si>
  <si>
    <t>LFV773 GWL2282813399236</t>
  </si>
  <si>
    <t>jaroslav sadowski fb</t>
  </si>
  <si>
    <t>IDE007708</t>
  </si>
  <si>
    <t>GWL2261355523296</t>
  </si>
  <si>
    <t>IDE007698</t>
  </si>
  <si>
    <t>gwl2276031345903</t>
  </si>
  <si>
    <t>ratlankiai 4vnt</t>
  </si>
  <si>
    <t>lfc356 sarunas skyrius skyriene ieva</t>
  </si>
  <si>
    <t>IDE007860</t>
  </si>
  <si>
    <t>debica frigo2</t>
  </si>
  <si>
    <t>IDE007859</t>
  </si>
  <si>
    <t>fuv569 passat nav</t>
  </si>
  <si>
    <t>mbi069 nav</t>
  </si>
  <si>
    <t>dfa051 nav</t>
  </si>
  <si>
    <t>1langu skystis</t>
  </si>
  <si>
    <t>JTR984 interlux</t>
  </si>
  <si>
    <t>IDE007854</t>
  </si>
  <si>
    <t>JJP090 lexus interlux</t>
  </si>
  <si>
    <t>montazke IDE007689</t>
  </si>
  <si>
    <t>GWL2285527313527</t>
  </si>
  <si>
    <t>IDE007853</t>
  </si>
  <si>
    <t>KOD506 interlux</t>
  </si>
  <si>
    <t>IDE007848</t>
  </si>
  <si>
    <t>GWL2235293122139 KOD506</t>
  </si>
  <si>
    <t>IDE007852</t>
  </si>
  <si>
    <t>hzu850 interlux</t>
  </si>
  <si>
    <t>IDE007851</t>
  </si>
  <si>
    <t>GWL2226549097438</t>
  </si>
  <si>
    <t>GUM361 interlux</t>
  </si>
  <si>
    <t>IDE007855</t>
  </si>
  <si>
    <t>GWL2234709080473</t>
  </si>
  <si>
    <t>JJE670 passat</t>
  </si>
  <si>
    <t>IDE007729</t>
  </si>
  <si>
    <t>GWL2223505727336</t>
  </si>
  <si>
    <t>justas krasuckis (MGO715 VW Passat)</t>
  </si>
  <si>
    <t>IDE007893</t>
  </si>
  <si>
    <t>GWL2237695679886 MGO715</t>
  </si>
  <si>
    <t>GWL2210592108978</t>
  </si>
  <si>
    <t>IDE007737</t>
  </si>
  <si>
    <t>GWL2283766055521</t>
  </si>
  <si>
    <t>julius umbrasas</t>
  </si>
  <si>
    <t>IDE007654</t>
  </si>
  <si>
    <t>rolandas novikovas</t>
  </si>
  <si>
    <t>Nerijus Kurcevicius &lt;nerijus@inloop.lt</t>
  </si>
  <si>
    <t>IDE007673</t>
  </si>
  <si>
    <t>IDE007894</t>
  </si>
  <si>
    <t>goodyear efficientgrip performance 2</t>
  </si>
  <si>
    <t>IDE007627</t>
  </si>
  <si>
    <t>montazke 99eur IDE007646</t>
  </si>
  <si>
    <t>michelin pilotsport ev</t>
  </si>
  <si>
    <t>zivile zivilyte is fb</t>
  </si>
  <si>
    <t>IDE007664</t>
  </si>
  <si>
    <t>10/75-15.3</t>
  </si>
  <si>
    <t>ascenso</t>
  </si>
  <si>
    <t xml:space="preserve">79+5 IDE007890 </t>
  </si>
  <si>
    <r>
      <rPr/>
      <t xml:space="preserve">dainius energijos parkas </t>
    </r>
    <r>
      <rPr>
        <color rgb="FF1155CC"/>
        <u/>
      </rPr>
      <t>katilas.lt</t>
    </r>
  </si>
  <si>
    <t>mainai i kondisa?</t>
  </si>
  <si>
    <t>GWL2227024897745  MAN0EV IDE007990</t>
  </si>
  <si>
    <t>IDE007635 275+280 sask israsyta</t>
  </si>
  <si>
    <t>250+255 pasiuliau</t>
  </si>
  <si>
    <t xml:space="preserve">IDE007635  </t>
  </si>
  <si>
    <t>aurimas nav kablukas</t>
  </si>
  <si>
    <t>montazke IDE007646</t>
  </si>
  <si>
    <t>IDE007586</t>
  </si>
  <si>
    <t>IDE007587</t>
  </si>
  <si>
    <t>VRsteam</t>
  </si>
  <si>
    <t>3080ti gpu  1200eur</t>
  </si>
  <si>
    <t>215/60r17c</t>
  </si>
  <si>
    <t>goodyear eficientgrip cargo 2</t>
  </si>
  <si>
    <t>kurjeri + 176e IDE007639</t>
  </si>
  <si>
    <t>IDE007658</t>
  </si>
  <si>
    <t>hankook kurjeris i marijampole 20eur</t>
  </si>
  <si>
    <t>nereus</t>
  </si>
  <si>
    <t xml:space="preserve">norbe daunoravicius </t>
  </si>
  <si>
    <t>60eur IDE007589</t>
  </si>
  <si>
    <t>bridgestone lm001 mo</t>
  </si>
  <si>
    <t>IDE007640 207pasiuliau 217sask</t>
  </si>
  <si>
    <t>205+montazke IDE007644</t>
  </si>
  <si>
    <t>valdas mameniskis mantas</t>
  </si>
  <si>
    <t>po 70eur, remyga atidave.?</t>
  </si>
  <si>
    <t>235/60r16</t>
  </si>
  <si>
    <t>arturas viber 861588672</t>
  </si>
  <si>
    <t>73eur ir montazke</t>
  </si>
  <si>
    <t>sneidaraitis nav</t>
  </si>
  <si>
    <t xml:space="preserve">105eur IDE007645 </t>
  </si>
  <si>
    <t>F 026 400 504 2vnt po 26eur</t>
  </si>
  <si>
    <t>HU 7025 Z  13eur</t>
  </si>
  <si>
    <t>CUK 26 023  40eur</t>
  </si>
  <si>
    <t>deividas vileniskis mersas</t>
  </si>
  <si>
    <t>WDDZF6EB6JA481084</t>
  </si>
  <si>
    <t>67600 km</t>
  </si>
  <si>
    <t>tepalai  0w40 xmax 7l  50+13</t>
  </si>
  <si>
    <t>tepalu keitimas 30eur</t>
  </si>
  <si>
    <t>deividas vileniskis mersas  dada</t>
  </si>
  <si>
    <t>indre grigaraviciute</t>
  </si>
  <si>
    <t>425eur su viskuo</t>
  </si>
  <si>
    <t>pirelli sottozero winter</t>
  </si>
  <si>
    <t xml:space="preserve">218eur+mintaz IDE007670           </t>
  </si>
  <si>
    <t>1rat lyginimas</t>
  </si>
  <si>
    <t>bridgestone s22</t>
  </si>
  <si>
    <t>ziziunas simonas</t>
  </si>
  <si>
    <t>IDE007648</t>
  </si>
  <si>
    <t>100.3309.20 2x55eur</t>
  </si>
  <si>
    <t>GDB2042  35eur</t>
  </si>
  <si>
    <t>30 93 6047  2x25eur</t>
  </si>
  <si>
    <t>keitimas ?</t>
  </si>
  <si>
    <t>GDB1622DTE  35eur</t>
  </si>
  <si>
    <t>13.0460-2787.2  35eur</t>
  </si>
  <si>
    <t>dvieju ratu montazke</t>
  </si>
  <si>
    <t>antonas mejus toyota aygo</t>
  </si>
  <si>
    <t>IDE007669</t>
  </si>
  <si>
    <t xml:space="preserve">tepalas is backos 3.7L </t>
  </si>
  <si>
    <t>1 457 429 194  7eur</t>
  </si>
  <si>
    <t>lao120  15eur</t>
  </si>
  <si>
    <t>lx1080  13eur</t>
  </si>
  <si>
    <t>michelin ps4s bmw</t>
  </si>
  <si>
    <t>continental ts870p</t>
  </si>
  <si>
    <t>IDE007649</t>
  </si>
  <si>
    <t>245savik</t>
  </si>
  <si>
    <t>IDE007650</t>
  </si>
  <si>
    <t>ASM20.027  45eur</t>
  </si>
  <si>
    <t>saulius paliunis yaris</t>
  </si>
  <si>
    <t>darbas 40e</t>
  </si>
  <si>
    <t>xls 2026</t>
  </si>
  <si>
    <t>dominykas stragys</t>
  </si>
  <si>
    <t>55eur+montazke</t>
  </si>
  <si>
    <t>liutauras prekursorius  hcp396</t>
  </si>
  <si>
    <t>IDE007861</t>
  </si>
  <si>
    <t>1 457 429 192  7eur</t>
  </si>
  <si>
    <t>1 987 432 357  15eur</t>
  </si>
  <si>
    <t>tepalai is backos  45eur</t>
  </si>
  <si>
    <t>lukas talacka audi a2</t>
  </si>
  <si>
    <t>keitimas filtru 30</t>
  </si>
  <si>
    <t>LX1595  14eur</t>
  </si>
  <si>
    <t>kuro filtras 15eur</t>
  </si>
  <si>
    <t>kuro filtro keitimas 15eur</t>
  </si>
  <si>
    <t xml:space="preserve">IDE007659 </t>
  </si>
  <si>
    <t>cuk2245  20eur</t>
  </si>
  <si>
    <t>xclean+ tepalas 5l</t>
  </si>
  <si>
    <t>keitimas visu filtru</t>
  </si>
  <si>
    <t>montazke pezo 20221012</t>
  </si>
  <si>
    <t>OX361/4D  13eur</t>
  </si>
  <si>
    <t>0 450 906 457 25eur</t>
  </si>
  <si>
    <t>tepalu ir filtru keitimas, kuras po dugnu nx</t>
  </si>
  <si>
    <t>deividas vileniskis e91 bmw</t>
  </si>
  <si>
    <t>ratu keitimas/montazke/pasauga</t>
  </si>
  <si>
    <t>IDE007663</t>
  </si>
  <si>
    <t>F 026 400 119  25eur</t>
  </si>
  <si>
    <t>E1959LC  25eur</t>
  </si>
  <si>
    <t>tepalai backa 5.3+1</t>
  </si>
  <si>
    <t>rastafkes 2vnt</t>
  </si>
  <si>
    <t>deividas vileniskis e91 bmw dada</t>
  </si>
  <si>
    <t>ziedai ir varztai 15eur</t>
  </si>
  <si>
    <t>F 026 400 494  20eur</t>
  </si>
  <si>
    <t>F026402829  20eur</t>
  </si>
  <si>
    <t>E2990LC  16eur</t>
  </si>
  <si>
    <t>F026407068 8eur</t>
  </si>
  <si>
    <t>VAL698696  14eur</t>
  </si>
  <si>
    <t>1457433089  14eur</t>
  </si>
  <si>
    <t>tepalas backa 50e alhambra</t>
  </si>
  <si>
    <t>xado1  55eur</t>
  </si>
  <si>
    <t>0w30 ecoclean 5+2   73eur</t>
  </si>
  <si>
    <t>atf VI 4litrai</t>
  </si>
  <si>
    <t>filtras dezes  15eur HX132D</t>
  </si>
  <si>
    <t>dsg keitimas alyvos</t>
  </si>
  <si>
    <t>motul multi dctf 6L  po 12eur</t>
  </si>
  <si>
    <t>303000km</t>
  </si>
  <si>
    <t>LMI34711  2x25eur</t>
  </si>
  <si>
    <t>automato filtras  79eur</t>
  </si>
  <si>
    <t>motul atf vi  5 litrai po 15eur</t>
  </si>
  <si>
    <t>Paulius Jarusevičius</t>
  </si>
  <si>
    <t>201300km</t>
  </si>
  <si>
    <t>0 986 452 028  7eur</t>
  </si>
  <si>
    <t>585059  13eur</t>
  </si>
  <si>
    <t>CCF0050  14eur</t>
  </si>
  <si>
    <t>K20TT  3.5eur 4vnt</t>
  </si>
  <si>
    <t>FE27262 2x12eur</t>
  </si>
  <si>
    <t>J32055YMT 50eur</t>
  </si>
  <si>
    <t>xclean+ 4l tepalo 40eur</t>
  </si>
  <si>
    <t>keitimas visko tepau filtru 35eur</t>
  </si>
  <si>
    <t>stabilizu keitimas 2x15eur</t>
  </si>
  <si>
    <t>BOS256-250 5eur</t>
  </si>
  <si>
    <t>ASM20.030  45eur</t>
  </si>
  <si>
    <t>0219-01-250248P  5eur</t>
  </si>
  <si>
    <t>sakes keitimas 30eur</t>
  </si>
  <si>
    <t>ismetimo keitimas 50eur</t>
  </si>
  <si>
    <t>ismetimo virinmas 30eur</t>
  </si>
  <si>
    <t>skodos montazke</t>
  </si>
  <si>
    <t>exide akumas ek700</t>
  </si>
  <si>
    <t>golf diagnoze ir remontas 50eur</t>
  </si>
  <si>
    <t>IDE007659</t>
  </si>
  <si>
    <t>OSR64193-  2vnt - abu  12eur</t>
  </si>
  <si>
    <t>porscho ismetimo keitimas bbz kiek kas</t>
  </si>
  <si>
    <t>FP 2847/1   29eur</t>
  </si>
  <si>
    <t>LX792 17eur</t>
  </si>
  <si>
    <t>1 457 429 268  13eur</t>
  </si>
  <si>
    <t>103344 4eur</t>
  </si>
  <si>
    <t>57398 km</t>
  </si>
  <si>
    <t>filtru/tepalu keitimas  50eur</t>
  </si>
  <si>
    <t>alyva xlean+ 7.8litro  80eur</t>
  </si>
  <si>
    <t>keitima visko</t>
  </si>
  <si>
    <t>1davikli su keitimu 50eur</t>
  </si>
  <si>
    <t>240eur viso</t>
  </si>
  <si>
    <t>F 026 400 172  15eur</t>
  </si>
  <si>
    <t>IDE007661</t>
  </si>
  <si>
    <t>LAO 181  19eur</t>
  </si>
  <si>
    <t>zvakiu keitimas 2h</t>
  </si>
  <si>
    <t>100eur?</t>
  </si>
  <si>
    <t>24.0122-0259.1 2x67eur</t>
  </si>
  <si>
    <t>darbas 24+30eur+25+45eur</t>
  </si>
  <si>
    <t>13.0470-7243.2 (ATE)  90eur</t>
  </si>
  <si>
    <t>adomas soblinskas volvo s60 draugas</t>
  </si>
  <si>
    <t>24.0128-0210.1 (ATE)  2x84eur</t>
  </si>
  <si>
    <t>13.0470-2736.2 (ATE)   65eur</t>
  </si>
  <si>
    <t>580dave</t>
  </si>
  <si>
    <t>4243112290 galiniu disku kodas</t>
  </si>
  <si>
    <t>GDB3454  32eur</t>
  </si>
  <si>
    <t>DF4828S  2x42eur</t>
  </si>
  <si>
    <t>donatas mickus scion</t>
  </si>
  <si>
    <t>disku keitimas 25eur</t>
  </si>
  <si>
    <t>lempos keitimas 2h 60eur</t>
  </si>
  <si>
    <t>GDB3424  42eur</t>
  </si>
  <si>
    <t>kaladziu keit 60eur</t>
  </si>
  <si>
    <t>40 000km</t>
  </si>
  <si>
    <t>ecoclean 6l 65eur</t>
  </si>
  <si>
    <t>tomas venckunas</t>
  </si>
  <si>
    <t>kurjer IDE007677</t>
  </si>
  <si>
    <t>NRF 54342 45eur</t>
  </si>
  <si>
    <t>1 987 432 598 18eur</t>
  </si>
  <si>
    <t>F 026 407 203  6eur</t>
  </si>
  <si>
    <t>C 21 102 18eur</t>
  </si>
  <si>
    <t>IDE007895</t>
  </si>
  <si>
    <t>keitimas filtru</t>
  </si>
  <si>
    <t>50eur skola</t>
  </si>
  <si>
    <t>rimantas samulevicius</t>
  </si>
  <si>
    <t>802 547  15eur</t>
  </si>
  <si>
    <t>F 026 402 128  27eur</t>
  </si>
  <si>
    <t>F 026 400 181  16eur</t>
  </si>
  <si>
    <t>VAL715702  22eur</t>
  </si>
  <si>
    <t xml:space="preserve">IDE007660 </t>
  </si>
  <si>
    <t>102794 (MOTUL) 64eur</t>
  </si>
  <si>
    <t>102793 (MOTUL) 1x14eur</t>
  </si>
  <si>
    <t>284100km</t>
  </si>
  <si>
    <t>78*</t>
  </si>
  <si>
    <t>5l antifryzo 25eur</t>
  </si>
  <si>
    <t>tarpines 3vnt  15eur</t>
  </si>
  <si>
    <t>hp116631  1eur</t>
  </si>
  <si>
    <t>IDE007906</t>
  </si>
  <si>
    <t>ina ausinimo skyscio siurblys 255savikaina</t>
  </si>
  <si>
    <t>darbai kosmos? :D</t>
  </si>
  <si>
    <t>JTS613</t>
  </si>
  <si>
    <t>JTS614</t>
  </si>
  <si>
    <t>2x23eur</t>
  </si>
  <si>
    <t>keitimas 2x15</t>
  </si>
  <si>
    <t>3 397 018 300  2vnt abu 22eur</t>
  </si>
  <si>
    <t>3 397 007 863 23eur</t>
  </si>
  <si>
    <t>kijevkatlet</t>
  </si>
  <si>
    <t>audi a4 stabdziu keitimas</t>
  </si>
  <si>
    <t>disku ir kaladziu</t>
  </si>
  <si>
    <t>IDE007655</t>
  </si>
  <si>
    <t>E10-85-042-04-22</t>
  </si>
  <si>
    <t>eibach spyruokles 190eur</t>
  </si>
  <si>
    <t>Edvinas Santockis &lt;edvinas.santockis@gmail.com</t>
  </si>
  <si>
    <t>falken espia ice dygliai</t>
  </si>
  <si>
    <t>diana maciulaityte tenisas</t>
  </si>
  <si>
    <t>sask NAV ?</t>
  </si>
  <si>
    <t>0 445 110 476  280eur</t>
  </si>
  <si>
    <t>kristijonas plioplys kristis golf</t>
  </si>
  <si>
    <t>mantas paliokas mapa</t>
  </si>
  <si>
    <t>53eur  montazke  IDE007666</t>
  </si>
  <si>
    <t>gintaras tamkus &lt;ginciainfo@gmail.com</t>
  </si>
  <si>
    <t>155+montaz 35   id7662</t>
  </si>
  <si>
    <t>romualdas venckevicius  869807830</t>
  </si>
  <si>
    <t>82savikaina</t>
  </si>
  <si>
    <t>dezent ratlankiai</t>
  </si>
  <si>
    <t>112savikaina</t>
  </si>
  <si>
    <t>130+25+87=968+35montazke</t>
  </si>
  <si>
    <t>davikliai slegio</t>
  </si>
  <si>
    <t>darbai ?</t>
  </si>
  <si>
    <t>turbos motoras valdiklis moller</t>
  </si>
  <si>
    <t>keitimsa min 3h</t>
  </si>
  <si>
    <t>IDE008539</t>
  </si>
  <si>
    <t>bintas ismetimo 35eur</t>
  </si>
  <si>
    <t>IDE008041</t>
  </si>
  <si>
    <t>DF4464S  po 61eur</t>
  </si>
  <si>
    <t>GDB1956  48eur</t>
  </si>
  <si>
    <t>mantvydas cekutis passat</t>
  </si>
  <si>
    <t>5l ausinimo 17+pvm savik</t>
  </si>
  <si>
    <t>sask uz ratu keitima/balansa kiskio 2022-11-14</t>
  </si>
  <si>
    <t>nexen winguard 2</t>
  </si>
  <si>
    <t>Albinas &lt;Albinas@litagra.lt&gt;</t>
  </si>
  <si>
    <t>IDE007678</t>
  </si>
  <si>
    <t>busiko rato klijavimas</t>
  </si>
  <si>
    <t>IDE007918</t>
  </si>
  <si>
    <t>goodyaer ug perf+</t>
  </si>
  <si>
    <t>IDE007847</t>
  </si>
  <si>
    <t>mfv196 interlux tiguan</t>
  </si>
  <si>
    <t>GWL2297934404943</t>
  </si>
  <si>
    <t>guolio keitimas/tvarkymas</t>
  </si>
  <si>
    <t>kristijonas plioplys kristis mersas</t>
  </si>
  <si>
    <t>LMI36714 LMI36713  2x25eur</t>
  </si>
  <si>
    <t>kristijonas plioplys kristis valke paulius  cia sask uz vaira</t>
  </si>
  <si>
    <t>IDE007668</t>
  </si>
  <si>
    <t>IDE007696</t>
  </si>
  <si>
    <t>IDE007675</t>
  </si>
  <si>
    <t>edgaras kovaliovas   lhz831</t>
  </si>
  <si>
    <t>sava hp2 vasara</t>
  </si>
  <si>
    <t>tomas mingela nav kablukas</t>
  </si>
  <si>
    <t>montazke IDE007679</t>
  </si>
  <si>
    <t>Tautvydas Viksraitis</t>
  </si>
  <si>
    <t>julius juodisius   mfo160</t>
  </si>
  <si>
    <t>IDE007747</t>
  </si>
  <si>
    <t>GWL2223745529521</t>
  </si>
  <si>
    <t xml:space="preserve">IDE007672  </t>
  </si>
  <si>
    <t>duracell agm 70</t>
  </si>
  <si>
    <t>kristis riese golf</t>
  </si>
  <si>
    <t>125eur  IDE007676</t>
  </si>
  <si>
    <t>gediminas silanskas</t>
  </si>
  <si>
    <t>IDE007680</t>
  </si>
  <si>
    <t>IDE007683</t>
  </si>
  <si>
    <t>fiesta ir pezo montazke</t>
  </si>
  <si>
    <t>IDE007874 GWL2284441134665</t>
  </si>
  <si>
    <t>KFV949</t>
  </si>
  <si>
    <t>Goodyear ug perf+ suv</t>
  </si>
  <si>
    <t>Tomas Kibildis &lt;tomaskibildis@gmail.com</t>
  </si>
  <si>
    <t>IDE007682 be montazkes</t>
  </si>
  <si>
    <t>MAD616</t>
  </si>
  <si>
    <t>260eur IDE007772</t>
  </si>
  <si>
    <t>GWL2238839394771</t>
  </si>
  <si>
    <t>hankook w320 ROF</t>
  </si>
  <si>
    <t>IDE007722</t>
  </si>
  <si>
    <t>Deividas R. &lt;deivis.rin@gmail.com</t>
  </si>
  <si>
    <t>175+190</t>
  </si>
  <si>
    <t>Deividas R. &lt;deivis.rin@gmail.com Deividas Rinkevičius</t>
  </si>
  <si>
    <t>montazke priority</t>
  </si>
  <si>
    <t>Andrejus &lt;andrejus@jorde-group.com</t>
  </si>
  <si>
    <t>IDE007882</t>
  </si>
  <si>
    <t>goodyear  ug9+</t>
  </si>
  <si>
    <t>115+montazke+valytuvai bosch</t>
  </si>
  <si>
    <t>IDE007784</t>
  </si>
  <si>
    <t>busiko montazke</t>
  </si>
  <si>
    <t>cupra montazke r19</t>
  </si>
  <si>
    <t>rasa.gutauskiene@yahoo.com</t>
  </si>
  <si>
    <t>124+montaz  IDE007686</t>
  </si>
  <si>
    <t>Laurynas | Bevita &lt;laurynas@bevita.lt</t>
  </si>
  <si>
    <t xml:space="preserve">montazke+2lyginimai IDE007688 </t>
  </si>
  <si>
    <t>gdb2079  59eur</t>
  </si>
  <si>
    <t>GIC172  6eur</t>
  </si>
  <si>
    <t>mantas jastremskas mersas c63 amg cabrio</t>
  </si>
  <si>
    <t>kalades galas+keitimas</t>
  </si>
  <si>
    <t>FP 31 003  2x38eur</t>
  </si>
  <si>
    <t>mantas jastremskas audi sq5 2022</t>
  </si>
  <si>
    <t>0w20 3x5L motul spec po 55eur</t>
  </si>
  <si>
    <t>draud</t>
  </si>
  <si>
    <t>260eur   IDE007706</t>
  </si>
  <si>
    <t>dave 24k  2022-10-12</t>
  </si>
  <si>
    <t>2017-2022.10.01 34410kainavo-19200. reikia pervest 7833.28</t>
  </si>
  <si>
    <t>pervedziau 3k 2022-11-15 atlyginima</t>
  </si>
  <si>
    <t>pervedziau 2k alga 2022-12-15</t>
  </si>
  <si>
    <t>2833.28likutis ka pervest reik</t>
  </si>
  <si>
    <t>IDE007702</t>
  </si>
  <si>
    <t>0w20 motul spec 1l  14eur</t>
  </si>
  <si>
    <t>0w20 motul spec 5l  62eur</t>
  </si>
  <si>
    <t>narmontas paliokas vw tiguan</t>
  </si>
  <si>
    <t>keiitmas</t>
  </si>
  <si>
    <t>05l115562a filtras, pats mokejo</t>
  </si>
  <si>
    <t>Piotras Savranskis &lt;savranskis@gmail.com</t>
  </si>
  <si>
    <t>IDE007700</t>
  </si>
  <si>
    <t>sava hp2 ziema</t>
  </si>
  <si>
    <t>liutauras simenas</t>
  </si>
  <si>
    <t>IDE007693</t>
  </si>
  <si>
    <t>devetos dvi goodyear</t>
  </si>
  <si>
    <t>montazke visu 4iu</t>
  </si>
  <si>
    <t>Alanas Jakubauskas &lt;alanas77769@icloud.com</t>
  </si>
  <si>
    <t>94+81eur</t>
  </si>
  <si>
    <t>china ratai toyota</t>
  </si>
  <si>
    <t>167eur</t>
  </si>
  <si>
    <t>IDE007719</t>
  </si>
  <si>
    <t>4vnt davikliai montazke</t>
  </si>
  <si>
    <t xml:space="preserve">pirelli </t>
  </si>
  <si>
    <t>350+580mano+siuntimas</t>
  </si>
  <si>
    <t>IDE007703</t>
  </si>
  <si>
    <t>IDE007707</t>
  </si>
  <si>
    <t>EA3164</t>
  </si>
  <si>
    <t>toyo open country</t>
  </si>
  <si>
    <t>donatas siurna su siuntimu Dalė Jasienė</t>
  </si>
  <si>
    <t>IDE007699</t>
  </si>
  <si>
    <t>225/55r17C</t>
  </si>
  <si>
    <t>draudimo reik</t>
  </si>
  <si>
    <t>deividas vileniskis dada  Vygintas Zulys  Mem 626</t>
  </si>
  <si>
    <t>IDE007741</t>
  </si>
  <si>
    <t>Continental sportcontact 7</t>
  </si>
  <si>
    <t>raimond stefanovic marex marek</t>
  </si>
  <si>
    <t>IDE007709</t>
  </si>
  <si>
    <t xml:space="preserve">bridgestone a005e </t>
  </si>
  <si>
    <t>IDE007705</t>
  </si>
  <si>
    <t>ratu keitimas ir balansas</t>
  </si>
  <si>
    <t>IDE008049</t>
  </si>
  <si>
    <t>po 265eur</t>
  </si>
  <si>
    <t>IDE007771</t>
  </si>
  <si>
    <t>4i ventiliai nauji</t>
  </si>
  <si>
    <t>dentamed.vilnius@gmail.com</t>
  </si>
  <si>
    <t>honda 624335600   150eur</t>
  </si>
  <si>
    <t>smagratis 415 0272 10</t>
  </si>
  <si>
    <t>IDE008048</t>
  </si>
  <si>
    <t>713 6106 10    65eur</t>
  </si>
  <si>
    <t>varztas 5eur</t>
  </si>
  <si>
    <t>guolio keitimas antra karta</t>
  </si>
  <si>
    <t>FE24122  2x17eur</t>
  </si>
  <si>
    <t>keitimas stabilizu</t>
  </si>
  <si>
    <t>VKBA 3644  56eur</t>
  </si>
  <si>
    <t>IDE007704</t>
  </si>
  <si>
    <t>H489WK 25eur</t>
  </si>
  <si>
    <t>E1360L  17eur</t>
  </si>
  <si>
    <t>K 1423A  14eur</t>
  </si>
  <si>
    <t>laurynas goncauskas kia sportage</t>
  </si>
  <si>
    <t>F 026 407 147 10eur</t>
  </si>
  <si>
    <t>5l xclean+</t>
  </si>
  <si>
    <t>montaz ir pasauga</t>
  </si>
  <si>
    <t>michelin pilotroad 6</t>
  </si>
  <si>
    <t>150+210</t>
  </si>
  <si>
    <t>190/55r17</t>
  </si>
  <si>
    <t>HZU996 interlux</t>
  </si>
  <si>
    <t>GWL2235555982719</t>
  </si>
  <si>
    <t>tadas ta</t>
  </si>
  <si>
    <t>IDE007733</t>
  </si>
  <si>
    <t>pirelli rof</t>
  </si>
  <si>
    <t>airbog rysard RB Legal &lt;teise.tau@gmail.com</t>
  </si>
  <si>
    <t>412eur+montaz x7</t>
  </si>
  <si>
    <t>montazke x6 bmw</t>
  </si>
  <si>
    <t>sciro ratu keitimas su 16varztu</t>
  </si>
  <si>
    <t>DF6108S  2x43eur</t>
  </si>
  <si>
    <t>RT 2PD22940   29eur</t>
  </si>
  <si>
    <t>keitimas stabdziu disk ir kaladziu</t>
  </si>
  <si>
    <t>montaz ir pasauga LEC882</t>
  </si>
  <si>
    <t>laurynas goncauskas  kita masina</t>
  </si>
  <si>
    <t>2davikliai nauji+montaz+pasauga</t>
  </si>
  <si>
    <t>2ratu lyginimai</t>
  </si>
  <si>
    <t>laurynas goncauskas polo</t>
  </si>
  <si>
    <t>laurynas goncauskas   hujdaj</t>
  </si>
  <si>
    <t>Lfy 960 tik montazke, mama</t>
  </si>
  <si>
    <t xml:space="preserve">IDE007711 </t>
  </si>
  <si>
    <t>laurynas goncauskas   fiesta</t>
  </si>
  <si>
    <t>dazymas, padangu numontavimas?</t>
  </si>
  <si>
    <t>4iu ratu lyginimas</t>
  </si>
  <si>
    <t>zivile goodyear</t>
  </si>
  <si>
    <t>IDE007767</t>
  </si>
  <si>
    <t>29468 01 2vnt po 20eur</t>
  </si>
  <si>
    <t>TA2498  20eur</t>
  </si>
  <si>
    <t>keitimas visko 40e</t>
  </si>
  <si>
    <t>H315W  7eur</t>
  </si>
  <si>
    <t>CUK 2436   20eur</t>
  </si>
  <si>
    <t>SPECIFIC 913D 5W30 5L  50eur</t>
  </si>
  <si>
    <t>tepalu keitimas  25e</t>
  </si>
  <si>
    <t>IDE007718</t>
  </si>
  <si>
    <t>IDE007714</t>
  </si>
  <si>
    <t>hzg710 gwl2261357813480</t>
  </si>
  <si>
    <t>po 175e</t>
  </si>
  <si>
    <t>GWL2251377047855 LTB761</t>
  </si>
  <si>
    <t>187.5+  IDE007718</t>
  </si>
  <si>
    <t>marijus kebla EA2253 Aiste Jokimciute</t>
  </si>
  <si>
    <t>IDE007751</t>
  </si>
  <si>
    <t>sailun arctic ice</t>
  </si>
  <si>
    <t>marijus kebla  MYC755</t>
  </si>
  <si>
    <t>IDE007843</t>
  </si>
  <si>
    <t>montazke ir pasauga ant tv zaidimai pridet prie audiniu</t>
  </si>
  <si>
    <t>IDE007842</t>
  </si>
  <si>
    <t>61eur IDE007717</t>
  </si>
  <si>
    <t>rockblade 868s 225/40/r18 – 2 vnt</t>
  </si>
  <si>
    <t>martynas bisikirskas Martynas Klizas</t>
  </si>
  <si>
    <t>IDE007821</t>
  </si>
  <si>
    <t>avensis buvo</t>
  </si>
  <si>
    <t>IDE008107</t>
  </si>
  <si>
    <t>skoda montazke 2023-04-20</t>
  </si>
  <si>
    <t>aurimas nav jcz505</t>
  </si>
  <si>
    <t>IDE007730</t>
  </si>
  <si>
    <t>windforce SNOWBLAZER UHP</t>
  </si>
  <si>
    <t>sigitas kazlauskas</t>
  </si>
  <si>
    <t>montazke,89eur</t>
  </si>
  <si>
    <t>tomas satas leaf</t>
  </si>
  <si>
    <t>montazke + langu skyscio 6vnt</t>
  </si>
  <si>
    <t>IDE007712</t>
  </si>
  <si>
    <t>gwl2223068687296</t>
  </si>
  <si>
    <t>EA3002</t>
  </si>
  <si>
    <t>skardu netinkanciu balansas</t>
  </si>
  <si>
    <t>tomas satas volvo v90</t>
  </si>
  <si>
    <t>montazke ir rato lyginimas</t>
  </si>
  <si>
    <t>ratlankiai dezent tr black</t>
  </si>
  <si>
    <t>Donatas Jankantas</t>
  </si>
  <si>
    <t>150eur+montazke</t>
  </si>
  <si>
    <t>0219-15-0060P  10eur</t>
  </si>
  <si>
    <t>BOS251-025   10eur</t>
  </si>
  <si>
    <t>BOS256-305  5eur</t>
  </si>
  <si>
    <t>darbas sutvarkyt ismetima su sitais gaidosais</t>
  </si>
  <si>
    <t>ratu balansas ir sukeitimas vietom</t>
  </si>
  <si>
    <t>0XREK022/XL  6.1eur</t>
  </si>
  <si>
    <t>CV171  66.19eur</t>
  </si>
  <si>
    <t>JAWO 2013  9eur</t>
  </si>
  <si>
    <t>bmw m3 ratu balans priekiniu ir rastafkiu nuemimas ir paieskos vibraciju.</t>
  </si>
  <si>
    <t>draug+voucher</t>
  </si>
  <si>
    <t>gediminas mukas</t>
  </si>
  <si>
    <t xml:space="preserve">bentley ratu dazymas </t>
  </si>
  <si>
    <t>padangu numontavimas</t>
  </si>
  <si>
    <t>bentley ratu lyginimas 2vnt forged</t>
  </si>
  <si>
    <t>IDE007864</t>
  </si>
  <si>
    <t>Donatas Jančauskas &lt;jancauskas.donatas@gmail.com</t>
  </si>
  <si>
    <t>IDE007727 su montazke</t>
  </si>
  <si>
    <t>GWL2297365930799 HZG860</t>
  </si>
  <si>
    <t>IDE007687</t>
  </si>
  <si>
    <t>GWL2245714059508</t>
  </si>
  <si>
    <t>goodyear perf+ ROF</t>
  </si>
  <si>
    <t>dave parduot</t>
  </si>
  <si>
    <t>pardaviau po 119su pvm</t>
  </si>
  <si>
    <t>96k km</t>
  </si>
  <si>
    <t>X-clean EFE 5W30 5L 46eur</t>
  </si>
  <si>
    <t>C 23 018  16eur</t>
  </si>
  <si>
    <t>1 987 435 085  20eur</t>
  </si>
  <si>
    <t>IDE007985</t>
  </si>
  <si>
    <t>aurimas nav audi a7</t>
  </si>
  <si>
    <t>marijus kebla Gytis Žilinskas &lt;gytis.zilinskas@gmail.com</t>
  </si>
  <si>
    <t>IDE007725</t>
  </si>
  <si>
    <t>IDE007903</t>
  </si>
  <si>
    <t>IDE007744</t>
  </si>
  <si>
    <t>sava hp2 xl</t>
  </si>
  <si>
    <t>goodyear vector 4season</t>
  </si>
  <si>
    <t>IDE007724</t>
  </si>
  <si>
    <t>Erika Slunksnytë &lt;erika_slu@yahoo.com</t>
  </si>
  <si>
    <t xml:space="preserve">Edvardas Griceniuk  </t>
  </si>
  <si>
    <t>IDE007715</t>
  </si>
  <si>
    <t>168eur+montaz dzyp</t>
  </si>
  <si>
    <t>GWL2274298621853 JML566</t>
  </si>
  <si>
    <t>154eur IDE007739</t>
  </si>
  <si>
    <t>gwl2213704796988</t>
  </si>
  <si>
    <t>Rytis Vaitiekūnas</t>
  </si>
  <si>
    <t>IDE007735</t>
  </si>
  <si>
    <t>draud+voucher</t>
  </si>
  <si>
    <t>265+225+pvm</t>
  </si>
  <si>
    <t>0.5l rbf700   15eur</t>
  </si>
  <si>
    <t>MOTOCOOL EX-37  3x10.22eur</t>
  </si>
  <si>
    <t>300V 10W40 1L  16eur</t>
  </si>
  <si>
    <t>300V 10W40 4L  2x59eur</t>
  </si>
  <si>
    <t>HP502 641  10eur</t>
  </si>
  <si>
    <t>anah0108  58eur</t>
  </si>
  <si>
    <t>dave zmogus uz padangas 250eur2022-11-10  cia tos x5 dunlop w5 ir ju pasauga buvo menesi gal rusyje</t>
  </si>
  <si>
    <t>200+montaz IDE007731  kfk313</t>
  </si>
  <si>
    <t>GWL2236915741130</t>
  </si>
  <si>
    <t>HFD911 GWL2229585123644</t>
  </si>
  <si>
    <t>IDE007720</t>
  </si>
  <si>
    <t>nerijus kersys vokiska keramika</t>
  </si>
  <si>
    <t>IDE008027</t>
  </si>
  <si>
    <t>tomas naruskevic Audrius Norus</t>
  </si>
  <si>
    <t>87eur+montazke IDE007771</t>
  </si>
  <si>
    <t>tomas naruskevic  darbine skoda</t>
  </si>
  <si>
    <t>valytuvai 8.5+7.5eur</t>
  </si>
  <si>
    <t>Volvo xc 70 montazke laisvio tevor18</t>
  </si>
  <si>
    <t>pirelli mo</t>
  </si>
  <si>
    <t>IDE007763</t>
  </si>
  <si>
    <t>paulius gavro senis</t>
  </si>
  <si>
    <t>bridgestone ice</t>
  </si>
  <si>
    <t>IDE007896</t>
  </si>
  <si>
    <t>IDE007684</t>
  </si>
  <si>
    <t>DEIVIDAS s &lt;deivisdd@gmail.com</t>
  </si>
  <si>
    <t>113+montaz</t>
  </si>
  <si>
    <t>goodyear ice 2</t>
  </si>
  <si>
    <t>pezas 140,porsche240, vw 270, 2vw po 145eur</t>
  </si>
  <si>
    <t>940+pvm  IDE008050</t>
  </si>
  <si>
    <t>laurynas katalizatoriai dagys</t>
  </si>
  <si>
    <t>montazke busiko IDE008050</t>
  </si>
  <si>
    <t xml:space="preserve">17 11 8 482 622 </t>
  </si>
  <si>
    <t>zilvinas ribaltavicius</t>
  </si>
  <si>
    <t>IDE007936</t>
  </si>
  <si>
    <t>aurimas nav jetta gbz546</t>
  </si>
  <si>
    <t xml:space="preserve">IDE007918 </t>
  </si>
  <si>
    <t>DF4558   2x35eur</t>
  </si>
  <si>
    <t>GDB1763  35eur</t>
  </si>
  <si>
    <t>skola zemiau</t>
  </si>
  <si>
    <t>martynas bisikirskas Uab skinarta</t>
  </si>
  <si>
    <t>IDE007748</t>
  </si>
  <si>
    <t>Julius Čėsna &lt;info@cesnos.lt</t>
  </si>
  <si>
    <t>105eur IDE007732 klaipeda</t>
  </si>
  <si>
    <t>Linas Drobelis</t>
  </si>
  <si>
    <t>montazke+pasauga</t>
  </si>
  <si>
    <t>IDE007991 JOE892 GWL2222952522784</t>
  </si>
  <si>
    <t>Darius Bernackas &lt;darius@bevita.lt  UAB Beneda</t>
  </si>
  <si>
    <t>IDE007795</t>
  </si>
  <si>
    <t>GWL2264068109153</t>
  </si>
  <si>
    <t>langu skyscio palete 160*2.7</t>
  </si>
  <si>
    <t>hea560 marijus kebla audi a6</t>
  </si>
  <si>
    <t>IDE007762</t>
  </si>
  <si>
    <t>rotalla s130</t>
  </si>
  <si>
    <t>Redas Kardauskas &lt;redaskardauskas@gmail.com</t>
  </si>
  <si>
    <t>nexen</t>
  </si>
  <si>
    <t>110+126 ide007742</t>
  </si>
  <si>
    <t>280+240</t>
  </si>
  <si>
    <t>IDE007756</t>
  </si>
  <si>
    <t>siunta neideta ?</t>
  </si>
  <si>
    <t>Vytautas Mereckis &lt;vytautas.mereckis@gmail.com</t>
  </si>
  <si>
    <t>martynas bisikirskas Vilius Zaronskis</t>
  </si>
  <si>
    <t xml:space="preserve">IDE007822 </t>
  </si>
  <si>
    <t>Andrius Papartis &lt;andrius.papartis@gmail.com  LIR938</t>
  </si>
  <si>
    <t>IDE007911</t>
  </si>
  <si>
    <t>su paemimu is namu</t>
  </si>
  <si>
    <t>donatas jucius 911 porsche ratu keitimas +2lyginimas ir balansas</t>
  </si>
  <si>
    <t>IDE007930</t>
  </si>
  <si>
    <t>marijus kebla Skirmantas Paulavicius</t>
  </si>
  <si>
    <t>IDE007766</t>
  </si>
  <si>
    <t>montazke a6,busas,bmw,cayene</t>
  </si>
  <si>
    <t>UAB VERBESTA marex</t>
  </si>
  <si>
    <t>IDE007743</t>
  </si>
  <si>
    <t>marijus kebla Robert Dzisevič</t>
  </si>
  <si>
    <t>160+montazke</t>
  </si>
  <si>
    <t>MHC263 GWL2236015219909</t>
  </si>
  <si>
    <t>Domas Laukaitis &lt;domas.laukaitis@gmail.com</t>
  </si>
  <si>
    <t>IDE007749</t>
  </si>
  <si>
    <t>tomas greenmotion    rav4 mhf193</t>
  </si>
  <si>
    <t>IDE007926</t>
  </si>
  <si>
    <t>tomas greenmotion  kia sportage meo128</t>
  </si>
  <si>
    <t>conti winter2</t>
  </si>
  <si>
    <t>matas buzelis nookie Rolandas Ginkus</t>
  </si>
  <si>
    <t>IDE007761</t>
  </si>
  <si>
    <t>fulda conveotrack 3</t>
  </si>
  <si>
    <t>julius rasos sask cine navagrutskas</t>
  </si>
  <si>
    <t>IDE007904</t>
  </si>
  <si>
    <t>Laurynas Grinevičius  Mindaugas Vasiliauskas</t>
  </si>
  <si>
    <t>IDE007757</t>
  </si>
  <si>
    <t>236+220+pvm  IDE007815</t>
  </si>
  <si>
    <t>MOM404</t>
  </si>
  <si>
    <t>IDE007815</t>
  </si>
  <si>
    <t>IDE007752</t>
  </si>
  <si>
    <t>75e</t>
  </si>
  <si>
    <t>Normantas Paliokas &lt;normantas@grigeo.lt</t>
  </si>
  <si>
    <t>MKI122 GWL2293696381524</t>
  </si>
  <si>
    <t>140eur+montazke uab internus  304619946</t>
  </si>
  <si>
    <t>IDE007772</t>
  </si>
  <si>
    <t>91eur</t>
  </si>
  <si>
    <t>IDE007827</t>
  </si>
  <si>
    <t>lasa compentus</t>
  </si>
  <si>
    <t>Raimundas Sakalauskas Silvinas Sakalauskas</t>
  </si>
  <si>
    <t>590eur</t>
  </si>
  <si>
    <t>saulius interpolas</t>
  </si>
  <si>
    <t>312+278eur IDE007777</t>
  </si>
  <si>
    <t>IDE007777</t>
  </si>
  <si>
    <t>IDE007759</t>
  </si>
  <si>
    <t>Igoris K. &lt;projektai@realitus.lt</t>
  </si>
  <si>
    <t>257+226</t>
  </si>
  <si>
    <t>IDE007755</t>
  </si>
  <si>
    <t>Edvinas Underavicius &lt;underavicius@gmail.com</t>
  </si>
  <si>
    <t>192+montazke</t>
  </si>
  <si>
    <t>67eur ratlankiai dezent</t>
  </si>
  <si>
    <t>Marek Stefanovic &lt;marek_stefanovic@goodyear.com</t>
  </si>
  <si>
    <t>IDE007776</t>
  </si>
  <si>
    <t>Vilius Poderys &lt;vilius.poderys@gmail.com</t>
  </si>
  <si>
    <t>Algimantas Janušauskas 46+siuntimas savikaina</t>
  </si>
  <si>
    <t>IDE007871</t>
  </si>
  <si>
    <t>IDE007872</t>
  </si>
  <si>
    <t>sava dygliai</t>
  </si>
  <si>
    <t>GT RADIAL MAXMILER WT2 CARGO</t>
  </si>
  <si>
    <t>IDE007869</t>
  </si>
  <si>
    <t>265/65R17</t>
  </si>
  <si>
    <t>WESTLAKE PCR SW658</t>
  </si>
  <si>
    <t>HANKOOK WINTER I*PIKE RS2 (W429</t>
  </si>
  <si>
    <t>nexen winguard sport2 suv 108T</t>
  </si>
  <si>
    <t>HANKOOK WINTER I*CEPT RS3 (W462)</t>
  </si>
  <si>
    <t>Noragra</t>
  </si>
  <si>
    <t>169eur</t>
  </si>
  <si>
    <t xml:space="preserve">IDE007826 </t>
  </si>
  <si>
    <t>DYNAMO SNOW-H MWC01</t>
  </si>
  <si>
    <t>rieses seimos klinika</t>
  </si>
  <si>
    <t>montazke rav4 MES023 r18</t>
  </si>
  <si>
    <t>IDE008105</t>
  </si>
  <si>
    <t>dainius dotronika HTL901 GWL2298588428337</t>
  </si>
  <si>
    <t>IDE007754</t>
  </si>
  <si>
    <t>IDE007887</t>
  </si>
  <si>
    <t>GT RADIAL CHAMPIRO ICEPRO 3</t>
  </si>
  <si>
    <t xml:space="preserve">valdas fedianinas valdoska </t>
  </si>
  <si>
    <t>audi a6 ratu keitimas/balans</t>
  </si>
  <si>
    <t>DF-434  32eur</t>
  </si>
  <si>
    <t>montazke 2masinos</t>
  </si>
  <si>
    <t>valdas spakauskas gavras lina</t>
  </si>
  <si>
    <t>IDE007886</t>
  </si>
  <si>
    <t>IDE007812</t>
  </si>
  <si>
    <t>LIL212 GWL2268333998905</t>
  </si>
  <si>
    <t>MIsano grey Pristatymas standart ~3 sav.</t>
  </si>
  <si>
    <t>223eur ?  890savikaina</t>
  </si>
  <si>
    <t>montazke forfo</t>
  </si>
  <si>
    <t>P 85 131x  112eur</t>
  </si>
  <si>
    <t>5Q0615301C  2x215+pvm</t>
  </si>
  <si>
    <t>P 85 073X  55eur</t>
  </si>
  <si>
    <t>Df4754  diskai ?</t>
  </si>
  <si>
    <t>Martynas Aniulis | Insitus &lt;martynas@insitus.lt</t>
  </si>
  <si>
    <t>80+montazke</t>
  </si>
  <si>
    <t>IDE007800</t>
  </si>
  <si>
    <t>73+monysxkrq</t>
  </si>
  <si>
    <t>falken dygliai</t>
  </si>
  <si>
    <t>diana tenisas opel mokka</t>
  </si>
  <si>
    <t>IDE008037</t>
  </si>
  <si>
    <t>mindaugas rudys</t>
  </si>
  <si>
    <t>montazke,pasauga IDE007779</t>
  </si>
  <si>
    <r>
      <rPr>
        <rFont val="Roboto, Arial, sans-serif"/>
        <color rgb="FF3C4043"/>
        <sz val="11.0"/>
      </rPr>
      <t xml:space="preserve">Giedre Vilke </t>
    </r>
    <r>
      <rPr>
        <rFont val="Roboto, Arial, sans-serif"/>
        <color rgb="FF1155CC"/>
        <sz val="11.0"/>
        <u/>
      </rPr>
      <t>pigu.lt</t>
    </r>
    <r>
      <rPr>
        <rFont val="Roboto, Arial, sans-serif"/>
        <color rgb="FF3C4043"/>
        <sz val="11.0"/>
      </rPr>
      <t xml:space="preserve"> MGZ 786 nauja zalia Q5</t>
    </r>
  </si>
  <si>
    <t>IDE007885</t>
  </si>
  <si>
    <t>IDE007910 KURJER I KAUNA</t>
  </si>
  <si>
    <t>bmw x3kolega ratu keitimas ir balans</t>
  </si>
  <si>
    <t>IDE007863</t>
  </si>
  <si>
    <t>96eur +3 langu skyscio</t>
  </si>
  <si>
    <t>nerijus zukauskas  865517917 faso</t>
  </si>
  <si>
    <t>IDE007764</t>
  </si>
  <si>
    <t>IDE007873</t>
  </si>
  <si>
    <t>GWL2218898921441 KMJ050</t>
  </si>
  <si>
    <t>fulda kristalmontero3</t>
  </si>
  <si>
    <t>montaz</t>
  </si>
  <si>
    <t>215/60r16c</t>
  </si>
  <si>
    <t>IDE007716</t>
  </si>
  <si>
    <t>Regimantas Jankauskas &lt;regimantas@stiklita.lt&gt;</t>
  </si>
  <si>
    <t>IDE007786</t>
  </si>
  <si>
    <t>diplomat winter st</t>
  </si>
  <si>
    <t>tomas patalavicius  Renovacijos partneriai</t>
  </si>
  <si>
    <t>173+montazke  IDE007868</t>
  </si>
  <si>
    <t>IDE007785</t>
  </si>
  <si>
    <t>rato lyginimas 100eur</t>
  </si>
  <si>
    <t>ignasmarcinkevicius90@gmail.com   LMH020</t>
  </si>
  <si>
    <t xml:space="preserve">165eur </t>
  </si>
  <si>
    <t>uz montazke sumokejo</t>
  </si>
  <si>
    <t>crv montazke priority sestad r18</t>
  </si>
  <si>
    <t>IDE008031</t>
  </si>
  <si>
    <t>audi rs5 montazke 2022-11-10 zieminiu</t>
  </si>
  <si>
    <t xml:space="preserve">Algirdas G. &lt;galgirdas@yahoo.com&gt; algirdas genaitis  </t>
  </si>
  <si>
    <t>240eur   MLF 878</t>
  </si>
  <si>
    <t>gwl2213542008222</t>
  </si>
  <si>
    <t>tomas kaimynas dvi masinos, astra+vivaro ratu keitimas</t>
  </si>
  <si>
    <t>IDE008025</t>
  </si>
  <si>
    <t>1152eur dave andezj</t>
  </si>
  <si>
    <t>general snowgraber</t>
  </si>
  <si>
    <t>andrius valiukevicius</t>
  </si>
  <si>
    <t>IDE007793</t>
  </si>
  <si>
    <t>mhm612 draudima</t>
  </si>
  <si>
    <t>goodyear ug perf++</t>
  </si>
  <si>
    <t>IDE007760</t>
  </si>
  <si>
    <t>MHM612 gwl2289135621656</t>
  </si>
  <si>
    <t>Donatas Statulevicius &lt;donatas.statulevicius@gmail.com</t>
  </si>
  <si>
    <t>123eur montazke+pasauga</t>
  </si>
  <si>
    <t>falkenai</t>
  </si>
  <si>
    <t>IDE007820</t>
  </si>
  <si>
    <t>pirelli winter2</t>
  </si>
  <si>
    <t>IDE007823</t>
  </si>
  <si>
    <t>pirelli pz4 ao</t>
  </si>
  <si>
    <t>286eur IDE007984</t>
  </si>
  <si>
    <t>hankook s1 evo2</t>
  </si>
  <si>
    <t>dazymas 42eur savikaina</t>
  </si>
  <si>
    <t>rato dazymas vienas+montazke</t>
  </si>
  <si>
    <t>IDE007814</t>
  </si>
  <si>
    <t>MJR797 GWL2279169030434 IDE008654</t>
  </si>
  <si>
    <t>toyo  s954suv</t>
  </si>
  <si>
    <t>henrik 869989748 romas venckevicius</t>
  </si>
  <si>
    <t>Hul729 tomas naruskevic passat</t>
  </si>
  <si>
    <t>montazke,pasauga IDE007771</t>
  </si>
  <si>
    <t>velavimas+2min</t>
  </si>
  <si>
    <t>135863697 askobaltis</t>
  </si>
  <si>
    <t>IDE007765</t>
  </si>
  <si>
    <t>Darius Romanovskij  860044084 darius@a01.lt</t>
  </si>
  <si>
    <t>175eur+montazke</t>
  </si>
  <si>
    <t>ernestas.vaskevicius@gmail.com</t>
  </si>
  <si>
    <t>IDE007888</t>
  </si>
  <si>
    <t>bozena klimeniuk sask uz nissan xtrail</t>
  </si>
  <si>
    <t>montazke r18 berods, 40eur ??</t>
  </si>
  <si>
    <t>IDE008071</t>
  </si>
  <si>
    <t>eismantas vaitiekunas</t>
  </si>
  <si>
    <t>IDE007825</t>
  </si>
  <si>
    <t>240+290    IDE007769</t>
  </si>
  <si>
    <t>IDE007769</t>
  </si>
  <si>
    <t>montazke emkes IDE008058</t>
  </si>
  <si>
    <t>IDE007770</t>
  </si>
  <si>
    <t>MGC306  GWL2291187267352</t>
  </si>
  <si>
    <t>klaudijus stroginis devisor romas ruzgys</t>
  </si>
  <si>
    <t>kbb420  GWL2230293514487</t>
  </si>
  <si>
    <t>porso paemimas, montazke dvieju, du guzai ir du lyginimai</t>
  </si>
  <si>
    <t>transporto sask 110eur</t>
  </si>
  <si>
    <t>IDE007831</t>
  </si>
  <si>
    <t>montazke KDV452 1 masina prius 2vnt</t>
  </si>
  <si>
    <t>montazke 1 masina 2vnt</t>
  </si>
  <si>
    <t>montazke 1 masina 2vnt bobike</t>
  </si>
  <si>
    <t>egidijus meilunas jetta lexus</t>
  </si>
  <si>
    <t>155eur+montazke  exelis bendras</t>
  </si>
  <si>
    <t>GWL2258444823441 MYP658</t>
  </si>
  <si>
    <t>IDE007845</t>
  </si>
  <si>
    <t>bisikirskas martynas veho</t>
  </si>
  <si>
    <t>400+345eur</t>
  </si>
  <si>
    <t>IDE007824</t>
  </si>
  <si>
    <t>IDE007958</t>
  </si>
  <si>
    <t>pirelli w270</t>
  </si>
  <si>
    <t>IDE007813</t>
  </si>
  <si>
    <t>IDE007806</t>
  </si>
  <si>
    <t>Paulius Laureckis &lt;laureckis.paulius@gmail.com</t>
  </si>
  <si>
    <t>Agnius Marcinkevicius &lt;agnelismar@gmail.com</t>
  </si>
  <si>
    <t>IDE007792</t>
  </si>
  <si>
    <t>zagzin@gmail.com Pavel Zagzin</t>
  </si>
  <si>
    <t>92eur+montazke</t>
  </si>
  <si>
    <t>EV7461 GWL2275195044848</t>
  </si>
  <si>
    <t>Gintas Balciunas paulius balciunas</t>
  </si>
  <si>
    <t>skola uz padangas 295eur?</t>
  </si>
  <si>
    <t>paulius dave 300eur</t>
  </si>
  <si>
    <t>860145661 volvo xc70 saulius marozas GGC572</t>
  </si>
  <si>
    <t>100+montaz dave 150</t>
  </si>
  <si>
    <t>IDE007870</t>
  </si>
  <si>
    <t>sailun arctic evo</t>
  </si>
  <si>
    <t>pirelli scorpion winter m01</t>
  </si>
  <si>
    <t>555eur</t>
  </si>
  <si>
    <t>IDE007819</t>
  </si>
  <si>
    <t>linas ramitrans 865500414</t>
  </si>
  <si>
    <t>IDE007791</t>
  </si>
  <si>
    <t>FJC800 GWL2241638857631</t>
  </si>
  <si>
    <t>montazke toyota chr</t>
  </si>
  <si>
    <t>380eur   IDE007796</t>
  </si>
  <si>
    <t>320eur IDE007797</t>
  </si>
  <si>
    <t>fornway</t>
  </si>
  <si>
    <t>IDE008106</t>
  </si>
  <si>
    <t>UAB DALVERSA &lt;uab.dalversa@gmail.com</t>
  </si>
  <si>
    <t>307eur  IDE007798</t>
  </si>
  <si>
    <t>algis kaimynas</t>
  </si>
  <si>
    <t>50+montaz</t>
  </si>
  <si>
    <t>skardiniai nauji</t>
  </si>
  <si>
    <t>audrius jas</t>
  </si>
  <si>
    <t>IDE007805</t>
  </si>
  <si>
    <t>IDE007802</t>
  </si>
  <si>
    <t>kas dar?  190eur montazke</t>
  </si>
  <si>
    <t xml:space="preserve">IDE007841 </t>
  </si>
  <si>
    <t>IDE007790</t>
  </si>
  <si>
    <t>kristina jankuniene Kristina Jankuniene &lt;kjankuniene@gmail.com</t>
  </si>
  <si>
    <t>po 115eur+montazke visu</t>
  </si>
  <si>
    <t>IDE007801 cash?</t>
  </si>
  <si>
    <t>GWL2277689271777</t>
  </si>
  <si>
    <t>GTH303</t>
  </si>
  <si>
    <t>138eur IDE008070</t>
  </si>
  <si>
    <t>GOODRIDE SW658</t>
  </si>
  <si>
    <t>102eur+40eur montazke</t>
  </si>
  <si>
    <t>IDE007804</t>
  </si>
  <si>
    <t>draud+</t>
  </si>
  <si>
    <t>IDE007818</t>
  </si>
  <si>
    <t>conti ts860s rft</t>
  </si>
  <si>
    <t>IDE007817</t>
  </si>
  <si>
    <t>skardinio lyginimas+montazke 1 rato</t>
  </si>
  <si>
    <t>Paulius G &lt;paulasgri@gmail.com</t>
  </si>
  <si>
    <t>IDE007970</t>
  </si>
  <si>
    <t>xclean+ 5l ? 50eur</t>
  </si>
  <si>
    <t>C 2433/2 12eur</t>
  </si>
  <si>
    <t>CUK 1936 19eur</t>
  </si>
  <si>
    <t>padangu keitimas 35eur</t>
  </si>
  <si>
    <t xml:space="preserve">jurgis berzinis milvita subaru </t>
  </si>
  <si>
    <t>IDE007834</t>
  </si>
  <si>
    <t>IDE007910</t>
  </si>
  <si>
    <t>lassa competus</t>
  </si>
  <si>
    <t>Gabrielis Kacanauskas &lt;gabrielis.kacanauskas@gmail.com</t>
  </si>
  <si>
    <t>IDE007844</t>
  </si>
  <si>
    <t>marijus kebla passat</t>
  </si>
  <si>
    <t>IDE007830</t>
  </si>
  <si>
    <t>Igoris Kacelapovas UAB“Realitus“</t>
  </si>
  <si>
    <t>IDE007840</t>
  </si>
  <si>
    <t>pasauga anskciau</t>
  </si>
  <si>
    <t>IDE007940</t>
  </si>
  <si>
    <t>IDE007879</t>
  </si>
  <si>
    <t>montazke balto porso + pasauga liko</t>
  </si>
  <si>
    <t>montazke smelio porso nauji ratai 2022-12-02</t>
  </si>
  <si>
    <t>IDE007858</t>
  </si>
  <si>
    <t>IDE007832</t>
  </si>
  <si>
    <t>GWL2220332610727 UVU123</t>
  </si>
  <si>
    <t>gislaved eurofrost6</t>
  </si>
  <si>
    <t>IDE007816</t>
  </si>
  <si>
    <t xml:space="preserve">langu skystis 40vnt </t>
  </si>
  <si>
    <t>IDE007989</t>
  </si>
  <si>
    <t>Ausra Rimeikyte rimeikyte.ausra@gmail.com</t>
  </si>
  <si>
    <t>IDE007828</t>
  </si>
  <si>
    <t>KJH389 GWL2282308206889</t>
  </si>
  <si>
    <t>montazke cupra r18 priority</t>
  </si>
  <si>
    <t>IDE007880</t>
  </si>
  <si>
    <t>134eur+montazke</t>
  </si>
  <si>
    <t>donataskrusa@gmail.com</t>
  </si>
  <si>
    <t>Vytautas Kazlauskas &lt;kazlausku.vytautas@gmail.com</t>
  </si>
  <si>
    <t>105eur+montazke</t>
  </si>
  <si>
    <t>Romas &lt;kuklys45@gmail.com  nav</t>
  </si>
  <si>
    <t>Vilija Morkūnaitė julius vaitiekunas</t>
  </si>
  <si>
    <t>goodyear ice suv</t>
  </si>
  <si>
    <t>Marijus Kėbla &lt;marijus.kebla@gmail.com  audi q3</t>
  </si>
  <si>
    <t xml:space="preserve"> 189eur+montazke IDE007836</t>
  </si>
  <si>
    <t>LZR567 GWL2255734127218</t>
  </si>
  <si>
    <t xml:space="preserve">Marijus Kėbla &lt;marijus.kebla@gmail.com </t>
  </si>
  <si>
    <t>cash sake duos</t>
  </si>
  <si>
    <t>85450km</t>
  </si>
  <si>
    <t>F 026 400 342  16eur</t>
  </si>
  <si>
    <t>OC977/1 8eur</t>
  </si>
  <si>
    <t>giedre lapenaite tiguan</t>
  </si>
  <si>
    <t>keitimsa tepalai filtrai</t>
  </si>
  <si>
    <t>xclean+ 4.5l</t>
  </si>
  <si>
    <t>keitimsa padangu  50eur</t>
  </si>
  <si>
    <t>202770 km</t>
  </si>
  <si>
    <t>E28H01 D26 6.83+pvm savik</t>
  </si>
  <si>
    <t>F 026 400 119  16.76+pvm savik</t>
  </si>
  <si>
    <t>E1959LC  13.86+pvm savik</t>
  </si>
  <si>
    <t>tadas saltenis duskinas</t>
  </si>
  <si>
    <t>xclean+</t>
  </si>
  <si>
    <t>keitimas tepalu 30eur</t>
  </si>
  <si>
    <t>keitimas visko ir padangu</t>
  </si>
  <si>
    <t>conti vancontact winter</t>
  </si>
  <si>
    <t>173eur IDE007883</t>
  </si>
  <si>
    <t>eb601 exide  70eur</t>
  </si>
  <si>
    <t>kaimynas su fordu ir jaguaru evaldas borcovas</t>
  </si>
  <si>
    <t>IDE008678</t>
  </si>
  <si>
    <t>LYJ680</t>
  </si>
  <si>
    <t>860145661 saulius marozas sauulius@gmail.com</t>
  </si>
  <si>
    <t>135+montazke</t>
  </si>
  <si>
    <t>82eur montazke visu</t>
  </si>
  <si>
    <t>IDE007835</t>
  </si>
  <si>
    <t>50eur montazke</t>
  </si>
  <si>
    <t>IDE007862</t>
  </si>
  <si>
    <t>GWL2242807157692 EA5678</t>
  </si>
  <si>
    <t>Mantas Jancevičius</t>
  </si>
  <si>
    <t>IDE007829</t>
  </si>
  <si>
    <t>saulius paliunis</t>
  </si>
  <si>
    <t>vieno rato montazke ir klijavimas</t>
  </si>
  <si>
    <t>2lemputes 10eur ir keitimas 20eur</t>
  </si>
  <si>
    <t>sankabos keitimas su pakaba   340eur</t>
  </si>
  <si>
    <t>traukes ir antgaliai, ivores   100eur</t>
  </si>
  <si>
    <t>IDE007839</t>
  </si>
  <si>
    <t>IDE007901</t>
  </si>
  <si>
    <t>continental vancontact winter</t>
  </si>
  <si>
    <t>IDE007902</t>
  </si>
  <si>
    <t>vytenis koryzna</t>
  </si>
  <si>
    <t>IDE007881</t>
  </si>
  <si>
    <t>GWL2297606540239  EA3864</t>
  </si>
  <si>
    <t xml:space="preserve">sailun alpine evo </t>
  </si>
  <si>
    <t>IDE007875</t>
  </si>
  <si>
    <t>IDE007846  su montaz</t>
  </si>
  <si>
    <t>Df4754 Gdb1622  gal stabdziu kodai tik</t>
  </si>
  <si>
    <t>pasieme kalades brembox ir diskus trw</t>
  </si>
  <si>
    <t>slangutes 60eur galines</t>
  </si>
  <si>
    <t>fordo ratu montazke</t>
  </si>
  <si>
    <t>IDE008069</t>
  </si>
  <si>
    <t>5Q0412331E strut mount x 2 vnt</t>
  </si>
  <si>
    <t>5Q0412249E guolis x 2vnt</t>
  </si>
  <si>
    <t>0w40 300v  2lx4</t>
  </si>
  <si>
    <t>tautvydas redline</t>
  </si>
  <si>
    <t>46-50eur pakabos dalys</t>
  </si>
  <si>
    <t>filtrai 22eur</t>
  </si>
  <si>
    <t>ratus pardaviau ir ten skirtumas kazkiek</t>
  </si>
  <si>
    <t>864338519 valeros anuke ? :)00</t>
  </si>
  <si>
    <t>dalversa uab</t>
  </si>
  <si>
    <t>IDE007866</t>
  </si>
  <si>
    <t>869811111 ecoparcel</t>
  </si>
  <si>
    <t>IDE007857 su montazke</t>
  </si>
  <si>
    <t xml:space="preserve">tomas patalavicius  </t>
  </si>
  <si>
    <t>109eur+kurjer ? IDE007890</t>
  </si>
  <si>
    <t>pirelli cinturato winter 2</t>
  </si>
  <si>
    <t>Sparco (Raimis) &lt;raimis@sparco.lt</t>
  </si>
  <si>
    <t>107eur+montazke</t>
  </si>
  <si>
    <t>IDE007867</t>
  </si>
  <si>
    <t>bridgestone s001</t>
  </si>
  <si>
    <t>IDE008046</t>
  </si>
  <si>
    <t>UAB "KONTAKTORIUS"</t>
  </si>
  <si>
    <t>IDE007884</t>
  </si>
  <si>
    <t>332+340eur</t>
  </si>
  <si>
    <t>IDE007900</t>
  </si>
  <si>
    <t>IDE008068</t>
  </si>
  <si>
    <t xml:space="preserve">antanas barasnevicius </t>
  </si>
  <si>
    <t>IDE007905</t>
  </si>
  <si>
    <t>igoris k bmw x6</t>
  </si>
  <si>
    <t>IDE007939</t>
  </si>
  <si>
    <t>continental viking</t>
  </si>
  <si>
    <t>Tomas Urbutis</t>
  </si>
  <si>
    <t>165eur+montazke</t>
  </si>
  <si>
    <t>IDE007964</t>
  </si>
  <si>
    <t>jed770</t>
  </si>
  <si>
    <t>IDE007876</t>
  </si>
  <si>
    <t>IDE007877</t>
  </si>
  <si>
    <t>arturas cermenisov</t>
  </si>
  <si>
    <t>valdoska riese valdas fedianinas</t>
  </si>
  <si>
    <t>6vnt langu skystis</t>
  </si>
  <si>
    <t>IDE007934</t>
  </si>
  <si>
    <t>EA4337</t>
  </si>
  <si>
    <t>montazke sestad ir du kartus :D</t>
  </si>
  <si>
    <t>GWL2239551768355</t>
  </si>
  <si>
    <t>IDE007947</t>
  </si>
  <si>
    <t>508+460eur</t>
  </si>
  <si>
    <t>IDE007924</t>
  </si>
  <si>
    <t>IDE007908</t>
  </si>
  <si>
    <t>GWL2213839845997 MJK489</t>
  </si>
  <si>
    <t>IDE007914</t>
  </si>
  <si>
    <t>68200km</t>
  </si>
  <si>
    <t>2vnt oro filtrai</t>
  </si>
  <si>
    <t>salono filtras ir tepalo</t>
  </si>
  <si>
    <t>3 397 014 010 29eur</t>
  </si>
  <si>
    <t>0w40 300v 8l  IDE007956</t>
  </si>
  <si>
    <t>IDE007942</t>
  </si>
  <si>
    <t>kov069 kuklys nav</t>
  </si>
  <si>
    <t>56820km</t>
  </si>
  <si>
    <t>C 28 043 15eur</t>
  </si>
  <si>
    <t>xclean+ 4l</t>
  </si>
  <si>
    <t>lina leonaviciute golf</t>
  </si>
  <si>
    <t>IDE007927</t>
  </si>
  <si>
    <t>martynas bisikirskas UAB Stiemo</t>
  </si>
  <si>
    <t>18bakeliu dar ?</t>
  </si>
  <si>
    <t>4x3 pasieme langu skyst</t>
  </si>
  <si>
    <t>IDE007933</t>
  </si>
  <si>
    <t>1106100Q1N</t>
  </si>
  <si>
    <t>1403500Q0E</t>
  </si>
  <si>
    <t>1446500Q0D  KE90299945</t>
  </si>
  <si>
    <t>1. 75+pvm 2. 12.15+pvm 3. 5+pvm 4. 21+pvm</t>
  </si>
  <si>
    <t>IDE007998</t>
  </si>
  <si>
    <t>IDE007917</t>
  </si>
  <si>
    <t>JSA161 GWL2258711130248</t>
  </si>
  <si>
    <t>antanas barasnevicius   868383818</t>
  </si>
  <si>
    <t>dv technika IDE007919</t>
  </si>
  <si>
    <t>IDE007920</t>
  </si>
  <si>
    <t>IDE007928</t>
  </si>
  <si>
    <t>falken</t>
  </si>
  <si>
    <t>150eur IDE007878 IDE007946</t>
  </si>
  <si>
    <t>aurelijus policija mentas respublikinis</t>
  </si>
  <si>
    <t>95eur      dave 100eur</t>
  </si>
  <si>
    <t>HUZ110</t>
  </si>
  <si>
    <t>tadas tata</t>
  </si>
  <si>
    <t>montzke 117eur</t>
  </si>
  <si>
    <t>GWL2255555830428</t>
  </si>
  <si>
    <t>Simas Norvydas &lt;norvydass@gmail.com</t>
  </si>
  <si>
    <t>750 dave  IDE007923</t>
  </si>
  <si>
    <t>GWL2298364130129 LYU444</t>
  </si>
  <si>
    <t>dynamo</t>
  </si>
  <si>
    <t>Albinas Malkauskas &lt;obrimus@gmail.com</t>
  </si>
  <si>
    <t>IDE007922</t>
  </si>
  <si>
    <t>marijus kebla Nerijus Žilius &lt;nerijus@zilius.eu</t>
  </si>
  <si>
    <t>IDE007949</t>
  </si>
  <si>
    <t>IDE007938</t>
  </si>
  <si>
    <t>triangle  pl02</t>
  </si>
  <si>
    <t>dynamo snow</t>
  </si>
  <si>
    <t>robertas norbe</t>
  </si>
  <si>
    <t>IDE007931</t>
  </si>
  <si>
    <t>rotalla vs450</t>
  </si>
  <si>
    <t>215/70r16</t>
  </si>
  <si>
    <t>julius rasos navagrutskas</t>
  </si>
  <si>
    <t>IDE007961</t>
  </si>
  <si>
    <t>Linas Liubeckas &lt;linas.liubeckas@gmail.com</t>
  </si>
  <si>
    <t>Linas Liubeckas &lt;linas.liubeckas@gmail.com  860689929</t>
  </si>
  <si>
    <t>goodyear ice arctic2</t>
  </si>
  <si>
    <t>IDE007952</t>
  </si>
  <si>
    <t>IDE007951</t>
  </si>
  <si>
    <t>birdgestone lm005</t>
  </si>
  <si>
    <t>IDE007962</t>
  </si>
  <si>
    <t>216+245eur</t>
  </si>
  <si>
    <t>mantas strimaitis  darius daugilis</t>
  </si>
  <si>
    <t>110+100   ide007969</t>
  </si>
  <si>
    <t>goodyear ug arctic</t>
  </si>
  <si>
    <t>IDE007953</t>
  </si>
  <si>
    <t>martynas bagazines</t>
  </si>
  <si>
    <t>IDE007937</t>
  </si>
  <si>
    <t>skoda 5l xclean+</t>
  </si>
  <si>
    <t>filtrai visi ir keitimas</t>
  </si>
  <si>
    <t>9langu skysciai</t>
  </si>
  <si>
    <t>14.64 ir 14.58eur +  32.28eur</t>
  </si>
  <si>
    <t>93+,montaz</t>
  </si>
  <si>
    <t>0w40 2l v300</t>
  </si>
  <si>
    <t>UAB VERBESTA  marex marekas</t>
  </si>
  <si>
    <t>171 su pvm+montaz IDE007968</t>
  </si>
  <si>
    <t>IDE007956</t>
  </si>
  <si>
    <t>sask uz 30vnt</t>
  </si>
  <si>
    <t>IDE007955</t>
  </si>
  <si>
    <t>61219321815   121eur</t>
  </si>
  <si>
    <t>IDE007957</t>
  </si>
  <si>
    <t>montazke m2 MPZ002 IDE008021</t>
  </si>
  <si>
    <t>GWL2245697541133 MPZ002</t>
  </si>
  <si>
    <t>irmantas braziunas</t>
  </si>
  <si>
    <t>interlux nav tomas mingela  hoj907</t>
  </si>
  <si>
    <t>IDE008032</t>
  </si>
  <si>
    <t>IDE007983</t>
  </si>
  <si>
    <t>motec ratai 4vnt savik 1020eur</t>
  </si>
  <si>
    <t>raimond stefanovic dofa prekyba</t>
  </si>
  <si>
    <t>IDE007954</t>
  </si>
  <si>
    <t>169eur+montaz</t>
  </si>
  <si>
    <t>skoda rato klijavimas ir visu balans</t>
  </si>
  <si>
    <t>Zilvinas.mazeikaa@gmail.com  povilas dabrila</t>
  </si>
  <si>
    <t>IDE007965</t>
  </si>
  <si>
    <t>aurimas@extremedelight.lt</t>
  </si>
  <si>
    <t>pasieme skyscio 15vnt su tesla s 860429927</t>
  </si>
  <si>
    <t>IDE008544</t>
  </si>
  <si>
    <t>3 397 118 309  20eur</t>
  </si>
  <si>
    <t>lina leonaviciute renault master valytuvai su purkstukais</t>
  </si>
  <si>
    <t>IDE007963</t>
  </si>
  <si>
    <t>413eur motoshop prekes</t>
  </si>
  <si>
    <t>bmw m5 ryza paieskot barkesiu vairo koloneles</t>
  </si>
  <si>
    <t>ovidijus vitaitis</t>
  </si>
  <si>
    <t>165+montazke IDE008007</t>
  </si>
  <si>
    <t>KJS209 GWL2258269821261</t>
  </si>
  <si>
    <t>Edvinas Underavicius &lt;underavicius@gmail.com&gt;</t>
  </si>
  <si>
    <t>IDE007997</t>
  </si>
  <si>
    <t>Šarūnas G." &lt;sarunas@extremedelight.lt</t>
  </si>
  <si>
    <t>IDE008013</t>
  </si>
  <si>
    <t>mashal</t>
  </si>
  <si>
    <t>323+255</t>
  </si>
  <si>
    <t>IDE007996</t>
  </si>
  <si>
    <t>DEL453</t>
  </si>
  <si>
    <t>IDE008014</t>
  </si>
  <si>
    <t>GWL2264457150470 MFJ240</t>
  </si>
  <si>
    <t>F 026 400 342   16eur</t>
  </si>
  <si>
    <t>xlean+ backa 45eur</t>
  </si>
  <si>
    <t>keitimas 20-25</t>
  </si>
  <si>
    <t>Gediminas Palskis &lt;gpalskis@gmail.com</t>
  </si>
  <si>
    <t>tepalo filtras 8eur</t>
  </si>
  <si>
    <t>pirelli winter mo1</t>
  </si>
  <si>
    <t>515+485eur</t>
  </si>
  <si>
    <t>IDE008008</t>
  </si>
  <si>
    <t>golf skersiniai+dviracio laik 497eur</t>
  </si>
  <si>
    <t>IDE008011 85eur atiduota</t>
  </si>
  <si>
    <t>IDE008009</t>
  </si>
  <si>
    <t>60k km 2023-01-30</t>
  </si>
  <si>
    <t>tepalai 0w40 6l v300</t>
  </si>
  <si>
    <t>tepalu ir filtru keitimas ir thule</t>
  </si>
  <si>
    <t>F 026 407 278  10eur</t>
  </si>
  <si>
    <t>FP 26 009  20eur</t>
  </si>
  <si>
    <t>deveta 1vnt 30eur</t>
  </si>
  <si>
    <t>dvieju ratu lyginimas 50eur</t>
  </si>
  <si>
    <t>1x</t>
  </si>
  <si>
    <t>https://www.bike-discount.de/en/buy/elite-crono-cx-500-bottle-985199?fbclid=IwAR2ze66OghqK0Dc5brkewN_kwAbSKVURPJFsGcxzzDNEqz9Z2LJadl9jLN0</t>
  </si>
  <si>
    <t>63-65eur?</t>
  </si>
  <si>
    <t>IDE008012</t>
  </si>
  <si>
    <t>amortikai 160eur abu</t>
  </si>
  <si>
    <t>spyruokles 60eur abi</t>
  </si>
  <si>
    <t>atraminiai 60eur</t>
  </si>
  <si>
    <t>skoda remontas</t>
  </si>
  <si>
    <t>IDE008047</t>
  </si>
  <si>
    <t>gumos 20eur</t>
  </si>
  <si>
    <t>stabilnikai 30eur</t>
  </si>
  <si>
    <t>amortu keitimas 80eur</t>
  </si>
  <si>
    <t>donatas siurna su montazke</t>
  </si>
  <si>
    <t>IDE008010</t>
  </si>
  <si>
    <t>58eur+montaz</t>
  </si>
  <si>
    <t>0w40 6l v300</t>
  </si>
  <si>
    <t>laurynas goncauskas   golf</t>
  </si>
  <si>
    <t>127200km</t>
  </si>
  <si>
    <t>crd valve cleaner30eur</t>
  </si>
  <si>
    <t>goodyear ug arctic2  sct</t>
  </si>
  <si>
    <t>Tomas Šatas &lt;tomasatas@gmail.com Robertas K &lt;robkek@gmail.com</t>
  </si>
  <si>
    <t>IDE008017</t>
  </si>
  <si>
    <t>GWL2287258120808 HEO505</t>
  </si>
  <si>
    <t>ratu dazymas+kurjer+montazke bmwf31?</t>
  </si>
  <si>
    <t>IDE008015</t>
  </si>
  <si>
    <t>3 397 007 570 25eur</t>
  </si>
  <si>
    <t>edgaras kovaliovas toyota auris</t>
  </si>
  <si>
    <t>IDE008182</t>
  </si>
  <si>
    <t>artur ka fb</t>
  </si>
  <si>
    <t>125eur, dave45eur</t>
  </si>
  <si>
    <t>kelly winter</t>
  </si>
  <si>
    <t>Algimantas.Janusauskas@litagra.lt Sąskaitą ant UAB Aristavos ūkis</t>
  </si>
  <si>
    <t>65eur IDE008067</t>
  </si>
  <si>
    <t>aurimas nav romas</t>
  </si>
  <si>
    <t>IDE008043</t>
  </si>
  <si>
    <t>325/30R23</t>
  </si>
  <si>
    <t>285/35R23</t>
  </si>
  <si>
    <t>arunas daruna   langu skystis</t>
  </si>
  <si>
    <t>IDE008066</t>
  </si>
  <si>
    <t>IDE008035</t>
  </si>
  <si>
    <t>fulda conveotrac3</t>
  </si>
  <si>
    <t>IDE008028</t>
  </si>
  <si>
    <t>195/65r16c</t>
  </si>
  <si>
    <t>IDE008016</t>
  </si>
  <si>
    <t>darbas 30eur ir valanda uztruko ?</t>
  </si>
  <si>
    <t>varinis sujungimas 10eur</t>
  </si>
  <si>
    <t>stabdziu zarnele 14eur</t>
  </si>
  <si>
    <t>stabdziu skystis 15eur+keitimas orinimas</t>
  </si>
  <si>
    <t>sarnyro keitimas 40+pvm</t>
  </si>
  <si>
    <t>LMI29999  30eur</t>
  </si>
  <si>
    <t>sniuras dar</t>
  </si>
  <si>
    <t>andrejus mejus</t>
  </si>
  <si>
    <t xml:space="preserve"> toyota ratu dazymas,montavimas,siuntimas</t>
  </si>
  <si>
    <t>IDE008171</t>
  </si>
  <si>
    <t>IDE008019</t>
  </si>
  <si>
    <t>MOTUL SPECIFIC 0W20 5L 3x58eur</t>
  </si>
  <si>
    <t>E122H D187  12eur</t>
  </si>
  <si>
    <t>pasauga merso 2023.02 israsyta uz ziema sia</t>
  </si>
  <si>
    <t>IDE008033</t>
  </si>
  <si>
    <t>271100km</t>
  </si>
  <si>
    <t>tepalai backa 5.5l</t>
  </si>
  <si>
    <t>skoda montazke skola 5eur</t>
  </si>
  <si>
    <t>bendra skola 2023-03-07 400eur</t>
  </si>
  <si>
    <t>dviratis orbea 20eur surinkimas</t>
  </si>
  <si>
    <t xml:space="preserve">kristijonas plioplys </t>
  </si>
  <si>
    <t>lyg ir dave tuos 400e kazkada</t>
  </si>
  <si>
    <t>76eur, dave 300eur kovo17</t>
  </si>
  <si>
    <t>akumas 70eur autostar</t>
  </si>
  <si>
    <t>HU 710 X  8eur</t>
  </si>
  <si>
    <t>1 987 432 357  16eur</t>
  </si>
  <si>
    <t>LX1080   13eur</t>
  </si>
  <si>
    <t>du laikikliai ismetimo 5eur</t>
  </si>
  <si>
    <t>IDE008030</t>
  </si>
  <si>
    <t>zvakes 50eur</t>
  </si>
  <si>
    <t>ismetimas su viskuo 180eur</t>
  </si>
  <si>
    <t>ismetimo keitimas</t>
  </si>
  <si>
    <t>HU 6022 Z  17eur</t>
  </si>
  <si>
    <t>F 026 400 270  20eur</t>
  </si>
  <si>
    <t>1 987 435 503  24eur</t>
  </si>
  <si>
    <t>donatas siurna bmw240</t>
  </si>
  <si>
    <t>stabdziu skystis rbf700 3vnt po 15eur</t>
  </si>
  <si>
    <t>IDE008021</t>
  </si>
  <si>
    <t>tepalai backa 6.5l</t>
  </si>
  <si>
    <t>keitimas stabdziu skyscio</t>
  </si>
  <si>
    <t>davikliai 8+9+pvm savikaina</t>
  </si>
  <si>
    <t>priek kaladeles 85eur</t>
  </si>
  <si>
    <t>galines kaladeles 36.3+pvm savikaina</t>
  </si>
  <si>
    <t>sniuro kisimas i galini rata</t>
  </si>
  <si>
    <t>priekinio montazke ir keitimas</t>
  </si>
  <si>
    <t>IDE008023</t>
  </si>
  <si>
    <t>ratu balansas + bedos paieska</t>
  </si>
  <si>
    <t>tomas ultrabike</t>
  </si>
  <si>
    <t xml:space="preserve">antra karta balansas+kitu ratu dejimas </t>
  </si>
  <si>
    <t>IDE008022</t>
  </si>
  <si>
    <t>hankoook w330</t>
  </si>
  <si>
    <t>donatas siurna bmw 840</t>
  </si>
  <si>
    <t>IDE008020</t>
  </si>
  <si>
    <t>tomas vitas kaimynas volvo</t>
  </si>
  <si>
    <t>GWL2254581421577 HBM444</t>
  </si>
  <si>
    <t>sostena tomas vitas</t>
  </si>
  <si>
    <t>IDE008024</t>
  </si>
  <si>
    <t>bevita JUE707 &lt;laurynas@bevita.lt</t>
  </si>
  <si>
    <t>stabdziu disku ir kaladziu keitimas priekis ir galas</t>
  </si>
  <si>
    <t>IDE008135</t>
  </si>
  <si>
    <t>193+pvm savik</t>
  </si>
  <si>
    <t>165/70r14</t>
  </si>
  <si>
    <t>laurynas neiluva</t>
  </si>
  <si>
    <t>IDE008039</t>
  </si>
  <si>
    <t>170+98eur</t>
  </si>
  <si>
    <t>daviau cash 10k ir 5k pervedziau 2023-02-14</t>
  </si>
  <si>
    <t>pirelli sottozero3</t>
  </si>
  <si>
    <t>IDE008036</t>
  </si>
  <si>
    <t>10w60 5l - 47eur</t>
  </si>
  <si>
    <t>10w60 2x12eur</t>
  </si>
  <si>
    <t>keitimas 20+pvm</t>
  </si>
  <si>
    <t>IDE008038</t>
  </si>
  <si>
    <t>alyvos filtras 8eur</t>
  </si>
  <si>
    <t>oro filtras 10eur</t>
  </si>
  <si>
    <t>DG-615  4x15eur</t>
  </si>
  <si>
    <t>sailun atrezo 91v</t>
  </si>
  <si>
    <t>44eur+montazke 2023-04-11</t>
  </si>
  <si>
    <t>IDE008299</t>
  </si>
  <si>
    <t>44eur+montazke 2023-05-02, du montazke su ventiliais ir gale viena ventili keist</t>
  </si>
  <si>
    <t>KEP682 montazke</t>
  </si>
  <si>
    <t>Mdr442 montazke, dvieju ir sukeitimas</t>
  </si>
  <si>
    <t>ratlankiu dazymas 160eur bmwe92</t>
  </si>
  <si>
    <t>virinimas 20eur</t>
  </si>
  <si>
    <t>IDE008144</t>
  </si>
  <si>
    <t>michelin 5</t>
  </si>
  <si>
    <t>IDE008145</t>
  </si>
  <si>
    <t>pirelli powergy su v</t>
  </si>
  <si>
    <t>120+124eur</t>
  </si>
  <si>
    <t>pirelli powergy su y</t>
  </si>
  <si>
    <t>paulius mikolaitis</t>
  </si>
  <si>
    <t>IDE008362</t>
  </si>
  <si>
    <t>vw polo  nav sukomplektuot kazka</t>
  </si>
  <si>
    <t>IDE008160</t>
  </si>
  <si>
    <t>bridge alenza 001</t>
  </si>
  <si>
    <t>140eur+montazke+1daviklis naujas</t>
  </si>
  <si>
    <t>pirelli pzero vol nct</t>
  </si>
  <si>
    <t>lth900 multilab</t>
  </si>
  <si>
    <t>IDE008235</t>
  </si>
  <si>
    <t>michelin 4s n0</t>
  </si>
  <si>
    <t>540eur IDE008211</t>
  </si>
  <si>
    <t>400eur IDE008211</t>
  </si>
  <si>
    <t xml:space="preserve">hzu996 interlux  (huo451 LSG364),  </t>
  </si>
  <si>
    <t>105eur IDE008197</t>
  </si>
  <si>
    <t>interlux  LSG364</t>
  </si>
  <si>
    <t>IDE008198</t>
  </si>
  <si>
    <t>gauta</t>
  </si>
  <si>
    <t>goodyear asymm6</t>
  </si>
  <si>
    <t>IDE008175</t>
  </si>
  <si>
    <t>GWL2243776788710 jto478</t>
  </si>
  <si>
    <t>Nerijus Kurcevicius</t>
  </si>
  <si>
    <t>IDE008150</t>
  </si>
  <si>
    <t>GWL2276567724672 LIT907</t>
  </si>
  <si>
    <t>goodyear efficientgrip 2 XL</t>
  </si>
  <si>
    <t>vilma tauraite jgt960</t>
  </si>
  <si>
    <t>130eur    MAD595</t>
  </si>
  <si>
    <t>GWL2240439579606</t>
  </si>
  <si>
    <t>g.seckus@gmail.com</t>
  </si>
  <si>
    <t>pavedimas 400eur IDE008183</t>
  </si>
  <si>
    <t>goodyear dygliai arctic2</t>
  </si>
  <si>
    <t>saulius narusevicius</t>
  </si>
  <si>
    <t>IDE008200</t>
  </si>
  <si>
    <t>goodyear f1asymm3</t>
  </si>
  <si>
    <t>JJP090 interlux</t>
  </si>
  <si>
    <t>IDE008172</t>
  </si>
  <si>
    <t>GWL2290977680582</t>
  </si>
  <si>
    <t>hba652  interlux</t>
  </si>
  <si>
    <t>IDE008197</t>
  </si>
  <si>
    <t>IDE008173</t>
  </si>
  <si>
    <t>hpj757 interlux</t>
  </si>
  <si>
    <t>IDE008196</t>
  </si>
  <si>
    <t>goodyear effic 2</t>
  </si>
  <si>
    <t>jst157 interlux</t>
  </si>
  <si>
    <t>GWL2298581866513</t>
  </si>
  <si>
    <t>gy asymm sct 577622</t>
  </si>
  <si>
    <t>hhh525</t>
  </si>
  <si>
    <t>GWL2288202950688 HHH525</t>
  </si>
  <si>
    <t>gy 531857</t>
  </si>
  <si>
    <t>MIB324 interlux</t>
  </si>
  <si>
    <t>GWL2281246117840 MIB324</t>
  </si>
  <si>
    <t>IDE008167</t>
  </si>
  <si>
    <t>IDE008304</t>
  </si>
  <si>
    <t>JDT199 interlux</t>
  </si>
  <si>
    <t>hankook garaze</t>
  </si>
  <si>
    <t>GEC819 interlux</t>
  </si>
  <si>
    <t>laufen</t>
  </si>
  <si>
    <t>huo449 interlux</t>
  </si>
  <si>
    <t>goodyear f1 asymm3 543112</t>
  </si>
  <si>
    <t>IDE008080</t>
  </si>
  <si>
    <t>aleksandras kasinskij</t>
  </si>
  <si>
    <t>IDE008086</t>
  </si>
  <si>
    <t>MCS611 GWL2271329059857</t>
  </si>
  <si>
    <t>142eur montazke outback</t>
  </si>
  <si>
    <t>IDE008120 WL2271357013998 LIT236</t>
  </si>
  <si>
    <t xml:space="preserve">lexus lit236 montazke </t>
  </si>
  <si>
    <t xml:space="preserve">IDE008120 </t>
  </si>
  <si>
    <t>silvinas.sakalauskas@gmail.com</t>
  </si>
  <si>
    <t>142eur   635eur viso</t>
  </si>
  <si>
    <t>MHV178 GWL2230532703905</t>
  </si>
  <si>
    <t>goodeyar efficientgrip 2 suv  103V</t>
  </si>
  <si>
    <t>gytis malinauskas</t>
  </si>
  <si>
    <t>142eur</t>
  </si>
  <si>
    <t>laurynas goncauskas fiat abarth</t>
  </si>
  <si>
    <t>IDE008076 JGC595</t>
  </si>
  <si>
    <t>GWL2216639873710</t>
  </si>
  <si>
    <t>goodeyar efficientgrip 2 suv</t>
  </si>
  <si>
    <t>Tadas Gudaitis &lt;tadgud@gmail.com</t>
  </si>
  <si>
    <t>145eur+montazke priority</t>
  </si>
  <si>
    <t>sumokejo JSG422 ide008243 GWL2287468653842</t>
  </si>
  <si>
    <t>conti 7</t>
  </si>
  <si>
    <t>IDE008058</t>
  </si>
  <si>
    <t>kristijonas plioplys</t>
  </si>
  <si>
    <t>tomas sneidaraitis vw polo</t>
  </si>
  <si>
    <t>tomas sneidaraitis kazkam nav mersas LCH483</t>
  </si>
  <si>
    <t>166eur IDE008208</t>
  </si>
  <si>
    <t>GWL2211874717772</t>
  </si>
  <si>
    <t>LJU858</t>
  </si>
  <si>
    <t xml:space="preserve">gabriele andrasiuniene </t>
  </si>
  <si>
    <t>IDE008132</t>
  </si>
  <si>
    <t>GWL2272092696316</t>
  </si>
  <si>
    <t>IDE008092</t>
  </si>
  <si>
    <t>GWL2226926371585 LML979</t>
  </si>
  <si>
    <t>593633 gy asymm6</t>
  </si>
  <si>
    <t>IDE008124</t>
  </si>
  <si>
    <t>GWL2295871519844 KHD626</t>
  </si>
  <si>
    <t>ratlankiai china 148eur?</t>
  </si>
  <si>
    <t>elivijus kersulis</t>
  </si>
  <si>
    <t>IDE008148</t>
  </si>
  <si>
    <t>LCY222 GWL2243999742354</t>
  </si>
  <si>
    <t>montazke ju</t>
  </si>
  <si>
    <t>IDE008088</t>
  </si>
  <si>
    <t>QX3710 GWL2230672535888</t>
  </si>
  <si>
    <t>166+107eur</t>
  </si>
  <si>
    <t>fulda ecocontrol hp su V</t>
  </si>
  <si>
    <t>MAO546</t>
  </si>
  <si>
    <t>justas sirmenis</t>
  </si>
  <si>
    <t>sumokejo 106</t>
  </si>
  <si>
    <t>marius benedikas</t>
  </si>
  <si>
    <t>IDE008273 GWL2235996175125 MIM868</t>
  </si>
  <si>
    <t>goodyear asymm 3  J LR  107v</t>
  </si>
  <si>
    <t>JRN077 nav</t>
  </si>
  <si>
    <t>IDE008112</t>
  </si>
  <si>
    <t>Vladislav Žukovski │ MVP Lietuva &lt;vladas@mvpgroup.pro</t>
  </si>
  <si>
    <t>IDE008075</t>
  </si>
  <si>
    <t>GWL2280991382539 LLI258</t>
  </si>
  <si>
    <t>zagzin@gmail.com pavel zagzin LES677</t>
  </si>
  <si>
    <t>les677</t>
  </si>
  <si>
    <t>zagzin@gmail.com pavel zagzin</t>
  </si>
  <si>
    <t>ev7461</t>
  </si>
  <si>
    <t>rusys</t>
  </si>
  <si>
    <t>lzs905 nav</t>
  </si>
  <si>
    <t>IDE008104</t>
  </si>
  <si>
    <t>GWL2233177711419 LZS905</t>
  </si>
  <si>
    <t>yra rusyje</t>
  </si>
  <si>
    <t>36918 01 svirtis 80eur</t>
  </si>
  <si>
    <t>ismetimo gumos 2x15eur</t>
  </si>
  <si>
    <t>darbas</t>
  </si>
  <si>
    <t>jonas vainius raulynaitis ford fiesta</t>
  </si>
  <si>
    <t>lempute 10eur su keitimu</t>
  </si>
  <si>
    <t xml:space="preserve">VKMC 01250-1 </t>
  </si>
  <si>
    <t>mantas pavliukevicius povilas sharan</t>
  </si>
  <si>
    <t>20eur dirzelis</t>
  </si>
  <si>
    <t>donatas siurna leaf</t>
  </si>
  <si>
    <t>IDE008040</t>
  </si>
  <si>
    <t>732210100   123eur</t>
  </si>
  <si>
    <t>mindaugas.s BTprojektai &lt;mindaugas.s@btprojektai.lt</t>
  </si>
  <si>
    <t>IDE008044</t>
  </si>
  <si>
    <t>C32168ABE  2x 29.73eur</t>
  </si>
  <si>
    <t>C12086ABE  17.73eur</t>
  </si>
  <si>
    <t>IK16TT 4x12eur</t>
  </si>
  <si>
    <t>IDE008052</t>
  </si>
  <si>
    <t>Algimantas Janušauskas</t>
  </si>
  <si>
    <t>IDE008054</t>
  </si>
  <si>
    <t>tautvydas mikolaitis</t>
  </si>
  <si>
    <t>IDE008053</t>
  </si>
  <si>
    <t>sailun universal</t>
  </si>
  <si>
    <t>daruna arunas buskevicius</t>
  </si>
  <si>
    <t>IDE008055</t>
  </si>
  <si>
    <t>donatas siurna mersas</t>
  </si>
  <si>
    <t>IDE008056</t>
  </si>
  <si>
    <t>IDE008057</t>
  </si>
  <si>
    <t>IDE008062</t>
  </si>
  <si>
    <t>dunlop econodrive</t>
  </si>
  <si>
    <t>pulmanis</t>
  </si>
  <si>
    <t>IDE008045</t>
  </si>
  <si>
    <t>diplomat uhp</t>
  </si>
  <si>
    <t>Ernestas C. &lt;pulmanis@gmail.com</t>
  </si>
  <si>
    <t>54savikaina  IDE008045</t>
  </si>
  <si>
    <t>interlux skoda tomas sneidaraitis</t>
  </si>
  <si>
    <t>IDE008059</t>
  </si>
  <si>
    <t>53 langu skyscio</t>
  </si>
  <si>
    <t>juozas bevita</t>
  </si>
  <si>
    <t>IDE008051</t>
  </si>
  <si>
    <t>110+kurjeri pridet IDE008062</t>
  </si>
  <si>
    <t>montazke 2ratai</t>
  </si>
  <si>
    <t>montazke les374 volvo, atsiveze savo</t>
  </si>
  <si>
    <t>IDE008063</t>
  </si>
  <si>
    <t>REDAS BALSYS sms 868783093</t>
  </si>
  <si>
    <t>IDE008018</t>
  </si>
  <si>
    <t>interlux busikas</t>
  </si>
  <si>
    <t>bridgestone dmv3</t>
  </si>
  <si>
    <t>vaidas martinkus</t>
  </si>
  <si>
    <t>IDE008061</t>
  </si>
  <si>
    <t>bmw m2 pakabos tikrinimas 20eur?</t>
  </si>
  <si>
    <t>3 397 007 696 25eur</t>
  </si>
  <si>
    <t xml:space="preserve">paulius valiukevicius </t>
  </si>
  <si>
    <t>DF-016  15eur valytuvai</t>
  </si>
  <si>
    <t>varta 75eur</t>
  </si>
  <si>
    <t>justas Sirmenis</t>
  </si>
  <si>
    <t>IDE008078</t>
  </si>
  <si>
    <t>GWL2276917418110 MMU813</t>
  </si>
  <si>
    <t>IDE008623</t>
  </si>
  <si>
    <t>F 026 400 342  15eur</t>
  </si>
  <si>
    <t>F 026 407 143  6eur</t>
  </si>
  <si>
    <t>1 987 432 543 13eur</t>
  </si>
  <si>
    <t>tepalas xclean+  45eur</t>
  </si>
  <si>
    <t>Ecsta HS52</t>
  </si>
  <si>
    <t>Tomas &lt;tomas.017@gmail.com&gt;</t>
  </si>
  <si>
    <t>moco ratu montazke ir bmw m3</t>
  </si>
  <si>
    <t>sugaisom 2+2h</t>
  </si>
  <si>
    <t>padangos montazke nes ratas leido</t>
  </si>
  <si>
    <t>montazke subaru 2023-04-18</t>
  </si>
  <si>
    <t>ide008302</t>
  </si>
  <si>
    <t>IDE008099</t>
  </si>
  <si>
    <t>virinimas 100eur+montazke</t>
  </si>
  <si>
    <t>GWL2299391589675 LUP250</t>
  </si>
  <si>
    <t>stabilyzu keitimas su apziura 2023.03.19</t>
  </si>
  <si>
    <t>stabilyzu restauracija 2vnt 60eur</t>
  </si>
  <si>
    <t>stabilyzu keitimas 2vnt 2023-03-30</t>
  </si>
  <si>
    <t>TC2863 50eur sake ir keitimas+</t>
  </si>
  <si>
    <t>daviau 5000eur cash 2023-05-08</t>
  </si>
  <si>
    <t>valytuvai golfui 20eur</t>
  </si>
  <si>
    <t>0w40 300v 2litrai banke</t>
  </si>
  <si>
    <t>IDE008114</t>
  </si>
  <si>
    <t>5w40 xclean gen2 5l   95eur</t>
  </si>
  <si>
    <t>motulautocool 3x5l 52eur visi</t>
  </si>
  <si>
    <t>ratu lyginimas 80eur m3</t>
  </si>
  <si>
    <t>dave 900eur 2023-03-30</t>
  </si>
  <si>
    <t>continental ts850p</t>
  </si>
  <si>
    <t>IDE008081</t>
  </si>
  <si>
    <t>firestone roadhawk 95T</t>
  </si>
  <si>
    <t>IDE008079</t>
  </si>
  <si>
    <t>ratai ats rallye</t>
  </si>
  <si>
    <t>laurynas goncauskas seat mk1</t>
  </si>
  <si>
    <t>IDE008077</t>
  </si>
  <si>
    <t>nexen wg2</t>
  </si>
  <si>
    <t>IDE008083</t>
  </si>
  <si>
    <t>ratu dazymas 180+pvm</t>
  </si>
  <si>
    <t>montavimas komplekto su masina jau</t>
  </si>
  <si>
    <t>IDE008205</t>
  </si>
  <si>
    <t>4iu ratu lyginimas po 25eur</t>
  </si>
  <si>
    <t>galiniu spyruokliu perdejimas</t>
  </si>
  <si>
    <t>ratu dazymas   180+pvm</t>
  </si>
  <si>
    <t>marius strimaitis</t>
  </si>
  <si>
    <t>montavimas komplekto be masinos</t>
  </si>
  <si>
    <t>audi 869874368 Audrius Ribskis</t>
  </si>
  <si>
    <t>montavimas ir senu utilizavimas</t>
  </si>
  <si>
    <t xml:space="preserve">IDE008082 </t>
  </si>
  <si>
    <t>LFV773</t>
  </si>
  <si>
    <t>adomas soblinskas Vygintas</t>
  </si>
  <si>
    <t>IDE008095</t>
  </si>
  <si>
    <t>MCR099 GWL2273295722831</t>
  </si>
  <si>
    <t>goodyear efficientgrip perf2 588195</t>
  </si>
  <si>
    <t>GWL2256192634561 HGS822</t>
  </si>
  <si>
    <t>IDE008098</t>
  </si>
  <si>
    <t>MYG529  GWL2295718076390</t>
  </si>
  <si>
    <t>IDE008181</t>
  </si>
  <si>
    <t>sava trenta 2</t>
  </si>
  <si>
    <t>120/70r18</t>
  </si>
  <si>
    <t>pirelli mt60rs</t>
  </si>
  <si>
    <t>michelin pa6</t>
  </si>
  <si>
    <t>ASM03.097 39eur</t>
  </si>
  <si>
    <t>povilas mantas pavliukevicius seatas</t>
  </si>
  <si>
    <t>67eur + montazke sesiu ratu</t>
  </si>
  <si>
    <t>ratu dazymas fordo 150eur</t>
  </si>
  <si>
    <t>FCP4611H  170eur</t>
  </si>
  <si>
    <t>GIC340 12eur</t>
  </si>
  <si>
    <t>IDE008152</t>
  </si>
  <si>
    <t>concaver cvr1 +100eur</t>
  </si>
  <si>
    <t>2294savikaina ratu+montazke</t>
  </si>
  <si>
    <t>devetos keturios michelin r19 po 50eur ?</t>
  </si>
  <si>
    <t>su priority montazke supersport</t>
  </si>
  <si>
    <t>IDE008296</t>
  </si>
  <si>
    <t>GTX20HL-BS (FTX20HL-BS Gel)</t>
  </si>
  <si>
    <t>60eur   IDE008567</t>
  </si>
  <si>
    <t>batai dvirkos 300eur</t>
  </si>
  <si>
    <t>padukai dvirkai 120eur</t>
  </si>
  <si>
    <t>stabilyzu kietinimas</t>
  </si>
  <si>
    <t>kaladeliu keitimas priekis</t>
  </si>
  <si>
    <t>paulius valiukevicius   m2comp</t>
  </si>
  <si>
    <t>30+pvm</t>
  </si>
  <si>
    <t>E61H D215 12eur</t>
  </si>
  <si>
    <t>tepalai 4x2L 5w50 v300</t>
  </si>
  <si>
    <t>st.skystis keitimas  33+pvm</t>
  </si>
  <si>
    <t>skyscio 3+3vnt uz abu kartus</t>
  </si>
  <si>
    <t>padangu keitimas contiku</t>
  </si>
  <si>
    <t>cup2 montazke, conti7 pasauga liko</t>
  </si>
  <si>
    <t>rotalla ru01</t>
  </si>
  <si>
    <t>aurelijus kaimynas policija</t>
  </si>
  <si>
    <t>67eur, dave 250eur, dave 50eur</t>
  </si>
  <si>
    <t>dave 10eur</t>
  </si>
  <si>
    <t>dave 25eur 2025-01-12 tenise</t>
  </si>
  <si>
    <t>133eur</t>
  </si>
  <si>
    <t>IDE008164</t>
  </si>
  <si>
    <t>dazymas 180-200eur+montazke</t>
  </si>
  <si>
    <t>179eur</t>
  </si>
  <si>
    <t>conti premium contact7</t>
  </si>
  <si>
    <t>IDE008128</t>
  </si>
  <si>
    <t>antanas grazulis</t>
  </si>
  <si>
    <t>IDE008084</t>
  </si>
  <si>
    <t>GWL2270266404530 GRZ009</t>
  </si>
  <si>
    <t>jonas vainius justina</t>
  </si>
  <si>
    <t>400eur viso su pasauga ir montazke</t>
  </si>
  <si>
    <t>RT 20210-GL  2x37eur</t>
  </si>
  <si>
    <t>ismetima virinau 30eur</t>
  </si>
  <si>
    <t>kaladeles 50eur</t>
  </si>
  <si>
    <t>juozas dabrila povilas</t>
  </si>
  <si>
    <t>IDE008085</t>
  </si>
  <si>
    <t>IDE008091</t>
  </si>
  <si>
    <t>100eur IDE008123</t>
  </si>
  <si>
    <t>kbd676 GWL2269449640455</t>
  </si>
  <si>
    <t>EFB N60</t>
  </si>
  <si>
    <t>Akumuliatorius 60 Ah 650 A EN 12V</t>
  </si>
  <si>
    <t>justas oziunas civic</t>
  </si>
  <si>
    <t>IDE008110</t>
  </si>
  <si>
    <t>Leonardas Nedosekovas &lt;lnedosekovas@gmail.com</t>
  </si>
  <si>
    <t>83+montazke</t>
  </si>
  <si>
    <t>IDE008087</t>
  </si>
  <si>
    <t>GFJ034 GWL2224479765772</t>
  </si>
  <si>
    <t>andrius nasvytis sarunas saudargas</t>
  </si>
  <si>
    <t>IDE008101</t>
  </si>
  <si>
    <t>GWL2295813932649 JPZ483</t>
  </si>
  <si>
    <t>hankook prime4</t>
  </si>
  <si>
    <t>92savikaina ? ++montazke seat</t>
  </si>
  <si>
    <t>IDE008111</t>
  </si>
  <si>
    <t>born montazke r18</t>
  </si>
  <si>
    <t>IDE008094</t>
  </si>
  <si>
    <t>GWL2220738942934</t>
  </si>
  <si>
    <t>KJS209</t>
  </si>
  <si>
    <t>v300 tepalas</t>
  </si>
  <si>
    <t>tepalu keitimas ir padangu ?</t>
  </si>
  <si>
    <t>varztai 20eur</t>
  </si>
  <si>
    <t>skardiniai ratlankiai 4vnt po 62.45eur</t>
  </si>
  <si>
    <t>Darius Dasevičius &lt;dariusdasevicius@gmail.com</t>
  </si>
  <si>
    <t>montazke pilnai nuo vienu ant kitu</t>
  </si>
  <si>
    <t>IDE008090</t>
  </si>
  <si>
    <t>IDE008102</t>
  </si>
  <si>
    <t>171eur</t>
  </si>
  <si>
    <t>IDE008074 GWL2240293291701</t>
  </si>
  <si>
    <t>LBZ291</t>
  </si>
  <si>
    <t>ramunas rutkauskas</t>
  </si>
  <si>
    <t>IDE008093</t>
  </si>
  <si>
    <t>sava trenta2</t>
  </si>
  <si>
    <t>raimondas raimis sparco</t>
  </si>
  <si>
    <t>IDE008115</t>
  </si>
  <si>
    <t>goodyear efficientgrip perf2 98w FORd</t>
  </si>
  <si>
    <t>Paulius Edvardas Vigelis &lt;paulius.vigelis@gmail.com</t>
  </si>
  <si>
    <t>KMM801  GWL2221321115764</t>
  </si>
  <si>
    <t>goodyear effcientgrip perf2</t>
  </si>
  <si>
    <t>EDL399 GWL2218595381846</t>
  </si>
  <si>
    <t xml:space="preserve">vytautas binkis GEC585 </t>
  </si>
  <si>
    <t>IDE008168</t>
  </si>
  <si>
    <t xml:space="preserve">vytautas binkis </t>
  </si>
  <si>
    <t>KFV949 priority montazke</t>
  </si>
  <si>
    <t>1 987 432 397 15eur</t>
  </si>
  <si>
    <t>1 987 429 404  12eur</t>
  </si>
  <si>
    <t>OX 388D  10eur</t>
  </si>
  <si>
    <t>sailun  svr</t>
  </si>
  <si>
    <t>Tomas Dragūnas 8-615-10099</t>
  </si>
  <si>
    <t>p85124x 57eur</t>
  </si>
  <si>
    <t>stabdziu diskai 2x(100.3309.52) po 50eur</t>
  </si>
  <si>
    <t>1 457 429 243 10eur</t>
  </si>
  <si>
    <t>1 987 429 405  15eur</t>
  </si>
  <si>
    <t>jonas vainius raulynaitis vw golf</t>
  </si>
  <si>
    <t>130eur viso</t>
  </si>
  <si>
    <t>LA181  10eur</t>
  </si>
  <si>
    <t>apziura visko</t>
  </si>
  <si>
    <t>apziura ir sudu valymas antra karta</t>
  </si>
  <si>
    <t>IDE008096</t>
  </si>
  <si>
    <t>IDE008109</t>
  </si>
  <si>
    <t>LUE313 GWL2264333330943</t>
  </si>
  <si>
    <t>mcguard slapukai 48eur 25721</t>
  </si>
  <si>
    <t>varztai 16vnt  20eur</t>
  </si>
  <si>
    <t>IDE008276</t>
  </si>
  <si>
    <t>montaazke priority, keitimas,balansas</t>
  </si>
  <si>
    <t>laurynas.dagys@gmail.com</t>
  </si>
  <si>
    <t>busiko montazke 8h IDE008226</t>
  </si>
  <si>
    <t>goodyear efficientgrip perf vw</t>
  </si>
  <si>
    <t>giedrius lekandra</t>
  </si>
  <si>
    <t>117eur  IDE008097</t>
  </si>
  <si>
    <t>hankook k117a mo</t>
  </si>
  <si>
    <t>150eur montazke visu ir kita kart 2</t>
  </si>
  <si>
    <t>IDE008103</t>
  </si>
  <si>
    <t>ksv140 bmw7 montazke r19</t>
  </si>
  <si>
    <t>tomas patalavicius Gabrielis Kacanauskas</t>
  </si>
  <si>
    <t>skoda jfr949 montazke</t>
  </si>
  <si>
    <t>KGT066 montazke</t>
  </si>
  <si>
    <t>laimas Nauduzas &lt;Laimas.Nauduzas@megatrade.lt bevita</t>
  </si>
  <si>
    <t>150+montazke+pasauga</t>
  </si>
  <si>
    <t>lbs813 IDE008125 GWL2244734149838</t>
  </si>
  <si>
    <t>IDE008127</t>
  </si>
  <si>
    <t>GWL2220692007407 LYJ502</t>
  </si>
  <si>
    <t>an me &lt;anmejus@yahoo.com</t>
  </si>
  <si>
    <t>grazinmas senu 15eur</t>
  </si>
  <si>
    <t>toyo 220+225</t>
  </si>
  <si>
    <t>tomas mingela nav kazkam ? ECT856 opel astra</t>
  </si>
  <si>
    <t>IDE008073</t>
  </si>
  <si>
    <t>IDE008170</t>
  </si>
  <si>
    <t>dominykas navakas  anetus</t>
  </si>
  <si>
    <t>IDE008108</t>
  </si>
  <si>
    <t>goodyear f15</t>
  </si>
  <si>
    <t>suporto keit ir skyscio orinimas</t>
  </si>
  <si>
    <t>LMI37017  36eur</t>
  </si>
  <si>
    <t>LMI37016  36eur</t>
  </si>
  <si>
    <t>jonas vainius raulynaitis golf</t>
  </si>
  <si>
    <t>fcl694576  75eur</t>
  </si>
  <si>
    <t>227eur viso</t>
  </si>
  <si>
    <t>IDE008113</t>
  </si>
  <si>
    <t>100.3333.20  2x45eur</t>
  </si>
  <si>
    <t>GDB1814  53eur</t>
  </si>
  <si>
    <t>RT 4512-GL  2x50eur</t>
  </si>
  <si>
    <t>Erika Slunksnyte</t>
  </si>
  <si>
    <t>GDB1902  46eur</t>
  </si>
  <si>
    <t>vitmas &lt;vitmas@gmx.com vitas</t>
  </si>
  <si>
    <t>IDE008375</t>
  </si>
  <si>
    <t>skyscio keitimas</t>
  </si>
  <si>
    <t>visu stabdziu keitimas</t>
  </si>
  <si>
    <t>slapukai 25700  35eur</t>
  </si>
  <si>
    <t>rastafkes 2x82eur</t>
  </si>
  <si>
    <t>varztai 16x1.3eur</t>
  </si>
  <si>
    <t>aurimas nav t-roc</t>
  </si>
  <si>
    <t>keitimas antra syki</t>
  </si>
  <si>
    <t>padangu keitimas 40eur</t>
  </si>
  <si>
    <t>IDE008193</t>
  </si>
  <si>
    <t>P 85 144X 94eur savik</t>
  </si>
  <si>
    <t>kaladeles priekis galas</t>
  </si>
  <si>
    <t>skystis</t>
  </si>
  <si>
    <t>P 85 124X  47savik</t>
  </si>
  <si>
    <t>C44042ABE  30eur abu</t>
  </si>
  <si>
    <t>mantas pavliukevicius jazz</t>
  </si>
  <si>
    <t>ULTRA F. 10W40 4L   18eur</t>
  </si>
  <si>
    <t>C24005ABE  12eur</t>
  </si>
  <si>
    <t>B24075PR   5eur</t>
  </si>
  <si>
    <t>IDE008209 KRD769  GWL2279729228782</t>
  </si>
  <si>
    <t>IDE008209</t>
  </si>
  <si>
    <t>75100km</t>
  </si>
  <si>
    <t>ox387d  12eur</t>
  </si>
  <si>
    <t>IDE008265</t>
  </si>
  <si>
    <t>f026400508ir509 34eur savikaina abu</t>
  </si>
  <si>
    <t>kristis plioplys riese bmw m3</t>
  </si>
  <si>
    <t>kristis plioplys riese kristijonas</t>
  </si>
  <si>
    <t>1x pedalai</t>
  </si>
  <si>
    <t>1x batai 47dyd</t>
  </si>
  <si>
    <t>https://www.bike-discount.de/en/buy/bell-4forty-mips-mtb-helmet-681004?fbclid=IwAR3ON_wzV-WIoGklbDuzMSURidzZiHKTFwhXgU3GAzePDDPMWgkdr-nLjXQ</t>
  </si>
  <si>
    <t>2x https://www.bike-discount.de/en/buy/elite-custom-race-plus-20-bottle-cage-940402?fbclid=IwAR1RrS3D1KavhgrUh21_4wQyasMDdWViJPyZRTyJmej0KMs4PoWggTSKFsE</t>
  </si>
  <si>
    <t>2x https://www.bike-discount.de/en/buy/elite-supercorsa-bottle-750ml-414845</t>
  </si>
  <si>
    <t>1x  https://www.bike-discount.de/en/buy/craft-adopt-bib-shorts-with-pad-936263?fbclid=IwAR3voxVrNlOgaDH77v-K1_iBM5XDRkhYQAOWdbVjY09nKk804_3cmNXouug</t>
  </si>
  <si>
    <t>1x gripsai</t>
  </si>
  <si>
    <r>
      <rPr>
        <rFont val="Arial"/>
      </rPr>
      <t xml:space="preserve">2x </t>
    </r>
    <r>
      <rPr>
        <rFont val="Arial"/>
        <color rgb="FF1155CC"/>
        <u/>
      </rPr>
      <t>https://www.bike-discount.de/en/buy/katana-tl-2-race-tyre-lever-874273</t>
    </r>
  </si>
  <si>
    <t>kristis plioplys riese</t>
  </si>
  <si>
    <t>gerutves ir laikikliai</t>
  </si>
  <si>
    <t>kempines?</t>
  </si>
  <si>
    <t xml:space="preserve">sortai </t>
  </si>
  <si>
    <t>shakes tepalas?</t>
  </si>
  <si>
    <t>spyruokles 850eur</t>
  </si>
  <si>
    <t>rastafkes abi 100eur</t>
  </si>
  <si>
    <t>kurjer, dave 400e</t>
  </si>
  <si>
    <t>dainius sidlauskas</t>
  </si>
  <si>
    <t>160e+montazke be masinos+x5 montazke</t>
  </si>
  <si>
    <t>IDE008139 GWL2255347242561</t>
  </si>
  <si>
    <t>KOK485</t>
  </si>
  <si>
    <t>145+ ?</t>
  </si>
  <si>
    <t>goodyear f1 asymm3 no</t>
  </si>
  <si>
    <t>IDE008119</t>
  </si>
  <si>
    <t>MIT058</t>
  </si>
  <si>
    <t>GWL2215601083550</t>
  </si>
  <si>
    <t>185+montazke su masina</t>
  </si>
  <si>
    <t>ratu balans ir klijavimas 1vnt</t>
  </si>
  <si>
    <t>205/40r18</t>
  </si>
  <si>
    <t>norbertas norbe daunoravicius</t>
  </si>
  <si>
    <t>IDE008165</t>
  </si>
  <si>
    <t>firemax</t>
  </si>
  <si>
    <t>vw tiguan  866361958</t>
  </si>
  <si>
    <t>po namu po akvos</t>
  </si>
  <si>
    <t>GWL2254933821610 MDI288</t>
  </si>
  <si>
    <t>250eur permoka nuo IDE008422  su pvm</t>
  </si>
  <si>
    <t>kurjeris hankook3vnt i kauna</t>
  </si>
  <si>
    <t xml:space="preserve">michelin 4s </t>
  </si>
  <si>
    <t>zilvinas xenon</t>
  </si>
  <si>
    <t>IDE008131</t>
  </si>
  <si>
    <t>IDE008138</t>
  </si>
  <si>
    <t>goodyear f1-6</t>
  </si>
  <si>
    <t>Mindaugas Repsys &lt;mindaugas.repsys@gmail.com</t>
  </si>
  <si>
    <t>175+montazke</t>
  </si>
  <si>
    <t>Luh471 IDE008213  GWL2241178229799</t>
  </si>
  <si>
    <t>motocool 3x1L  po 11eur</t>
  </si>
  <si>
    <t>15w50 motul 300v  4L  62eur</t>
  </si>
  <si>
    <t>109140 5l 18.48eur</t>
  </si>
  <si>
    <t>motul autocool 5l 18.48eur</t>
  </si>
  <si>
    <t>scml112300831</t>
  </si>
  <si>
    <t>kreditine uz dynoi rakta 55eur</t>
  </si>
  <si>
    <t>0w20 3x5L po 66eur siusta i lazdijus</t>
  </si>
  <si>
    <t>IDE008118</t>
  </si>
  <si>
    <t xml:space="preserve">romualdas dragfest </t>
  </si>
  <si>
    <t>IDE008176</t>
  </si>
  <si>
    <t>michelin ps4 no</t>
  </si>
  <si>
    <t>IDE008155</t>
  </si>
  <si>
    <t xml:space="preserve"> volvo s40 montazke r18 </t>
  </si>
  <si>
    <t>IDE008326</t>
  </si>
  <si>
    <t>varta a7 152eur</t>
  </si>
  <si>
    <t>123080049 uab dilata</t>
  </si>
  <si>
    <t>Qashqai HTT699</t>
  </si>
  <si>
    <t>montazke r18</t>
  </si>
  <si>
    <t>dilata61@gmail.com</t>
  </si>
  <si>
    <t>montazke dar busiko Justass Kaziliunas</t>
  </si>
  <si>
    <t>IDE008652</t>
  </si>
  <si>
    <t>Cine Service Invitee Email: info@cineservice.lt</t>
  </si>
  <si>
    <t>julius navagrutskas</t>
  </si>
  <si>
    <t>IDE008203</t>
  </si>
  <si>
    <t>falken fk520</t>
  </si>
  <si>
    <t>matas buzelis 144455310</t>
  </si>
  <si>
    <t>IDE008154</t>
  </si>
  <si>
    <t>IDE008137</t>
  </si>
  <si>
    <t>tomas sneidaraitis nav mft476</t>
  </si>
  <si>
    <t>IDE008157</t>
  </si>
  <si>
    <t>conti</t>
  </si>
  <si>
    <t>IDE008191</t>
  </si>
  <si>
    <t>F 026 400 287  18eur</t>
  </si>
  <si>
    <t>1 457 070 014 27eur</t>
  </si>
  <si>
    <t>laurynas goncauskas skoda</t>
  </si>
  <si>
    <t>LAK888  19eur</t>
  </si>
  <si>
    <t>IDE008199</t>
  </si>
  <si>
    <t>xlcean+</t>
  </si>
  <si>
    <t>LML770</t>
  </si>
  <si>
    <t>Vitoldas Balsys 860103112</t>
  </si>
  <si>
    <t>sailun teramax</t>
  </si>
  <si>
    <t>algimantas Janušauskas</t>
  </si>
  <si>
    <t>IDE008219</t>
  </si>
  <si>
    <t>IDE008228</t>
  </si>
  <si>
    <t xml:space="preserve">rytis buzelis </t>
  </si>
  <si>
    <t>IDE008187</t>
  </si>
  <si>
    <t>GWL2284491614976 KUD782</t>
  </si>
  <si>
    <t>MFF919</t>
  </si>
  <si>
    <t>matas buzelis sauliusvi@yahoo.com vidugiris</t>
  </si>
  <si>
    <t>IDE008153</t>
  </si>
  <si>
    <t>GWL2210736148340</t>
  </si>
  <si>
    <t>skola cia buvo turbut uz salma?</t>
  </si>
  <si>
    <t>montazke priority golf4 r17 2023-04</t>
  </si>
  <si>
    <t>0w40 xmax 5L   54eur</t>
  </si>
  <si>
    <t>257.828.011  3eur</t>
  </si>
  <si>
    <t>IDE008512</t>
  </si>
  <si>
    <t>0 451 103 314  7eur</t>
  </si>
  <si>
    <t>1 457 433 714  10eur</t>
  </si>
  <si>
    <t>1 987 432 300  15eur</t>
  </si>
  <si>
    <t>OSR7506-02B  2x3eur</t>
  </si>
  <si>
    <t>karterio kamscio remontas 70eur</t>
  </si>
  <si>
    <t>FE22804 5eur</t>
  </si>
  <si>
    <t>27132 01  25eur abu</t>
  </si>
  <si>
    <t>2179302  30eur abu</t>
  </si>
  <si>
    <t>260800km</t>
  </si>
  <si>
    <t>stabilizu 20eur</t>
  </si>
  <si>
    <t>amortiku keitimas 80eur</t>
  </si>
  <si>
    <t>galiniai sailentai  120eur</t>
  </si>
  <si>
    <t>stop galinis 20eur</t>
  </si>
  <si>
    <t>galiniu sailentu keitimas balkio 3h 100eur</t>
  </si>
  <si>
    <t>1.5h remontas galinio stopo 30eur</t>
  </si>
  <si>
    <t>galinio rato guolio keitimas  35eur</t>
  </si>
  <si>
    <t>guolis galas 35eur</t>
  </si>
  <si>
    <t>P 85 020 20eur</t>
  </si>
  <si>
    <t>RT 1243-GL 2x20eur</t>
  </si>
  <si>
    <t>gale stabdziu keitimas 20+30</t>
  </si>
  <si>
    <t>-*-</t>
  </si>
  <si>
    <t>pirelli rof bmw</t>
  </si>
  <si>
    <t>airbog rysard RB Legal &lt;teise.tau@gmail.com  Mhk077</t>
  </si>
  <si>
    <t>IDE008142</t>
  </si>
  <si>
    <t xml:space="preserve">2023-04-18 smelio cayene montazke sezonine ir draudimui kreivinau du ratus </t>
  </si>
  <si>
    <t>IDE008156</t>
  </si>
  <si>
    <t>tomas mingela nav MJC455</t>
  </si>
  <si>
    <t>IDE008141</t>
  </si>
  <si>
    <t>tomas mingela aurimas nav rangerover</t>
  </si>
  <si>
    <t>FE102630 4x6eur IDE008202</t>
  </si>
  <si>
    <t>klijavimas 1vnt sniuras</t>
  </si>
  <si>
    <t>irankis.lt riese 687174967</t>
  </si>
  <si>
    <t>octavia r16 montazke</t>
  </si>
  <si>
    <t>IDE008293</t>
  </si>
  <si>
    <t>andrius.virbickas@irankis.lt</t>
  </si>
  <si>
    <t>nepavykus montazke del slapuko arteon MHH881</t>
  </si>
  <si>
    <t>eimantas@irankis.lt</t>
  </si>
  <si>
    <t>mnc701 sprinteris montazke r16</t>
  </si>
  <si>
    <t>IDE008169</t>
  </si>
  <si>
    <t>Žilvinas V kaimynas</t>
  </si>
  <si>
    <t>montazke jeep, skola 4ever....</t>
  </si>
  <si>
    <t>zilvinas nemesis ribaltavicius i kauna kurjer</t>
  </si>
  <si>
    <t>153eur savikaina+kurjer</t>
  </si>
  <si>
    <t>bisikirskas paeme   exel</t>
  </si>
  <si>
    <t>MOTUL 300V COMPETITION 15W50 2L</t>
  </si>
  <si>
    <t>tautvydas vileniskis dada deivis</t>
  </si>
  <si>
    <t>toyo proxes comfort</t>
  </si>
  <si>
    <t>DEIVIDAS s &lt;deivisdd@gmail.com strazdas</t>
  </si>
  <si>
    <t>92eur+montazke priority</t>
  </si>
  <si>
    <t>IDE008163</t>
  </si>
  <si>
    <t>Karolis Znutas</t>
  </si>
  <si>
    <t>IDE008162</t>
  </si>
  <si>
    <t>zibintas 31eur</t>
  </si>
  <si>
    <t>Vidma V &lt;vidmav@gmail.com</t>
  </si>
  <si>
    <t>merso rat lyg IDE008112</t>
  </si>
  <si>
    <t>MIM024</t>
  </si>
  <si>
    <t>Edvinas Underavicius</t>
  </si>
  <si>
    <t>180eur+montazke</t>
  </si>
  <si>
    <t>goodyear f1 asym5</t>
  </si>
  <si>
    <t>karolis noslow girnys</t>
  </si>
  <si>
    <t>Ktt090125  178eur</t>
  </si>
  <si>
    <t>190eur+priority</t>
  </si>
  <si>
    <t>IDE008166</t>
  </si>
  <si>
    <t>GWL2254096813707 KCA171</t>
  </si>
  <si>
    <t xml:space="preserve">donatas siurna Mercedes-Benz GLC 220d </t>
  </si>
  <si>
    <t xml:space="preserve">IDE008341 </t>
  </si>
  <si>
    <t>donatas siurna bmw x3   (pardaviminis x3)</t>
  </si>
  <si>
    <t>montazke priority, bet nerado slapuko ir antra kart montavom</t>
  </si>
  <si>
    <t>bmw m2 siurna montazke priority</t>
  </si>
  <si>
    <t>davikliai 4i nauji</t>
  </si>
  <si>
    <t>tomas kebla</t>
  </si>
  <si>
    <t>montazke priority IDE008227</t>
  </si>
  <si>
    <t>aliumo ziedai</t>
  </si>
  <si>
    <t>Jaroslav &lt;conan.barbarian@gmail.com</t>
  </si>
  <si>
    <t>IDE008282</t>
  </si>
  <si>
    <t>SL011980F15X2072MGM - ET20; PCD 5x112; CB 66.6 (su ziedu)</t>
  </si>
  <si>
    <t>JB1-14125H27BK (varztai)</t>
  </si>
  <si>
    <t>SL011990F15X2072MGM - ET29; PCD 5x112; CB 66.6 (su ziedu)</t>
  </si>
  <si>
    <t>JRATB1-14125BK (slapukai)</t>
  </si>
  <si>
    <t>IDE008233</t>
  </si>
  <si>
    <t>davikliai 4x30eur</t>
  </si>
  <si>
    <t>cupra r19 montaz ta pacia diena</t>
  </si>
  <si>
    <t>marius bernatonis  Ineta Baltramiejūnaitė</t>
  </si>
  <si>
    <t>busiko montazke 2023-05-02</t>
  </si>
  <si>
    <t>IDE008732</t>
  </si>
  <si>
    <t>ineta.dviraciuakademija@gmail.com marius bernatonis  Ineta Baltramiejūnaitė</t>
  </si>
  <si>
    <t>busiko montazke 2023-11-20</t>
  </si>
  <si>
    <t>cupra montazke buvo spali</t>
  </si>
  <si>
    <t>Laurynas Duoba</t>
  </si>
  <si>
    <t>smkejo</t>
  </si>
  <si>
    <t>vytenis butkevicius</t>
  </si>
  <si>
    <t>123+montaz</t>
  </si>
  <si>
    <t>prosche ratu keitimas r21</t>
  </si>
  <si>
    <t>IDE008281</t>
  </si>
  <si>
    <t>bmw r17 montazke</t>
  </si>
  <si>
    <t>IDE008194</t>
  </si>
  <si>
    <t>GWL2265359144885 LIM711</t>
  </si>
  <si>
    <t>5w40 motul xclean gen2 2x5L  95eur</t>
  </si>
  <si>
    <t>MOTUL GEAR 300 LS 75W90 1L  19eur</t>
  </si>
  <si>
    <t xml:space="preserve">225/40r18 </t>
  </si>
  <si>
    <t>montzke r18 25eur? IDE008261</t>
  </si>
  <si>
    <t>362+323eur</t>
  </si>
  <si>
    <t>IDE008185</t>
  </si>
  <si>
    <t>IDE008223</t>
  </si>
  <si>
    <t>24-158657 2x210eur</t>
  </si>
  <si>
    <t>IDE008186</t>
  </si>
  <si>
    <t>IDE008190</t>
  </si>
  <si>
    <t>dunlop w5 mo</t>
  </si>
  <si>
    <t>IDE008190 GWL2215822759659</t>
  </si>
  <si>
    <t>IDE008190 GGZ850</t>
  </si>
  <si>
    <t>vaskas 10+pvm</t>
  </si>
  <si>
    <t>COF100525E  4eur</t>
  </si>
  <si>
    <t>112 129 0037  10eur</t>
  </si>
  <si>
    <t>tepalas xclean/+ 44eur</t>
  </si>
  <si>
    <t>mantas pavliukevicius sharan 103kw</t>
  </si>
  <si>
    <t>insa turbo dakar</t>
  </si>
  <si>
    <t>IDE008220</t>
  </si>
  <si>
    <t>triangle tr292</t>
  </si>
  <si>
    <t>IDE008274</t>
  </si>
  <si>
    <t>kaladeles zimerman 51eur</t>
  </si>
  <si>
    <t>mantas serbintas ford focus</t>
  </si>
  <si>
    <t>keitimas 30 ?</t>
  </si>
  <si>
    <t>113400km</t>
  </si>
  <si>
    <t>FP 1919   18eur</t>
  </si>
  <si>
    <t>F 026 400 114  12eur</t>
  </si>
  <si>
    <t>COF100601E 5eur ox416d1 7eur</t>
  </si>
  <si>
    <t>donatas mickus toyota</t>
  </si>
  <si>
    <t xml:space="preserve">8100 ECO-LITE 5W30 5L  38eur </t>
  </si>
  <si>
    <t>IDE008401</t>
  </si>
  <si>
    <t>tepalo filtro korpusas 38eur</t>
  </si>
  <si>
    <t>varztas tepalui 3eur</t>
  </si>
  <si>
    <t>13.0470-7294.2   68eur</t>
  </si>
  <si>
    <t>13.0470-2785.2   93eur</t>
  </si>
  <si>
    <t>Rolandas Novikovas ratlis</t>
  </si>
  <si>
    <t>IDE008224</t>
  </si>
  <si>
    <t>IDE008214</t>
  </si>
  <si>
    <t>VO-BJ-1860 sarnyras 18eur+35eur</t>
  </si>
  <si>
    <t>benzo siurbimas 30eur</t>
  </si>
  <si>
    <t>diagnostika ?</t>
  </si>
  <si>
    <t>tadas saltenis skoda yeti</t>
  </si>
  <si>
    <t>0 242 240 665 4vnt 48eur +30eur</t>
  </si>
  <si>
    <t>keitimas su diskais</t>
  </si>
  <si>
    <t>P 24 047   27eur</t>
  </si>
  <si>
    <t>Mantas Mikulenas &lt;mantas@civil.lt</t>
  </si>
  <si>
    <t>Tomas Carsrent &lt;tomas@carsrent.lt  bms technologija</t>
  </si>
  <si>
    <t>IDE008218</t>
  </si>
  <si>
    <t>Tomas Carsrent &lt;tomas@carsrent.lt</t>
  </si>
  <si>
    <t>IDE008189</t>
  </si>
  <si>
    <t>350+180 thules komplektas</t>
  </si>
  <si>
    <t>720eur thules komplektas</t>
  </si>
  <si>
    <t>gdb1956  46eur</t>
  </si>
  <si>
    <t>gdb1957  32eur</t>
  </si>
  <si>
    <t>diskai 183eur</t>
  </si>
  <si>
    <t>keitimas visko pusdienis</t>
  </si>
  <si>
    <t>pusasio guma 20eur</t>
  </si>
  <si>
    <t>713618660 rato guolis 30eur</t>
  </si>
  <si>
    <t>pas neila -50eur 2023-06-07</t>
  </si>
  <si>
    <t>idejo austei 1000min 2023-06-14</t>
  </si>
  <si>
    <t>dvi lemputes h4 6eur ir keitimas</t>
  </si>
  <si>
    <t>posparnis ir keitimas</t>
  </si>
  <si>
    <t>lempos keitimas</t>
  </si>
  <si>
    <t>TYC 20-0354-05-2  50eur</t>
  </si>
  <si>
    <t>posparnis 20eur</t>
  </si>
  <si>
    <t>tevas alfasteps 2022-12-05</t>
  </si>
  <si>
    <t>EURUS08 XL fronway ar kas ten nzn</t>
  </si>
  <si>
    <t>giedrius mac</t>
  </si>
  <si>
    <t>goodyear efficientgrip perf2 xl</t>
  </si>
  <si>
    <t>96eur IDE008210 GWL2280585402889</t>
  </si>
  <si>
    <t>LLI527</t>
  </si>
  <si>
    <t>CUK 2733 25eur</t>
  </si>
  <si>
    <t>F 026 400 146  15eur</t>
  </si>
  <si>
    <t>edgaras kovaliovas utvt xc70 2016 T6 304ag</t>
  </si>
  <si>
    <t>OX 433D  8eur</t>
  </si>
  <si>
    <t xml:space="preserve">po 57eur </t>
  </si>
  <si>
    <t>auris montazke+1daviklis naujas</t>
  </si>
  <si>
    <t>conticrosscontact lx sport</t>
  </si>
  <si>
    <t>IDE008221</t>
  </si>
  <si>
    <t>q7 r21 montazke +id4 is sandelio</t>
  </si>
  <si>
    <t>IDE008232</t>
  </si>
  <si>
    <t>goodyear f1 asymm 2 AO</t>
  </si>
  <si>
    <t>1 457 433 096  10eur</t>
  </si>
  <si>
    <t>GDB2086  31eur</t>
  </si>
  <si>
    <t>GDB1583  34eur</t>
  </si>
  <si>
    <t>eco-nergy 0w30  5+2L  55+25eur</t>
  </si>
  <si>
    <t>RT 2960-GL 2vnt po 45eur</t>
  </si>
  <si>
    <t>RT 1489-GL 2vnt po 30eur</t>
  </si>
  <si>
    <t>stabdziu skyscio keitimas 30eur</t>
  </si>
  <si>
    <t>marijus kebla porsche panamera</t>
  </si>
  <si>
    <t>310+5  IDE008204</t>
  </si>
  <si>
    <t>IDE008217</t>
  </si>
  <si>
    <t>fronway</t>
  </si>
  <si>
    <t>0 986 494 130  19eur</t>
  </si>
  <si>
    <t>24.0122-0311.1 po 55eur</t>
  </si>
  <si>
    <t>suportaws 58eur</t>
  </si>
  <si>
    <t>DEIVIDAS s &lt;deivisdd@gmail.com toyota yaris</t>
  </si>
  <si>
    <t>skystis 10eur</t>
  </si>
  <si>
    <t>0 986 494 101  35eur</t>
  </si>
  <si>
    <t>DF4800  po 36eur</t>
  </si>
  <si>
    <t>D4-2344A 5eur</t>
  </si>
  <si>
    <t>LS4015654 2x 35eur</t>
  </si>
  <si>
    <t>MONMK097 2x30eur</t>
  </si>
  <si>
    <t>arturas zakroiskis pezas</t>
  </si>
  <si>
    <t>0w40 xmax 2x5L po 48eur</t>
  </si>
  <si>
    <t>E825H D265 10eur</t>
  </si>
  <si>
    <t>H489WK 27eur</t>
  </si>
  <si>
    <t>LX 3677  14eur</t>
  </si>
  <si>
    <t>IDE008261</t>
  </si>
  <si>
    <t>K 1423A 13eur</t>
  </si>
  <si>
    <t>HY-LS-10809 2x19eur</t>
  </si>
  <si>
    <t>stabylu ir sarnyro keitimas</t>
  </si>
  <si>
    <t>HY-BJ-10813 18eur</t>
  </si>
  <si>
    <t>laurynas goncauskas LEC882 sportage</t>
  </si>
  <si>
    <t>131002km</t>
  </si>
  <si>
    <t>crc valve clenaer</t>
  </si>
  <si>
    <t>alyvos filtras 12eur</t>
  </si>
  <si>
    <t>0w40 v300 4x2l bakeliai</t>
  </si>
  <si>
    <t>sailentai 2vnt sport priekiniai</t>
  </si>
  <si>
    <t>sarnyrai 2vnt sport</t>
  </si>
  <si>
    <t>IDE008272</t>
  </si>
  <si>
    <t>Tomas Pečiūra</t>
  </si>
  <si>
    <t>IDE008207</t>
  </si>
  <si>
    <t>IDE008229</t>
  </si>
  <si>
    <t>JUE707 GWL2222937668888</t>
  </si>
  <si>
    <t>donatas simenas 867137162</t>
  </si>
  <si>
    <t>62+montazke</t>
  </si>
  <si>
    <t>175/60r15</t>
  </si>
  <si>
    <t>sailun atreza</t>
  </si>
  <si>
    <t>lukas talacka edgaras kovaliovas</t>
  </si>
  <si>
    <t>IDE008216</t>
  </si>
  <si>
    <t>goodyear hp aw</t>
  </si>
  <si>
    <t>IDE008215</t>
  </si>
  <si>
    <t>goodyear f1 aymm 5</t>
  </si>
  <si>
    <t>HIGH-TORQUE DCTF  18l</t>
  </si>
  <si>
    <t>4iu ratu dazymas 200+pvm</t>
  </si>
  <si>
    <t>ratu montzke/pakaitiniai 2023-05-19</t>
  </si>
  <si>
    <t>montazke vel 2023-08-16  IDE008320</t>
  </si>
  <si>
    <t>porsche ratu dazymas 200+pvm</t>
  </si>
  <si>
    <t>tomas naruskevic porsche cayene</t>
  </si>
  <si>
    <t>IDE008472</t>
  </si>
  <si>
    <t>4davikliai nauji</t>
  </si>
  <si>
    <t>1 naujas daviklis 2023-11-14</t>
  </si>
  <si>
    <t>IDE008912</t>
  </si>
  <si>
    <t>jud600  edgaras PO  bmw x5</t>
  </si>
  <si>
    <t>montazkeS? IDE008289</t>
  </si>
  <si>
    <t>JJP090 interlux  lexus rx450</t>
  </si>
  <si>
    <t>montazke papildoma dazytu ratu</t>
  </si>
  <si>
    <t>IDE008616</t>
  </si>
  <si>
    <t>sarnyras</t>
  </si>
  <si>
    <t>716 010 0019 20eur ir keitimas 30e</t>
  </si>
  <si>
    <t>gabriele zukaite mazda</t>
  </si>
  <si>
    <t>107100km</t>
  </si>
  <si>
    <t>F 026 400 457 14eur</t>
  </si>
  <si>
    <t>H97W06  8eur</t>
  </si>
  <si>
    <t>LA 1361  19eur</t>
  </si>
  <si>
    <t>3 397 118 984 24eur</t>
  </si>
  <si>
    <t>3397011433  8eur</t>
  </si>
  <si>
    <t>08.D430.11 2x50eur</t>
  </si>
  <si>
    <t>kaladeles 35eur</t>
  </si>
  <si>
    <t>darius bernackas bevita sportage</t>
  </si>
  <si>
    <t xml:space="preserve">tomas sneidaraitis nav </t>
  </si>
  <si>
    <t>4x35 devetos padangos+montazzke</t>
  </si>
  <si>
    <t>skola 70eur uz dvi skodas?</t>
  </si>
  <si>
    <t>dave 270e iskaintat simonos padangas 2024-01-27</t>
  </si>
  <si>
    <t>FE48729 2x30eur</t>
  </si>
  <si>
    <t>priekiniu sailentu keitimas</t>
  </si>
  <si>
    <t>gale girgzdesio tvarkymas/paieska</t>
  </si>
  <si>
    <t>IDE008252</t>
  </si>
  <si>
    <t>galines traukes 140+pvm</t>
  </si>
  <si>
    <t>galines traukes po 25eur</t>
  </si>
  <si>
    <t>galo keitimas visko</t>
  </si>
  <si>
    <t>spyruokliu keitimas gale</t>
  </si>
  <si>
    <t>spyruokles 2x50eur</t>
  </si>
  <si>
    <t>Algirdas Orantas &lt;algirdas@wearecritical.com</t>
  </si>
  <si>
    <t>IDE008242</t>
  </si>
  <si>
    <t>IDE008222</t>
  </si>
  <si>
    <t>IDE008258</t>
  </si>
  <si>
    <t>gic172  6eur</t>
  </si>
  <si>
    <t>P 50 125 89eur</t>
  </si>
  <si>
    <t>mantas jastremskas c63s mersas</t>
  </si>
  <si>
    <t>keitimas kalodkiu</t>
  </si>
  <si>
    <t>IDE008279 MARTYNAS GUDUKAS</t>
  </si>
  <si>
    <t>garmin laikrodis uz stuka ir dirzas</t>
  </si>
  <si>
    <t>1000+110</t>
  </si>
  <si>
    <t>tepalo su filtru keitimas 1h</t>
  </si>
  <si>
    <t>honda montazke+devetos</t>
  </si>
  <si>
    <t>tiguan montazke IDE008278</t>
  </si>
  <si>
    <t>IDE008259</t>
  </si>
  <si>
    <t>IDE008241</t>
  </si>
  <si>
    <t>315/30r18</t>
  </si>
  <si>
    <t>micha ps2</t>
  </si>
  <si>
    <t>Vladislav Stech &lt;vladislav.stech@gmail.com</t>
  </si>
  <si>
    <t>IDE008225</t>
  </si>
  <si>
    <t>13.0460-2787.2   36eur</t>
  </si>
  <si>
    <t>24.0109-0123.1 2x26eur</t>
  </si>
  <si>
    <t>mykolas maciulis skoda</t>
  </si>
  <si>
    <t>IDE008255</t>
  </si>
  <si>
    <t>kaladziu keitimas 50eur</t>
  </si>
  <si>
    <t>disku keitimas po 15eur</t>
  </si>
  <si>
    <t>skyscio keitimas 40eur</t>
  </si>
  <si>
    <t>stabdziu skystis 10-15eur</t>
  </si>
  <si>
    <t>1 457 437 003  7eur</t>
  </si>
  <si>
    <t>K 1334 12eur</t>
  </si>
  <si>
    <t>E173L  8eur</t>
  </si>
  <si>
    <t>jonas klimaitis opelis bmw z4</t>
  </si>
  <si>
    <t>xclean+ 7.5 ir keitimas</t>
  </si>
  <si>
    <t>dave 30eur</t>
  </si>
  <si>
    <t>keitimas ir apsauga</t>
  </si>
  <si>
    <t>dave 15eur</t>
  </si>
  <si>
    <t>pirelli sottozero 2</t>
  </si>
  <si>
    <t>IDE008260</t>
  </si>
  <si>
    <t>79072 km</t>
  </si>
  <si>
    <t>GIC172  8eur</t>
  </si>
  <si>
    <t>24.0136-0134.2 2x180eur</t>
  </si>
  <si>
    <t>13.0460-4892.2  85eur</t>
  </si>
  <si>
    <t>IDE008256</t>
  </si>
  <si>
    <t>F 026 407 199 15eur</t>
  </si>
  <si>
    <t>C 21 020  2x27eur</t>
  </si>
  <si>
    <t>ADU172528 21eur</t>
  </si>
  <si>
    <t>xmax 0w40 5+2L 50+25eur</t>
  </si>
  <si>
    <t>keitimas priekiniu stabdziu</t>
  </si>
  <si>
    <t>Sigita Podolinskiene &lt;podolinskiene@gmail.com</t>
  </si>
  <si>
    <t>IDE008234</t>
  </si>
  <si>
    <t>ratai china r18</t>
  </si>
  <si>
    <t xml:space="preserve">zilvinas ribaltavicius nemesis Mindaugas Leilionas </t>
  </si>
  <si>
    <t>IDE008251</t>
  </si>
  <si>
    <t>arunas gliaudelis skola nuo ratu syncros carbon 150eur</t>
  </si>
  <si>
    <t>Dominykas Čenkus</t>
  </si>
  <si>
    <t>IDE008248</t>
  </si>
  <si>
    <t>wheelforce ratlankiai r19</t>
  </si>
  <si>
    <t>1636eur savikaina</t>
  </si>
  <si>
    <t>IDE008290</t>
  </si>
  <si>
    <t>oro plastmases 60eur</t>
  </si>
  <si>
    <t>keitimas jo 40eur</t>
  </si>
  <si>
    <t>spyruokliu keitimas gale 50eur</t>
  </si>
  <si>
    <t>montazke padangu 40eur</t>
  </si>
  <si>
    <t>jb4 450eur</t>
  </si>
  <si>
    <t>HU 711/51 X  10eur</t>
  </si>
  <si>
    <t>MOTUL 2312 0W30 5L 65eur</t>
  </si>
  <si>
    <t>IDE008300</t>
  </si>
  <si>
    <t>354+245eur</t>
  </si>
  <si>
    <t>IDE008288</t>
  </si>
  <si>
    <t>michelin alpin 5 mo</t>
  </si>
  <si>
    <t>kurjeris(282savikaina) 302-303rasiau</t>
  </si>
  <si>
    <t>IDE008287</t>
  </si>
  <si>
    <t>r2bike+estija+dujos</t>
  </si>
  <si>
    <t>dave 170, dave 300eur</t>
  </si>
  <si>
    <t>HU 6006 Z  8eur</t>
  </si>
  <si>
    <t>10w60 motul 38eur 4L</t>
  </si>
  <si>
    <t>CUK 1919 16eur</t>
  </si>
  <si>
    <t>F 026 407 092  8eur</t>
  </si>
  <si>
    <t>F 026 400 114 12eur</t>
  </si>
  <si>
    <t>tepalu keitimas IDE008182</t>
  </si>
  <si>
    <t>48eur xclean+ 5L</t>
  </si>
  <si>
    <t>2vnt gravel padangos 75eur</t>
  </si>
  <si>
    <t>daviklis ir jo keitimas,montazke padangos</t>
  </si>
  <si>
    <t>IDE008695</t>
  </si>
  <si>
    <t>ecolite motul 5+1  41+10eur</t>
  </si>
  <si>
    <t>tepalu keitimas ir filtru su dugno nuemimu</t>
  </si>
  <si>
    <t>1 987 435 018  15eur</t>
  </si>
  <si>
    <t>F 026 407 203  8eur</t>
  </si>
  <si>
    <t>F 026 400 676 18eur</t>
  </si>
  <si>
    <t>IDE008254</t>
  </si>
  <si>
    <t>Povilas Meškys fb</t>
  </si>
  <si>
    <t>IDE008270</t>
  </si>
  <si>
    <t>133eur+montazke su ratu paskolinimu</t>
  </si>
  <si>
    <t>IDE008294</t>
  </si>
  <si>
    <t>2naujo ratlankiai</t>
  </si>
  <si>
    <t>605+pvm savikaina vieneto</t>
  </si>
  <si>
    <t>oro plastmases 60eur ir ju uzdejimas</t>
  </si>
  <si>
    <t>montazke visu 4iu ratu</t>
  </si>
  <si>
    <t>300V POWER 5W30 5L+2L</t>
  </si>
  <si>
    <t>75+31eur</t>
  </si>
  <si>
    <t>IDE008253</t>
  </si>
  <si>
    <t>40eur+2x7eur kameros ir montazke</t>
  </si>
  <si>
    <t>IDE008263</t>
  </si>
  <si>
    <t>pirelli pz4 rof</t>
  </si>
  <si>
    <t>IDE008250</t>
  </si>
  <si>
    <t>OX1076D 12eur</t>
  </si>
  <si>
    <t>E1054L  18eur</t>
  </si>
  <si>
    <t>CUK 2641  30eur</t>
  </si>
  <si>
    <t>tepalas xclean+</t>
  </si>
  <si>
    <t>IDE008257</t>
  </si>
  <si>
    <t>pirelli pz4 n1</t>
  </si>
  <si>
    <t>pusukio zibintas 2x13eur</t>
  </si>
  <si>
    <t>v10-2413  15eur</t>
  </si>
  <si>
    <t>jonas vainius raulynaitis golf5</t>
  </si>
  <si>
    <t>176+darbas</t>
  </si>
  <si>
    <t>313 067 0001  20eur</t>
  </si>
  <si>
    <t>NRF 53425  70eur</t>
  </si>
  <si>
    <t>radiko keitimas kartu su pompa</t>
  </si>
  <si>
    <t>vaidrodelio posukio keitimas ir gale lempuciu keitimas+antifryzo 1l koncentrat</t>
  </si>
  <si>
    <t>ismetimo gumos keitimas</t>
  </si>
  <si>
    <t>priekiniu lempu burtai prie to radiko</t>
  </si>
  <si>
    <t>dave 600e</t>
  </si>
  <si>
    <t>GIC340  12eur</t>
  </si>
  <si>
    <t>kristijonas kristis plioplys m3</t>
  </si>
  <si>
    <t>P 06 096X 155eur</t>
  </si>
  <si>
    <t>5w50 v300 8L po 40eur?</t>
  </si>
  <si>
    <t>st.skystis ir keitimas</t>
  </si>
  <si>
    <t>3h darbo</t>
  </si>
  <si>
    <t>997822 abi 72eur</t>
  </si>
  <si>
    <t>lukas talacka golf mk5</t>
  </si>
  <si>
    <t>p85144x   108eur</t>
  </si>
  <si>
    <t>p85124x   60eur</t>
  </si>
  <si>
    <t>09.a200.1x  2x98eur</t>
  </si>
  <si>
    <t>Mantas Ank is fb, golf mk7 R</t>
  </si>
  <si>
    <t>keitimas 40disku,20+40kaladeliu</t>
  </si>
  <si>
    <t>skyscio keitimas 45</t>
  </si>
  <si>
    <t>stabdziu skystis 3x17eur</t>
  </si>
  <si>
    <t>priekiniai diskai po 290eur</t>
  </si>
  <si>
    <t>slangutes 130eur+50eur keitimas</t>
  </si>
  <si>
    <t>galiniai sailentai ir ju keitimas gale 80+70</t>
  </si>
  <si>
    <t>stabdziu skystis 3x17 dar karta</t>
  </si>
  <si>
    <t>stabdziu skyscio keitimas antra karta 40</t>
  </si>
  <si>
    <t>5w50 v300  3x40eur</t>
  </si>
  <si>
    <t>tepalo filtras 12e</t>
  </si>
  <si>
    <t>tepalu keitimas 25e</t>
  </si>
  <si>
    <t>FE45569 20+5eur ismetimo guma</t>
  </si>
  <si>
    <t>priekiniai sailentai 100eur</t>
  </si>
  <si>
    <t>priekiniu sailentu keitimas 2x35eur</t>
  </si>
  <si>
    <t>pirelli pzero N0</t>
  </si>
  <si>
    <t>sailun atrezo zsr</t>
  </si>
  <si>
    <t>dunlop gt rof</t>
  </si>
  <si>
    <t>IDE008267</t>
  </si>
  <si>
    <t>IDE008267  300su pvm permoka</t>
  </si>
  <si>
    <t>pedalai 108eur+5e</t>
  </si>
  <si>
    <t>164eur grandines ir kasetes</t>
  </si>
  <si>
    <t>mantas jastremskas cailas dviratis</t>
  </si>
  <si>
    <t>305/35r20</t>
  </si>
  <si>
    <t>po 250uer IDE008332</t>
  </si>
  <si>
    <t xml:space="preserve">continental </t>
  </si>
  <si>
    <t>Vidmantas Krucas</t>
  </si>
  <si>
    <t>goodyear asymm 3 suv</t>
  </si>
  <si>
    <t>IDE008275</t>
  </si>
  <si>
    <t>100eur   dave 230eur</t>
  </si>
  <si>
    <t>105eur montazke visu ir balans</t>
  </si>
  <si>
    <t>dctf high torque tepalas 5L</t>
  </si>
  <si>
    <t>H 6003 Z  16eur</t>
  </si>
  <si>
    <t>haldex tepalas</t>
  </si>
  <si>
    <t>IDE008262</t>
  </si>
  <si>
    <t>Rytis Čekanauskas</t>
  </si>
  <si>
    <t>IDE008273</t>
  </si>
  <si>
    <t>HNT291 GWL2221628992322</t>
  </si>
  <si>
    <t>keitimas gal kaladeliu</t>
  </si>
  <si>
    <t>kaladeles galines 35eur</t>
  </si>
  <si>
    <t>toyota devetos padangos + montazke</t>
  </si>
  <si>
    <t>purkstukai 6vnt</t>
  </si>
  <si>
    <t>IDE008264</t>
  </si>
  <si>
    <t>posukis kaire 15eur, keitimas?</t>
  </si>
  <si>
    <t>VO-LS-1870  2x16eur</t>
  </si>
  <si>
    <t>CZH1287  47eur</t>
  </si>
  <si>
    <t>spyruokles</t>
  </si>
  <si>
    <t>suporto keitimas 15eur</t>
  </si>
  <si>
    <t>slangute 5eur</t>
  </si>
  <si>
    <t>ismetimo mova nauja 10eur</t>
  </si>
  <si>
    <t>225/40R18</t>
  </si>
  <si>
    <t>michelin ps2  N3</t>
  </si>
  <si>
    <t>IDE008271</t>
  </si>
  <si>
    <t>285/30R18</t>
  </si>
  <si>
    <t>rytis +37068255636 viber</t>
  </si>
  <si>
    <t>IDE008268</t>
  </si>
  <si>
    <t>goodyear f1 5 sct</t>
  </si>
  <si>
    <t>marijus kebla a7 pijus</t>
  </si>
  <si>
    <t>IDE008280</t>
  </si>
  <si>
    <t>LBO013 GWL2222931547258</t>
  </si>
  <si>
    <t>zvakes 4x30eur</t>
  </si>
  <si>
    <t>IDE008269</t>
  </si>
  <si>
    <t>montazke cayene r22</t>
  </si>
  <si>
    <t>IDE008305</t>
  </si>
  <si>
    <t>amarok ratu dazymas,slenksciu</t>
  </si>
  <si>
    <t>padangu montavimas tu ratu amarok</t>
  </si>
  <si>
    <t>140+100+20+40</t>
  </si>
  <si>
    <t>IDE008537</t>
  </si>
  <si>
    <t>119.88+pvm</t>
  </si>
  <si>
    <t>112.21+pvm</t>
  </si>
  <si>
    <t>goodyear ug perf+ +</t>
  </si>
  <si>
    <t>CUK 1919 salono 16eur</t>
  </si>
  <si>
    <t>E897L oro 18eur</t>
  </si>
  <si>
    <t>H316WK Kuro 21eur</t>
  </si>
  <si>
    <t>E814H D191 Alyvos 8eur</t>
  </si>
  <si>
    <t>IDE008355</t>
  </si>
  <si>
    <t>8100 eco-clean 5W30 47+12eur</t>
  </si>
  <si>
    <t>10w60 10L  90-100eur</t>
  </si>
  <si>
    <t>dave 2000eur 2023-07-13, dave 600eur 2023-07-20</t>
  </si>
  <si>
    <t>aurimas baltusis landrover</t>
  </si>
  <si>
    <t>ratu dazymas r22 IDE008292</t>
  </si>
  <si>
    <t>500+500+1000+pvm</t>
  </si>
  <si>
    <t>donatas jucius aurimas  nav  don911</t>
  </si>
  <si>
    <t>500eur+25 montazke</t>
  </si>
  <si>
    <t>2548.82+pvm eur -115eur francyze</t>
  </si>
  <si>
    <t>IDE008734</t>
  </si>
  <si>
    <t>donatas jucius aurimas  nav</t>
  </si>
  <si>
    <t>montazke 100e</t>
  </si>
  <si>
    <t>pisomes su ratais 2h, bentley,porsche ir t.t.</t>
  </si>
  <si>
    <t>aurimas  nav</t>
  </si>
  <si>
    <t>50942km</t>
  </si>
  <si>
    <t>05l115562a  20eur</t>
  </si>
  <si>
    <t>F 026 400 287 15eur</t>
  </si>
  <si>
    <t>IDE008440</t>
  </si>
  <si>
    <t>LAO 888  19eur</t>
  </si>
  <si>
    <t>E864H D184  13eur</t>
  </si>
  <si>
    <t>1 987 429 190   14eur</t>
  </si>
  <si>
    <t>GIC324  12eur</t>
  </si>
  <si>
    <t>xclean+ 6l   60eur</t>
  </si>
  <si>
    <t>GIC325 12eur</t>
  </si>
  <si>
    <t>FP 2847/1 25eur</t>
  </si>
  <si>
    <t>tepalu keitimas  35e</t>
  </si>
  <si>
    <t>diskai visi  384eur</t>
  </si>
  <si>
    <t>kaladels  200eur</t>
  </si>
  <si>
    <t>disku keitimas visu 60eur</t>
  </si>
  <si>
    <t>kaladeliu keitimas 70eur</t>
  </si>
  <si>
    <t>stabdziu skyscio keitimas ir skystis   50eur</t>
  </si>
  <si>
    <t>balansas visu ratu dzipas didelis</t>
  </si>
  <si>
    <t>pirelli pzero MO</t>
  </si>
  <si>
    <t>Nerijus Bražėnas  fb</t>
  </si>
  <si>
    <t>129+154eur</t>
  </si>
  <si>
    <t>HU 7018 Z mann</t>
  </si>
  <si>
    <t>rimantas samulevicius jeep</t>
  </si>
  <si>
    <t>hankook 4s</t>
  </si>
  <si>
    <t>algimantas Albinas Staugas</t>
  </si>
  <si>
    <t>IDE008291</t>
  </si>
  <si>
    <t>IDE008376</t>
  </si>
  <si>
    <t>edgaras PO</t>
  </si>
  <si>
    <t>IDE008289</t>
  </si>
  <si>
    <t>filtras org, pats pirko ?</t>
  </si>
  <si>
    <t>xclean+ 6litrai</t>
  </si>
  <si>
    <t>narmontas paliokas normantas</t>
  </si>
  <si>
    <t>tiguan tepalu keitimas</t>
  </si>
  <si>
    <t>IDE008340</t>
  </si>
  <si>
    <t>linas alesius  linas.alesius@gmail.com</t>
  </si>
  <si>
    <t>MME015</t>
  </si>
  <si>
    <t>23924.180.1 50eur</t>
  </si>
  <si>
    <t>GIC228  6eur</t>
  </si>
  <si>
    <t>723180292  12eur</t>
  </si>
  <si>
    <t>IDE008307</t>
  </si>
  <si>
    <t>6010-02-046449P   65eur</t>
  </si>
  <si>
    <t>0w40 10L po 48eur</t>
  </si>
  <si>
    <t>mantas jastremskas mersui rutos dzipui</t>
  </si>
  <si>
    <t>tepalu keitimas 12eur</t>
  </si>
  <si>
    <t>0w40 300v 3vnt po 40eur</t>
  </si>
  <si>
    <t>tepalo filtras 12eur</t>
  </si>
  <si>
    <t>mantas staliunas golff r</t>
  </si>
  <si>
    <t>3FH012 010-021  27eur</t>
  </si>
  <si>
    <t>IDE008286</t>
  </si>
  <si>
    <t>montazke r22 nauju padangu bmw x5m</t>
  </si>
  <si>
    <t>mantas jastremskas bmw x5m comp, raudoni numeriai</t>
  </si>
  <si>
    <t>-40eur uz mane sumokejo</t>
  </si>
  <si>
    <t>varztai ir slapukai 88eur</t>
  </si>
  <si>
    <t>OX 361/4D  13eur</t>
  </si>
  <si>
    <t>H247WK01 25eur</t>
  </si>
  <si>
    <t>IDE008331</t>
  </si>
  <si>
    <t>LA 248  19eur</t>
  </si>
  <si>
    <t>8100 ECO-LITE 5W30 5L 42eur</t>
  </si>
  <si>
    <t>OC 534 5eur</t>
  </si>
  <si>
    <t>E639L  10eur</t>
  </si>
  <si>
    <t>Vidma V &lt;vidmav@gmail.com vidma milzinas</t>
  </si>
  <si>
    <t>julius friskas vaitiekunas</t>
  </si>
  <si>
    <t>95eur+montazke  IDE008322</t>
  </si>
  <si>
    <t>goodyear f1 asymm 3  rof</t>
  </si>
  <si>
    <t>323+keitimas IDE008306</t>
  </si>
  <si>
    <t>Duracell Extreme AGM DE 70 AGM 12V 70Ah 720A 278x175x190 DE 70 AGM</t>
  </si>
  <si>
    <t xml:space="preserve">xclean+ </t>
  </si>
  <si>
    <t>audi a1 865817981 Loreta Statauskienė &lt;loretastat5@gmail.com</t>
  </si>
  <si>
    <t>visu balans, vieno montazke ir lyginimas su ugnim</t>
  </si>
  <si>
    <t>karolis puodziukas porsche cayene</t>
  </si>
  <si>
    <t>IDE008683</t>
  </si>
  <si>
    <t>pirelli pz4</t>
  </si>
  <si>
    <t>IDE008319</t>
  </si>
  <si>
    <t>mantas jastremskas  issiusta i marijampole</t>
  </si>
  <si>
    <t>200eur IDE008332</t>
  </si>
  <si>
    <t>160eur IDE008332</t>
  </si>
  <si>
    <t>FP 26 023  43eur</t>
  </si>
  <si>
    <t>spyruokliu keitimas 5h+reguliavimas</t>
  </si>
  <si>
    <t>dusliko keitimas 3h?</t>
  </si>
  <si>
    <t>mantas jastremskas  x5m</t>
  </si>
  <si>
    <t>MHH404</t>
  </si>
  <si>
    <t>273eur ir montazke?</t>
  </si>
  <si>
    <t>IDE008364</t>
  </si>
  <si>
    <t>gwl2224755478560</t>
  </si>
  <si>
    <t>13.0460-7294.2 54eur</t>
  </si>
  <si>
    <t>gal kaladeliu keitimas</t>
  </si>
  <si>
    <t>slapuku issukimas 30eur</t>
  </si>
  <si>
    <t>braidai offroad</t>
  </si>
  <si>
    <t>marijus kebla jonikis</t>
  </si>
  <si>
    <t>DE008350</t>
  </si>
  <si>
    <t>bfg allterrain ko2</t>
  </si>
  <si>
    <t>dangteliai braido</t>
  </si>
  <si>
    <t>MSR827</t>
  </si>
  <si>
    <t>marijus kebla rovgas dominykas</t>
  </si>
  <si>
    <t>IDE008389</t>
  </si>
  <si>
    <t>GWL2216469050131</t>
  </si>
  <si>
    <t>RT 20062-GL 2x50eur</t>
  </si>
  <si>
    <t>P 56 061  33eur</t>
  </si>
  <si>
    <t>stabdziu keitimas priekyje BDA1079 60eur</t>
  </si>
  <si>
    <t>tomas kaimynas vivaro</t>
  </si>
  <si>
    <t>IDE008645</t>
  </si>
  <si>
    <t>panamera montazke 3iju ratu su davikliais</t>
  </si>
  <si>
    <t>1naujas daviklis IDE008536</t>
  </si>
  <si>
    <t>braid dakar ratai 210+pvm savikaina</t>
  </si>
  <si>
    <t>IDE008390</t>
  </si>
  <si>
    <t>dangteliai 4x21+pvm savikaina</t>
  </si>
  <si>
    <t>112+pvm siuntimas savikaina</t>
  </si>
  <si>
    <t>braid ratlankis vienas su dangteliu</t>
  </si>
  <si>
    <t>imperial all season driver</t>
  </si>
  <si>
    <t>Svajus &lt;svajusk@gmail.com SVAJŪNAS KIRŠIS</t>
  </si>
  <si>
    <t>70x4eur</t>
  </si>
  <si>
    <t>FE48729 2x25eur sailentai</t>
  </si>
  <si>
    <t>keitimas sailentu</t>
  </si>
  <si>
    <t>IDE008378</t>
  </si>
  <si>
    <t>rt21282-gl 2x70eur</t>
  </si>
  <si>
    <t>p85124  40eur</t>
  </si>
  <si>
    <t>p85144 - 65eur</t>
  </si>
  <si>
    <t>galiniai diskai brembo mano</t>
  </si>
  <si>
    <t>sezono padangu keitimas</t>
  </si>
  <si>
    <t>linas liubeckas</t>
  </si>
  <si>
    <t>darius kretinga dariaus ratai</t>
  </si>
  <si>
    <t>IDE008311</t>
  </si>
  <si>
    <t>IDE008295</t>
  </si>
  <si>
    <t>goodyear perf+ +</t>
  </si>
  <si>
    <t>IDE008310</t>
  </si>
  <si>
    <t>234+pvm IDE008647</t>
  </si>
  <si>
    <t>ug perf 3</t>
  </si>
  <si>
    <t>goodyear arctic 2</t>
  </si>
  <si>
    <t>IDE008328</t>
  </si>
  <si>
    <t>gy perf 3</t>
  </si>
  <si>
    <t>gy perf+ st</t>
  </si>
  <si>
    <t>ratlankiai  3g8071490a fzz</t>
  </si>
  <si>
    <t>goodyear cargo 2</t>
  </si>
  <si>
    <t>bridgestone lm001 MO</t>
  </si>
  <si>
    <t>IDE008334</t>
  </si>
  <si>
    <t>IDE008330</t>
  </si>
  <si>
    <t>IDE008396</t>
  </si>
  <si>
    <t>IDE008366</t>
  </si>
  <si>
    <t>C40311ABE  2x17eur</t>
  </si>
  <si>
    <t>laurynas goncauskas hyuindai</t>
  </si>
  <si>
    <t>stabdziu kaladeliu keitimas</t>
  </si>
  <si>
    <t xml:space="preserve">IDE008609 </t>
  </si>
  <si>
    <t>CZH1606  23eur</t>
  </si>
  <si>
    <t>stabdziu disku keitimas</t>
  </si>
  <si>
    <t>910179 20eur</t>
  </si>
  <si>
    <t>stabdziu suporto keitimas</t>
  </si>
  <si>
    <t>CTRGA0026  2x20eur</t>
  </si>
  <si>
    <t>rankinio reguliavimas</t>
  </si>
  <si>
    <t>amortizatoriu keitimas</t>
  </si>
  <si>
    <t>0w40 v300 6l  150eur</t>
  </si>
  <si>
    <t>polo rimas alisauskas</t>
  </si>
  <si>
    <t xml:space="preserve">sailentu keitimas </t>
  </si>
  <si>
    <t>sailentai usa pilnaviduriai 80+28eur</t>
  </si>
  <si>
    <t>JTE1053 18eur</t>
  </si>
  <si>
    <t>slanga irjos keitimas</t>
  </si>
  <si>
    <t>5w50v300 tepalai 6L</t>
  </si>
  <si>
    <t>galiniu sailentu keitimas</t>
  </si>
  <si>
    <t>galiniai powerflex sailentai</t>
  </si>
  <si>
    <t xml:space="preserve">galiniu stabdziu slangu keitimas </t>
  </si>
  <si>
    <t>stabdziu skyscio keitimas visur</t>
  </si>
  <si>
    <t>galiniu traukiu keitimas gale su mano golf</t>
  </si>
  <si>
    <t>tepalo filtras 59doleriai+mokesciai</t>
  </si>
  <si>
    <t>sarnyru keitimas priekyje</t>
  </si>
  <si>
    <t>sailentu keitimas priekyje</t>
  </si>
  <si>
    <t>reik pervest 18400 i banka</t>
  </si>
  <si>
    <t>Landport LP Motorcycle MB YT12B-BS 12V 10Ah 150x69x130 With Acid Pack MB YT12B-BS</t>
  </si>
  <si>
    <t>braid ratas savikaina 218+pvm</t>
  </si>
  <si>
    <t>11+pvm centre cap savikaina</t>
  </si>
  <si>
    <t>shipping  30+pvm savikaina</t>
  </si>
  <si>
    <t>tepalo filtras usaRL 59+28eur</t>
  </si>
  <si>
    <t>shell 5l - 50eur</t>
  </si>
  <si>
    <t>F 026 407 144 8eur</t>
  </si>
  <si>
    <t>vidma milzinas skoda</t>
  </si>
  <si>
    <t>713 6109 80 75eur</t>
  </si>
  <si>
    <t>laurynas goncauskas tiguan</t>
  </si>
  <si>
    <t>LX 3502  15e</t>
  </si>
  <si>
    <t>LAO 888 20e</t>
  </si>
  <si>
    <t>OX 1217D 10e</t>
  </si>
  <si>
    <t>povilas meskys golf gti</t>
  </si>
  <si>
    <t>IDE008395</t>
  </si>
  <si>
    <t>5w50 v300 motul 6l</t>
  </si>
  <si>
    <t>FE47827  8eur</t>
  </si>
  <si>
    <t>E439KP  23eur</t>
  </si>
  <si>
    <t>F 026 400 287   15eur</t>
  </si>
  <si>
    <t>laurynas goncauskas skoda octavia 1.6tdi</t>
  </si>
  <si>
    <t>IDE008610</t>
  </si>
  <si>
    <t>E2998LI 11eur</t>
  </si>
  <si>
    <t>BrIan Armani arturas remeika volvo aurimas nav</t>
  </si>
  <si>
    <t>po 220e ir montazke, du ratai su sukeitimu ir kita karta ratlanki</t>
  </si>
  <si>
    <t>IDE008371</t>
  </si>
  <si>
    <t>naujas ratlankis ir jo montazke</t>
  </si>
  <si>
    <t>nauji ratai pretoria po 130eur</t>
  </si>
  <si>
    <t>IDE008351</t>
  </si>
  <si>
    <t>rato lyginimas ir montavimas 40eur</t>
  </si>
  <si>
    <t>balansas visu 20eur</t>
  </si>
  <si>
    <t>kaladeles galas 80eur</t>
  </si>
  <si>
    <t>davikliai 4vnt po 13eur</t>
  </si>
  <si>
    <t>diskai galas 2x80eur</t>
  </si>
  <si>
    <t>IDE008352</t>
  </si>
  <si>
    <t>priekines kaladeles 91eur</t>
  </si>
  <si>
    <t>disku keitimas 30eur</t>
  </si>
  <si>
    <t>kaladeliu keitimas 50+38</t>
  </si>
  <si>
    <t>varta c22 75eur</t>
  </si>
  <si>
    <t>akumas bsi 60ah 64eur</t>
  </si>
  <si>
    <t>xado stage1 110eur</t>
  </si>
  <si>
    <t>xado ziedam 10eur</t>
  </si>
  <si>
    <t>IDE008365</t>
  </si>
  <si>
    <t>IDE008423</t>
  </si>
  <si>
    <t>4ios devetos 55eur su kurjeriu</t>
  </si>
  <si>
    <t>goodyear efficientgrip perf 2 xl</t>
  </si>
  <si>
    <t>rta grupe 867888660 e.baciliuniene@gmail.com</t>
  </si>
  <si>
    <t xml:space="preserve">135-138eur, montazke, pagalba kelyje   </t>
  </si>
  <si>
    <t>IDE008321</t>
  </si>
  <si>
    <t>KSU921 GWL2287744475401</t>
  </si>
  <si>
    <t>montazke vieno rato du kartus</t>
  </si>
  <si>
    <t>IDE008725</t>
  </si>
  <si>
    <t>fulda kri montero 3  xl</t>
  </si>
  <si>
    <t>62eur-parduot 82eur ?IDE008336</t>
  </si>
  <si>
    <t>IDE008335</t>
  </si>
  <si>
    <t>passat	jph121</t>
  </si>
  <si>
    <t>IDE008620</t>
  </si>
  <si>
    <t>vw jetta        JCB658 interlux</t>
  </si>
  <si>
    <t>passat        jph131</t>
  </si>
  <si>
    <t>IDE008397</t>
  </si>
  <si>
    <t>85e?</t>
  </si>
  <si>
    <t>golf7        JHN676</t>
  </si>
  <si>
    <t>laurynas goncauskas  jps686 corolla</t>
  </si>
  <si>
    <t>montazke  ide008582</t>
  </si>
  <si>
    <t>montazke volvo r18 2023-11-02</t>
  </si>
  <si>
    <t>vivaro ratu balansas</t>
  </si>
  <si>
    <t>3vnt langu skyscios</t>
  </si>
  <si>
    <t>ford edge montz ir daviklis 3vnt</t>
  </si>
  <si>
    <t>4sujungimai ir vamzdis 1..5m</t>
  </si>
  <si>
    <t>astra 4h tvarkymas</t>
  </si>
  <si>
    <t>Laurynas Puodžiukas, skoda, fb</t>
  </si>
  <si>
    <t>IDE008368</t>
  </si>
  <si>
    <t>pirelli winter jei bus ?</t>
  </si>
  <si>
    <t>andrius papartis LIR938   multilabo interlux</t>
  </si>
  <si>
    <t>IDE008621</t>
  </si>
  <si>
    <t>lgh731</t>
  </si>
  <si>
    <t>goodyear f1 asymm3</t>
  </si>
  <si>
    <t>dunlop wintersport 5 suv</t>
  </si>
  <si>
    <t>IDE008398</t>
  </si>
  <si>
    <t>IDE008385</t>
  </si>
  <si>
    <t>197+1 IDE008384</t>
  </si>
  <si>
    <t>fulda montero 3 xl</t>
  </si>
  <si>
    <t>IDE008374</t>
  </si>
  <si>
    <t>conti ts860s MO1</t>
  </si>
  <si>
    <t>IDE008381</t>
  </si>
  <si>
    <t>petras andrasiunas aurimas nav  kbc063</t>
  </si>
  <si>
    <t>1955+pvm reik israsyt sask bendra</t>
  </si>
  <si>
    <t>IDE008710</t>
  </si>
  <si>
    <t>doublestar ds01</t>
  </si>
  <si>
    <t>IDE008383</t>
  </si>
  <si>
    <t>ratlankiai du nauji 1365savikaina</t>
  </si>
  <si>
    <t>petras andrasiunas aurimas nav</t>
  </si>
  <si>
    <t>montazkes ir pan</t>
  </si>
  <si>
    <t>0 986 494 498 35eur</t>
  </si>
  <si>
    <t>diskai po 68eur</t>
  </si>
  <si>
    <t>keitimas disku su bulgarke</t>
  </si>
  <si>
    <t>bmw montazke rof r17</t>
  </si>
  <si>
    <t>Erik Kapulkin</t>
  </si>
  <si>
    <t>IDE008372</t>
  </si>
  <si>
    <t>Darius Bernackas &lt;darius@bevita.lt</t>
  </si>
  <si>
    <t>montazke proirity  ide008566</t>
  </si>
  <si>
    <t>ide008579</t>
  </si>
  <si>
    <t>Rūta Armoškienė &lt;armoskiene@gmail.com 860958730</t>
  </si>
  <si>
    <t>170eur IDE008391</t>
  </si>
  <si>
    <t>jcp449</t>
  </si>
  <si>
    <t>jurga zagaraite</t>
  </si>
  <si>
    <t>skola 50eur nuo volvo dar</t>
  </si>
  <si>
    <t xml:space="preserve">goodyear ice3 </t>
  </si>
  <si>
    <t>marius benedikas LGH731  Vadim Keda</t>
  </si>
  <si>
    <t>128eur+montazke</t>
  </si>
  <si>
    <t>560skola, dave 440eur IDE008637</t>
  </si>
  <si>
    <t>goodyear ice3 sct</t>
  </si>
  <si>
    <t>marius benedikas MPY285 Vadim Keda</t>
  </si>
  <si>
    <t>197eur+montakze</t>
  </si>
  <si>
    <t>IDE008637</t>
  </si>
  <si>
    <t>ide008561</t>
  </si>
  <si>
    <t>gavras spakauskas audi MRB226 AUDI Q3</t>
  </si>
  <si>
    <t>IDE008538</t>
  </si>
  <si>
    <t>goodyear ice2 sct</t>
  </si>
  <si>
    <t>gavras spakauskas tiguan</t>
  </si>
  <si>
    <t>220eur+priority montaze</t>
  </si>
  <si>
    <t>ksu880 viktorija urbelyte</t>
  </si>
  <si>
    <t>115eur+montaz</t>
  </si>
  <si>
    <t>akumas 60ah d24 varta 75eur</t>
  </si>
  <si>
    <t>3l antifryzo</t>
  </si>
  <si>
    <t>darius bernackas bevita HAB777</t>
  </si>
  <si>
    <t>IDE008442</t>
  </si>
  <si>
    <t>mantas staliunas, 2vnt idejau i exeli uz dvirati</t>
  </si>
  <si>
    <t>priority montazke ziemos ir oro filtras racing line 140eur</t>
  </si>
  <si>
    <t>76600km</t>
  </si>
  <si>
    <t>xclean+ 6l  60eur</t>
  </si>
  <si>
    <t>keitimas tepalu  30eur</t>
  </si>
  <si>
    <t>montakze+pasauga IDE008529</t>
  </si>
  <si>
    <t>GWL2295663293850 EA0808</t>
  </si>
  <si>
    <t xml:space="preserve">debica </t>
  </si>
  <si>
    <t>kjk255        SORMEDICA</t>
  </si>
  <si>
    <t>IDE008559</t>
  </si>
  <si>
    <t>audi q3	hug003</t>
  </si>
  <si>
    <t>IDE008558</t>
  </si>
  <si>
    <t>peugeot kablukas        mbk690</t>
  </si>
  <si>
    <t>2023-32gamyba IDE008805</t>
  </si>
  <si>
    <t>passat	JJO202</t>
  </si>
  <si>
    <t>debica ?</t>
  </si>
  <si>
    <t>vw caddy        hjm294</t>
  </si>
  <si>
    <t>sava s3+ ?</t>
  </si>
  <si>
    <t>IDE008556</t>
  </si>
  <si>
    <t>kodiaq        jst157</t>
  </si>
  <si>
    <t>IDE008546</t>
  </si>
  <si>
    <t xml:space="preserve">volvo xc60        hba652 </t>
  </si>
  <si>
    <t>golf7        JJE676</t>
  </si>
  <si>
    <t>mantas mazeika kbd509</t>
  </si>
  <si>
    <t>IDE008415</t>
  </si>
  <si>
    <t>GWL2242497511931 KBD509</t>
  </si>
  <si>
    <t>Goodyear UG PERF + SUV</t>
  </si>
  <si>
    <t>tadas gudaitis</t>
  </si>
  <si>
    <t>332eur</t>
  </si>
  <si>
    <t>MPV701 GWL2281296307313 IDE008603</t>
  </si>
  <si>
    <t>Goodyear UG PERF + SUV XL</t>
  </si>
  <si>
    <t>MPE471</t>
  </si>
  <si>
    <t>mantas jastremskas x5</t>
  </si>
  <si>
    <t>IDE008455</t>
  </si>
  <si>
    <t>GWL2282677714678 HOS011</t>
  </si>
  <si>
    <t>IDE008545</t>
  </si>
  <si>
    <t>egidijus meilunas nerijus.cerniauskas@teva.lt</t>
  </si>
  <si>
    <t>IDE008333</t>
  </si>
  <si>
    <t>GWL2292048917353 KPK061</t>
  </si>
  <si>
    <t xml:space="preserve">goodyear ice suv </t>
  </si>
  <si>
    <t>marius savickas g500</t>
  </si>
  <si>
    <t>montazke IDE008663</t>
  </si>
  <si>
    <t>kestutis puidokas LOC972        audi q5 gajauskas</t>
  </si>
  <si>
    <t>ide008576</t>
  </si>
  <si>
    <t>MRG963 interlux skoda</t>
  </si>
  <si>
    <t>goodyear ug perf g1 + + 549455</t>
  </si>
  <si>
    <t>giedrius adamonis</t>
  </si>
  <si>
    <t>IDE008412</t>
  </si>
  <si>
    <t>ea6678 GWL2278666806648</t>
  </si>
  <si>
    <t>dave 1230eur</t>
  </si>
  <si>
    <t>dave klientas 200eur uz devetus ratus</t>
  </si>
  <si>
    <t>eco-lite 5w30  1l</t>
  </si>
  <si>
    <t>langu skystis 9vnt</t>
  </si>
  <si>
    <t>270eur dave uz golfo ratus klientas</t>
  </si>
  <si>
    <t>tomas mingela audi a4 interlux nav MRR506</t>
  </si>
  <si>
    <t>IDE008530</t>
  </si>
  <si>
    <t>tomas mingela nav  EB0307</t>
  </si>
  <si>
    <t>285eur IDE008433</t>
  </si>
  <si>
    <t>UG PERF + T0 XL SCT FP 587886</t>
  </si>
  <si>
    <t>340eur+priority omntazke</t>
  </si>
  <si>
    <t>IDE008550 GWL2262541976523 EA6750</t>
  </si>
  <si>
    <t>IDE008382</t>
  </si>
  <si>
    <t>tomas greenmotion bms tech</t>
  </si>
  <si>
    <t>montazke sestad priority</t>
  </si>
  <si>
    <t>IDE008486</t>
  </si>
  <si>
    <t>94eur dave IDE008625</t>
  </si>
  <si>
    <t>hnn004 GWL2296073022254</t>
  </si>
  <si>
    <t>IDE008373</t>
  </si>
  <si>
    <t>IDE008388</t>
  </si>
  <si>
    <t>reik nuvezt</t>
  </si>
  <si>
    <t>martynas bisikirskas veho Tautvydas Šabanas</t>
  </si>
  <si>
    <t xml:space="preserve">85eur </t>
  </si>
  <si>
    <t>preorder latakko</t>
  </si>
  <si>
    <t>toyo celsius 17117</t>
  </si>
  <si>
    <t>139eur+montazke priority</t>
  </si>
  <si>
    <t>IDE008578</t>
  </si>
  <si>
    <t>60+60</t>
  </si>
  <si>
    <t>montazke mini cooper r18 priority?</t>
  </si>
  <si>
    <t>pirelli mo 23212</t>
  </si>
  <si>
    <t>IDE008406 IDE008407</t>
  </si>
  <si>
    <t>pirelli mo 23152</t>
  </si>
  <si>
    <t>hankook w330 19003</t>
  </si>
  <si>
    <t>IDE008402</t>
  </si>
  <si>
    <t>hankook w330 18944</t>
  </si>
  <si>
    <t>pirelli scorpion winter RFT 23120</t>
  </si>
  <si>
    <t>IDE008422</t>
  </si>
  <si>
    <t>pirelli scorpion winter RFT 23014</t>
  </si>
  <si>
    <t>sailun ice blazer arctic 18755</t>
  </si>
  <si>
    <t>70eur+kurjer 15e</t>
  </si>
  <si>
    <t>pirelli MO 23288</t>
  </si>
  <si>
    <t>467eur</t>
  </si>
  <si>
    <t>IDE008510</t>
  </si>
  <si>
    <t>pirelli MO 23264</t>
  </si>
  <si>
    <t>434eur</t>
  </si>
  <si>
    <t>155/60r15</t>
  </si>
  <si>
    <t>arunas maciunas siusti reikia</t>
  </si>
  <si>
    <t>IDE008413</t>
  </si>
  <si>
    <t>156eur</t>
  </si>
  <si>
    <t>IDE008408</t>
  </si>
  <si>
    <t>agnius tamulionis</t>
  </si>
  <si>
    <t>345eur</t>
  </si>
  <si>
    <t>hankook w409</t>
  </si>
  <si>
    <t>julius puidokas nill nill</t>
  </si>
  <si>
    <t>IDE008447</t>
  </si>
  <si>
    <t>Gediminas Palskis &lt;gpalskis@gmail.com&gt;</t>
  </si>
  <si>
    <t>205/60r16    14829</t>
  </si>
  <si>
    <t>algirdas butkevicius</t>
  </si>
  <si>
    <t>IDE008400</t>
  </si>
  <si>
    <t>225/40r19    21791</t>
  </si>
  <si>
    <t>IDE008405</t>
  </si>
  <si>
    <t>255/35r19     21951</t>
  </si>
  <si>
    <t>Modestas Šienauskas &lt;modestas.sienauskas@gmail.com</t>
  </si>
  <si>
    <t>ide008577</t>
  </si>
  <si>
    <t>58eur+montazke</t>
  </si>
  <si>
    <t>mjn973 montazke? cia kur debicu nebereikejo nauju</t>
  </si>
  <si>
    <t xml:space="preserve">rimas100@gmail.com </t>
  </si>
  <si>
    <t>montazke 1 rato IDE008562</t>
  </si>
  <si>
    <t>disku keitimas su kaladem</t>
  </si>
  <si>
    <t>RT 20312-GL 2x45eur</t>
  </si>
  <si>
    <t>E210H D226 7eur</t>
  </si>
  <si>
    <t>tepalai</t>
  </si>
  <si>
    <t>laurynas goncauskas prius 2010m</t>
  </si>
  <si>
    <t>ADT32514 5eur</t>
  </si>
  <si>
    <t>ADT322110 9eur</t>
  </si>
  <si>
    <t>OC 196  7.5+pvm</t>
  </si>
  <si>
    <t>xclean+ tepalai 5l</t>
  </si>
  <si>
    <t>253400 km</t>
  </si>
  <si>
    <t>LX 2672 10.5+pvm</t>
  </si>
  <si>
    <t>E2945LC 16.5+pvm</t>
  </si>
  <si>
    <t>E40H D105  6.5+pvm</t>
  </si>
  <si>
    <t>1 457 433 160  12eur</t>
  </si>
  <si>
    <t>1 987 432 383  13+pvm</t>
  </si>
  <si>
    <t>dvieju auto montazke pezo ir subaru, priority</t>
  </si>
  <si>
    <t>rato dazymas,virinimas</t>
  </si>
  <si>
    <t>dvieju balansas, vieno montazke</t>
  </si>
  <si>
    <t>antonas mejus tesla3</t>
  </si>
  <si>
    <t>IDE008690</t>
  </si>
  <si>
    <t>paulius norkus diamedica</t>
  </si>
  <si>
    <t>163+montazke antra jau cia</t>
  </si>
  <si>
    <t>IDE008497 LUV493 GWL2278401747270</t>
  </si>
  <si>
    <t>luv495 perf+ GWL2259139178678</t>
  </si>
  <si>
    <t>165+166+kurjer ? IDE008398</t>
  </si>
  <si>
    <t>317savikaina su kurjeriu IDE008398</t>
  </si>
  <si>
    <t xml:space="preserve">nauji varztai 20eur </t>
  </si>
  <si>
    <t>ratu balansas 30eur m3</t>
  </si>
  <si>
    <t>Diamedica | Livijus Mintaučkis &lt;livijus@diamedica.lt</t>
  </si>
  <si>
    <t>IDE008511</t>
  </si>
  <si>
    <t>marshal mu12</t>
  </si>
  <si>
    <t>paulius valiunas</t>
  </si>
  <si>
    <t>193eur IDE008379</t>
  </si>
  <si>
    <t>0w40 v300 4x2l po 40eur</t>
  </si>
  <si>
    <t>FP 30 007  72eur</t>
  </si>
  <si>
    <t>kristis kristijonas plioplys m4g82</t>
  </si>
  <si>
    <t>C 26 047   25eur</t>
  </si>
  <si>
    <t>C 28 053   25eur</t>
  </si>
  <si>
    <t>ratu balansas su rastafkiu uzdejimu</t>
  </si>
  <si>
    <t>atveze valgyt visiem :D</t>
  </si>
  <si>
    <t>DF6667 abu 60eur</t>
  </si>
  <si>
    <t>0 986 494 805  45eur</t>
  </si>
  <si>
    <t>RT 21278-GL  100eur</t>
  </si>
  <si>
    <t>vilius ivanauskas kaimynas</t>
  </si>
  <si>
    <t>P 61 127  40eur</t>
  </si>
  <si>
    <t>vilius kaimynas</t>
  </si>
  <si>
    <t>pezo r18suv montzke priority ir dvi padangos prasukineta ir svorio dx</t>
  </si>
  <si>
    <t>dvieju ratu lyginimas 2x25eur</t>
  </si>
  <si>
    <t>ratu dazymas su kurjeriu</t>
  </si>
  <si>
    <t>ratu pakeitimas ir prasukimas 25eur</t>
  </si>
  <si>
    <t>bmw ratu dazymas</t>
  </si>
  <si>
    <t>IDE008459</t>
  </si>
  <si>
    <t>montzke+dazymas</t>
  </si>
  <si>
    <t>FE45569 25eur</t>
  </si>
  <si>
    <t>Akumuliatorius 95 Ah 720 A EN 12V</t>
  </si>
  <si>
    <t>exide g8</t>
  </si>
  <si>
    <t>102eur IDE008440</t>
  </si>
  <si>
    <t>Valdas Simutis &lt;valdas.simutis@gmail.com</t>
  </si>
  <si>
    <t>GWL2253461845273 LPD123</t>
  </si>
  <si>
    <t>IDE008394</t>
  </si>
  <si>
    <t>IDE008417</t>
  </si>
  <si>
    <t>IDE008611</t>
  </si>
  <si>
    <t>downpipe keitimas/apvyniojimas</t>
  </si>
  <si>
    <t>zvakiu keitimas ir ziedu valymas</t>
  </si>
  <si>
    <t>daktarai ir visi kiti burtai suede laiko</t>
  </si>
  <si>
    <t>ic slangu valymas, sarnyru traukiu persukimas</t>
  </si>
  <si>
    <t>5w50 nauji +2l pasieme</t>
  </si>
  <si>
    <t>turbos keitimas ir turba</t>
  </si>
  <si>
    <t>5w50 nauji 6l</t>
  </si>
  <si>
    <t>65+pvm moller detales</t>
  </si>
  <si>
    <t>naujas racingline filtras 140eur?</t>
  </si>
  <si>
    <t>ausinimo skystis 5l  15eur</t>
  </si>
  <si>
    <t>prius balansas visu ratu</t>
  </si>
  <si>
    <t>IDE008521</t>
  </si>
  <si>
    <t xml:space="preserve">  </t>
  </si>
  <si>
    <t>Viktor Daukša &lt;info@pamatika.lt</t>
  </si>
  <si>
    <t>IDE008403 su montazke</t>
  </si>
  <si>
    <t>Robertas &lt;robertas@instabalt.lt</t>
  </si>
  <si>
    <t>IDE008393</t>
  </si>
  <si>
    <t>162eur+montazke</t>
  </si>
  <si>
    <t>IDE008480</t>
  </si>
  <si>
    <t>mpa589</t>
  </si>
  <si>
    <t>genadijus.beliavskis@gmail.com</t>
  </si>
  <si>
    <t>mnc701 sprinteris   rato klijavimas vieno</t>
  </si>
  <si>
    <t>IDE008626</t>
  </si>
  <si>
    <t>irankis.lt</t>
  </si>
  <si>
    <t>audrius.luksa@gmail.com</t>
  </si>
  <si>
    <t>skoda octavia r16 MYG869</t>
  </si>
  <si>
    <t>priority</t>
  </si>
  <si>
    <t>vw passat gfr796 r16</t>
  </si>
  <si>
    <t>triangle plo01</t>
  </si>
  <si>
    <t>IDE008404</t>
  </si>
  <si>
    <t>zvakes 5x15.5eur</t>
  </si>
  <si>
    <t>motul 0w40 2x3L v300 po40e?</t>
  </si>
  <si>
    <t>filtras tepalo 12eur</t>
  </si>
  <si>
    <t>P85152X 175eur</t>
  </si>
  <si>
    <t>P 06 111 100eur + keitimas kaladziu priekis ir galas ir padangas is cup2 i conti</t>
  </si>
  <si>
    <t>paulius valiukevicius m2comp</t>
  </si>
  <si>
    <t>IDE008567</t>
  </si>
  <si>
    <t>giedrius lenkandra</t>
  </si>
  <si>
    <t>michelin ice snow</t>
  </si>
  <si>
    <t>207savik</t>
  </si>
  <si>
    <t>IDE008421</t>
  </si>
  <si>
    <t>207savik +kurjer   230+229 siulymas</t>
  </si>
  <si>
    <r>
      <rPr>
        <rFont val="&quot;Google Sans&quot;, Roboto, RobotoDraft, Helvetica, Arial, sans-serif"/>
        <color rgb="FF5E5E5E"/>
      </rPr>
      <t xml:space="preserve">jonas venskunas </t>
    </r>
    <r>
      <rPr>
        <rFont val="&quot;Google Sans&quot;, Roboto, RobotoDraft, Helvetica, Arial, sans-serif"/>
        <color rgb="FF1155CC"/>
        <u/>
      </rPr>
      <t>https://rekvizitai.vz.lt/imone/kreditu_valdymo_grupe/</t>
    </r>
  </si>
  <si>
    <t>IDE008409</t>
  </si>
  <si>
    <t>IDE008520</t>
  </si>
  <si>
    <t>julius juodisius daumantas.zavadskis@gmail.com</t>
  </si>
  <si>
    <t>129eur+montazke priority</t>
  </si>
  <si>
    <t>civic dar montazke padangu</t>
  </si>
  <si>
    <t>IDE008516</t>
  </si>
  <si>
    <t>IDE008507</t>
  </si>
  <si>
    <t>andrius nasvytis Artūrui Blekaičiui</t>
  </si>
  <si>
    <t>130eur IDE008438</t>
  </si>
  <si>
    <t>IDE008437</t>
  </si>
  <si>
    <t>IDE008437 MFT476  GWL2229206762653</t>
  </si>
  <si>
    <t>162eur kurjeris</t>
  </si>
  <si>
    <t>IDE008436</t>
  </si>
  <si>
    <t>laurynas dagys katalizatoriai LTP963</t>
  </si>
  <si>
    <t>IDE008505</t>
  </si>
  <si>
    <t>laurynas katalizatoriai JEH370</t>
  </si>
  <si>
    <t>202eur + priority montaz</t>
  </si>
  <si>
    <t>IDE008505 JEH370</t>
  </si>
  <si>
    <t>GWL2239527219511</t>
  </si>
  <si>
    <t>164eur+montazke priority</t>
  </si>
  <si>
    <t>IDE008569</t>
  </si>
  <si>
    <t>GWL2261043311927</t>
  </si>
  <si>
    <t>fiesta priority montaz</t>
  </si>
  <si>
    <t>EB0489</t>
  </si>
  <si>
    <t>IDE008451</t>
  </si>
  <si>
    <t>245/60r18</t>
  </si>
  <si>
    <t>marius prinstorm orantas</t>
  </si>
  <si>
    <t>IDE008523</t>
  </si>
  <si>
    <t>tomas mingela interlux passat</t>
  </si>
  <si>
    <t>elena karaliene elenajanciukaite@gmail.com MZE505</t>
  </si>
  <si>
    <t>IDE008503 GWL2283682940417</t>
  </si>
  <si>
    <t>MZE505</t>
  </si>
  <si>
    <t>ernestas r &lt;erimselis@gmail.com</t>
  </si>
  <si>
    <t>IDE008487</t>
  </si>
  <si>
    <t>IDE008483</t>
  </si>
  <si>
    <t>matvydas cekutis</t>
  </si>
  <si>
    <t>92eur su kurjer+10</t>
  </si>
  <si>
    <t>1356-1188=168e</t>
  </si>
  <si>
    <t>balansas passat alltrack</t>
  </si>
  <si>
    <t>98eur + montazke priority</t>
  </si>
  <si>
    <t>IDE008518</t>
  </si>
  <si>
    <t>290eur IDE008416</t>
  </si>
  <si>
    <t>LMJ241 GWL2277844126496</t>
  </si>
  <si>
    <t>245eur+montzke prior</t>
  </si>
  <si>
    <t>IDE008498 DEH071 GWL2232759685143</t>
  </si>
  <si>
    <t xml:space="preserve">LUS699 GWL2294617783647 </t>
  </si>
  <si>
    <t>IDE008420</t>
  </si>
  <si>
    <t>IDE008431</t>
  </si>
  <si>
    <t>IDE008432</t>
  </si>
  <si>
    <t>hankook w429a</t>
  </si>
  <si>
    <t>IDE008430</t>
  </si>
  <si>
    <t>mantvydas cekutis mince</t>
  </si>
  <si>
    <t>IDE008475</t>
  </si>
  <si>
    <t>goodride sw628</t>
  </si>
  <si>
    <t>Kristijonas Zaranka &lt;kristijonas.zaranka@gmail.com</t>
  </si>
  <si>
    <t>60eur IDE008435</t>
  </si>
  <si>
    <t>westlake z507</t>
  </si>
  <si>
    <t>84eur IDE008434</t>
  </si>
  <si>
    <t>montazke mazda r17 priority IDE008443</t>
  </si>
  <si>
    <t>montazke r19 IDE008519</t>
  </si>
  <si>
    <t>edgaras kovaliovas les374</t>
  </si>
  <si>
    <t>160eur ir montaz</t>
  </si>
  <si>
    <t>JCD824 montaz priority</t>
  </si>
  <si>
    <t>62eir+montazke</t>
  </si>
  <si>
    <t>sava eskimo lt</t>
  </si>
  <si>
    <t>tomas mingela interlux crafter MPF542</t>
  </si>
  <si>
    <t>IDE008532</t>
  </si>
  <si>
    <t>maxxis premitra wp6</t>
  </si>
  <si>
    <t>raimond dofa prekyba</t>
  </si>
  <si>
    <t>dave 800 ir montavo 4ias masinas sekmad?</t>
  </si>
  <si>
    <t>devetas po 30e ? ir montavo dar</t>
  </si>
  <si>
    <t>goodyear ug perf+ to</t>
  </si>
  <si>
    <t>217.51+pvm</t>
  </si>
  <si>
    <t>IDE008506</t>
  </si>
  <si>
    <t>7T0071496  AX1</t>
  </si>
  <si>
    <t>ratai</t>
  </si>
  <si>
    <t>760071490  2XF</t>
  </si>
  <si>
    <t>5G0071498A 2ZT</t>
  </si>
  <si>
    <t>dave 428eur</t>
  </si>
  <si>
    <t>antonas mejus dspro KEH790</t>
  </si>
  <si>
    <t>70eur+priority montaz</t>
  </si>
  <si>
    <t>IDE008660</t>
  </si>
  <si>
    <t>IDE008419</t>
  </si>
  <si>
    <t>R22x10 5X112 ET 43 66.6 B1766 BLHMPL</t>
  </si>
  <si>
    <t>china ratai r22</t>
  </si>
  <si>
    <t>IDE008425</t>
  </si>
  <si>
    <t>dave 2040eur kartu dar su kazkuo</t>
  </si>
  <si>
    <t>R22x11.5 5X112 ET 47 66.6</t>
  </si>
  <si>
    <t>kurjeris 30</t>
  </si>
  <si>
    <t>davikliai 35eur</t>
  </si>
  <si>
    <t>varztai 85eur</t>
  </si>
  <si>
    <t xml:space="preserve">IDE008425   </t>
  </si>
  <si>
    <t>grynais dave jam</t>
  </si>
  <si>
    <t>nerijus zilius EB6556</t>
  </si>
  <si>
    <t>113eur + montaz priority</t>
  </si>
  <si>
    <t>IDE008650</t>
  </si>
  <si>
    <t>lrl101</t>
  </si>
  <si>
    <t>montazke,  dave 50eur</t>
  </si>
  <si>
    <t>skoda kodiaq interlux mst864</t>
  </si>
  <si>
    <t>debico frigo hp2</t>
  </si>
  <si>
    <t>montazke ir balansas visu ir psasauga lietaku</t>
  </si>
  <si>
    <t>gripmax suregrip pro winter</t>
  </si>
  <si>
    <t>IDE008418</t>
  </si>
  <si>
    <t>ftc131 IDE009010</t>
  </si>
  <si>
    <t>montazke priority 2vnt+kurjer</t>
  </si>
  <si>
    <t>IDE008502 gwl2316415058319</t>
  </si>
  <si>
    <t>285/65r18</t>
  </si>
  <si>
    <t>bfgoodrich allterrain ko02</t>
  </si>
  <si>
    <t>Donatas Dudutis &lt;donatas.dudutis@gmail.com</t>
  </si>
  <si>
    <t>IDE008414</t>
  </si>
  <si>
    <t>mantas mazeika mrg607 tomas beinartas</t>
  </si>
  <si>
    <t>IDE008485</t>
  </si>
  <si>
    <t>GWL2297781318146 mrg607</t>
  </si>
  <si>
    <t>julius vaitiekunas friskas</t>
  </si>
  <si>
    <t>dave 608eur</t>
  </si>
  <si>
    <t>IDE008946</t>
  </si>
  <si>
    <t>kumho devetos po 20eur</t>
  </si>
  <si>
    <t>KDV 452 montazke priority</t>
  </si>
  <si>
    <t>LRI 137 montazke</t>
  </si>
  <si>
    <t>lfl155 montazke  2vnt</t>
  </si>
  <si>
    <t>20eur pridet nes supiso laika viena</t>
  </si>
  <si>
    <t>simonas kazbaras Artemij Aksioncik luv873</t>
  </si>
  <si>
    <t>montazke prius20240109</t>
  </si>
  <si>
    <t>49+montazke MGF 289 IDE008496</t>
  </si>
  <si>
    <t>59+6kurjeris</t>
  </si>
  <si>
    <t>ratu dazymas tesla  ir dvi padangas numontuot</t>
  </si>
  <si>
    <t>IDE008689</t>
  </si>
  <si>
    <t>89eur+montazke+2dacikai</t>
  </si>
  <si>
    <t>149eur</t>
  </si>
  <si>
    <t>ide008583</t>
  </si>
  <si>
    <t>IDE008456</t>
  </si>
  <si>
    <t xml:space="preserve">35x12.5r18 </t>
  </si>
  <si>
    <t>315eur IDE008636</t>
  </si>
  <si>
    <t>montazke  IDE008636</t>
  </si>
  <si>
    <t>goodyear ug perf</t>
  </si>
  <si>
    <t>861209208 andrius virbickas</t>
  </si>
  <si>
    <t>861209208 andrius virbickas LYF699</t>
  </si>
  <si>
    <t>56eur+montazke IDE008724</t>
  </si>
  <si>
    <r>
      <rPr/>
      <t xml:space="preserve">martynas narkevicius </t>
    </r>
    <r>
      <rPr>
        <color rgb="FF1155CC"/>
        <u/>
      </rPr>
      <t>martynas.sn</t>
    </r>
    <r>
      <rPr/>
      <t>@gmail.com 867081776</t>
    </r>
  </si>
  <si>
    <t>68eur+priority montaz</t>
  </si>
  <si>
    <t>IDE008503</t>
  </si>
  <si>
    <t>arturas samalius</t>
  </si>
  <si>
    <t>IDE008465</t>
  </si>
  <si>
    <t>3 397 007 945 25eur</t>
  </si>
  <si>
    <t>IDE008428</t>
  </si>
  <si>
    <t>HEP631 interlux</t>
  </si>
  <si>
    <t>IDE008513</t>
  </si>
  <si>
    <t>r18 pretoria po 130eur</t>
  </si>
  <si>
    <t>Justas Rutkauskas fb</t>
  </si>
  <si>
    <t>IDE008488</t>
  </si>
  <si>
    <t>winmaster prox 3</t>
  </si>
  <si>
    <t>montazke r16 nauju be masinos</t>
  </si>
  <si>
    <t>r19 audi sumontuot be masinos</t>
  </si>
  <si>
    <t>r16c numontuot tik</t>
  </si>
  <si>
    <t>125eur+montazke priority GZN006</t>
  </si>
  <si>
    <t>IDE008441</t>
  </si>
  <si>
    <t>114eur</t>
  </si>
  <si>
    <t>piotras Savranskis &lt;savranskis@gmail.com</t>
  </si>
  <si>
    <t>IDE008489</t>
  </si>
  <si>
    <t>Augenijus nuo gluoksnio 868369353 augis@tova.lt</t>
  </si>
  <si>
    <t>GWL2215188533432 MHH699</t>
  </si>
  <si>
    <t>IDE008446</t>
  </si>
  <si>
    <t>tomas mingela passat cc interlux</t>
  </si>
  <si>
    <t>ide008575</t>
  </si>
  <si>
    <t>airingas vas</t>
  </si>
  <si>
    <t>IDE008427</t>
  </si>
  <si>
    <t>Mantas Pilipavičius &lt;mantas@eru.lt vidma milzinas</t>
  </si>
  <si>
    <t>IDE008453</t>
  </si>
  <si>
    <t>Andrius Šoblinskas &lt;and.soblinskas@gmail.com</t>
  </si>
  <si>
    <t>65+montazke priority</t>
  </si>
  <si>
    <t>goodyear vector 4s</t>
  </si>
  <si>
    <t>182eur+montzke</t>
  </si>
  <si>
    <t>IDE008572</t>
  </si>
  <si>
    <t>65eur+montazke</t>
  </si>
  <si>
    <t>hfs281</t>
  </si>
  <si>
    <t>75+montaz</t>
  </si>
  <si>
    <t>uz montazke pridet 10eur</t>
  </si>
  <si>
    <t>IDE008863</t>
  </si>
  <si>
    <t>EV7641, Skoda Octavia</t>
  </si>
  <si>
    <t>montazke r19 su priority</t>
  </si>
  <si>
    <t>edmontas@gmail.com Edmontas Šiugžda</t>
  </si>
  <si>
    <t>IDE008677</t>
  </si>
  <si>
    <t>hankook rw11</t>
  </si>
  <si>
    <t>180eur IDE008472</t>
  </si>
  <si>
    <t>IDE008541</t>
  </si>
  <si>
    <t>160eur IDE008478 GWL2211644102708</t>
  </si>
  <si>
    <t>LIM711</t>
  </si>
  <si>
    <t>Nerijus Bražėnas</t>
  </si>
  <si>
    <t>aurimas nav  MLA101 Audi S5</t>
  </si>
  <si>
    <t>229eur ir montazke</t>
  </si>
  <si>
    <t>IDE008536</t>
  </si>
  <si>
    <t>skola</t>
  </si>
  <si>
    <t>IDE008460</t>
  </si>
  <si>
    <t>IDE008574</t>
  </si>
  <si>
    <t>pirelli scorp winter 2</t>
  </si>
  <si>
    <t>IDE008542</t>
  </si>
  <si>
    <t>paulius mizutavicius pavlucho</t>
  </si>
  <si>
    <t>432eur IDE008469</t>
  </si>
  <si>
    <t>Tomas Gajauskas &lt;gajauskas.tomas@gmail.com Lep791</t>
  </si>
  <si>
    <t>204eur+montazke priority ide008576</t>
  </si>
  <si>
    <t>fake montazke kazkiek su + priority</t>
  </si>
  <si>
    <t>mes023 priority montazke</t>
  </si>
  <si>
    <t>110eur priority montaz skoda</t>
  </si>
  <si>
    <t>IDE008493</t>
  </si>
  <si>
    <t>avensis priority montazke +10eur</t>
  </si>
  <si>
    <t>245eur+montazke priority</t>
  </si>
  <si>
    <t>IDE008666</t>
  </si>
  <si>
    <t>101eur</t>
  </si>
  <si>
    <t>Paulius Armalis &lt;parmalis@gmail.com</t>
  </si>
  <si>
    <t>IDE008462</t>
  </si>
  <si>
    <t>IDE008457</t>
  </si>
  <si>
    <t>MST038 GWL2227461124573</t>
  </si>
  <si>
    <t>IDE008454</t>
  </si>
  <si>
    <t>GWL2210627733110 GFU190</t>
  </si>
  <si>
    <t>n60 akumas 89eur</t>
  </si>
  <si>
    <t>pirelli pzero winter mo</t>
  </si>
  <si>
    <t>IDE008463</t>
  </si>
  <si>
    <t>Kasparas Kubilinskas</t>
  </si>
  <si>
    <t>IDE008476</t>
  </si>
  <si>
    <t>IDE008471</t>
  </si>
  <si>
    <t>129eur IDE008517</t>
  </si>
  <si>
    <t>airbog rysard montazke x6 70e LEL600</t>
  </si>
  <si>
    <t>IDE008692</t>
  </si>
  <si>
    <t>airbog rysard montazke   KZR 121, volkswagen, scirocco proirity balansas ir permest ratus</t>
  </si>
  <si>
    <t>pirelli pzero luxury mos</t>
  </si>
  <si>
    <t>IDE008452</t>
  </si>
  <si>
    <t>cooper zeon</t>
  </si>
  <si>
    <t>IDE008482</t>
  </si>
  <si>
    <t>IDE008445</t>
  </si>
  <si>
    <t>IDE008573</t>
  </si>
  <si>
    <t>UAB Kalpokų ūkis</t>
  </si>
  <si>
    <t>jdv979 rta grupe mersas rta grupe 867888660 e.baciliuniene@gmail.com</t>
  </si>
  <si>
    <t>r17 priority IDE008725</t>
  </si>
  <si>
    <t>129+145eur</t>
  </si>
  <si>
    <t>IDE008665</t>
  </si>
  <si>
    <t>setaltas henrikas staselovicius</t>
  </si>
  <si>
    <t>IDE008612</t>
  </si>
  <si>
    <t>donatas diverus jucius</t>
  </si>
  <si>
    <t>372+525siulyta o dabar 1838eur savikaina</t>
  </si>
  <si>
    <t>IDE008524</t>
  </si>
  <si>
    <t>erik kapulkin</t>
  </si>
  <si>
    <t>IDE008492</t>
  </si>
  <si>
    <t>IDE008504</t>
  </si>
  <si>
    <t>4i davikliai mersui nauji</t>
  </si>
  <si>
    <t>Rokas Venslovas &lt;venslovasrokas@gmail.com</t>
  </si>
  <si>
    <t>63+montazke</t>
  </si>
  <si>
    <t>aurimas nav ims langu skyscio kuklys</t>
  </si>
  <si>
    <t>15*3 pasieme langam skysti</t>
  </si>
  <si>
    <t>sailun dygliai</t>
  </si>
  <si>
    <t>Elžbieta Juknė elzbietao@gmail.com KFO168</t>
  </si>
  <si>
    <t>61+montazke</t>
  </si>
  <si>
    <t>MNR347</t>
  </si>
  <si>
    <t>772eur</t>
  </si>
  <si>
    <t>IDE008461 GWL2220035148938</t>
  </si>
  <si>
    <t>446eur</t>
  </si>
  <si>
    <t>IDE008461</t>
  </si>
  <si>
    <t>kurjeris +30e</t>
  </si>
  <si>
    <t>pirelli ice</t>
  </si>
  <si>
    <t>Vitas &lt;vitmas@gmx.com</t>
  </si>
  <si>
    <t>IDE008474</t>
  </si>
  <si>
    <t>868292338 is sms andrius ambroza</t>
  </si>
  <si>
    <t>128eur ir montaz?</t>
  </si>
  <si>
    <t>57+51eur</t>
  </si>
  <si>
    <t>Audrius Raiselis</t>
  </si>
  <si>
    <t>IDE008491</t>
  </si>
  <si>
    <t>interlux msb723</t>
  </si>
  <si>
    <t>Danielius Greiciunas Techlinta &lt;info@techlinta.eu&gt;</t>
  </si>
  <si>
    <t>IDE008473</t>
  </si>
  <si>
    <t>245/55r17</t>
  </si>
  <si>
    <t>Justas Strakšys</t>
  </si>
  <si>
    <t>148eur+montazke hemarojus</t>
  </si>
  <si>
    <t>rankis.lt</t>
  </si>
  <si>
    <t>mnc701 montazke busas didelis</t>
  </si>
  <si>
    <t>MAU139 montazke busas traffic</t>
  </si>
  <si>
    <t>tomas.z@irankis.lt</t>
  </si>
  <si>
    <t xml:space="preserve">MJP 256 montazke </t>
  </si>
  <si>
    <t>IDE008490</t>
  </si>
  <si>
    <t>IDE008664</t>
  </si>
  <si>
    <t>grazinau 50eur isskaiciuot</t>
  </si>
  <si>
    <t>180085km</t>
  </si>
  <si>
    <t>C 28 040</t>
  </si>
  <si>
    <t>E825H D265</t>
  </si>
  <si>
    <t>laurynas goncauskas kia sportage LLI571</t>
  </si>
  <si>
    <t>priority IDE008608</t>
  </si>
  <si>
    <t>IDE008608</t>
  </si>
  <si>
    <t>IDE008694</t>
  </si>
  <si>
    <t>aivaras svirplys fb</t>
  </si>
  <si>
    <t>IDE008502</t>
  </si>
  <si>
    <t>lizdas K &lt;vaidzia@gmail.com</t>
  </si>
  <si>
    <t>IDE008714</t>
  </si>
  <si>
    <t>0 986 424 780 39 eur</t>
  </si>
  <si>
    <t>jurgis berzinis jurgis.berzinis@gmail.com</t>
  </si>
  <si>
    <t>montazke r17 IDE008484</t>
  </si>
  <si>
    <t>gislaved vasara</t>
  </si>
  <si>
    <t>Saulius Asaka</t>
  </si>
  <si>
    <t>IDE008481</t>
  </si>
  <si>
    <t>goodyear ug perf3 xl</t>
  </si>
  <si>
    <t>IDE008494</t>
  </si>
  <si>
    <t>zilvinas ribaltavicius nemesis ricardas</t>
  </si>
  <si>
    <t>dvi naudotos su kurjeriu i kauna</t>
  </si>
  <si>
    <t>IDE008499</t>
  </si>
  <si>
    <t>SG03.5656</t>
  </si>
  <si>
    <t>0w20 motul spec 3x5L</t>
  </si>
  <si>
    <t>po 65eur issiusta i lazdijus</t>
  </si>
  <si>
    <t>dave 3500 ir tiek pervesta i sask</t>
  </si>
  <si>
    <t>IDE008526</t>
  </si>
  <si>
    <t>akvalita</t>
  </si>
  <si>
    <t>montazke r16 ratu touaran 45</t>
  </si>
  <si>
    <t>IDE008721</t>
  </si>
  <si>
    <t>PO kaina</t>
  </si>
  <si>
    <t>goodyear ug perf sct</t>
  </si>
  <si>
    <t>rimas kuliesius rimakas</t>
  </si>
  <si>
    <t>montazke visu ir pasauga+6vnt langu skystis</t>
  </si>
  <si>
    <t>193e</t>
  </si>
  <si>
    <t>IDE008509</t>
  </si>
  <si>
    <t>danielius jurna juodisius</t>
  </si>
  <si>
    <t>IDE008515</t>
  </si>
  <si>
    <t>ratlankiai juodi vw</t>
  </si>
  <si>
    <t>montazke 20+pvm</t>
  </si>
  <si>
    <t>Tautvydas Mikolaitis</t>
  </si>
  <si>
    <t>246eur+montazke3+1</t>
  </si>
  <si>
    <t>uab stareka</t>
  </si>
  <si>
    <t>Giedre Ryzenokiene</t>
  </si>
  <si>
    <t>subaru montazke r18</t>
  </si>
  <si>
    <t>IDE008723</t>
  </si>
  <si>
    <t>Tomas &lt;tomas@sdambasada.eu</t>
  </si>
  <si>
    <t>IDE008500</t>
  </si>
  <si>
    <t>180+montazke IDE008464</t>
  </si>
  <si>
    <t>65eur+motnzke visu IDE008722</t>
  </si>
  <si>
    <t>IDE008522</t>
  </si>
  <si>
    <t>varta a14</t>
  </si>
  <si>
    <t>denisas akumas 51eur</t>
  </si>
  <si>
    <t>skoda montazke r17</t>
  </si>
  <si>
    <t>IDE008719</t>
  </si>
  <si>
    <t>montazke dzipo toyotos</t>
  </si>
  <si>
    <t>julius navagrudskas rasos</t>
  </si>
  <si>
    <t>montazke busiko IDE008720</t>
  </si>
  <si>
    <t>montazke keturiu ratu atskirai r16</t>
  </si>
  <si>
    <t>galiniai diskai po 43eur 2vnt</t>
  </si>
  <si>
    <t>kaladeles brembo 45er</t>
  </si>
  <si>
    <t>keitimas visko ir padangu tuo paciu</t>
  </si>
  <si>
    <t>marius savickas interlux multivan htf127</t>
  </si>
  <si>
    <t>donatas siurna kokybiski auto UAB "Virus Projektai" 302693809</t>
  </si>
  <si>
    <t>IDE008527</t>
  </si>
  <si>
    <t xml:space="preserve">lassa </t>
  </si>
  <si>
    <t>rimantas vokietaitis</t>
  </si>
  <si>
    <t>IDE008514</t>
  </si>
  <si>
    <t>214 ?</t>
  </si>
  <si>
    <t>IDE008386</t>
  </si>
  <si>
    <t>sailun commercio</t>
  </si>
  <si>
    <t>Linas ExtremeDelight &lt;linasextremedelight@gmail.com</t>
  </si>
  <si>
    <t>84+montazke ir langu skystis 5x3</t>
  </si>
  <si>
    <t>diverus donatas jucius cayene lij001 aurimas nav</t>
  </si>
  <si>
    <t>268+pvm savikaina</t>
  </si>
  <si>
    <t>470+pvm</t>
  </si>
  <si>
    <t>IDE008735</t>
  </si>
  <si>
    <t>diverus donatas cayene lij001</t>
  </si>
  <si>
    <t>montazke keli kart ir lopymas</t>
  </si>
  <si>
    <t xml:space="preserve">1135.08+pvm-115eur </t>
  </si>
  <si>
    <t>aurimui sask 745+pvm israsyti bendra saskaita uz LIJ001</t>
  </si>
  <si>
    <t>0w40 v300  8L</t>
  </si>
  <si>
    <t>IDE008651</t>
  </si>
  <si>
    <t>keitimas 35e</t>
  </si>
  <si>
    <t>55eur sumokejo uz alyva diffo mano chaltura</t>
  </si>
  <si>
    <t>linas drobelis naglis</t>
  </si>
  <si>
    <t>IDE008547</t>
  </si>
  <si>
    <t>322+377 savikaina</t>
  </si>
  <si>
    <t>IDE008528</t>
  </si>
  <si>
    <t>montazke tesla model y</t>
  </si>
  <si>
    <t>gintaras grigaravicius 300586566</t>
  </si>
  <si>
    <t>IDE008563</t>
  </si>
  <si>
    <t>ausra nausedaite</t>
  </si>
  <si>
    <t>70+montazke</t>
  </si>
  <si>
    <t xml:space="preserve">zilvinas ribaltavicius </t>
  </si>
  <si>
    <t>79savikaina</t>
  </si>
  <si>
    <t>92+montakze</t>
  </si>
  <si>
    <t>hzu967 interlux</t>
  </si>
  <si>
    <t>valera autoelektrikas</t>
  </si>
  <si>
    <t>IDE008554</t>
  </si>
  <si>
    <t>GWL2243203018867 MTK530</t>
  </si>
  <si>
    <t>julius vaitiekunas friskas Tomas Trifonovas</t>
  </si>
  <si>
    <t>RT 21343-GL T5 2x77eur</t>
  </si>
  <si>
    <t>P 85 145 67eur</t>
  </si>
  <si>
    <t>265/65r18</t>
  </si>
  <si>
    <t>IDE008410</t>
  </si>
  <si>
    <t>IDE008525</t>
  </si>
  <si>
    <t>kaimynas priesais</t>
  </si>
  <si>
    <t>103eur</t>
  </si>
  <si>
    <t>192200km</t>
  </si>
  <si>
    <t>E19H D83 7eur</t>
  </si>
  <si>
    <t xml:space="preserve">1 987 429 404  10eur    </t>
  </si>
  <si>
    <t>IDE008562</t>
  </si>
  <si>
    <t>FDB1398 28eur+keitimas</t>
  </si>
  <si>
    <t>E998LB 19eur</t>
  </si>
  <si>
    <t xml:space="preserve">IDE008570 </t>
  </si>
  <si>
    <t>172+montaz</t>
  </si>
  <si>
    <t>IDE008551</t>
  </si>
  <si>
    <t>skyscio 6vnt IDE008686</t>
  </si>
  <si>
    <t>IDE008552</t>
  </si>
  <si>
    <t>IDE008557</t>
  </si>
  <si>
    <t>149600km</t>
  </si>
  <si>
    <t>0w40 v300 3*40</t>
  </si>
  <si>
    <t>varta a7 155e</t>
  </si>
  <si>
    <t>mantas ank</t>
  </si>
  <si>
    <t>315viso</t>
  </si>
  <si>
    <t>IDE008560</t>
  </si>
  <si>
    <t>ratlankiai vw</t>
  </si>
  <si>
    <t>nerijus ramanauskas</t>
  </si>
  <si>
    <t>95eur revolut</t>
  </si>
  <si>
    <t>ismontuot 6vnt skardu iveco</t>
  </si>
  <si>
    <t>montazke daviklio keitimas 1 rato</t>
  </si>
  <si>
    <t>montazke f150 IDE008646</t>
  </si>
  <si>
    <t>190eur+montaze ir sukeitimas IDE008603</t>
  </si>
  <si>
    <t>Kristijonas Zaranka &lt;kristijonas.zaranka@gmail.com karolis gabartas</t>
  </si>
  <si>
    <t>IDE008613</t>
  </si>
  <si>
    <t>100800km</t>
  </si>
  <si>
    <t>E1105L  16eur</t>
  </si>
  <si>
    <t>OC 977/1 9eur</t>
  </si>
  <si>
    <t>valytuvai 20e</t>
  </si>
  <si>
    <t>574 402 075 varta e38</t>
  </si>
  <si>
    <t>F 026 400 624  16eur</t>
  </si>
  <si>
    <t>04E 115 561 AC  18eur</t>
  </si>
  <si>
    <t>pasieme 6vnt langu skyst 2024-01-25</t>
  </si>
  <si>
    <t>210310km</t>
  </si>
  <si>
    <t>E28H01 D26   8eur</t>
  </si>
  <si>
    <t>LX 1640  25eur</t>
  </si>
  <si>
    <t>LAK 248   22eur</t>
  </si>
  <si>
    <t>xclean+ 8l</t>
  </si>
  <si>
    <t>65+montazke</t>
  </si>
  <si>
    <t>gripmaxxx</t>
  </si>
  <si>
    <t>IDE008568</t>
  </si>
  <si>
    <t>875esavikaina</t>
  </si>
  <si>
    <t>117eur, opasieme ir mokejo?</t>
  </si>
  <si>
    <t>montazke du kartus ir zapaske, beveik valandele</t>
  </si>
  <si>
    <t>IDE008614</t>
  </si>
  <si>
    <t>arturas jucevicius 867613326</t>
  </si>
  <si>
    <t>giedrius lenkandra agitas</t>
  </si>
  <si>
    <t>ide008571</t>
  </si>
  <si>
    <t>255/40r22</t>
  </si>
  <si>
    <t>155eur+montazke IDE008645</t>
  </si>
  <si>
    <t>PMD1790AT (S)</t>
  </si>
  <si>
    <t>40eur IDE008646</t>
  </si>
  <si>
    <t>dave 800e</t>
  </si>
  <si>
    <t>arivo</t>
  </si>
  <si>
    <t>IDE008598</t>
  </si>
  <si>
    <t>ratlankiai alutec</t>
  </si>
  <si>
    <t>IDE008584</t>
  </si>
  <si>
    <t>apiplovimo ieskojimas 1h</t>
  </si>
  <si>
    <t>keitimas stabilniku</t>
  </si>
  <si>
    <t>TC1086 2x13eur</t>
  </si>
  <si>
    <t>IDE008564</t>
  </si>
  <si>
    <t>kalad keitimsa priekis ir galas</t>
  </si>
  <si>
    <t>priekiniu disku keitimias</t>
  </si>
  <si>
    <t>tepalu filtrru keitimas</t>
  </si>
  <si>
    <t>laurynas goncauskas skoda kodiaq</t>
  </si>
  <si>
    <t>oro filtr 13+pvm</t>
  </si>
  <si>
    <t>alyvos filtr 7+pvm</t>
  </si>
  <si>
    <t>salono filtr 11+pvm</t>
  </si>
  <si>
    <t>kuro filtr 26+pvm</t>
  </si>
  <si>
    <t>stabdziu diskai 2x59+pvm</t>
  </si>
  <si>
    <t>kaladeles 48+pvm priekis</t>
  </si>
  <si>
    <t>FE26259 12eur</t>
  </si>
  <si>
    <t>kaladeles galas 30+pvm</t>
  </si>
  <si>
    <t>13.0460-5521.2   47eur</t>
  </si>
  <si>
    <t>13.0460-5520.2 79eur</t>
  </si>
  <si>
    <t>Einar Sturluson &lt;einarbs@icloud.com</t>
  </si>
  <si>
    <t>marijus kebla golf 8</t>
  </si>
  <si>
    <t xml:space="preserve"> IDE008599</t>
  </si>
  <si>
    <t>valdas fedianinas valdoska peugeot</t>
  </si>
  <si>
    <t>montazke1 ir balansas visu</t>
  </si>
  <si>
    <t>IDE008644</t>
  </si>
  <si>
    <t>1rato tikrinimas/montazke</t>
  </si>
  <si>
    <t>Tomas Pečiūra &lt;tomas.peciura86@gmail.com</t>
  </si>
  <si>
    <t>112eur+montazke IDE008607</t>
  </si>
  <si>
    <t>langu skystis 120+60+60</t>
  </si>
  <si>
    <t>IDE008604</t>
  </si>
  <si>
    <t>golf ratu keitimas</t>
  </si>
  <si>
    <t>IDE008686</t>
  </si>
  <si>
    <t>bmw m2 dvieju ratu montazke ir sukeitimas</t>
  </si>
  <si>
    <t>ausines buds fe  50eur</t>
  </si>
  <si>
    <t xml:space="preserve">Virginijus Kumbrevicius &lt;vkumbrevicius@gmail.com 869967278 </t>
  </si>
  <si>
    <t>125e</t>
  </si>
  <si>
    <t>passat spyruokles keitimas 50eur</t>
  </si>
  <si>
    <t>IDE008953</t>
  </si>
  <si>
    <t>9bakeliai vandens</t>
  </si>
  <si>
    <t>brigestone blizzak ice</t>
  </si>
  <si>
    <t>mantas kisielius</t>
  </si>
  <si>
    <t>IDE008628</t>
  </si>
  <si>
    <t>akumas varta a6 80ah agm</t>
  </si>
  <si>
    <t>177eur IDE008624</t>
  </si>
  <si>
    <t>michelin pilot alpin 5</t>
  </si>
  <si>
    <t>tarandesnamas@gmail.com Algis Butrimovič</t>
  </si>
  <si>
    <t>audrius jas  sask reik i 12men  Uab Alfatelis</t>
  </si>
  <si>
    <t>126+montazke IDE008622</t>
  </si>
  <si>
    <t>goodride sw613</t>
  </si>
  <si>
    <t>povilas dabrila juozas</t>
  </si>
  <si>
    <t>IDE008643</t>
  </si>
  <si>
    <t>benas vidziunas diverus</t>
  </si>
  <si>
    <t>IDE008640</t>
  </si>
  <si>
    <t>284300km</t>
  </si>
  <si>
    <t>0 451 103 276  7eur</t>
  </si>
  <si>
    <t>F 026 400 017  13eur</t>
  </si>
  <si>
    <t>1 987 302 777 5eur</t>
  </si>
  <si>
    <t>60717126012  2x40eur</t>
  </si>
  <si>
    <t>1 987 432 088  13eur</t>
  </si>
  <si>
    <t>X-TECH 5W30 5L   36eur</t>
  </si>
  <si>
    <t>babinos keitimas</t>
  </si>
  <si>
    <t>lemputes keitimas</t>
  </si>
  <si>
    <t>SS12306-12B1 30eur</t>
  </si>
  <si>
    <t>skola ir liko matyt...</t>
  </si>
  <si>
    <t>e11 varta 74ah akumas</t>
  </si>
  <si>
    <t>260e IDE008636 grazinau</t>
  </si>
  <si>
    <t>IDE008642</t>
  </si>
  <si>
    <t>F 026 400 228  13eur</t>
  </si>
  <si>
    <t>laurynas goncauskas sportage LEC882</t>
  </si>
  <si>
    <t>IDE008806</t>
  </si>
  <si>
    <t>0 986 479 C14 2x35eur</t>
  </si>
  <si>
    <t>P 30 068 35eur</t>
  </si>
  <si>
    <t>LPR01095 27eur</t>
  </si>
  <si>
    <t>SYNER-Z 5W30 5L  44eur</t>
  </si>
  <si>
    <t>zvakes 4x27e</t>
  </si>
  <si>
    <t>stabdziu ir rankinio keitimas</t>
  </si>
  <si>
    <t>zvaku keitimas</t>
  </si>
  <si>
    <t>keitimas radiko</t>
  </si>
  <si>
    <t>laurynas goncauskas skoda octavia</t>
  </si>
  <si>
    <t>IDE008807</t>
  </si>
  <si>
    <t>NRF 54361</t>
  </si>
  <si>
    <t>antifryzas 15eur</t>
  </si>
  <si>
    <t>IDE008633</t>
  </si>
  <si>
    <t>pirelli tesla</t>
  </si>
  <si>
    <t>200e+montazke? IDE008696</t>
  </si>
  <si>
    <t>136100km</t>
  </si>
  <si>
    <t>5G0 953 236  43eur</t>
  </si>
  <si>
    <t>5G1 823 531   18eur</t>
  </si>
  <si>
    <t>5w50 300v  3x40eur</t>
  </si>
  <si>
    <t>avarinis kapoto atidarymas</t>
  </si>
  <si>
    <t>F 026 407 278  15eur</t>
  </si>
  <si>
    <t>zvakiu tikrinimas?</t>
  </si>
  <si>
    <t>thule lagaminas</t>
  </si>
  <si>
    <t>dave 580eur IDE008641</t>
  </si>
  <si>
    <t>170000km</t>
  </si>
  <si>
    <t>5w30 specific 5+1</t>
  </si>
  <si>
    <t>filtras tepalo hengst</t>
  </si>
  <si>
    <t>Lukas Vrubliauskas fb goncauskas sask</t>
  </si>
  <si>
    <t>IDE008655</t>
  </si>
  <si>
    <t>saskaita laurenta</t>
  </si>
  <si>
    <t>Lukas Vrubliauskas fb</t>
  </si>
  <si>
    <t>giedrius viber  +37061446666</t>
  </si>
  <si>
    <t>andrius stepankevicius aurimas nav loi101</t>
  </si>
  <si>
    <t>rato lyg ir montazke</t>
  </si>
  <si>
    <t>1088+pvm IDE008737</t>
  </si>
  <si>
    <t>du sparnus daze</t>
  </si>
  <si>
    <t>sask aurimui 600+pvm</t>
  </si>
  <si>
    <t xml:space="preserve"> IDE008737</t>
  </si>
  <si>
    <t>335eur</t>
  </si>
  <si>
    <t>IDE008667</t>
  </si>
  <si>
    <t>IDE008668</t>
  </si>
  <si>
    <t>IDE008669</t>
  </si>
  <si>
    <t xml:space="preserve">karolis girnys tevas </t>
  </si>
  <si>
    <t>143eur+montazke</t>
  </si>
  <si>
    <t>JDBD3317 10eur</t>
  </si>
  <si>
    <t>1 987 946 051  10eur</t>
  </si>
  <si>
    <t>genero keitimas</t>
  </si>
  <si>
    <t>535 0343 10 80eur</t>
  </si>
  <si>
    <t>VKM 31130  40eur</t>
  </si>
  <si>
    <t>ratlankiai 130su pvm pretoria</t>
  </si>
  <si>
    <t xml:space="preserve"> r20 skoda ratu dazymas </t>
  </si>
  <si>
    <t>laurynas goncauskas skoda kodiaq aurimas nav</t>
  </si>
  <si>
    <t>skoda 1rato lyginimas 20eur</t>
  </si>
  <si>
    <t>1120.79+pvm -300e francyzes, nusidevejimas 17.51eur, -280eur dazymas -300eur dazymas</t>
  </si>
  <si>
    <t>IDE008733</t>
  </si>
  <si>
    <t>300+pvm sask israsyt aurimas nav</t>
  </si>
  <si>
    <t>ratu montazke r18 +</t>
  </si>
  <si>
    <t>laurynas goncauskas  prius</t>
  </si>
  <si>
    <t>montazke pilna masina 50eur padanga</t>
  </si>
  <si>
    <t>amortikas 15eur</t>
  </si>
  <si>
    <t>90+montazke IDE008670</t>
  </si>
  <si>
    <t>sarnyro keitimas 2kartus</t>
  </si>
  <si>
    <t>sarnyro restauravimas 30eur</t>
  </si>
  <si>
    <t>atvezimas :D</t>
  </si>
  <si>
    <t>ovidijus meilunas golf r</t>
  </si>
  <si>
    <t>goodyear ice arctic2 sct</t>
  </si>
  <si>
    <t>montazke ir t.t.</t>
  </si>
  <si>
    <t>IDE008634</t>
  </si>
  <si>
    <t xml:space="preserve">antifryzas </t>
  </si>
  <si>
    <t>TH6454.89J  29eur</t>
  </si>
  <si>
    <t>antifryzas 15e</t>
  </si>
  <si>
    <t>tomas kaimynas vivaro opel</t>
  </si>
  <si>
    <t>termostat keitimas 4-5h</t>
  </si>
  <si>
    <t>IDE009013</t>
  </si>
  <si>
    <t>IDE008662</t>
  </si>
  <si>
    <t>IDE008680</t>
  </si>
  <si>
    <t>MMS258 GWL2231202086828 IDE008623</t>
  </si>
  <si>
    <t>7N0071496C 8Z8  diskai</t>
  </si>
  <si>
    <t>ratai china</t>
  </si>
  <si>
    <t>IDE008684</t>
  </si>
  <si>
    <t>210+pvm</t>
  </si>
  <si>
    <t>davikliai 4x</t>
  </si>
  <si>
    <t>E424KP  25eur</t>
  </si>
  <si>
    <t>keitimas stabilizu 30eur</t>
  </si>
  <si>
    <t>JTS483 2vnt po 20eur</t>
  </si>
  <si>
    <t>balansas x5 ratu 2023-12-18</t>
  </si>
  <si>
    <t>aurimas nav bmw x3  lsf894</t>
  </si>
  <si>
    <t>IDE008707</t>
  </si>
  <si>
    <t>dvi montazkes su burtais</t>
  </si>
  <si>
    <t>ratu dazymas r20 bmw x3</t>
  </si>
  <si>
    <t>antra karta balansas ratu</t>
  </si>
  <si>
    <t>dugno apsaugos remontas</t>
  </si>
  <si>
    <t>713 6405 00 44eur</t>
  </si>
  <si>
    <t>valdoska valdas fedianinas peugeot</t>
  </si>
  <si>
    <t>3 397 007 636 30eur</t>
  </si>
  <si>
    <t>IDE008831</t>
  </si>
  <si>
    <t>RA3423-KYB 90eur abi</t>
  </si>
  <si>
    <t>spyruokloiu keitimas</t>
  </si>
  <si>
    <t>A7P028MT 2vnt po 20eur</t>
  </si>
  <si>
    <t>151271km</t>
  </si>
  <si>
    <t>E2945LC 15eur</t>
  </si>
  <si>
    <t>F 026 400 153  16eur</t>
  </si>
  <si>
    <t>E210H D228  8eur</t>
  </si>
  <si>
    <t>egidijus meilunas lexus ct200</t>
  </si>
  <si>
    <t>95000km</t>
  </si>
  <si>
    <t>GIC172  2x8eur</t>
  </si>
  <si>
    <t>13.0460-2627.2 80eur</t>
  </si>
  <si>
    <t>IDE009260</t>
  </si>
  <si>
    <t>C 21 020  2x30eur</t>
  </si>
  <si>
    <t>E5967LC  33eur</t>
  </si>
  <si>
    <t>1daviklis naujas su montazke 1</t>
  </si>
  <si>
    <t>kaimynas prie agnes  860206901</t>
  </si>
  <si>
    <t>IDE008682</t>
  </si>
  <si>
    <t>jurga barbora jauniskiene</t>
  </si>
  <si>
    <t>IDE008673</t>
  </si>
  <si>
    <t>IDE008681</t>
  </si>
  <si>
    <t>864577609 bmw is rieses</t>
  </si>
  <si>
    <t>1rat lyginimas, montazke, po 61eur</t>
  </si>
  <si>
    <t>0w30 ecoclean 1+1L  26eur</t>
  </si>
  <si>
    <t>0w30 ecoclean 5l  55eur</t>
  </si>
  <si>
    <t>TO-AX-15594 19eur +30eur darbas</t>
  </si>
  <si>
    <t>TED96296 2vnt po 25eur</t>
  </si>
  <si>
    <t>45053  1vnt 40eur</t>
  </si>
  <si>
    <t>toyota avensis kestutis garnevicius 867592182</t>
  </si>
  <si>
    <t>dave 200e</t>
  </si>
  <si>
    <t>traukiu keitimas 2x20eur</t>
  </si>
  <si>
    <t>sailenbloku keitimas 2x35eur</t>
  </si>
  <si>
    <t>5x3 langu skyscio paeme</t>
  </si>
  <si>
    <t>aurimas mingela nav</t>
  </si>
  <si>
    <t>IDE008805</t>
  </si>
  <si>
    <t>MRG963 zivile interlux mingela nav</t>
  </si>
  <si>
    <t>101+dvi montazkes</t>
  </si>
  <si>
    <t>IDE008800</t>
  </si>
  <si>
    <t>montavom su ice suv g1 ?</t>
  </si>
  <si>
    <t>rastafkes 2vnt IDE008631</t>
  </si>
  <si>
    <t>LX 2049/4   16eur</t>
  </si>
  <si>
    <t>LAO 667 34eur</t>
  </si>
  <si>
    <t>E219H D330 12eur</t>
  </si>
  <si>
    <t>KL 1102 25eur</t>
  </si>
  <si>
    <t>285/35r23</t>
  </si>
  <si>
    <t>pirelli scorpion winter 2</t>
  </si>
  <si>
    <t>raimis sparco slaboske</t>
  </si>
  <si>
    <t>670+640 IDE008708</t>
  </si>
  <si>
    <t>325/30r23</t>
  </si>
  <si>
    <t xml:space="preserve"> IDE008708</t>
  </si>
  <si>
    <t>nan525</t>
  </si>
  <si>
    <t>865912980 verbu 1. vidmos kaimynas  rolandas urba</t>
  </si>
  <si>
    <t>GWL2247917995221</t>
  </si>
  <si>
    <t>rolandas urba</t>
  </si>
  <si>
    <t>tepalu keitimas ir visu filtru ir ratu balansas - 2h uztrukau</t>
  </si>
  <si>
    <t>mantas jastremskas cailas mersas glc 63</t>
  </si>
  <si>
    <t>5w40 xclean gen2 2x5L po 47eur</t>
  </si>
  <si>
    <t>dave 8000eur 2024-03-27</t>
  </si>
  <si>
    <t>pervedziau 3k 2024-04-10</t>
  </si>
  <si>
    <t>zvakiu keitimas 2h+</t>
  </si>
  <si>
    <t>d47 akumas 70eur</t>
  </si>
  <si>
    <t>pirelli winter 3</t>
  </si>
  <si>
    <t>186+275 + montazke</t>
  </si>
  <si>
    <t>IDE008731</t>
  </si>
  <si>
    <t>IDE008706</t>
  </si>
  <si>
    <t>867449076 is smsu</t>
  </si>
  <si>
    <t>74+montazke</t>
  </si>
  <si>
    <t>2vnt wheelforce reginom su pdangom</t>
  </si>
  <si>
    <t>kcv108 golf staliunas aurimas nav</t>
  </si>
  <si>
    <t>1471.37+pvm -130eur francyze</t>
  </si>
  <si>
    <t>IDE008789</t>
  </si>
  <si>
    <t>914+pvm turejo but sask aurimui</t>
  </si>
  <si>
    <t>5H0 601025R    605+pvms avikaian vieno</t>
  </si>
  <si>
    <t>golf gti clubsport  aurimas nav LUM820  povilas meskys</t>
  </si>
  <si>
    <t xml:space="preserve">1735+pvm </t>
  </si>
  <si>
    <t>kcv108 permoka 100eur</t>
  </si>
  <si>
    <t>IDE008840</t>
  </si>
  <si>
    <t>exide akumas eb740    80eur</t>
  </si>
  <si>
    <t>vainius zalimas</t>
  </si>
  <si>
    <t>IDE008730</t>
  </si>
  <si>
    <t>3Q0 825 235 A   53+</t>
  </si>
  <si>
    <t>5Q0 825 201 AE 37+</t>
  </si>
  <si>
    <t>5Q0 825 202 L 37+</t>
  </si>
  <si>
    <t>laurynas goncauskas golf r  dugno plastmases</t>
  </si>
  <si>
    <t>keitimas visko 1h su varztais ?</t>
  </si>
  <si>
    <t>IDE008799</t>
  </si>
  <si>
    <t>WHT 000 713  13+</t>
  </si>
  <si>
    <t>5Q0 825 271 A 3.5+</t>
  </si>
  <si>
    <t>5Q0 825 272 A 3.5+</t>
  </si>
  <si>
    <t>martynas maniusis</t>
  </si>
  <si>
    <t>continental ts860s</t>
  </si>
  <si>
    <t>IDE008738</t>
  </si>
  <si>
    <t>stakles ir pan 705eur savik</t>
  </si>
  <si>
    <t>750eur</t>
  </si>
  <si>
    <t>contisport contact 7</t>
  </si>
  <si>
    <t>305eur</t>
  </si>
  <si>
    <t>713 6263 70 2x35eur</t>
  </si>
  <si>
    <t>laurynas goncauskas kia sportage lho857</t>
  </si>
  <si>
    <t>2x guolio keitimas</t>
  </si>
  <si>
    <t>3593500000  265/45R20 ContiCrossContact LX Sport</t>
  </si>
  <si>
    <t>IDE008817</t>
  </si>
  <si>
    <t>donatas kundrotas</t>
  </si>
  <si>
    <t>stabd.skyst keitimas 40e</t>
  </si>
  <si>
    <t>2x18e rbf700</t>
  </si>
  <si>
    <t>IDE008819</t>
  </si>
  <si>
    <t>115eur IRP dalys su siuntimu</t>
  </si>
  <si>
    <t>190eur priekines abi sakes</t>
  </si>
  <si>
    <t>mantas jonas mameniskis sydney</t>
  </si>
  <si>
    <t>IDE008739</t>
  </si>
  <si>
    <t>westlake</t>
  </si>
  <si>
    <t>darius virbickas</t>
  </si>
  <si>
    <t>IDE008754</t>
  </si>
  <si>
    <t>algimantas janusauskas sesupes ukis</t>
  </si>
  <si>
    <t xml:space="preserve">montazke IDE008756 </t>
  </si>
  <si>
    <t>OC 977/1  6eur</t>
  </si>
  <si>
    <t>ADV182258  8eur</t>
  </si>
  <si>
    <t>dave pinigu pries kelione?</t>
  </si>
  <si>
    <t>ADM52107 3eur</t>
  </si>
  <si>
    <t>ADH22515 5eur</t>
  </si>
  <si>
    <t>15litru tepalo backa</t>
  </si>
  <si>
    <t>tepalai backa</t>
  </si>
  <si>
    <t>7.00868.02.0 40eur</t>
  </si>
  <si>
    <t>tourador winter</t>
  </si>
  <si>
    <t>IDE008758</t>
  </si>
  <si>
    <t>IDE008845</t>
  </si>
  <si>
    <t>IDE008742</t>
  </si>
  <si>
    <t>IDE008744</t>
  </si>
  <si>
    <t>46+8eur savik IDE008752</t>
  </si>
  <si>
    <t>300+357e  IDE008743</t>
  </si>
  <si>
    <t>IDE008743</t>
  </si>
  <si>
    <t>Mindaugas Ščevinskas &lt;mindaugas@urbanhomes.lt</t>
  </si>
  <si>
    <t>250e+kurjer IDE008759</t>
  </si>
  <si>
    <t>hankook universalas</t>
  </si>
  <si>
    <t>76+montazke IDE008745</t>
  </si>
  <si>
    <t>IDE008741</t>
  </si>
  <si>
    <t>130/80r17</t>
  </si>
  <si>
    <t>audrius plionkes karolis viber</t>
  </si>
  <si>
    <t>79+98</t>
  </si>
  <si>
    <t>IDE008740</t>
  </si>
  <si>
    <t>300+357e IDE008746</t>
  </si>
  <si>
    <t>IDE008746</t>
  </si>
  <si>
    <t>conti sport contact 7</t>
  </si>
  <si>
    <t>aivaras svirplys fb Danas Senionis &lt;d.senionis@gmail.com</t>
  </si>
  <si>
    <t>155eur+montazke</t>
  </si>
  <si>
    <t>203eur</t>
  </si>
  <si>
    <t>P 85 020 16eur</t>
  </si>
  <si>
    <t>08.6935.11 2x27eur</t>
  </si>
  <si>
    <t>mantas pavliukevicius alhambra</t>
  </si>
  <si>
    <t>2x37eur suportai galas</t>
  </si>
  <si>
    <t>ratai ir batai 2105eur</t>
  </si>
  <si>
    <t>sedynes kotas 200eur</t>
  </si>
  <si>
    <t>mantas pavliukevicius dviraciai</t>
  </si>
  <si>
    <t>5902-01-0016P  2x14 eur</t>
  </si>
  <si>
    <t>FE175369  105eur</t>
  </si>
  <si>
    <t>motul atf 6 10l po 13eur</t>
  </si>
  <si>
    <t xml:space="preserve">deividas vileniskis dada mersas dezes tepalai </t>
  </si>
  <si>
    <t>OX 361/4D  10eur</t>
  </si>
  <si>
    <t>LAK 248  20eur</t>
  </si>
  <si>
    <t>713 6493 80 85eur</t>
  </si>
  <si>
    <t>IDE009284</t>
  </si>
  <si>
    <t>KL 169/4D   25eur</t>
  </si>
  <si>
    <t>BM-ES-3728 25eur vairo traukes keitimas</t>
  </si>
  <si>
    <t>priekinuo guolio keitimas</t>
  </si>
  <si>
    <t>ratlankiai japan racing bmw2+2</t>
  </si>
  <si>
    <t>IDE008753</t>
  </si>
  <si>
    <t>goodyear f1 3</t>
  </si>
  <si>
    <t>justas krasuckis MDU817 mercedes GLE norameda</t>
  </si>
  <si>
    <t>235eur IDE008820</t>
  </si>
  <si>
    <t>fulda sportcontrol 2 579401</t>
  </si>
  <si>
    <t>IDE008763</t>
  </si>
  <si>
    <t>OC 195 6eur</t>
  </si>
  <si>
    <t>ADS72213  8eur</t>
  </si>
  <si>
    <t>ADT32504  7eur</t>
  </si>
  <si>
    <t>jurgis berzinis subaru</t>
  </si>
  <si>
    <t>IDE008879</t>
  </si>
  <si>
    <t>Hjj842 Subaru Outback montazke</t>
  </si>
  <si>
    <t>IDE008855</t>
  </si>
  <si>
    <t xml:space="preserve">1457429249  6eur </t>
  </si>
  <si>
    <t>pe816/5  10eur</t>
  </si>
  <si>
    <t>a140716 6eur</t>
  </si>
  <si>
    <t>remigijjus staisiunas volvo</t>
  </si>
  <si>
    <t>m110139   9eur</t>
  </si>
  <si>
    <t>5w30 motul  40eur</t>
  </si>
  <si>
    <t>1000eur daviau 2025-05-20</t>
  </si>
  <si>
    <t xml:space="preserve">michelin cup2r </t>
  </si>
  <si>
    <t>donatas diverus</t>
  </si>
  <si>
    <t>1100eur ? IDE008761</t>
  </si>
  <si>
    <t>IDE008761</t>
  </si>
  <si>
    <t>arunas nav aurimas buzz</t>
  </si>
  <si>
    <t>martynas bisikirskas veho senkus pavedimas</t>
  </si>
  <si>
    <t>diskai po 294 kalades priekis 129, galas 79e</t>
  </si>
  <si>
    <t>23955.160.2 129eur</t>
  </si>
  <si>
    <t>marijus kebla alfa</t>
  </si>
  <si>
    <t>IDE008765</t>
  </si>
  <si>
    <t>ruta armoskiene</t>
  </si>
  <si>
    <t>IDE008747</t>
  </si>
  <si>
    <t>N   910 059 02  36eur</t>
  </si>
  <si>
    <t>CO80004350  163eur</t>
  </si>
  <si>
    <t>529 0484 20 70eur</t>
  </si>
  <si>
    <t>rimas kuliesius audi allroad</t>
  </si>
  <si>
    <t>keitimas visko 5h</t>
  </si>
  <si>
    <t>semperit</t>
  </si>
  <si>
    <t>marius kurlianskas  asgena</t>
  </si>
  <si>
    <t>IDE008905</t>
  </si>
  <si>
    <t>julius v70 friskas vaitiekunas</t>
  </si>
  <si>
    <t>300e + montazke</t>
  </si>
  <si>
    <t>869800606 kaimynas uab hifi centras</t>
  </si>
  <si>
    <t>IDE008766</t>
  </si>
  <si>
    <t>869967278 is sms</t>
  </si>
  <si>
    <t>kipras siliunas polo</t>
  </si>
  <si>
    <t>100e+montzke IDE008796</t>
  </si>
  <si>
    <t>0w40 v300 3x40eur</t>
  </si>
  <si>
    <t>filtras oem vw</t>
  </si>
  <si>
    <t>lukas drobnys fb</t>
  </si>
  <si>
    <t>93eur+montazke</t>
  </si>
  <si>
    <t>krb039</t>
  </si>
  <si>
    <t>MSB723  interlux</t>
  </si>
  <si>
    <t>IDE008856</t>
  </si>
  <si>
    <t>IDE008865</t>
  </si>
  <si>
    <t>MRG963 interlux</t>
  </si>
  <si>
    <t>mst864 interlux</t>
  </si>
  <si>
    <t>IDE008896</t>
  </si>
  <si>
    <t>jph131 interlux</t>
  </si>
  <si>
    <t>hjm294 interlux</t>
  </si>
  <si>
    <t>hzu824   interlux</t>
  </si>
  <si>
    <t>jtr371   interlux</t>
  </si>
  <si>
    <t xml:space="preserve">IDE008849 </t>
  </si>
  <si>
    <t>IDE008891</t>
  </si>
  <si>
    <t>fulda  571268</t>
  </si>
  <si>
    <t>IDE008622</t>
  </si>
  <si>
    <t>lvr009</t>
  </si>
  <si>
    <t>fulda  542640</t>
  </si>
  <si>
    <t>marius savickas interlux gum361</t>
  </si>
  <si>
    <t>IDE008867</t>
  </si>
  <si>
    <t>goodyear asymm6 581512</t>
  </si>
  <si>
    <t>montazke+pasauga 2024-05-06</t>
  </si>
  <si>
    <t>fulda ecocontrol hp2  91h</t>
  </si>
  <si>
    <t>Tomas Vaitiekunas &lt;tvaitiekunas@gmail.com</t>
  </si>
  <si>
    <t>61eur+montazke</t>
  </si>
  <si>
    <t>542499 GY efficientgrip perf 2</t>
  </si>
  <si>
    <t>andrejus statino jdo520</t>
  </si>
  <si>
    <t>144+dazymas ratu+</t>
  </si>
  <si>
    <t>IDE008791</t>
  </si>
  <si>
    <t>dunlop rt2 nst 547345</t>
  </si>
  <si>
    <t>Vadim Keda &lt;keda.vadim@gmail.com</t>
  </si>
  <si>
    <t>MPY285</t>
  </si>
  <si>
    <t>588195 goodyear perf 2</t>
  </si>
  <si>
    <t>paulius norkus LUV493</t>
  </si>
  <si>
    <t>IDE008824</t>
  </si>
  <si>
    <t>542418 goodyear perf 2</t>
  </si>
  <si>
    <t>paulius norkus jga929</t>
  </si>
  <si>
    <t>paulius norkus MUH881</t>
  </si>
  <si>
    <t>giedrius paulavicius fb</t>
  </si>
  <si>
    <t>gwl2285791082275  MMS258 IDE008770</t>
  </si>
  <si>
    <t>581512 goodyear f1-6</t>
  </si>
  <si>
    <t xml:space="preserve">martynas insitus MNL021 </t>
  </si>
  <si>
    <t>IDE008850</t>
  </si>
  <si>
    <t>542520 sava intensa hp2</t>
  </si>
  <si>
    <t>martynas insitus MJN973</t>
  </si>
  <si>
    <t>laurynas goncauskas corolla</t>
  </si>
  <si>
    <t>66eur+montazke toyota universal corolla</t>
  </si>
  <si>
    <t>102H Goodyear EFFICIENTGRIP 2 SUV</t>
  </si>
  <si>
    <t>133eur IDE008803</t>
  </si>
  <si>
    <t>9024 235/35R20 PILOT SPORT 4 S</t>
  </si>
  <si>
    <t>7643 goodride Z-107</t>
  </si>
  <si>
    <t>laurynas goncauskas LHO857</t>
  </si>
  <si>
    <t>67191 sailun atrezo 2</t>
  </si>
  <si>
    <t>montazke r18 gal dar bus ?</t>
  </si>
  <si>
    <t>IDE008950</t>
  </si>
  <si>
    <t>5638 sailun ATREZZO ELITE</t>
  </si>
  <si>
    <t>IDE008980</t>
  </si>
  <si>
    <t>pasieme 6vnt 2025-04-14</t>
  </si>
  <si>
    <t>48.5eur</t>
  </si>
  <si>
    <t>simonas kazbaras MND358, Toyota Prius marius.markelis@gmail.com</t>
  </si>
  <si>
    <t>48.5eur+montazke</t>
  </si>
  <si>
    <t>IDE008902</t>
  </si>
  <si>
    <t>vienos montazke</t>
  </si>
  <si>
    <t>IDE008760</t>
  </si>
  <si>
    <t>tomas naruskevic reik padangu</t>
  </si>
  <si>
    <t>IDE008755</t>
  </si>
  <si>
    <t>130?</t>
  </si>
  <si>
    <t>590dave</t>
  </si>
  <si>
    <t>diskai+kalades 570e?</t>
  </si>
  <si>
    <t>dave500km</t>
  </si>
  <si>
    <t>montazke dvieju ratu ant masinos ir kiti atskirai</t>
  </si>
  <si>
    <t>saicento ratu uzdejimas su burtais</t>
  </si>
  <si>
    <t>graztas 28eur</t>
  </si>
  <si>
    <t>varztai saicento 25eur</t>
  </si>
  <si>
    <t>142eur IDE008803</t>
  </si>
  <si>
    <t>austejos drauge evelina</t>
  </si>
  <si>
    <t>IDE008751</t>
  </si>
  <si>
    <t>IDE008812</t>
  </si>
  <si>
    <t xml:space="preserve">pirelli zero sport run flat </t>
  </si>
  <si>
    <t>Renaldas Stasys | RS-LINIJA &lt;renaldas@rsl.lt</t>
  </si>
  <si>
    <t>IDE008750</t>
  </si>
  <si>
    <t>pirelli zero sport run flat</t>
  </si>
  <si>
    <t>320+kurjerj</t>
  </si>
  <si>
    <t>ignas viber uab magnatukas</t>
  </si>
  <si>
    <t>IDE008764</t>
  </si>
  <si>
    <t>75eur IDE008802</t>
  </si>
  <si>
    <t>IDE008801</t>
  </si>
  <si>
    <t>goodyear f1 asymm 2  N0</t>
  </si>
  <si>
    <t>131.44+ IDE008830</t>
  </si>
  <si>
    <t>rokas savickas</t>
  </si>
  <si>
    <t>IDE008762</t>
  </si>
  <si>
    <t>tomas mingela nav audi q8 MDY441</t>
  </si>
  <si>
    <t>397eur IDE008776</t>
  </si>
  <si>
    <t>hankook evo3 bmw</t>
  </si>
  <si>
    <t>nerijus zilius</t>
  </si>
  <si>
    <t>IDE008815</t>
  </si>
  <si>
    <t>210+230e IDE008779</t>
  </si>
  <si>
    <t xml:space="preserve"> IDE008779</t>
  </si>
  <si>
    <t>montazke bmw m4 r20  2024-05-28</t>
  </si>
  <si>
    <t>245/65r17</t>
  </si>
  <si>
    <t>gripmax mud rage</t>
  </si>
  <si>
    <t>IDE008788</t>
  </si>
  <si>
    <t xml:space="preserve">goodride sl366 </t>
  </si>
  <si>
    <t>rimas megelisnkas pietu megrame</t>
  </si>
  <si>
    <t>98eur</t>
  </si>
  <si>
    <t>IDE008785</t>
  </si>
  <si>
    <t>210+220+kurjeirs</t>
  </si>
  <si>
    <t>nokian hakka black2 suv</t>
  </si>
  <si>
    <t>Egidijus Grigaravicius &lt;egydabe@me.com gediminas fb</t>
  </si>
  <si>
    <t>182+montazke IDE008767</t>
  </si>
  <si>
    <t>audrius.masiulionis@gmail.com&gt; LFL787</t>
  </si>
  <si>
    <t>230+montazke</t>
  </si>
  <si>
    <t>Pau, &lt;darbaspuosia@inbox.lt Paulius Darginavičius</t>
  </si>
  <si>
    <t>105+montazke</t>
  </si>
  <si>
    <t>CUK 3360  23eur</t>
  </si>
  <si>
    <t>C 1869  2x 32eur</t>
  </si>
  <si>
    <t>HU 9001 X  20eur</t>
  </si>
  <si>
    <t>mantas jastremskas cailas 911 porsche 4s</t>
  </si>
  <si>
    <t>nekeitem, tik pasieme</t>
  </si>
  <si>
    <t>8100 X-CESS GEN2 5W40 5L 42eur</t>
  </si>
  <si>
    <t>8100 X-CESS GEN2 5W40  3x1L  9.06eur</t>
  </si>
  <si>
    <t>5l paprasto coolanto</t>
  </si>
  <si>
    <t>RAV OTC C12+ CONC 5L   3x18eur</t>
  </si>
  <si>
    <t>antifryz keitimas</t>
  </si>
  <si>
    <t>VA570500076 126eur</t>
  </si>
  <si>
    <t>polo montazke uz nuoma?</t>
  </si>
  <si>
    <t>du airduckai po 30eur</t>
  </si>
  <si>
    <t>215e+montazke IDE008893</t>
  </si>
  <si>
    <t>goodyear ASY 3 SUV N0</t>
  </si>
  <si>
    <t>IDE008778</t>
  </si>
  <si>
    <t>sava uh2</t>
  </si>
  <si>
    <t>IDE008779</t>
  </si>
  <si>
    <t>IDE009259</t>
  </si>
  <si>
    <t>hankook r20/19 montazke be masinos</t>
  </si>
  <si>
    <t>ratu dazymas bmw m3</t>
  </si>
  <si>
    <t>bmw m5 balansas priority 2024-04-04</t>
  </si>
  <si>
    <t>dunlop pt30</t>
  </si>
  <si>
    <t xml:space="preserve">arturas kiselis airbog </t>
  </si>
  <si>
    <t>98skelbime buvo+tikrinimas+montakze,balans,lyginimas</t>
  </si>
  <si>
    <t>birute alunderyte &lt;alunderyte_birute@yahoo.com</t>
  </si>
  <si>
    <t>Gintaras Žiaukas &lt;gintaras@medgana.lt</t>
  </si>
  <si>
    <t>58+montazke IDE008908</t>
  </si>
  <si>
    <t>toyo celsius</t>
  </si>
  <si>
    <t>125eur+montazke priority</t>
  </si>
  <si>
    <t>Kfo168 skoda  jonas klimaitis j.barauskas@gmail.com</t>
  </si>
  <si>
    <t>dainius  cinaitis tiguan klijavimas 1 rato</t>
  </si>
  <si>
    <t>jr ratai</t>
  </si>
  <si>
    <t>mantas staliunas moller</t>
  </si>
  <si>
    <t>IDE008768</t>
  </si>
  <si>
    <t>43+montazke</t>
  </si>
  <si>
    <t>tomas satas montazkes</t>
  </si>
  <si>
    <t>leaf+volvo r18 priority</t>
  </si>
  <si>
    <t>sava debica</t>
  </si>
  <si>
    <t>vygantas ragaisis</t>
  </si>
  <si>
    <t>IDE008829</t>
  </si>
  <si>
    <t>comfosteris</t>
  </si>
  <si>
    <t>130+kurjer IDE008942</t>
  </si>
  <si>
    <t>hankook rh12</t>
  </si>
  <si>
    <t>algimantas janusauskas   noragra</t>
  </si>
  <si>
    <t>IDE008832</t>
  </si>
  <si>
    <t>yokohama</t>
  </si>
  <si>
    <t>algimantas janusauskas   bausu ukis</t>
  </si>
  <si>
    <t>IDE008861</t>
  </si>
  <si>
    <t>algimantas janusauskas litagros zemes ukio centras</t>
  </si>
  <si>
    <t>IDE008860</t>
  </si>
  <si>
    <t>115eur+monaz priority</t>
  </si>
  <si>
    <t>150e+montazke 70e</t>
  </si>
  <si>
    <t>IDE008781</t>
  </si>
  <si>
    <t>dunlop fastresponse</t>
  </si>
  <si>
    <t>Simas Norvydas &lt;norvydass@gmail.com ERK520</t>
  </si>
  <si>
    <t>67e+priority montazke</t>
  </si>
  <si>
    <t>IDE008772</t>
  </si>
  <si>
    <t>peugeot kablukas        mbk690 aurimas nav ir ziema ir vasara</t>
  </si>
  <si>
    <t>82eur+montazke priority</t>
  </si>
  <si>
    <t>pervede 360e revolut</t>
  </si>
  <si>
    <t>traliukas -20eur uz bmw</t>
  </si>
  <si>
    <t>mitas enduro</t>
  </si>
  <si>
    <t>595skola, sask 400+pvm IDE008943</t>
  </si>
  <si>
    <t xml:space="preserve">tautvis sumokejo 150e </t>
  </si>
  <si>
    <t>spyruokliu keitimas 40x2</t>
  </si>
  <si>
    <t>traliukas 30eur</t>
  </si>
  <si>
    <t>galinio guol keitimas  40e</t>
  </si>
  <si>
    <t>LS4008465 2x30e</t>
  </si>
  <si>
    <t>802 186 2x25eur</t>
  </si>
  <si>
    <t>KYB910238  1x20eur</t>
  </si>
  <si>
    <t>713 6494 20 guolis 43eur</t>
  </si>
  <si>
    <t>evoliusenas ir</t>
  </si>
  <si>
    <t>airbog Rysard Bogdanovic  teise.tau@gmail.com</t>
  </si>
  <si>
    <t>IDE008828</t>
  </si>
  <si>
    <t>sciras sestadieni</t>
  </si>
  <si>
    <t>X6, LEL600 montazke r20 rof</t>
  </si>
  <si>
    <t>IDE008827</t>
  </si>
  <si>
    <t>dainius cinaitis  biokosmetikos akademija sask</t>
  </si>
  <si>
    <t>87e   mgn202</t>
  </si>
  <si>
    <t>goodyear f1-5</t>
  </si>
  <si>
    <t>IDE008823</t>
  </si>
  <si>
    <t>dvi montazkes,priority ?</t>
  </si>
  <si>
    <t>IDE008841</t>
  </si>
  <si>
    <t>IDE008826</t>
  </si>
  <si>
    <t>goodyear perf 2 suv</t>
  </si>
  <si>
    <t>edgaras kovaliovas utvt Lhz831</t>
  </si>
  <si>
    <t>JCD824 montazke r16</t>
  </si>
  <si>
    <t>Koryzna Vytenis &lt;koryzna.vytenis@gmail.com</t>
  </si>
  <si>
    <t>143eur IDE008790</t>
  </si>
  <si>
    <t>valera elektrikas dukra  MCS504 annachatinovskaja@gmail.com</t>
  </si>
  <si>
    <t>49eur+montazke</t>
  </si>
  <si>
    <t>vytenis butkevicius fb</t>
  </si>
  <si>
    <t>130e</t>
  </si>
  <si>
    <t>rimantas kuliesius rimakas audi</t>
  </si>
  <si>
    <t>montaz priority</t>
  </si>
  <si>
    <t>fiesta montazke r15 skardos</t>
  </si>
  <si>
    <t>montazke auris r17 ir +1 naujas daviklis</t>
  </si>
  <si>
    <t>born montazke ir rataisu padangom</t>
  </si>
  <si>
    <t>IDE008813</t>
  </si>
  <si>
    <t>micha 4s no</t>
  </si>
  <si>
    <t xml:space="preserve">donatas diverus jucius </t>
  </si>
  <si>
    <t>aurimas nav ?   410eur+montazke</t>
  </si>
  <si>
    <t>don911 stiklas</t>
  </si>
  <si>
    <t>IDE009270</t>
  </si>
  <si>
    <t>goodyear asymm 5  sct</t>
  </si>
  <si>
    <t>Viktor Daukša &lt;info@pamatika.lt&gt;</t>
  </si>
  <si>
    <t>IDE008787</t>
  </si>
  <si>
    <t>ASENIA | ASENIA &lt;info@asenia.lt Darius Babraitis EV1467</t>
  </si>
  <si>
    <t>137eur+montazke</t>
  </si>
  <si>
    <t>IDE008794</t>
  </si>
  <si>
    <t>326eur IDE008805</t>
  </si>
  <si>
    <t>dunlop st30</t>
  </si>
  <si>
    <t>115eur+kurjer</t>
  </si>
  <si>
    <t>YT7B-BS (LT7B-BS) 30eur</t>
  </si>
  <si>
    <t>valdoska valdas fedianinas riese</t>
  </si>
  <si>
    <t>ytx14-bs  48eur</t>
  </si>
  <si>
    <t>Tadas Abisala &lt;tadas.abisala@gmail.com</t>
  </si>
  <si>
    <t>230eur su pvm</t>
  </si>
  <si>
    <t>IDE008774</t>
  </si>
  <si>
    <t>concaver cvr1</t>
  </si>
  <si>
    <t>1915eur savikaina - 2200eur</t>
  </si>
  <si>
    <t xml:space="preserve">varztai 60e, </t>
  </si>
  <si>
    <t>ziedai, rastafkes, varztai</t>
  </si>
  <si>
    <t>IDE008999</t>
  </si>
  <si>
    <t>S90-2-08-002-B 2vntjuodu 81eur</t>
  </si>
  <si>
    <t>hankook primce 3</t>
  </si>
  <si>
    <t>Agnius Marcinkevicius &lt;agnelismar@gmail.com MIS944</t>
  </si>
  <si>
    <t>265eur+montazke</t>
  </si>
  <si>
    <t>IDE008795</t>
  </si>
  <si>
    <t>325+365eur+montazke</t>
  </si>
  <si>
    <t>IDE008814</t>
  </si>
  <si>
    <t>8100 X-CLEAN GEN2 5W40  2x5L 2x50eur</t>
  </si>
  <si>
    <t>tepalu keitimas x5m</t>
  </si>
  <si>
    <t>x5m balansas atskirai visa masina</t>
  </si>
  <si>
    <t>248+252+pvm</t>
  </si>
  <si>
    <t>siuntimas i mare</t>
  </si>
  <si>
    <t>stiklita vilnius</t>
  </si>
  <si>
    <t>IDE008780</t>
  </si>
  <si>
    <t>IDE008804</t>
  </si>
  <si>
    <t>bmw montazke r17</t>
  </si>
  <si>
    <t>audi montazke r17</t>
  </si>
  <si>
    <t>busiko montazke r16</t>
  </si>
  <si>
    <t>cayene ratu keitimsa balans</t>
  </si>
  <si>
    <t>IDE008964</t>
  </si>
  <si>
    <t>maxxis wormdrive</t>
  </si>
  <si>
    <t>IDE008825</t>
  </si>
  <si>
    <t>160+170eur</t>
  </si>
  <si>
    <t>LAK 675/2/S 68eur</t>
  </si>
  <si>
    <t>laima.noreikaite@irankis.lt   myg869 skoda octavia</t>
  </si>
  <si>
    <t>montazke ir po 60e ?</t>
  </si>
  <si>
    <t>IDE008793</t>
  </si>
  <si>
    <t>logistika@irankis.lt</t>
  </si>
  <si>
    <t>Mau139 montazke renault traffic r16</t>
  </si>
  <si>
    <t>MJP256. Skoda Superb r17</t>
  </si>
  <si>
    <t>MNC701 MB Sprinter</t>
  </si>
  <si>
    <t>vilius milasius mersas Mas139</t>
  </si>
  <si>
    <t>226eur+montazke</t>
  </si>
  <si>
    <t>IDE008835</t>
  </si>
  <si>
    <t>24.8190-0984.2  15eur</t>
  </si>
  <si>
    <t>24.8190-0969.2  17eur</t>
  </si>
  <si>
    <t>33756-2 antiroll bar audi  560eur</t>
  </si>
  <si>
    <t>stabdziu zarneles+skyst keitimas</t>
  </si>
  <si>
    <t>stabdziu diskai kosmos</t>
  </si>
  <si>
    <t>IDE008786</t>
  </si>
  <si>
    <t>p85154x</t>
  </si>
  <si>
    <t>P85165X</t>
  </si>
  <si>
    <t>3+2 bonkutes stabdziu skystis rbf700</t>
  </si>
  <si>
    <t>ratu montazke ir balans antra kart</t>
  </si>
  <si>
    <t>suvedimas 40eur+pvm?</t>
  </si>
  <si>
    <t>stabdziu keitimas visu</t>
  </si>
  <si>
    <t>tomas mingela nav MRZ199 interlux</t>
  </si>
  <si>
    <t>120eur+montzke  IDE008847</t>
  </si>
  <si>
    <t>bfgoodrich trail terrain</t>
  </si>
  <si>
    <t>giedrius masalskas</t>
  </si>
  <si>
    <t>IDE008864</t>
  </si>
  <si>
    <t>goodyear f1 at</t>
  </si>
  <si>
    <t>augis@tova.lt" &lt;augis@tova.lt MHH699</t>
  </si>
  <si>
    <t>IDE008834</t>
  </si>
  <si>
    <t>Valdas Fedianinas valdas@balticmachinery.lt MDM007</t>
  </si>
  <si>
    <t>145+montazke IDE008831</t>
  </si>
  <si>
    <t>martynas.pargaliauskas@gmail.com</t>
  </si>
  <si>
    <t>IDE008833</t>
  </si>
  <si>
    <r>
      <rPr>
        <color rgb="FF1155CC"/>
        <u/>
      </rPr>
      <t>augustinas@insitus.lt</t>
    </r>
    <r>
      <rPr/>
      <t xml:space="preserve"> martynas insitus</t>
    </r>
  </si>
  <si>
    <t>klijavimas 1 rato skoda rs marciaus</t>
  </si>
  <si>
    <t>goodyear f1-asymm 6</t>
  </si>
  <si>
    <t>Voldemaras Vanagas &lt;voldemaras.vanagas@gmail.com</t>
  </si>
  <si>
    <t>IDE008818</t>
  </si>
  <si>
    <t>JDV979 mersas turbut r17</t>
  </si>
  <si>
    <r>
      <rPr>
        <rFont val="Roboto, Arial, sans-serif"/>
        <color rgb="FF1A73E8"/>
        <sz val="11.0"/>
        <u/>
      </rPr>
      <t xml:space="preserve">Egle Keliauskaite Baciliuniene Invitee Email: </t>
    </r>
    <r>
      <rPr>
        <rFont val="Roboto, Arial, sans-serif"/>
        <color rgb="FF1A73E8"/>
        <sz val="11.0"/>
        <u/>
      </rPr>
      <t>e.baciliuniene@gmail.com</t>
    </r>
  </si>
  <si>
    <t>rta grupe montazke sharan r17</t>
  </si>
  <si>
    <t>IDE008927</t>
  </si>
  <si>
    <t>Ausra Rimeikyte &lt;rimeikyte.ausra@gmail.com KJH389</t>
  </si>
  <si>
    <t>IDE008808</t>
  </si>
  <si>
    <t>Bridgestone Battlax Racing Street RS11</t>
  </si>
  <si>
    <t>Irtautas Binkis &lt;irtautasb@gmail.com aurimas nav</t>
  </si>
  <si>
    <t>ide008846</t>
  </si>
  <si>
    <t>3.50-18</t>
  </si>
  <si>
    <t>Mitas E-05 3.50-18 62S TT, M+S</t>
  </si>
  <si>
    <t>michelin anakee 3</t>
  </si>
  <si>
    <t>09.A200.1X  2x95eur</t>
  </si>
  <si>
    <t>IDE008857</t>
  </si>
  <si>
    <t>09.C306.1X 2x140eur</t>
  </si>
  <si>
    <t>NRF 35968 100eur</t>
  </si>
  <si>
    <t>135+montazke IDE008816</t>
  </si>
  <si>
    <t>pirelli pzer</t>
  </si>
  <si>
    <t>IDE008811</t>
  </si>
  <si>
    <t>GOODRIDE TRAILER ST290 84N XL CCB70 M+S</t>
  </si>
  <si>
    <t>Algirdas Butkevičius</t>
  </si>
  <si>
    <t>35-36eur</t>
  </si>
  <si>
    <t>keitimas kaladeliu</t>
  </si>
  <si>
    <t>P 85 137 1x53</t>
  </si>
  <si>
    <t>ADBP430098 2x 40.56</t>
  </si>
  <si>
    <t>IDE008876</t>
  </si>
  <si>
    <t>67600km</t>
  </si>
  <si>
    <t>MULTI DCTF 1L x5</t>
  </si>
  <si>
    <t>HX 190D 21eur</t>
  </si>
  <si>
    <t>keitimas tepalu dezes</t>
  </si>
  <si>
    <t>IDE008862</t>
  </si>
  <si>
    <t>priekines kaladeles</t>
  </si>
  <si>
    <t>keitimas priekinou kaladziu</t>
  </si>
  <si>
    <t>laurynas duoba</t>
  </si>
  <si>
    <t>136+montazke</t>
  </si>
  <si>
    <t>montazke  104eur 2024-05-10</t>
  </si>
  <si>
    <t>kia sportage</t>
  </si>
  <si>
    <t>lec882</t>
  </si>
  <si>
    <t>priority IDE008807</t>
  </si>
  <si>
    <t>paulius cerniauskas draugas 068560793</t>
  </si>
  <si>
    <t xml:space="preserve">173eur </t>
  </si>
  <si>
    <t>2l v300 tepalo daviau dar</t>
  </si>
  <si>
    <t>filtras 15e</t>
  </si>
  <si>
    <t>6l tepalo</t>
  </si>
  <si>
    <t>EL128503  3vnt uz viska1.2eur</t>
  </si>
  <si>
    <t>W 940/5 10eur</t>
  </si>
  <si>
    <t>200eur komplektas</t>
  </si>
  <si>
    <t>150/70r18</t>
  </si>
  <si>
    <t>ir dar seniau pirko 3vnt</t>
  </si>
  <si>
    <t>mitas moto</t>
  </si>
  <si>
    <t>justas cerniauskas J &lt;phicus@gmail.com draugelis andrius jurkus</t>
  </si>
  <si>
    <t>audi china ratai  r22</t>
  </si>
  <si>
    <t>260e IDE008836</t>
  </si>
  <si>
    <t>IDE008836</t>
  </si>
  <si>
    <t>265/30r22</t>
  </si>
  <si>
    <t>continental contisport 7</t>
  </si>
  <si>
    <t>330eur+montazke IDE008836</t>
  </si>
  <si>
    <t>3 397 001 582 25eur</t>
  </si>
  <si>
    <t>mantas jastremskas cailas porsche 997.2</t>
  </si>
  <si>
    <t>sekretkos 45eur</t>
  </si>
  <si>
    <t>8100 X-MAX 0W40    2x5L  2x54eur</t>
  </si>
  <si>
    <t>martynas jastremskas cailas</t>
  </si>
  <si>
    <t>JTS1583   25eur</t>
  </si>
  <si>
    <t>JBJ335  19eur</t>
  </si>
  <si>
    <t>Laurynas Goncauskas lec882 kia sportage</t>
  </si>
  <si>
    <t>TC2704  19eur</t>
  </si>
  <si>
    <t>sarnyro priekinio keitimas ir stabilyzo  5x35 su pvm</t>
  </si>
  <si>
    <t>39138 01  25eur</t>
  </si>
  <si>
    <t>37-16 060 0043  24eur</t>
  </si>
  <si>
    <t>galiniu stabylniku keitimas</t>
  </si>
  <si>
    <t>dezent ratai</t>
  </si>
  <si>
    <t>kaladeles priekis galas keitimas</t>
  </si>
  <si>
    <t>IDE008934</t>
  </si>
  <si>
    <t>803 024 2x34eur</t>
  </si>
  <si>
    <t>stabdziu skystis keitimas ir rbf700</t>
  </si>
  <si>
    <t>sailenblokai priekis ir galas su keiitimu</t>
  </si>
  <si>
    <t>rastafkes po 31eur</t>
  </si>
  <si>
    <t>IDE008952</t>
  </si>
  <si>
    <t>195/50r13c</t>
  </si>
  <si>
    <t>3 397 016 826  7eur</t>
  </si>
  <si>
    <t>3 397 007 863  25eur</t>
  </si>
  <si>
    <t>golf rato lyginimas</t>
  </si>
  <si>
    <t>montazke dvieju ratu dar</t>
  </si>
  <si>
    <t>hankook am15+</t>
  </si>
  <si>
    <t>algimantas janusauskas noragra sask</t>
  </si>
  <si>
    <t>IDE008859</t>
  </si>
  <si>
    <t>thule daiktai</t>
  </si>
  <si>
    <t xml:space="preserve">Gediminas Kniežys ELENAGRUODYTE@gmail.com"        </t>
  </si>
  <si>
    <t>288+660</t>
  </si>
  <si>
    <t>168+105e</t>
  </si>
  <si>
    <t>laurynas goncauskas  +2devetos dovanu</t>
  </si>
  <si>
    <t>60+pvm montazke</t>
  </si>
  <si>
    <t>IDE008957</t>
  </si>
  <si>
    <t>keitimas skyscio ir slangu</t>
  </si>
  <si>
    <t>stabdziu skystis 3x</t>
  </si>
  <si>
    <t>stabdziu slangutes</t>
  </si>
  <si>
    <t>IDE009262</t>
  </si>
  <si>
    <t>0w40 v300 tepalai 6l</t>
  </si>
  <si>
    <t>C 28 053 25eur</t>
  </si>
  <si>
    <t>C 26 047  25eur</t>
  </si>
  <si>
    <t>paulius valiukevicius m3</t>
  </si>
  <si>
    <t>toyo u/t</t>
  </si>
  <si>
    <t>gleb sazanov 061277779</t>
  </si>
  <si>
    <t>IDE008844</t>
  </si>
  <si>
    <t>donatas siurna skoda octavia balans</t>
  </si>
  <si>
    <t>IDE008854</t>
  </si>
  <si>
    <t>P 06 075 60eur</t>
  </si>
  <si>
    <t>98047500  12eur</t>
  </si>
  <si>
    <t>09.C116.11  2x 82eur</t>
  </si>
  <si>
    <t>IDE008962</t>
  </si>
  <si>
    <t>38000km</t>
  </si>
  <si>
    <t>keitimas skyscio</t>
  </si>
  <si>
    <t>kristis kristijonas plioplys m4</t>
  </si>
  <si>
    <t>IDE009201</t>
  </si>
  <si>
    <t>daviklis uz keitima</t>
  </si>
  <si>
    <t>40-194  2x264eur</t>
  </si>
  <si>
    <t>IDE008907</t>
  </si>
  <si>
    <t>pastomata idejau ir dvirkos dalis</t>
  </si>
  <si>
    <t>253eur+montazke be maisnos</t>
  </si>
  <si>
    <t>IDE008913</t>
  </si>
  <si>
    <t>4x10eur devetas daviau 255/45r19</t>
  </si>
  <si>
    <t>donatas siurna nio  kokybiski auto</t>
  </si>
  <si>
    <t>IDE009005</t>
  </si>
  <si>
    <t>ratlankiai dezent + davikliai+montazke</t>
  </si>
  <si>
    <t>UAB "STATYBŲ DAILOS AMBASADA" Tomas Bareikis</t>
  </si>
  <si>
    <t>IDE008852</t>
  </si>
  <si>
    <t>pirelli pzero J</t>
  </si>
  <si>
    <t>leonid@telemed.lt</t>
  </si>
  <si>
    <t>250e</t>
  </si>
  <si>
    <t>Dominykas Navakas UAB „ANETUS”</t>
  </si>
  <si>
    <t>IDE008853</t>
  </si>
  <si>
    <t>jurgis berzinis passat</t>
  </si>
  <si>
    <t>60e+montazke dvieju</t>
  </si>
  <si>
    <t>dave 40eur 2024-06-04</t>
  </si>
  <si>
    <t>gliaudelis tvarke plentini 2024-06-04 su guolaiis ir pa</t>
  </si>
  <si>
    <t>graveli vaitkaus patvarke biski 2024-08-06</t>
  </si>
  <si>
    <t>sworks gravel koloneles tuning 15eur</t>
  </si>
  <si>
    <t>ratuoti riteriai skola 117.40eur</t>
  </si>
  <si>
    <t>sunny na 305</t>
  </si>
  <si>
    <t>IDE008998</t>
  </si>
  <si>
    <t>Aurius &lt;beerware@gmail.com&gt;</t>
  </si>
  <si>
    <t>justas kaziliunas</t>
  </si>
  <si>
    <t>IDE008868</t>
  </si>
  <si>
    <t>martynas bisikirskas veho Gabija Jakutytė</t>
  </si>
  <si>
    <t>IDE008906</t>
  </si>
  <si>
    <t>114 610 0000  2x15eur</t>
  </si>
  <si>
    <t>DPS32002  26eur</t>
  </si>
  <si>
    <t>38600 01 2x 15eur</t>
  </si>
  <si>
    <t>P 85 058  23eur</t>
  </si>
  <si>
    <t>26774 01  2x 24eur</t>
  </si>
  <si>
    <t>275/45R21</t>
  </si>
  <si>
    <t>23152 pirelli MO</t>
  </si>
  <si>
    <t>IDE009451</t>
  </si>
  <si>
    <t>315/40R21</t>
  </si>
  <si>
    <t>23212 pirelli MO</t>
  </si>
  <si>
    <t>285/40R22</t>
  </si>
  <si>
    <t>23264 pirelli MO1</t>
  </si>
  <si>
    <t>martynas bisikirskas veho GLE 53 AMG HYBRID / Nerijus Brazys</t>
  </si>
  <si>
    <t>krujeris 2024-10-17</t>
  </si>
  <si>
    <t>IDE009113</t>
  </si>
  <si>
    <t>325/35R22</t>
  </si>
  <si>
    <t>23286 pirelli MO1</t>
  </si>
  <si>
    <t>14785 goodride z401</t>
  </si>
  <si>
    <t>IDE008993</t>
  </si>
  <si>
    <t>49394 hankook w462</t>
  </si>
  <si>
    <t>112eur IDE009043</t>
  </si>
  <si>
    <t>61253 goodride z507</t>
  </si>
  <si>
    <t>IDE009203</t>
  </si>
  <si>
    <t>104843  gt radial winterpro 2</t>
  </si>
  <si>
    <t>montazke prius 2vnt</t>
  </si>
  <si>
    <t>yokohama v905 19490</t>
  </si>
  <si>
    <t>ramunas navardauskas</t>
  </si>
  <si>
    <t>150eur  bisikirskas veho duos jam</t>
  </si>
  <si>
    <t>104135 hankook w462</t>
  </si>
  <si>
    <t>50+kurjer</t>
  </si>
  <si>
    <t>PIRELLI SCORPION WINTER 107V MO</t>
  </si>
  <si>
    <t>martynas bisikirskas veho DEMO GLE 400e Coupe / 0452710207 / žieminės padangos</t>
  </si>
  <si>
    <t>320+393eur</t>
  </si>
  <si>
    <t>IDE008981</t>
  </si>
  <si>
    <t>pirelli pzero winter MO</t>
  </si>
  <si>
    <t>IDE009020</t>
  </si>
  <si>
    <t>IDE009109</t>
  </si>
  <si>
    <t>IDE008870</t>
  </si>
  <si>
    <t>IDE009017</t>
  </si>
  <si>
    <t>IDE009018</t>
  </si>
  <si>
    <t>IDE009019</t>
  </si>
  <si>
    <t>pirelli powergy winter</t>
  </si>
  <si>
    <t>177+   IDE009021</t>
  </si>
  <si>
    <t>AA0000000170</t>
  </si>
  <si>
    <t>18544 yokohama V905</t>
  </si>
  <si>
    <t>seat ateca        MCT673  interlux</t>
  </si>
  <si>
    <t>IDE009127</t>
  </si>
  <si>
    <t>104270 yokohama v906</t>
  </si>
  <si>
    <t>q7	hhh525  interlux</t>
  </si>
  <si>
    <t>Simonas Kvedaras &lt;simonas.kvedaras@gmail.com</t>
  </si>
  <si>
    <t>pirelli ice zero 106333</t>
  </si>
  <si>
    <t>Zydrunas.Daunoravicius@interlux.lt JTO204 vilma.ratautaite@gmail.com</t>
  </si>
  <si>
    <t>andrej andrejav ana</t>
  </si>
  <si>
    <t>po 100e</t>
  </si>
  <si>
    <t>dave400e</t>
  </si>
  <si>
    <t>480+360</t>
  </si>
  <si>
    <t>IDE009157</t>
  </si>
  <si>
    <t>skoda kodiaq	mbc727  nav mingela</t>
  </si>
  <si>
    <t>IDE009041</t>
  </si>
  <si>
    <t>#56158</t>
  </si>
  <si>
    <t>IDE008869</t>
  </si>
  <si>
    <t>#56161</t>
  </si>
  <si>
    <t>IDE008871</t>
  </si>
  <si>
    <t>#56078</t>
  </si>
  <si>
    <t>kurjeris IDE009210</t>
  </si>
  <si>
    <t>IDE009211</t>
  </si>
  <si>
    <t>goodyear ug perf3 580736</t>
  </si>
  <si>
    <t>goodyear ug perf3 580708</t>
  </si>
  <si>
    <t>paulius siskevicius NBF747 Audi A4</t>
  </si>
  <si>
    <t>IDE009077</t>
  </si>
  <si>
    <t>goodyear ice2 sct 578020</t>
  </si>
  <si>
    <t>mantas pavliukevicius mix leaf</t>
  </si>
  <si>
    <t>goodyear ug ice3 sct 594630</t>
  </si>
  <si>
    <t>mantas pavliukevicius mix passat</t>
  </si>
  <si>
    <t>#46255</t>
  </si>
  <si>
    <t>594224 goodyear perf+</t>
  </si>
  <si>
    <t>tomas naruskevic kbb420</t>
  </si>
  <si>
    <t>IDE009031</t>
  </si>
  <si>
    <t>kupon naujas #45402 atmete</t>
  </si>
  <si>
    <t>574156 gy perf +</t>
  </si>
  <si>
    <t>IDE009195</t>
  </si>
  <si>
    <t>578664 Fulda KRI CONTROL HP 2</t>
  </si>
  <si>
    <t>#57852</t>
  </si>
  <si>
    <t>goodyear ug perf3 580529</t>
  </si>
  <si>
    <t>IDE009302</t>
  </si>
  <si>
    <t>rav4 hzu850 interlux</t>
  </si>
  <si>
    <t>IDE009253</t>
  </si>
  <si>
    <t>#56250</t>
  </si>
  <si>
    <t>goodyear ice suv 543466</t>
  </si>
  <si>
    <t>touareg        jdp573 interlux</t>
  </si>
  <si>
    <t>IDE009224</t>
  </si>
  <si>
    <t>passat        jsj805 interlux</t>
  </si>
  <si>
    <t>skoda scout	gbo939 interlux</t>
  </si>
  <si>
    <t>IDE009061</t>
  </si>
  <si>
    <t>octavia	huv903 interlux</t>
  </si>
  <si>
    <t>IDE009062</t>
  </si>
  <si>
    <t>#56264</t>
  </si>
  <si>
    <t>Subaru forester JNA724</t>
  </si>
  <si>
    <t>passat b8	jto174 interlux</t>
  </si>
  <si>
    <t>passat	jph121 passat interlux</t>
  </si>
  <si>
    <t>rav4        hzu996 interlux</t>
  </si>
  <si>
    <t>rav4        jbd825 interlux</t>
  </si>
  <si>
    <t>#56251</t>
  </si>
  <si>
    <t>580714 goodyear ug perf  3</t>
  </si>
  <si>
    <t>mercedes viano	jtr371  interlux</t>
  </si>
  <si>
    <t>goodyear ug perf3 580652</t>
  </si>
  <si>
    <t>saulius samulevicius han339</t>
  </si>
  <si>
    <t>skola sezono 2024-11</t>
  </si>
  <si>
    <t>skola 2024-04</t>
  </si>
  <si>
    <t>skola 2025-04+montazke 2025-08-12 srotas</t>
  </si>
  <si>
    <t>35eur skola pvm nuo ide004634+4638+4641</t>
  </si>
  <si>
    <t>mingela nav tomas ftp885</t>
  </si>
  <si>
    <t>FBV969 audi a3 mantas serbintas Violeta Serbintienė</t>
  </si>
  <si>
    <t>Evaldas &lt;e.prizginas@gmail.com jto478</t>
  </si>
  <si>
    <t>IDE009146</t>
  </si>
  <si>
    <t>IDE009023</t>
  </si>
  <si>
    <t>IDE009022</t>
  </si>
  <si>
    <t>martynas bisikirskas veho egidijus buivydas</t>
  </si>
  <si>
    <t>350eur savikaina+kurjeris 30e</t>
  </si>
  <si>
    <t>IDE009056</t>
  </si>
  <si>
    <t>Agnė Alseikaitė 1292eur sask</t>
  </si>
  <si>
    <t>143eur+mnontazke</t>
  </si>
  <si>
    <t>goodyear ug perf 3 580736</t>
  </si>
  <si>
    <t>rytenis sklerius</t>
  </si>
  <si>
    <t>dunlop w5 99v</t>
  </si>
  <si>
    <t>Martynas Vervečka &lt;Martynas.Vervecka@tradintek.com KJH987</t>
  </si>
  <si>
    <t>158eur</t>
  </si>
  <si>
    <t>IDE009069</t>
  </si>
  <si>
    <t>goodyear ug ice suv 576041</t>
  </si>
  <si>
    <t>jurgis berzinis passat Ncy819 wv passaf</t>
  </si>
  <si>
    <t>IDE009229</t>
  </si>
  <si>
    <t>Rytis Jadzevičius &lt;rytis.jadzevicius@gmail.com MGF876</t>
  </si>
  <si>
    <t>IDE009231</t>
  </si>
  <si>
    <t>355eur hos011 gwl2226698817503</t>
  </si>
  <si>
    <t>IDE009233 IDE009396</t>
  </si>
  <si>
    <t>aurimas nav(israsiau kristijonas plioplys)</t>
  </si>
  <si>
    <t>355eur GWL2265713471953 NBV088</t>
  </si>
  <si>
    <t>a.trachimovic@gmail.com  su montazke</t>
  </si>
  <si>
    <t>IDE009007</t>
  </si>
  <si>
    <t>austeja daviau kupona</t>
  </si>
  <si>
    <t>IDE009168</t>
  </si>
  <si>
    <t>alan karolis daviau</t>
  </si>
  <si>
    <t>Mindaugas Balciunas &lt;mindaugasb9@gmail.com</t>
  </si>
  <si>
    <t>135+165eur</t>
  </si>
  <si>
    <t>302e montazke porso</t>
  </si>
  <si>
    <t>IDE009219</t>
  </si>
  <si>
    <t>#55108</t>
  </si>
  <si>
    <t>IDE009058</t>
  </si>
  <si>
    <t>kupon austeja ignatonyte</t>
  </si>
  <si>
    <t>martynas grieze golf</t>
  </si>
  <si>
    <t>montazke ant disku</t>
  </si>
  <si>
    <t>kupon 13880</t>
  </si>
  <si>
    <t>goodyear vec 4season</t>
  </si>
  <si>
    <t>IDE009037</t>
  </si>
  <si>
    <t>IDE009327</t>
  </si>
  <si>
    <t>donatas jankantas</t>
  </si>
  <si>
    <t>Valdas Fedianinas valdas@balticmachinery.lt</t>
  </si>
  <si>
    <t>Valdas Fedianinas valdas@balticmachinery.lt  mykolas</t>
  </si>
  <si>
    <t>michelin camping</t>
  </si>
  <si>
    <t>karolis girnys noslow tevas</t>
  </si>
  <si>
    <t>09.A200.11 2x50eur</t>
  </si>
  <si>
    <t>adomas soblinskas skoda</t>
  </si>
  <si>
    <t>GIC242 2x5eur</t>
  </si>
  <si>
    <t>P 50 133 48eur</t>
  </si>
  <si>
    <t>09.D531.13 2x90eur</t>
  </si>
  <si>
    <t>Voldemaras Kallo &lt;voldemaras@carsrent.lt</t>
  </si>
  <si>
    <t>rytenis sklerius bmw</t>
  </si>
  <si>
    <t xml:space="preserve">153+montzke </t>
  </si>
  <si>
    <t>dazymas ratu r18 ir montazke</t>
  </si>
  <si>
    <t>bmw rytenio tepalu keitimas</t>
  </si>
  <si>
    <t>filtru keitimas</t>
  </si>
  <si>
    <t>zvakiu keiitmas</t>
  </si>
  <si>
    <t>skystis 10e</t>
  </si>
  <si>
    <t>tepalai backa 5.25l</t>
  </si>
  <si>
    <t>F 026 400 676  14eur</t>
  </si>
  <si>
    <t>IDE008911</t>
  </si>
  <si>
    <t>ecolite motul 5+1  40+10eur</t>
  </si>
  <si>
    <t>pirelli pzero lux</t>
  </si>
  <si>
    <t>Renaldas Stasys | RS-LINIJA</t>
  </si>
  <si>
    <t>IDE008900</t>
  </si>
  <si>
    <t>208eur+montazke IDE008880</t>
  </si>
  <si>
    <t>siuntimas i kauna 235+8eur?</t>
  </si>
  <si>
    <t>IDE008881</t>
  </si>
  <si>
    <t>siunta i kauna ir 255savik</t>
  </si>
  <si>
    <t>Darius Kulikauskas</t>
  </si>
  <si>
    <t>mindaugas krilavicius viber</t>
  </si>
  <si>
    <t>6PK1130  14eur</t>
  </si>
  <si>
    <t>GA357.71  38eur</t>
  </si>
  <si>
    <t>mantas ank golf r</t>
  </si>
  <si>
    <t>keitimas 45</t>
  </si>
  <si>
    <t>LMI36922 2x30eur + keitimas sarnyr dvieju</t>
  </si>
  <si>
    <t>apziura golfo 1h</t>
  </si>
  <si>
    <t>p85144x  100eur</t>
  </si>
  <si>
    <t>p85124x 60eur</t>
  </si>
  <si>
    <t>mantas ank golfas</t>
  </si>
  <si>
    <t>F 026 407 278  9eur</t>
  </si>
  <si>
    <t>motul 300v 5w50 3x2l</t>
  </si>
  <si>
    <t>FE47197  5eur</t>
  </si>
  <si>
    <t>EL398260 18eur</t>
  </si>
  <si>
    <t>keitimas tepalu/filtru 30e</t>
  </si>
  <si>
    <t>karterio varztas 5eur</t>
  </si>
  <si>
    <t>karterio keitimas 30</t>
  </si>
  <si>
    <t>stabdziu kaladziu keiitmas 80e</t>
  </si>
  <si>
    <t>dezes tepalo keitimas</t>
  </si>
  <si>
    <t>dezes tepalai 5-6l high torque</t>
  </si>
  <si>
    <t>sukeitem ir numontavom ratus2x</t>
  </si>
  <si>
    <t>ratu dazymas r19  190eur</t>
  </si>
  <si>
    <t>ratu lyginimas  50eur</t>
  </si>
  <si>
    <t>KB657.27  2x35eur</t>
  </si>
  <si>
    <t>lupa uzdejo su dugno apsauga</t>
  </si>
  <si>
    <t>rastafkes 2vnt+varztai</t>
  </si>
  <si>
    <t>P 85 189  45eur</t>
  </si>
  <si>
    <t>09.A200.11  2x58eur</t>
  </si>
  <si>
    <t>09.C306.1X  2x140eur</t>
  </si>
  <si>
    <t>Algimantas Kavoliukas | Insitus &lt;algimantas@insitus.lt</t>
  </si>
  <si>
    <t>visu disku ir kaladziu keitimas</t>
  </si>
  <si>
    <t>IDE008915</t>
  </si>
  <si>
    <t>P 85 144X 110eur</t>
  </si>
  <si>
    <t>stabdziu skyst keit</t>
  </si>
  <si>
    <t>motul rbf700 3vnt</t>
  </si>
  <si>
    <t>bmw235 apziura pakabos</t>
  </si>
  <si>
    <t>IDE009234</t>
  </si>
  <si>
    <t>disku tekinimas 70eur</t>
  </si>
  <si>
    <t>paulius valiukevicius porsche spyder</t>
  </si>
  <si>
    <t>disku nuvezimas</t>
  </si>
  <si>
    <t>stabdziu problemos ieskojimai</t>
  </si>
  <si>
    <t>disku keitimas</t>
  </si>
  <si>
    <t>IDE008899</t>
  </si>
  <si>
    <t>198e+montzke ir sukeitimsa viur ratu</t>
  </si>
  <si>
    <t xml:space="preserve">braid ratlankis </t>
  </si>
  <si>
    <t>IDE008882</t>
  </si>
  <si>
    <t>LX 2076/3  20eur</t>
  </si>
  <si>
    <t>OX 387D1  12eur</t>
  </si>
  <si>
    <t>Deividas Rinkevičius bmw tepalu keitimas</t>
  </si>
  <si>
    <t>filtru keitimas 6.5</t>
  </si>
  <si>
    <t>numontavom rs6 ratus</t>
  </si>
  <si>
    <t>IDE008904</t>
  </si>
  <si>
    <t>0 258 027 215 105eur</t>
  </si>
  <si>
    <t>keitimas ir patikra 35eur</t>
  </si>
  <si>
    <t>BP2548 12eur</t>
  </si>
  <si>
    <t>BG2538 35eur</t>
  </si>
  <si>
    <t>algis kaimynas honda jazz</t>
  </si>
  <si>
    <t>Akumuliatorius 77 Ah 780 A EN 12V</t>
  </si>
  <si>
    <t>vygantas vyga srotas paukstynas</t>
  </si>
  <si>
    <t>285/30r22</t>
  </si>
  <si>
    <t>330e</t>
  </si>
  <si>
    <t>ratu dazymas rs6</t>
  </si>
  <si>
    <t>37060860151  edmontas@rtapro.lt  mb rta pro</t>
  </si>
  <si>
    <t>IDE008925</t>
  </si>
  <si>
    <t>415 0717 09 Smagratis</t>
  </si>
  <si>
    <t xml:space="preserve">rimantas kuliesius </t>
  </si>
  <si>
    <t>700e</t>
  </si>
  <si>
    <t>IDE008916</t>
  </si>
  <si>
    <t>dunlop gt</t>
  </si>
  <si>
    <t>35365 01  25eur+keitimas stabilyzo</t>
  </si>
  <si>
    <t>m3 kazka cia ziuret</t>
  </si>
  <si>
    <t>ismetimas 1.5h</t>
  </si>
  <si>
    <t>x5 r22 montazke ir dazymas</t>
  </si>
  <si>
    <t>IDE009002</t>
  </si>
  <si>
    <t>ratu lyginimas 60eur</t>
  </si>
  <si>
    <t xml:space="preserve">exide ek960 Akumuliatorius 96 Ah 850 A EN 12V AGM   </t>
  </si>
  <si>
    <t>Vytautas Rakauskas</t>
  </si>
  <si>
    <t>vw passat MSB723 interlux</t>
  </si>
  <si>
    <t>IDE009275</t>
  </si>
  <si>
    <t>toyota proace	LTP289	SORMEDICA</t>
  </si>
  <si>
    <t>IDE009276</t>
  </si>
  <si>
    <t>sailun terramax AT</t>
  </si>
  <si>
    <t>IDE008910</t>
  </si>
  <si>
    <t>sarunas skyrius bmw</t>
  </si>
  <si>
    <t>IDE008909</t>
  </si>
  <si>
    <t>300V 0W40 2L    3x - po 40eur</t>
  </si>
  <si>
    <t>LAO 888 21eur</t>
  </si>
  <si>
    <t>IDE008954</t>
  </si>
  <si>
    <t>LX 3503  20eur</t>
  </si>
  <si>
    <t>povilas meskys golf gti lum820</t>
  </si>
  <si>
    <t>ADG02594  8eur</t>
  </si>
  <si>
    <t>LX 3677 15eur</t>
  </si>
  <si>
    <t>KC 605D 30eur</t>
  </si>
  <si>
    <t>keitimas visko, kuras gemar 2x25eur</t>
  </si>
  <si>
    <t>P 30 056  45eur</t>
  </si>
  <si>
    <t>P 30 068  30eur</t>
  </si>
  <si>
    <t>kaladeliu keitimas 66+</t>
  </si>
  <si>
    <t>36738 01 2x18eur</t>
  </si>
  <si>
    <t>stabilyzu keitimas 2x15</t>
  </si>
  <si>
    <t xml:space="preserve">Valdas Fedianinas valdas@balticmachinery.lt  </t>
  </si>
  <si>
    <t>151eur+montzke</t>
  </si>
  <si>
    <t>IDE008959</t>
  </si>
  <si>
    <t>120/70r12</t>
  </si>
  <si>
    <t>130/70r10</t>
  </si>
  <si>
    <t>33x10.5r18</t>
  </si>
  <si>
    <t>donatas dudutis</t>
  </si>
  <si>
    <t>IDE008919</t>
  </si>
  <si>
    <t>ratu dazymas 170+pvm</t>
  </si>
  <si>
    <t>IDE009278</t>
  </si>
  <si>
    <t>98500km</t>
  </si>
  <si>
    <t>IDE008958</t>
  </si>
  <si>
    <t>padangos klijavimas</t>
  </si>
  <si>
    <t>B545157033 akumas 66eur</t>
  </si>
  <si>
    <t>technine masinos apziura</t>
  </si>
  <si>
    <t>315 149 2x51eur</t>
  </si>
  <si>
    <t>amortu keitimas gale</t>
  </si>
  <si>
    <t>P 85 124  39eur</t>
  </si>
  <si>
    <t>marius ramanauskas mario ra</t>
  </si>
  <si>
    <t>IDE008955</t>
  </si>
  <si>
    <t>08.C501.11  2vnt po 56eur</t>
  </si>
  <si>
    <t>199062 EL700 exide 70ah akumas</t>
  </si>
  <si>
    <t>r21 montazke du kart</t>
  </si>
  <si>
    <t>marijus kebla x5comp</t>
  </si>
  <si>
    <t>dazymas ratu r21</t>
  </si>
  <si>
    <t>m lipdukai 12eur</t>
  </si>
  <si>
    <t>dviracio laikiklis 150eur</t>
  </si>
  <si>
    <t>motul xclean+ 5l - 50eur</t>
  </si>
  <si>
    <t>LX 3503  18eur</t>
  </si>
  <si>
    <t>1 987 432 543  14eur</t>
  </si>
  <si>
    <t>algirdas butkevicius skoda</t>
  </si>
  <si>
    <t>tepalu filtru keitimas 30eur</t>
  </si>
  <si>
    <t>101652  18eur</t>
  </si>
  <si>
    <t>FE47827  5eur</t>
  </si>
  <si>
    <t>08.D616.11 2x34eur</t>
  </si>
  <si>
    <t>530 0650 30  199eur</t>
  </si>
  <si>
    <t>disku/kald keitimas</t>
  </si>
  <si>
    <t>genero sankabos keitimas</t>
  </si>
  <si>
    <t>paskirstymo dirzo keitimas</t>
  </si>
  <si>
    <t>6 PK 1033  11eur</t>
  </si>
  <si>
    <t>SJ1039 5eur</t>
  </si>
  <si>
    <t>gal.stabdziu suporto perrinkimas/remontas</t>
  </si>
  <si>
    <t>535 0343 10  78eur</t>
  </si>
  <si>
    <t>stabdziu skystis, nuorinimas 1 rato</t>
  </si>
  <si>
    <t>ausinimo skystis 5L  15eur</t>
  </si>
  <si>
    <t>#55114</t>
  </si>
  <si>
    <t>301eur  IDE008961 montazke devetu</t>
  </si>
  <si>
    <t>kupon martynas utkinas</t>
  </si>
  <si>
    <t>montazke priority nauju</t>
  </si>
  <si>
    <t>IDE009225</t>
  </si>
  <si>
    <t>97000km</t>
  </si>
  <si>
    <t>FP 30 007  70eur</t>
  </si>
  <si>
    <t>IDE008963</t>
  </si>
  <si>
    <t>yokohama advans port</t>
  </si>
  <si>
    <t>IDE008932</t>
  </si>
  <si>
    <t>zapaske merso e-class</t>
  </si>
  <si>
    <t>IDE008872</t>
  </si>
  <si>
    <t xml:space="preserve">mantas jastremskas m3 </t>
  </si>
  <si>
    <t>4xdavikliai su idejimu ir balans</t>
  </si>
  <si>
    <t>ADG02140 10eur</t>
  </si>
  <si>
    <t>1 457 434 511   20eur</t>
  </si>
  <si>
    <t>dirzo keitimas 50e</t>
  </si>
  <si>
    <t>SYNER-Z 5W30 5L+1l  44eur+10l</t>
  </si>
  <si>
    <t>534 0550 10  33eur</t>
  </si>
  <si>
    <t>532 0639 10 15eur</t>
  </si>
  <si>
    <t>GAT5PK1810  24eur</t>
  </si>
  <si>
    <t>keitimas slangos</t>
  </si>
  <si>
    <t>antifryzo 1.5+5l</t>
  </si>
  <si>
    <t>ausinimo slanga  32eur</t>
  </si>
  <si>
    <t xml:space="preserve">arrivo ultra arz 5 </t>
  </si>
  <si>
    <t>100eur ir montazke</t>
  </si>
  <si>
    <t>156 eur ?</t>
  </si>
  <si>
    <t>michelin cup2 n0</t>
  </si>
  <si>
    <t>Tautvydas Bagonas &lt;bagonas.tautvydas@gmail.com</t>
  </si>
  <si>
    <t>IDE008917</t>
  </si>
  <si>
    <t>maxxis vs5</t>
  </si>
  <si>
    <t>127+140eur</t>
  </si>
  <si>
    <t>IDE008947</t>
  </si>
  <si>
    <t>ADBP800091 2x 10eur</t>
  </si>
  <si>
    <t>priek sailenbloku keitimas 4x</t>
  </si>
  <si>
    <t>42992 01  2x11eur</t>
  </si>
  <si>
    <t>0.036095  20eur</t>
  </si>
  <si>
    <t>antgaliu keitimas</t>
  </si>
  <si>
    <t>116 060 0063/HD 2x24eur</t>
  </si>
  <si>
    <t>sailenblokai 2x25</t>
  </si>
  <si>
    <t>laurynas goncauskas prius Toyota prius 2010, 1.8 hibrid</t>
  </si>
  <si>
    <t>50eur+montazke</t>
  </si>
  <si>
    <t>IDE008956</t>
  </si>
  <si>
    <t>F 026 400 153 15eur</t>
  </si>
  <si>
    <t>laurynas goncauskas prius</t>
  </si>
  <si>
    <t>keitimas filtru tepalu 25</t>
  </si>
  <si>
    <t>virinimas ismetimo</t>
  </si>
  <si>
    <t>skardos burtai melyno prius</t>
  </si>
  <si>
    <t>laurynas goncauskas tiguan valytuvai</t>
  </si>
  <si>
    <t>3 397 014 244 25eur</t>
  </si>
  <si>
    <t>95eur+montazke su uzdejimu zapaskes</t>
  </si>
  <si>
    <t>pervede 120e kestutis</t>
  </si>
  <si>
    <t>coilai volvo</t>
  </si>
  <si>
    <t>1140eur IDE008952</t>
  </si>
  <si>
    <t>nauji ventiliai po 4x6eur</t>
  </si>
  <si>
    <t>mantas jastremskas cailas audi rs6</t>
  </si>
  <si>
    <t>1 987 302 804 2x5eur</t>
  </si>
  <si>
    <t>2026 xls</t>
  </si>
  <si>
    <t>3x terapijos dvi ir viena du kartus</t>
  </si>
  <si>
    <t>19-127439 2x65eur</t>
  </si>
  <si>
    <t>900 105  1x20eur</t>
  </si>
  <si>
    <t>E10-85-031-02-22   180eur</t>
  </si>
  <si>
    <t>egidijus meilunas jetta gli</t>
  </si>
  <si>
    <t>keitimas amortu/spyruokliu</t>
  </si>
  <si>
    <t>22-183750  2x83eur</t>
  </si>
  <si>
    <t>900 140  1x20eur</t>
  </si>
  <si>
    <t>atraminiai visi 100eur</t>
  </si>
  <si>
    <t>JBJ751  16eur</t>
  </si>
  <si>
    <t>babinos 4x30eur</t>
  </si>
  <si>
    <t xml:space="preserve">zvakes 4x12eur </t>
  </si>
  <si>
    <t>1naujas daviklis ir keitimas jo</t>
  </si>
  <si>
    <t>IDE008951</t>
  </si>
  <si>
    <t>VKDS 831016 (SKF) 2x15eur</t>
  </si>
  <si>
    <t>sailentai priekiniai maziukai dar</t>
  </si>
  <si>
    <t>31247 01  2x25eur</t>
  </si>
  <si>
    <t>laurynas goncauskas melynas prius</t>
  </si>
  <si>
    <t>padangas atkeitem</t>
  </si>
  <si>
    <t>00676185 2x24eur</t>
  </si>
  <si>
    <t>TO-ES-13228   25eur</t>
  </si>
  <si>
    <t>TO-ES-13227   25eur</t>
  </si>
  <si>
    <t>rankinis sureguliuotas,kalad pakeista 41+pvm</t>
  </si>
  <si>
    <t>sarnyrai su bulgarke 2x35eur</t>
  </si>
  <si>
    <t>traukes uzpuve buvo 30eur</t>
  </si>
  <si>
    <t>sailenbloku keitimas priekyje 4x.  140eur viso</t>
  </si>
  <si>
    <t>galiniu sailentu keitimas hemaras 2x50eur</t>
  </si>
  <si>
    <t>yokohama v107a</t>
  </si>
  <si>
    <t>177savik+kurjer IDE008948</t>
  </si>
  <si>
    <t>montazke su balansu volvo 40eur</t>
  </si>
  <si>
    <t>klijavimas 1 rato</t>
  </si>
  <si>
    <t>2x davikliai 12eur abu</t>
  </si>
  <si>
    <t>0 986 424 439  70eur</t>
  </si>
  <si>
    <t>24681.966.1  165eur</t>
  </si>
  <si>
    <t>mantas jastremskas mersas rutos</t>
  </si>
  <si>
    <t>ratu lyginimas visu</t>
  </si>
  <si>
    <t>montazke visu ratu</t>
  </si>
  <si>
    <t>mersto ratas mariui 70eur cash</t>
  </si>
  <si>
    <t>IDE008990</t>
  </si>
  <si>
    <t>2ratu lyg mariui 80eur cash</t>
  </si>
  <si>
    <t>lempu poliravimas</t>
  </si>
  <si>
    <t>S 83 551  20eur</t>
  </si>
  <si>
    <t>-23eur uz senukus</t>
  </si>
  <si>
    <t>Alyva MOTUL 300V 5W40 FACTORY LINE 4T 4L x2</t>
  </si>
  <si>
    <t>paulius valiukevicius bagis</t>
  </si>
  <si>
    <t>Alyva MOTUL GEAR 300 SAE 75W90 1L x4</t>
  </si>
  <si>
    <t>Alyva MOTUL GEAR FF Competition 75W140 1L  x4</t>
  </si>
  <si>
    <t>48-1011  30eur</t>
  </si>
  <si>
    <t>HF152  12eur</t>
  </si>
  <si>
    <t>montazke 1 rato IDE008960</t>
  </si>
  <si>
    <t>13.0460-2716.2   74eur</t>
  </si>
  <si>
    <t>24.0124-0262.2 2x160eur</t>
  </si>
  <si>
    <t>1 987 473 615 10eur</t>
  </si>
  <si>
    <t>kristis riese plioplys bmw kazkoks</t>
  </si>
  <si>
    <t>IDE009293</t>
  </si>
  <si>
    <t>33306871023 73eur</t>
  </si>
  <si>
    <t>VKBA 7129   116eur</t>
  </si>
  <si>
    <t>kokybiski auto donatas siurna</t>
  </si>
  <si>
    <t>170eur+montazke IDE009005</t>
  </si>
  <si>
    <t>yokohama g057</t>
  </si>
  <si>
    <t>218   IDE008966</t>
  </si>
  <si>
    <t>60virinimas+30montazke</t>
  </si>
  <si>
    <t>ratu sukeitimas su paskolinimu 30e</t>
  </si>
  <si>
    <t>VKM 33161  35eur</t>
  </si>
  <si>
    <t>11-14 631 0016  136eur</t>
  </si>
  <si>
    <t>6PK1705  13eur</t>
  </si>
  <si>
    <t>arturas zakroiskis pezo</t>
  </si>
  <si>
    <t>532 0538 10  15eur</t>
  </si>
  <si>
    <t>147e</t>
  </si>
  <si>
    <t>1 987 473 500 12eur</t>
  </si>
  <si>
    <t>LX2525  24eur</t>
  </si>
  <si>
    <t>OX 387D   12eur</t>
  </si>
  <si>
    <t>kazimieras lukauskas bmw</t>
  </si>
  <si>
    <t>IDE009014</t>
  </si>
  <si>
    <t>LAO 467/S  50eur</t>
  </si>
  <si>
    <t>09.C405.13 2x200eur</t>
  </si>
  <si>
    <t>P 06 076  82eur</t>
  </si>
  <si>
    <t>china ratai 600e ir montazke</t>
  </si>
  <si>
    <t>IDE009006</t>
  </si>
  <si>
    <t>802 535</t>
  </si>
  <si>
    <t>P 85 020</t>
  </si>
  <si>
    <t>rimas osk baltics skoda</t>
  </si>
  <si>
    <t>IDE009016</t>
  </si>
  <si>
    <t>900 202</t>
  </si>
  <si>
    <t>08.9502.11</t>
  </si>
  <si>
    <t>kuro slangos keitimas</t>
  </si>
  <si>
    <t>235eur+</t>
  </si>
  <si>
    <t>kurjeris i mare</t>
  </si>
  <si>
    <t>nokian snowproof2 suv</t>
  </si>
  <si>
    <t>Aldas Grigaliunas</t>
  </si>
  <si>
    <t>349000km</t>
  </si>
  <si>
    <t>1 987 432 397 13eur</t>
  </si>
  <si>
    <t>KX 342  25eur</t>
  </si>
  <si>
    <t>26775 02  2x20eur</t>
  </si>
  <si>
    <t>LMI35451  2x12eur sailentai</t>
  </si>
  <si>
    <t>994 364  2x 50eur</t>
  </si>
  <si>
    <t>116 060 0063/HD  2x20eur</t>
  </si>
  <si>
    <t>sailentu keitimas gale</t>
  </si>
  <si>
    <t>582600 (VALEO)  136eur</t>
  </si>
  <si>
    <t>723180199  15eur</t>
  </si>
  <si>
    <t>09.9772.11  2x 52eur</t>
  </si>
  <si>
    <t>P 85 146  40eur</t>
  </si>
  <si>
    <t>V10-72-1311  28eur</t>
  </si>
  <si>
    <t>713 6110 00 45eur</t>
  </si>
  <si>
    <t>guolis+daviklis+keitimas</t>
  </si>
  <si>
    <t>dave 1200eur su padangom</t>
  </si>
  <si>
    <t>rato virinimas 60eur, jei su sask tai daugiau</t>
  </si>
  <si>
    <t>tomas satas volvo lpb900</t>
  </si>
  <si>
    <t>IDE009067</t>
  </si>
  <si>
    <t>2u ratus as lyginau ir montazke visu</t>
  </si>
  <si>
    <t>rato klijavmas?</t>
  </si>
  <si>
    <t>montazke 2024-10-11</t>
  </si>
  <si>
    <t>kaladziu keitimas ir skyscio</t>
  </si>
  <si>
    <t>daviklis 10eur</t>
  </si>
  <si>
    <t>P 06 088X 150eur</t>
  </si>
  <si>
    <t>tomas gluoksnis ultrabike bmw235</t>
  </si>
  <si>
    <t>rbf700 3x</t>
  </si>
  <si>
    <t>varztai dusles</t>
  </si>
  <si>
    <t>ismetimo keitimas hemaras</t>
  </si>
  <si>
    <t>kuro siurblio keitimas ir diangnostika</t>
  </si>
  <si>
    <t>313011313117   88eur</t>
  </si>
  <si>
    <t>r21 china ratai po 230eur</t>
  </si>
  <si>
    <t>IDE009063</t>
  </si>
  <si>
    <t>davikliai oro slegio</t>
  </si>
  <si>
    <t>IDE009363</t>
  </si>
  <si>
    <t>fronway z icemaster</t>
  </si>
  <si>
    <t>alan karolis VOLODYMYR MATIUKH</t>
  </si>
  <si>
    <t>dave 200eur ir pervede 120e</t>
  </si>
  <si>
    <t>padangos po 65 IDE009003</t>
  </si>
  <si>
    <t>133930 km</t>
  </si>
  <si>
    <t>oro filtras 16eur</t>
  </si>
  <si>
    <t>kuro filtras 26eur</t>
  </si>
  <si>
    <t>filtras tepalo 10eur</t>
  </si>
  <si>
    <t>salono filtras 11eur</t>
  </si>
  <si>
    <t>bfg trail terrain</t>
  </si>
  <si>
    <t>povilas joniskis marijus kebla</t>
  </si>
  <si>
    <t>montazke bead lock</t>
  </si>
  <si>
    <t>215eur IDE009001</t>
  </si>
  <si>
    <t>32921588  53eur</t>
  </si>
  <si>
    <t>marijus kebla jonikis povilas joniskis</t>
  </si>
  <si>
    <t>IDE009001</t>
  </si>
  <si>
    <t>vadim keda</t>
  </si>
  <si>
    <t>michelin s 5</t>
  </si>
  <si>
    <t>rokas bilevicius siurna</t>
  </si>
  <si>
    <t>E19H D83 5eur</t>
  </si>
  <si>
    <t>1 457 433 089   14eur</t>
  </si>
  <si>
    <t>xlean+ backa 50eur</t>
  </si>
  <si>
    <t>v300 motul 0w40 3x40eur</t>
  </si>
  <si>
    <t>F 026 407 278 13eur</t>
  </si>
  <si>
    <t>HX 132D  13eur</t>
  </si>
  <si>
    <t>keitimas visko 50</t>
  </si>
  <si>
    <t>multi dctf 5x18L ? high torque</t>
  </si>
  <si>
    <t>IDE009008</t>
  </si>
  <si>
    <t>FE107826  17eur</t>
  </si>
  <si>
    <t>dezes tepalai multi dctf 5l ?</t>
  </si>
  <si>
    <t>haldex keitimas?</t>
  </si>
  <si>
    <t>mantas ank golfas, kazka dare jam kol buvau danijoj</t>
  </si>
  <si>
    <t>NGK94833  4x15eur</t>
  </si>
  <si>
    <t>zvakiu keitimas 10e</t>
  </si>
  <si>
    <t>diangnostika 10e</t>
  </si>
  <si>
    <t>V10-08-0319  45eur abu</t>
  </si>
  <si>
    <t>NRF 54361  64eur+60e keitimas</t>
  </si>
  <si>
    <t xml:space="preserve">tomas patalavicius kgt066 audi klijavimas </t>
  </si>
  <si>
    <t>15eur</t>
  </si>
  <si>
    <t>IDE009256</t>
  </si>
  <si>
    <t>federal himalaya iceo</t>
  </si>
  <si>
    <t>Alanas Tamašuitis</t>
  </si>
  <si>
    <t>37eur IDE009009</t>
  </si>
  <si>
    <t>zienka romas &lt;zienkaromas@gmail.com</t>
  </si>
  <si>
    <t>142eur+bauda uz senas padangas</t>
  </si>
  <si>
    <t>5045076406450039613</t>
  </si>
  <si>
    <t>#48928</t>
  </si>
  <si>
    <t>zienka romas &lt;zienkaromas@gmail.com algirdas juozaponis</t>
  </si>
  <si>
    <t>99.75+pvm savikaina</t>
  </si>
  <si>
    <t>martynas utkinas kupon ?</t>
  </si>
  <si>
    <t>5045076140170477528</t>
  </si>
  <si>
    <r>
      <rPr>
        <rFont val="&quot;Google Sans&quot;, Roboto, RobotoDraft, Helvetica, Arial, sans-serif"/>
        <b/>
        <color rgb="FF1F1F1F"/>
        <sz val="11.0"/>
      </rPr>
      <t>Arturas K.</t>
    </r>
    <r>
      <rPr>
        <rFont val="&quot;Google Sans&quot;, Roboto, RobotoDraft, Helvetica, Arial, sans-serif"/>
        <color rgb="FF222222"/>
        <sz val="11.0"/>
      </rPr>
      <t xml:space="preserve"> </t>
    </r>
    <r>
      <rPr>
        <rFont val="&quot;Google Sans&quot;, Roboto, RobotoDraft, Helvetica, Arial, sans-serif"/>
        <color rgb="FF5E5E5E"/>
        <sz val="11.0"/>
      </rPr>
      <t>&lt;</t>
    </r>
    <r>
      <rPr>
        <rFont val="&quot;Google Sans&quot;, Roboto, RobotoDraft, Helvetica, Arial, sans-serif"/>
        <color rgb="FF5E5E5E"/>
        <sz val="11.0"/>
      </rPr>
      <t>arturas.kiselis@gmail.com</t>
    </r>
  </si>
  <si>
    <r>
      <rPr>
        <rFont val="Arial"/>
        <b/>
        <color rgb="FF1F1F1F"/>
        <sz val="11.0"/>
      </rPr>
      <t>Vaidotas Kareckas</t>
    </r>
    <r>
      <rPr>
        <rFont val="Arial"/>
        <color rgb="FF222222"/>
        <sz val="11.0"/>
      </rPr>
      <t xml:space="preserve"> </t>
    </r>
    <r>
      <rPr>
        <rFont val="Arial"/>
        <color rgb="FF5E5E5E"/>
        <sz val="11.0"/>
      </rPr>
      <t xml:space="preserve">&lt;apdailis@gmail.com </t>
    </r>
    <r>
      <rPr>
        <rFont val="&quot;Google Sans&quot;, Roboto, RobotoDraft, Helvetica, Arial, sans-serif"/>
        <color rgb="FF5E5E5E"/>
        <sz val="11.0"/>
      </rPr>
      <t>MAA257</t>
    </r>
  </si>
  <si>
    <t>5W30 eco-lite 5L 46eur</t>
  </si>
  <si>
    <t>ADM52534 13eur</t>
  </si>
  <si>
    <t>116360km</t>
  </si>
  <si>
    <t>kupon  13881</t>
  </si>
  <si>
    <t>goodyear ug ice 3</t>
  </si>
  <si>
    <t>IDE009012</t>
  </si>
  <si>
    <t>86+?   IDE009011</t>
  </si>
  <si>
    <t>gintaras bureika bulgaras</t>
  </si>
  <si>
    <t>144x2+montazke</t>
  </si>
  <si>
    <t>goodyaer ug ice3</t>
  </si>
  <si>
    <r>
      <rPr>
        <rFont val="&quot;Google Sans&quot;, Roboto, RobotoDraft, Helvetica, Arial, sans-serif"/>
        <color rgb="FF222222"/>
        <sz val="11.0"/>
      </rPr>
      <t>darius kuliesius &lt;darius_kuliesius@yahoo.com</t>
    </r>
  </si>
  <si>
    <t>IDE009027</t>
  </si>
  <si>
    <t>ernestas va</t>
  </si>
  <si>
    <t>IDE009026</t>
  </si>
  <si>
    <t>kupon done</t>
  </si>
  <si>
    <t>idea 3</t>
  </si>
  <si>
    <t>linas vainilaitis</t>
  </si>
  <si>
    <t>139eur</t>
  </si>
  <si>
    <t>#55341</t>
  </si>
  <si>
    <r>
      <rPr>
        <rFont val="Arial"/>
        <b/>
        <color rgb="FF1F1F1F"/>
        <sz val="11.0"/>
      </rPr>
      <t>Valdas Simutis</t>
    </r>
    <r>
      <rPr>
        <rFont val="Arial"/>
        <color rgb="FF222222"/>
        <sz val="11.0"/>
      </rPr>
      <t xml:space="preserve"> </t>
    </r>
    <r>
      <rPr>
        <rFont val="Arial"/>
        <color rgb="FF5E5E5E"/>
        <sz val="11.0"/>
      </rPr>
      <t xml:space="preserve">&lt;valdas.simutis@gmail.com </t>
    </r>
    <r>
      <rPr>
        <rFont val="&quot;Google Sans&quot;, Roboto, RobotoDraft, Helvetica, Arial, sans-serif"/>
        <color rgb="FF5E5E5E"/>
        <sz val="11.0"/>
      </rPr>
      <t>LAC757</t>
    </r>
  </si>
  <si>
    <t>IDE009049</t>
  </si>
  <si>
    <t>150eur+montzke visu balansas</t>
  </si>
  <si>
    <t>IDE009269</t>
  </si>
  <si>
    <r>
      <rPr>
        <rFont val="&quot;Google Sans&quot;, Roboto, RobotoDraft, Helvetica, Arial, sans-serif"/>
        <b/>
        <color rgb="FF1F1F1F"/>
        <sz val="11.0"/>
      </rPr>
      <t>Ignas Suslavicius</t>
    </r>
    <r>
      <rPr>
        <rFont val="&quot;Google Sans&quot;, Roboto, RobotoDraft, Helvetica, Arial, sans-serif"/>
        <color rgb="FF222222"/>
        <sz val="11.0"/>
      </rPr>
      <t xml:space="preserve"> </t>
    </r>
    <r>
      <rPr>
        <rFont val="&quot;Google Sans&quot;, Roboto, RobotoDraft, Helvetica, Arial, sans-serif"/>
        <color rgb="FF5E5E5E"/>
        <sz val="11.0"/>
      </rPr>
      <t>&lt;</t>
    </r>
    <r>
      <rPr>
        <rFont val="&quot;Google Sans&quot;, Roboto, RobotoDraft, Helvetica, Arial, sans-serif"/>
        <color rgb="FF5E5E5E"/>
        <sz val="11.0"/>
      </rPr>
      <t>ignas.suslavicius@gmail.com</t>
    </r>
  </si>
  <si>
    <r>
      <rPr>
        <rFont val="&quot;Google Sans&quot;, Roboto, RobotoDraft, Helvetica, Arial, sans-serif"/>
        <b/>
        <color rgb="FF1F1F1F"/>
        <sz val="11.0"/>
      </rPr>
      <t>Ignas Suslavicius</t>
    </r>
    <r>
      <rPr>
        <rFont val="&quot;Google Sans&quot;, Roboto, RobotoDraft, Helvetica, Arial, sans-serif"/>
        <color rgb="FF222222"/>
        <sz val="11.0"/>
      </rPr>
      <t xml:space="preserve"> </t>
    </r>
    <r>
      <rPr>
        <rFont val="&quot;Google Sans&quot;, Roboto, RobotoDraft, Helvetica, Arial, sans-serif"/>
        <color rgb="FF5E5E5E"/>
        <sz val="11.0"/>
      </rPr>
      <t>&lt;</t>
    </r>
    <r>
      <rPr>
        <rFont val="&quot;Google Sans&quot;, Roboto, RobotoDraft, Helvetica, Arial, sans-serif"/>
        <color rgb="FF5E5E5E"/>
        <sz val="11.0"/>
      </rPr>
      <t>ignas.suslavicius@gmail.com</t>
    </r>
  </si>
  <si>
    <t>99eur   16eur permoka</t>
  </si>
  <si>
    <t>57eur  IDE009015</t>
  </si>
  <si>
    <t>montazke is semiu i paprastas</t>
  </si>
  <si>
    <t>nerijus muzzle kiseliovas</t>
  </si>
  <si>
    <t>IDE009024</t>
  </si>
  <si>
    <t>uniroyal allseason expert 2</t>
  </si>
  <si>
    <t>2.50-19</t>
  </si>
  <si>
    <t>klaudijus stroginis devisor Romualdas ruzgys</t>
  </si>
  <si>
    <t>43eur bisikirskas gavo?</t>
  </si>
  <si>
    <t>povilas dabrila kazlai giedrys dave</t>
  </si>
  <si>
    <t>Peugeot mca136 Norameda +37065918291</t>
  </si>
  <si>
    <t>IDE009175</t>
  </si>
  <si>
    <t>IDE009144</t>
  </si>
  <si>
    <t>ratukai shimano 25eur</t>
  </si>
  <si>
    <t>mantas jastremskas cailas dviraico projektas</t>
  </si>
  <si>
    <t>2xgrandines po 20eur</t>
  </si>
  <si>
    <t>sedyne,co2,co2pompa,knog lempos</t>
  </si>
  <si>
    <t>r2bike  237eur</t>
  </si>
  <si>
    <t>30eur vaskavimas?</t>
  </si>
  <si>
    <t>ausrine 861219407</t>
  </si>
  <si>
    <t>vairo traukes antgalis 21eur</t>
  </si>
  <si>
    <t>stabdzu disku gale keitimas su bugnais</t>
  </si>
  <si>
    <t>amortu keitimas</t>
  </si>
  <si>
    <t>ernestas kaimynas kia sportage</t>
  </si>
  <si>
    <t>varztai su kurjeriu ir raratais 60eur su vpm</t>
  </si>
  <si>
    <t>IDE009029</t>
  </si>
  <si>
    <t>china ratai b1048 r18</t>
  </si>
  <si>
    <t>davikliai, montazke, kurjeris</t>
  </si>
  <si>
    <t>kupona pats</t>
  </si>
  <si>
    <t>IDE009106</t>
  </si>
  <si>
    <t>ford kaimynas evaldas sestadieni denisas dare</t>
  </si>
  <si>
    <t>E115H01 D208 7eur</t>
  </si>
  <si>
    <t>1 987 432 397 12eur</t>
  </si>
  <si>
    <t>algirdas butkevicius am statyba passat</t>
  </si>
  <si>
    <t>IDE009010</t>
  </si>
  <si>
    <t>KX 342 22eur</t>
  </si>
  <si>
    <t xml:space="preserve">IDE009010 </t>
  </si>
  <si>
    <t>greiciu dezes tep keitimas</t>
  </si>
  <si>
    <t>xclean+ 5.5l ?</t>
  </si>
  <si>
    <t>0 250 403 009 4x12eur zvakes</t>
  </si>
  <si>
    <t>MULTI DCTF 1L 5x12.39eur</t>
  </si>
  <si>
    <t>6PK1070 12eur</t>
  </si>
  <si>
    <t>generui dirzo ir pan?</t>
  </si>
  <si>
    <t>VKMC 01148-2  150eur</t>
  </si>
  <si>
    <t>GWL2293841067248</t>
  </si>
  <si>
    <t>goodeyar ug perf3 AO</t>
  </si>
  <si>
    <t>tomas mice naujas passat gte  EB5643</t>
  </si>
  <si>
    <t>IDE009035 su pasauga ir montazke 2024-10men</t>
  </si>
  <si>
    <t>kalad priekis  45eur</t>
  </si>
  <si>
    <t>diskai galas  2x 35eur</t>
  </si>
  <si>
    <t>diskai priekis 2x72eur</t>
  </si>
  <si>
    <t>rimakas kuliesius caddy</t>
  </si>
  <si>
    <t>stabdziu keitmas 50+40e+30e</t>
  </si>
  <si>
    <t>kalad galas   30eur</t>
  </si>
  <si>
    <t>QB114-5009 2x15eur</t>
  </si>
  <si>
    <t>guolis 60eur+keitimas 30e</t>
  </si>
  <si>
    <t>padangu keitimas+pasauga 80e</t>
  </si>
  <si>
    <t>F 026 407 023  8eur</t>
  </si>
  <si>
    <t>F 026 400 172 15eur</t>
  </si>
  <si>
    <t>motul xclean+  5.5l  50e</t>
  </si>
  <si>
    <t>stabdziu skyscio keitimas 25e</t>
  </si>
  <si>
    <t>1 987 432 397  12eur</t>
  </si>
  <si>
    <t>langu skyscio 6vnt ?  10e</t>
  </si>
  <si>
    <t>2x30e suport restauravimas</t>
  </si>
  <si>
    <t>tepalu/filtru keitimas 30e</t>
  </si>
  <si>
    <t>IDE009032</t>
  </si>
  <si>
    <t>TED30906 2x25eur</t>
  </si>
  <si>
    <t>32921588 4x3eur</t>
  </si>
  <si>
    <t>Saulius Linartavicius porsche panamera</t>
  </si>
  <si>
    <t>kupon done #15713</t>
  </si>
  <si>
    <t xml:space="preserve">868641394 sms UAB "Forestina" i.k. 302571926, </t>
  </si>
  <si>
    <t>IDE009047</t>
  </si>
  <si>
    <t>FNM937 GWL2233414514472 2025-10-15</t>
  </si>
  <si>
    <t>jiem nusiunciau kupona</t>
  </si>
  <si>
    <t>8150 28117 2x15eur</t>
  </si>
  <si>
    <t>62 80 0003  7eur</t>
  </si>
  <si>
    <t>tomas mingela nav interlux hoj skoda</t>
  </si>
  <si>
    <t>IDE009042</t>
  </si>
  <si>
    <t>denisas cecervovas</t>
  </si>
  <si>
    <t>40e</t>
  </si>
  <si>
    <t>55e</t>
  </si>
  <si>
    <t>F 026 407 022 6.5e</t>
  </si>
  <si>
    <t>ADN12248  6e</t>
  </si>
  <si>
    <t>PS 980/4 17eur</t>
  </si>
  <si>
    <t>SZ1084MT  23eur</t>
  </si>
  <si>
    <t>FE23795 6eur</t>
  </si>
  <si>
    <t>eet999 tomas mingela</t>
  </si>
  <si>
    <t>200eur  IDE009041</t>
  </si>
  <si>
    <t>foundmetal ratai</t>
  </si>
  <si>
    <t>aurimas nav glc coupe amg</t>
  </si>
  <si>
    <t>IDE009086</t>
  </si>
  <si>
    <t>280e+montazke</t>
  </si>
  <si>
    <t>E1054L   17eur</t>
  </si>
  <si>
    <t>FP 2641 40eur</t>
  </si>
  <si>
    <t>OX 1076D 12eur</t>
  </si>
  <si>
    <t>Dezent TU Black 7,5x18 5x112 ET51 CB66,6 60° 750 kg TTUF8BA51E</t>
  </si>
  <si>
    <t>Liutauras Šimėnas &lt;gyralt@gmail.com</t>
  </si>
  <si>
    <t>IDE009091</t>
  </si>
  <si>
    <t>davikliai po 30</t>
  </si>
  <si>
    <t>kupon jam nusiusta</t>
  </si>
  <si>
    <t>Liutauras Šimėnas &lt;gyralt@gmail.com AB5081</t>
  </si>
  <si>
    <t>I-STARTER 841  215eur</t>
  </si>
  <si>
    <t>IDE009082</t>
  </si>
  <si>
    <t>116 010 3918  15eur</t>
  </si>
  <si>
    <t>audi ratai</t>
  </si>
  <si>
    <t>MB EAUGALAI</t>
  </si>
  <si>
    <t>1rat lyginimas, padangu keitimas</t>
  </si>
  <si>
    <t>P 85 150  42eur</t>
  </si>
  <si>
    <t>P 85 098 62eur</t>
  </si>
  <si>
    <t>karolis puodziukas audi</t>
  </si>
  <si>
    <t>stabdziu keitimas priekis galas</t>
  </si>
  <si>
    <t>montazke padangu r17</t>
  </si>
  <si>
    <t>montazke busiko didzelio</t>
  </si>
  <si>
    <t>montazke bmw r17 rof</t>
  </si>
  <si>
    <t>saulius narusevicius kupon</t>
  </si>
  <si>
    <t>goodyear vector 4seasons</t>
  </si>
  <si>
    <t>martynas bisikirskas veho Madelina UAB</t>
  </si>
  <si>
    <t>212+195</t>
  </si>
  <si>
    <t>IDE009034</t>
  </si>
  <si>
    <t xml:space="preserve">kupon 13882 </t>
  </si>
  <si>
    <t>karoliui daviau</t>
  </si>
  <si>
    <t>elijus civilis jaguar</t>
  </si>
  <si>
    <t>IDE009054</t>
  </si>
  <si>
    <t>yokohama ig60a</t>
  </si>
  <si>
    <t>860703170 sms LNO541</t>
  </si>
  <si>
    <t>860703170 sms edgaras lu</t>
  </si>
  <si>
    <t>po 30e</t>
  </si>
  <si>
    <t>martynas aniulis insitus</t>
  </si>
  <si>
    <t>IDE009261</t>
  </si>
  <si>
    <t xml:space="preserve">martynas aniulis insitus NFA882 </t>
  </si>
  <si>
    <t>ovidijus meilunas golf lus696</t>
  </si>
  <si>
    <t>raimundas slabosevicius sparco raimis</t>
  </si>
  <si>
    <t>133+grazinimas12+kurjeris vel+praeito karto siuntimas</t>
  </si>
  <si>
    <t>Svajus K &lt;svajusk@gmail.com</t>
  </si>
  <si>
    <t>po 93 + 45montazke IDE009060</t>
  </si>
  <si>
    <t>Vytautas Krampas</t>
  </si>
  <si>
    <t>524eur sask reik,pavedimas paysera</t>
  </si>
  <si>
    <t>IDE009035</t>
  </si>
  <si>
    <t>sava intensa 2 suv</t>
  </si>
  <si>
    <t>IDE009038</t>
  </si>
  <si>
    <t>Darius Domarkas &lt;d.domarkas@gmail.com</t>
  </si>
  <si>
    <t>125eur+montazke</t>
  </si>
  <si>
    <t>IDE009046</t>
  </si>
  <si>
    <t>kupon done 15358</t>
  </si>
  <si>
    <t>skirmantas.visockas@interlux.lt MUR145</t>
  </si>
  <si>
    <t>austeja daviau</t>
  </si>
  <si>
    <t>am statyba algirdas butkevicius matas jankauskas</t>
  </si>
  <si>
    <t>110eur+montazke</t>
  </si>
  <si>
    <t>kupon [pats</t>
  </si>
  <si>
    <t>kiprazas &lt;kiprazas@gmail.com KHL153</t>
  </si>
  <si>
    <t>147eur+montazke</t>
  </si>
  <si>
    <t>IDE009123</t>
  </si>
  <si>
    <t>goodyear ice suv g1</t>
  </si>
  <si>
    <t>kiprazas &lt;kiprazas@gmail.com kipras</t>
  </si>
  <si>
    <t>goodyear ug ice3 sct</t>
  </si>
  <si>
    <t>kiprazas &lt;kiprazas@gmail.com</t>
  </si>
  <si>
    <t>203eur  IDE009072</t>
  </si>
  <si>
    <t>p85154x 104eur</t>
  </si>
  <si>
    <t>IDE009354</t>
  </si>
  <si>
    <t>30104919  8eur</t>
  </si>
  <si>
    <t>goodyear wrangler duratrac</t>
  </si>
  <si>
    <t>IDE009160</t>
  </si>
  <si>
    <t>beriv</t>
  </si>
  <si>
    <t>maxxis ice sp5</t>
  </si>
  <si>
    <t>IDE009092</t>
  </si>
  <si>
    <t>stabdziu kalad keitimas</t>
  </si>
  <si>
    <t>P 83 052 21eur</t>
  </si>
  <si>
    <t>IDE009098</t>
  </si>
  <si>
    <t>350eur uz padangas daviau draugeliui r20</t>
  </si>
  <si>
    <t>4vnt langu skyscios 2024-10-04</t>
  </si>
  <si>
    <t>Asta Rugieniute &lt;a.rugieniute@norameda.com Justas Krasuckis &lt;j.krasuckis@norameda.com</t>
  </si>
  <si>
    <t>142+montazke</t>
  </si>
  <si>
    <t>150e +montazke skodos</t>
  </si>
  <si>
    <t>IDE009045</t>
  </si>
  <si>
    <t>arturas zakroiskis daviau</t>
  </si>
  <si>
    <t>continental eco-contact 6 104xl v</t>
  </si>
  <si>
    <t>IDE009085</t>
  </si>
  <si>
    <t>pijus jonas goncauskas tiguan</t>
  </si>
  <si>
    <t>IDE009048</t>
  </si>
  <si>
    <t>interlux FOS614</t>
  </si>
  <si>
    <t>107eur IDE009275</t>
  </si>
  <si>
    <t>Jaroslav Sadovski conan.barbarian@gmail.com</t>
  </si>
  <si>
    <t>#53994</t>
  </si>
  <si>
    <t>065012201 sms nerijus simkus tuju g. 15, vilnius 05119</t>
  </si>
  <si>
    <t>108eur IDE009044</t>
  </si>
  <si>
    <t>austeja ignatonyte daviau</t>
  </si>
  <si>
    <t>vilius lukasevicius sms  860050118 NBM199 Toyota Corolla</t>
  </si>
  <si>
    <t>#53786</t>
  </si>
  <si>
    <t>270e</t>
  </si>
  <si>
    <t>lassa winter2+</t>
  </si>
  <si>
    <t>UAB Abromeksa Alex Abro &lt;alexabro8@gmail.com Tadas Lipskys</t>
  </si>
  <si>
    <t>103+kurjeris IDE009050</t>
  </si>
  <si>
    <t>interlux  NAY794 arba multilabo skoda kamiq</t>
  </si>
  <si>
    <t>150eur IDE009235</t>
  </si>
  <si>
    <t>DrRobertas Ja Mindaugas Lubys LGR906 Dainius Juknevičius</t>
  </si>
  <si>
    <t>IDE009102</t>
  </si>
  <si>
    <t>DrRobertas Ja Mindaugas Lubys Ignas Astrauskas Fnd467</t>
  </si>
  <si>
    <t>120 eur</t>
  </si>
  <si>
    <t>196eur+kurjer</t>
  </si>
  <si>
    <t>IDE009110</t>
  </si>
  <si>
    <t>#52078</t>
  </si>
  <si>
    <t>192+190</t>
  </si>
  <si>
    <t>IDE009111</t>
  </si>
  <si>
    <t>guolio keit 40e</t>
  </si>
  <si>
    <t>valdas mameniskis mantas tiguan guolis ir padangos</t>
  </si>
  <si>
    <t>padangu montazke tiguan r19 50e</t>
  </si>
  <si>
    <t>valdas mameniskis tiguan</t>
  </si>
  <si>
    <t>114 610 0000 sailentai 2x25eur</t>
  </si>
  <si>
    <t>713 6109 80 guolis  85eur</t>
  </si>
  <si>
    <t>P 85 108 gal.kaladeles 30eur</t>
  </si>
  <si>
    <t xml:space="preserve">montazke r17 </t>
  </si>
  <si>
    <t>valdas mameniskis avensis toyota</t>
  </si>
  <si>
    <t>sailenbloku keitimas 2h 70e</t>
  </si>
  <si>
    <t>galiniu kalad keitimas 50e</t>
  </si>
  <si>
    <t>dave 250eur  2024-10-12</t>
  </si>
  <si>
    <t>460+370e+kurjer</t>
  </si>
  <si>
    <t>IDE009089 kupon transratai</t>
  </si>
  <si>
    <t>TR20152902</t>
  </si>
  <si>
    <t>Termo langai UAB</t>
  </si>
  <si>
    <t>IDE009089</t>
  </si>
  <si>
    <t>235/45r21</t>
  </si>
  <si>
    <t>donatas kondrotas</t>
  </si>
  <si>
    <t>240+250e</t>
  </si>
  <si>
    <t>IDE009239</t>
  </si>
  <si>
    <t xml:space="preserve">donatas kundrotas EB5458 </t>
  </si>
  <si>
    <t>goodyear ug 3</t>
  </si>
  <si>
    <t>tomas halkas</t>
  </si>
  <si>
    <t>aleksandr kasinskij MCS611</t>
  </si>
  <si>
    <t>210e+</t>
  </si>
  <si>
    <t>IDE009148 MCS611 GWL2272793796322</t>
  </si>
  <si>
    <t>dunlop w5 V indeksu</t>
  </si>
  <si>
    <t>dainius cinaitis EB4815</t>
  </si>
  <si>
    <t>IDE009221</t>
  </si>
  <si>
    <t xml:space="preserve">Livijus Mintaučkis | Diamedica &lt;livijus@diamedica.lt LRV939 </t>
  </si>
  <si>
    <t>IDE009094</t>
  </si>
  <si>
    <t>tomas mingela nav crv NDM840</t>
  </si>
  <si>
    <t>IDE009088</t>
  </si>
  <si>
    <t>15x3 langu skyscio IDE009088</t>
  </si>
  <si>
    <t>porsche cayene nav r22 montazke rato</t>
  </si>
  <si>
    <t>karolis nav  2024-01-12</t>
  </si>
  <si>
    <t>martynas aniulis insitus AHS318</t>
  </si>
  <si>
    <t>61eur+montakze priority</t>
  </si>
  <si>
    <t>martynas aniulis insitus MZL498 Vitalijus Belousovas</t>
  </si>
  <si>
    <t>neatvaziavo viena karta</t>
  </si>
  <si>
    <t>martynas bisikirskas veho cls 2019</t>
  </si>
  <si>
    <t>242+272e</t>
  </si>
  <si>
    <t>IDE009028</t>
  </si>
  <si>
    <t>martynas bisikirskas veho uzsakyta jam tiesiai</t>
  </si>
  <si>
    <t>china r20 priekis+galas</t>
  </si>
  <si>
    <r>
      <rPr>
        <rFont val="Tahoma, sans-serif"/>
        <color rgb="FF000000"/>
        <sz val="9.0"/>
      </rPr>
      <t xml:space="preserve">martynas bisikirskas veho          </t>
    </r>
    <r>
      <rPr>
        <rFont val="Tahoma, sans-serif"/>
        <color rgb="FFFF0000"/>
        <sz val="9.0"/>
      </rPr>
      <t>kurjeris 26+pvm</t>
    </r>
  </si>
  <si>
    <t>po 240e saskaita, 200savik</t>
  </si>
  <si>
    <t>jei rastafkes liks tai nereiks</t>
  </si>
  <si>
    <r>
      <rPr>
        <rFont val="Tahoma, sans-serif"/>
        <color rgb="FF000000"/>
        <sz val="9.0"/>
      </rPr>
      <t xml:space="preserve">martynas bisikirskas veho          </t>
    </r>
    <r>
      <rPr>
        <rFont val="Tahoma, sans-serif"/>
        <color rgb="FFFF0000"/>
        <sz val="9.0"/>
      </rPr>
      <t>kurjeris 26+pvm</t>
    </r>
  </si>
  <si>
    <t>kurjeris uz eqb250+</t>
  </si>
  <si>
    <t>goodyear ug perf+ suv 104V</t>
  </si>
  <si>
    <t>aleksandras@stabile.lt</t>
  </si>
  <si>
    <t>205eur IDE009080</t>
  </si>
  <si>
    <t>869800606 kaimynas uab hifi centras genadijus@hificentras.lt</t>
  </si>
  <si>
    <t>IDE009074</t>
  </si>
  <si>
    <t xml:space="preserve">868770744 nuo klaudijaus </t>
  </si>
  <si>
    <t>93eur, 415viso</t>
  </si>
  <si>
    <t>55eur IDE009072</t>
  </si>
  <si>
    <t>IDE009055</t>
  </si>
  <si>
    <t>LAO 1294  45eur</t>
  </si>
  <si>
    <t>kupon jis pats</t>
  </si>
  <si>
    <t>edgaras kovaliovas VIA 3L</t>
  </si>
  <si>
    <t>IDE009099</t>
  </si>
  <si>
    <t>jolanta kupon</t>
  </si>
  <si>
    <t>IDE009073</t>
  </si>
  <si>
    <t>IDE009053</t>
  </si>
  <si>
    <t>130eur+montazke IDE009083</t>
  </si>
  <si>
    <t xml:space="preserve">dunlop w5 </t>
  </si>
  <si>
    <t>200e IDE009071</t>
  </si>
  <si>
    <t>Toyota Corolla JPS686 laurynas goncauskas montazke</t>
  </si>
  <si>
    <t>1naujas daviklis</t>
  </si>
  <si>
    <t>215+235+10e kurjeris</t>
  </si>
  <si>
    <t>IDE009057</t>
  </si>
  <si>
    <t>IDE009068</t>
  </si>
  <si>
    <t>nerijus kersys 911</t>
  </si>
  <si>
    <t>IDE009199</t>
  </si>
  <si>
    <t>LP1785 25eur</t>
  </si>
  <si>
    <t xml:space="preserve">xclean+ backa 5l </t>
  </si>
  <si>
    <t>galiniu kalad keitimas</t>
  </si>
  <si>
    <t>padangu montazke 2024-04-08</t>
  </si>
  <si>
    <t>91930473 25eur guolis</t>
  </si>
  <si>
    <t>lidlas 38.26eur</t>
  </si>
  <si>
    <t>2024-10men montazke</t>
  </si>
  <si>
    <t>lidl 47.86eur 2025-01-10</t>
  </si>
  <si>
    <t>1 rato klijavimas</t>
  </si>
  <si>
    <t>regimantas stiklita Ea8323</t>
  </si>
  <si>
    <t>IDE009134</t>
  </si>
  <si>
    <t>montazke alfatelis busikas 2024-03-28</t>
  </si>
  <si>
    <t>IDE009135</t>
  </si>
  <si>
    <t>EA8323 tiekimas@stiklita.lt montazke</t>
  </si>
  <si>
    <t>sprinter ventilio keitimas</t>
  </si>
  <si>
    <t>IDE009124</t>
  </si>
  <si>
    <r>
      <rPr>
        <rFont val="&quot;Proxima Nova&quot;, proxima-nova, Helvetica, &quot;Arial sans-serif&quot;"/>
        <color rgb="FF0069FF"/>
        <sz val="12.0"/>
      </rPr>
      <t>logistika@irankis.lt</t>
    </r>
  </si>
  <si>
    <t>MB Sprinter MNC701</t>
  </si>
  <si>
    <r>
      <rPr>
        <rFont val="&quot;Proxima Nova&quot;, proxima-nova, Helvetica, &quot;Arial sans-serif&quot;"/>
        <color rgb="FF0069FF"/>
        <sz val="12.0"/>
      </rPr>
      <t>logistika@irankis.lt</t>
    </r>
  </si>
  <si>
    <t>Renault Trafic MAU139</t>
  </si>
  <si>
    <t>Rimantas Gvazdauskas Invitee Email: logistika@irankis.lt</t>
  </si>
  <si>
    <t>prius montazke</t>
  </si>
  <si>
    <t xml:space="preserve">aurimas likus LML151 bmw m3 </t>
  </si>
  <si>
    <t>274eur +priority montazke</t>
  </si>
  <si>
    <t>nerijus kersys bmw m5comp</t>
  </si>
  <si>
    <t>IDE009108</t>
  </si>
  <si>
    <t>Kristijonas Dargužis &lt;kristijonas.darguzis@gmail.com tomas satas judisa</t>
  </si>
  <si>
    <t>90eur montazke+pasauga</t>
  </si>
  <si>
    <t>IDE009078</t>
  </si>
  <si>
    <t>dada +37061154410 arijandas sliupas EC1719</t>
  </si>
  <si>
    <t xml:space="preserve">montazke IDE009101 </t>
  </si>
  <si>
    <t>pirelli winter n0</t>
  </si>
  <si>
    <t>marijus kebla porsche NBN345 Porsche Cayenne</t>
  </si>
  <si>
    <t>IDE009090</t>
  </si>
  <si>
    <t>marijus kebla porsche</t>
  </si>
  <si>
    <t>138.19+ IDE009073</t>
  </si>
  <si>
    <t>8.5x19 et28 mak starlight</t>
  </si>
  <si>
    <t>Tadas. Jonaitis &lt;tadas.jonait@gmail.com</t>
  </si>
  <si>
    <t>IDE009131</t>
  </si>
  <si>
    <t>IDE009087</t>
  </si>
  <si>
    <t>skoda kodiaq NAR684 interlux</t>
  </si>
  <si>
    <t>IDE009273</t>
  </si>
  <si>
    <t>a7 varta</t>
  </si>
  <si>
    <r>
      <rPr>
        <rFont val="Inter, sans-serif"/>
        <color rgb="FF04172F"/>
        <u/>
      </rPr>
      <t>Akumuliatorius 70 Ah 760 A EN 12V AGM</t>
    </r>
  </si>
  <si>
    <t>mantas jastremskas cailas audi rs7</t>
  </si>
  <si>
    <t>ADH22279  11eur</t>
  </si>
  <si>
    <t>OC 977/1 6eur</t>
  </si>
  <si>
    <t>LX 3525  15eur</t>
  </si>
  <si>
    <t>1 987 432 543  12eur</t>
  </si>
  <si>
    <t>neatvaziavo i montazke</t>
  </si>
  <si>
    <t>IDE009202</t>
  </si>
  <si>
    <t>pats</t>
  </si>
  <si>
    <t>gy perf3 seal inside</t>
  </si>
  <si>
    <t>IDE009093</t>
  </si>
  <si>
    <t>justas</t>
  </si>
  <si>
    <t>#44139</t>
  </si>
  <si>
    <t>reginau ant jaroslav cerniavskij</t>
  </si>
  <si>
    <t>martynas utkinas kupon</t>
  </si>
  <si>
    <t>#44204</t>
  </si>
  <si>
    <t>justas klimavicius NET365, VW PASSAT B9</t>
  </si>
  <si>
    <t>reginau ant tomas patalav</t>
  </si>
  <si>
    <t>alan karolis</t>
  </si>
  <si>
    <t>IDE009226</t>
  </si>
  <si>
    <t xml:space="preserve">donatas siurna lukas kokybiski auto, sask  306328252 </t>
  </si>
  <si>
    <t>148e+montazke priority</t>
  </si>
  <si>
    <t xml:space="preserve">IDE009158  </t>
  </si>
  <si>
    <t>erikas instabalt montazke</t>
  </si>
  <si>
    <t>IDE009104</t>
  </si>
  <si>
    <t>id3  25eur valytuvai</t>
  </si>
  <si>
    <t>valytuvai 35eur</t>
  </si>
  <si>
    <t>doublestart dw09</t>
  </si>
  <si>
    <t>113eur IDE009200</t>
  </si>
  <si>
    <t>debica eskimo hp2</t>
  </si>
  <si>
    <t>Arvydas Sereičikas &lt;a.sereicikas@gmail.com</t>
  </si>
  <si>
    <t>kupons pats jis</t>
  </si>
  <si>
    <t>marius bernatonis NAR501</t>
  </si>
  <si>
    <t>IDE009159</t>
  </si>
  <si>
    <t>3 397 007 309  25eur</t>
  </si>
  <si>
    <t>marius bernatonis Lia314</t>
  </si>
  <si>
    <t>Lia314 montazke buso</t>
  </si>
  <si>
    <t>P 06 100 140eur</t>
  </si>
  <si>
    <t>tomas gluoksnis ultrabike bmw m3comp</t>
  </si>
  <si>
    <t>pirelli pz4 mo-s</t>
  </si>
  <si>
    <t>IDE009075</t>
  </si>
  <si>
    <t>23152 pirelli MO-s</t>
  </si>
  <si>
    <t>440+375</t>
  </si>
  <si>
    <t>IDE009114</t>
  </si>
  <si>
    <t>23212 pirelli MO-s</t>
  </si>
  <si>
    <t>IDE009228</t>
  </si>
  <si>
    <t>fulda kristal control hp2</t>
  </si>
  <si>
    <t>IDE009103</t>
  </si>
  <si>
    <t>goodyear ice 3 sct</t>
  </si>
  <si>
    <t>IDE009096</t>
  </si>
  <si>
    <t>dygliai michelin</t>
  </si>
  <si>
    <t>IDE009200</t>
  </si>
  <si>
    <t>kupon as idea 3</t>
  </si>
  <si>
    <t>aloyzas kaimynas superb +37065292282</t>
  </si>
  <si>
    <t>104e+montazke</t>
  </si>
  <si>
    <t>195/60r18</t>
  </si>
  <si>
    <t>zilvinas ribaltavicius Džiugas Nerijus pervede martynas bisikirskas</t>
  </si>
  <si>
    <t>148savikaina</t>
  </si>
  <si>
    <t>yokohama ig53</t>
  </si>
  <si>
    <t>kupon pats regino</t>
  </si>
  <si>
    <t>laura mefaci Zbignev Korvin-Piotrovski &lt;info@mefaci.lt</t>
  </si>
  <si>
    <t>77eur+montazke transporter priority</t>
  </si>
  <si>
    <t>IDE009173</t>
  </si>
  <si>
    <t>algimantas janusauskas  bausu ukis sask</t>
  </si>
  <si>
    <t>122eur IDE009204</t>
  </si>
  <si>
    <t>#56130</t>
  </si>
  <si>
    <t>kupon alan karolis jurgelevic</t>
  </si>
  <si>
    <t>eclass nauja w214</t>
  </si>
  <si>
    <t>forzza bosan r19 8.5J et35</t>
  </si>
  <si>
    <t>180savik, rasiau jam 252eur</t>
  </si>
  <si>
    <t>IDE009184</t>
  </si>
  <si>
    <t>adapteriai</t>
  </si>
  <si>
    <t>kurjeris palete 26+</t>
  </si>
  <si>
    <t>justas volungevicius martynas bisikirskas paeme</t>
  </si>
  <si>
    <t>aidas bubinas FCP600</t>
  </si>
  <si>
    <t>agnius marcinkevicius</t>
  </si>
  <si>
    <t>76eur+montazlke</t>
  </si>
  <si>
    <t>edgaras pocepka  uab tokas</t>
  </si>
  <si>
    <t>165+montazke IDE009169</t>
  </si>
  <si>
    <t>5.00-10</t>
  </si>
  <si>
    <t>wanda p802</t>
  </si>
  <si>
    <t>audrius plionkes klijuoja</t>
  </si>
  <si>
    <t>IDE009112</t>
  </si>
  <si>
    <t>IDE009179</t>
  </si>
  <si>
    <t>vredestein wintrac pro+</t>
  </si>
  <si>
    <t>mantas jastremskas audi q7</t>
  </si>
  <si>
    <t>240eur exel</t>
  </si>
  <si>
    <t>Rysard B. Invitee Email: teise.tau@gmail.com</t>
  </si>
  <si>
    <t>VW Tiguan, LIL212 ratu keitimas</t>
  </si>
  <si>
    <t>langu skysts 2vnt ?</t>
  </si>
  <si>
    <t>IDE009304</t>
  </si>
  <si>
    <t>airbog Rysard B. Invitee Email: teise.tau@gmail.com</t>
  </si>
  <si>
    <t>dangteliai 4vnt</t>
  </si>
  <si>
    <t>montazke evox</t>
  </si>
  <si>
    <t>IDE009359</t>
  </si>
  <si>
    <t>montazke jaguar r20</t>
  </si>
  <si>
    <t>IDE009362</t>
  </si>
  <si>
    <t>KZR 121 volkswagen scirocco</t>
  </si>
  <si>
    <t>2ratai lygint, visi balansuot, 2 montuot scirocco</t>
  </si>
  <si>
    <t>RAMŪNAS MIKALAUSKAS</t>
  </si>
  <si>
    <t xml:space="preserve"> 264 pavedimas IDE009142</t>
  </si>
  <si>
    <t>bridgestone w995</t>
  </si>
  <si>
    <t>Audrius Jasinskas</t>
  </si>
  <si>
    <t>IDE009081</t>
  </si>
  <si>
    <t>paulius balciunas tevukas?</t>
  </si>
  <si>
    <t>114e</t>
  </si>
  <si>
    <t xml:space="preserve">paulius balciunas </t>
  </si>
  <si>
    <t>montazke dodge r18 suv? 55e</t>
  </si>
  <si>
    <t>dave 100eur 2024-10-30(55+45 tipo)</t>
  </si>
  <si>
    <t>#44021</t>
  </si>
  <si>
    <t>martynas bisikirskas  klaipeda veho</t>
  </si>
  <si>
    <t>IDE009115</t>
  </si>
  <si>
    <t>IDE009116</t>
  </si>
  <si>
    <t>IDE009117</t>
  </si>
  <si>
    <t>kupon pats jis</t>
  </si>
  <si>
    <t>180e+montazke</t>
  </si>
  <si>
    <t>ovidijus vitaitis global supply</t>
  </si>
  <si>
    <t>162e +sask montazke volvo?</t>
  </si>
  <si>
    <t>IDE009196</t>
  </si>
  <si>
    <t>continental allseason contact2</t>
  </si>
  <si>
    <t>karolis puodziukas Paulius Medišauskas</t>
  </si>
  <si>
    <t>255e+montazke priority</t>
  </si>
  <si>
    <t>varztai pizda +10e IDE009218</t>
  </si>
  <si>
    <t>erikas kapulkin erik kap</t>
  </si>
  <si>
    <t>IDE009084</t>
  </si>
  <si>
    <t>kupon pats regins</t>
  </si>
  <si>
    <t>vilius uabprekeivis paras</t>
  </si>
  <si>
    <t>148+pvm IDE009095</t>
  </si>
  <si>
    <t>viking newtech</t>
  </si>
  <si>
    <t>stiklita 061244129 Šeškus, Mantas &lt;seskusmantas@stiklita.lt</t>
  </si>
  <si>
    <t>IDE009212</t>
  </si>
  <si>
    <t>VW ID4 EA3443 EA4337</t>
  </si>
  <si>
    <t>valdas fedianinas valdoska Mykolas Liaudginas service@balticmachinery.lt</t>
  </si>
  <si>
    <t>IDE009243</t>
  </si>
  <si>
    <t>Audi Q7 EA3958</t>
  </si>
  <si>
    <t>MDM007, Audi A6</t>
  </si>
  <si>
    <t>kalades 40+65</t>
  </si>
  <si>
    <t>diskai po 95+58e</t>
  </si>
  <si>
    <t>stabdziai visi 50+30eur keitimas</t>
  </si>
  <si>
    <t>mantas staliunas golf r</t>
  </si>
  <si>
    <t>keitimas disku 4x15</t>
  </si>
  <si>
    <t>nu ir padangu keitimas sezoninis 40+30</t>
  </si>
  <si>
    <t>spyruokles 35x2</t>
  </si>
  <si>
    <t>spyuokles keitimas 2x40e</t>
  </si>
  <si>
    <t>802 696  2x15e</t>
  </si>
  <si>
    <t>medgana Medgana UAB &lt;info@medgana.lt&gt; NEO802</t>
  </si>
  <si>
    <t>IDE009140</t>
  </si>
  <si>
    <t>Akumuliatorius 72 Ah 760 A EN 12V AGM</t>
  </si>
  <si>
    <t>LEC882 goncauskas</t>
  </si>
  <si>
    <t>montazke  tik r18 suv</t>
  </si>
  <si>
    <t>IDE009376</t>
  </si>
  <si>
    <t>prius montazke 2024-11-05</t>
  </si>
  <si>
    <t>ir naujos gt radial r15</t>
  </si>
  <si>
    <t>sarunas skyrius pezas naujas</t>
  </si>
  <si>
    <t>pijus jonas goncauskas  EB8701</t>
  </si>
  <si>
    <t>176eur</t>
  </si>
  <si>
    <t>197e+kurjer+grazinimas</t>
  </si>
  <si>
    <t>HRS174 Martynas Vervečka mv@tradintek.com</t>
  </si>
  <si>
    <t>115eur IDE009052</t>
  </si>
  <si>
    <t>GOODRIDE SW628</t>
  </si>
  <si>
    <t>65e</t>
  </si>
  <si>
    <t>justas krasuckis norameda j.kumstyte@norameda.com NES936</t>
  </si>
  <si>
    <t>162+montazke? priority</t>
  </si>
  <si>
    <t>LIT236</t>
  </si>
  <si>
    <t>deividas dada vileniskis</t>
  </si>
  <si>
    <t>134+montazke priority ?</t>
  </si>
  <si>
    <t>IDE009145</t>
  </si>
  <si>
    <t>GWL2252464690839</t>
  </si>
  <si>
    <t>stabilyzo keitimas</t>
  </si>
  <si>
    <t>3819401 50eur</t>
  </si>
  <si>
    <t>justas krasuckis norameda MJP684</t>
  </si>
  <si>
    <t>kupon idea transratai</t>
  </si>
  <si>
    <t>pijus jonas goncauskas</t>
  </si>
  <si>
    <t>300+montazke? priority</t>
  </si>
  <si>
    <t>IDE009153</t>
  </si>
  <si>
    <t>EMK; Skoda Octavia domantas.mince@gmail.com</t>
  </si>
  <si>
    <t>60e+montazke</t>
  </si>
  <si>
    <t>IDE009285</t>
  </si>
  <si>
    <t>toyo gsi 6</t>
  </si>
  <si>
    <t>LYV424 bmw f30 zilvinas bidva</t>
  </si>
  <si>
    <t>135e</t>
  </si>
  <si>
    <t>IDE009247</t>
  </si>
  <si>
    <t>varztai 30e</t>
  </si>
  <si>
    <t>IDE009097</t>
  </si>
  <si>
    <t>pirelli 3 rft</t>
  </si>
  <si>
    <t>Simona Čižinauskaitė NDA770 #2410860</t>
  </si>
  <si>
    <t>paysera</t>
  </si>
  <si>
    <t>IDE009039</t>
  </si>
  <si>
    <t>yokohama 905</t>
  </si>
  <si>
    <t>IDE009120</t>
  </si>
  <si>
    <t>priority+montazke</t>
  </si>
  <si>
    <t>goodyear ice arctic</t>
  </si>
  <si>
    <t>Rytis Čekanauskas &lt;rytis.cekanauskas@gmail.com 61BDZ</t>
  </si>
  <si>
    <t>78eir+montazke priority</t>
  </si>
  <si>
    <t>priority montazke</t>
  </si>
  <si>
    <t>marius kurlianskas asgena</t>
  </si>
  <si>
    <t>IDE009174</t>
  </si>
  <si>
    <t>43eur</t>
  </si>
  <si>
    <t>martynas bisikirskas veho UAB "AFAS"</t>
  </si>
  <si>
    <t>IDE009119</t>
  </si>
  <si>
    <t>LOC972 GWL2241909116234</t>
  </si>
  <si>
    <t>kupon pats #44082</t>
  </si>
  <si>
    <t>michelin pa4 MO</t>
  </si>
  <si>
    <t>IDE009118</t>
  </si>
  <si>
    <t>Daiva Odynecienė Invitee Email: klevas451@gmail.com</t>
  </si>
  <si>
    <t>montazke q5 r18</t>
  </si>
  <si>
    <t>IDE009290</t>
  </si>
  <si>
    <t>IDE009147</t>
  </si>
  <si>
    <t>jsj804 GWL2281934353822</t>
  </si>
  <si>
    <t>donatas diverus Giedrius.Sabunas@diverus.com</t>
  </si>
  <si>
    <t>IDE009151</t>
  </si>
  <si>
    <t>bevita passat Laurynas | Bevita &lt;laurynas@bevita.lt</t>
  </si>
  <si>
    <t>141eur+montazke</t>
  </si>
  <si>
    <t>IDE009197</t>
  </si>
  <si>
    <t>IDE009139 180asvik,190sask</t>
  </si>
  <si>
    <t>BMS technologijos</t>
  </si>
  <si>
    <t>MRU279 eimantas.vinkleris@veesla.lt</t>
  </si>
  <si>
    <t>IDE009358</t>
  </si>
  <si>
    <t>MJV647 Skoda Fabia</t>
  </si>
  <si>
    <t>MRO968 Evaldas Jakubavičius evaldas@veesla.lt r16 golf</t>
  </si>
  <si>
    <t>padangas ismetem</t>
  </si>
  <si>
    <t>MFV868 Kia Ceed</t>
  </si>
  <si>
    <t>klijavimas 1</t>
  </si>
  <si>
    <t>MSH896 Evaldas Jakubavičius evaldas@veesla.lt</t>
  </si>
  <si>
    <t>goodyear ug perf+ mo</t>
  </si>
  <si>
    <t>125+</t>
  </si>
  <si>
    <t>IDE009180</t>
  </si>
  <si>
    <t>93+</t>
  </si>
  <si>
    <t xml:space="preserve">03L 905 061 L  </t>
  </si>
  <si>
    <t>rolandas ratlis rolka novikovas</t>
  </si>
  <si>
    <t>ge133 3vnt po 12eur</t>
  </si>
  <si>
    <t>IDE009141</t>
  </si>
  <si>
    <t>valdas@stabilesolutions.se valdas simutis</t>
  </si>
  <si>
    <t>IDE009255</t>
  </si>
  <si>
    <t>#53494</t>
  </si>
  <si>
    <t>Zbignev Korvin-Piotrovski &lt;info@mefaci.lt</t>
  </si>
  <si>
    <t>V V &lt;vidmav@gmail.com vidma milzinas</t>
  </si>
  <si>
    <t>164eur</t>
  </si>
  <si>
    <t>trail terrain bfg</t>
  </si>
  <si>
    <t>IDE009264</t>
  </si>
  <si>
    <t>braidai</t>
  </si>
  <si>
    <t>sailun ice arctic</t>
  </si>
  <si>
    <t>romualdas drag fest</t>
  </si>
  <si>
    <t>rasa a1motors donatas siurna kokybiski auto</t>
  </si>
  <si>
    <t>115eur+montazke IDE009125</t>
  </si>
  <si>
    <t>daviau dainius jarusaitis</t>
  </si>
  <si>
    <t>#32832</t>
  </si>
  <si>
    <t>195+196e</t>
  </si>
  <si>
    <t>IDE009183</t>
  </si>
  <si>
    <t>GWL2213115827311</t>
  </si>
  <si>
    <t>HRM818</t>
  </si>
  <si>
    <t>#51915</t>
  </si>
  <si>
    <t>Virginijus Kulbickas</t>
  </si>
  <si>
    <t>kurjeris, mokejimas per paysera</t>
  </si>
  <si>
    <t>596viso su kurjeriu IDE009198</t>
  </si>
  <si>
    <t>mantas.vaitekunas@gmail.com EB7981, BMW G30</t>
  </si>
  <si>
    <t>IDE009272</t>
  </si>
  <si>
    <t>mantas.vaitekunas@gmail.com</t>
  </si>
  <si>
    <t>180+198eur</t>
  </si>
  <si>
    <t>martynas bisikirskas klaipeda veho</t>
  </si>
  <si>
    <t>315+355eur</t>
  </si>
  <si>
    <t>IDE009213</t>
  </si>
  <si>
    <t>martynas bisikirskas klaipeda UAB "Mrenta", info@mrenta.com</t>
  </si>
  <si>
    <t>215eur monese</t>
  </si>
  <si>
    <t>motnazke</t>
  </si>
  <si>
    <t>medus 8vnt?</t>
  </si>
  <si>
    <t>vaztai</t>
  </si>
  <si>
    <t>martynas bisikirskas veho Ragmera UAB</t>
  </si>
  <si>
    <t>sask 192+173</t>
  </si>
  <si>
    <t>IDE009149</t>
  </si>
  <si>
    <t>172+152eur</t>
  </si>
  <si>
    <t>79eur IDE009291</t>
  </si>
  <si>
    <t>laura mefaci Zbignev Korvin-Piotrovski &lt;info@mefaci.lt MBM749</t>
  </si>
  <si>
    <t>112eur+montazke priority</t>
  </si>
  <si>
    <t>matador nordicca van</t>
  </si>
  <si>
    <t>IDE009209</t>
  </si>
  <si>
    <t>kurjeris+78eur</t>
  </si>
  <si>
    <t>328eur+montazke</t>
  </si>
  <si>
    <t>IDE009248</t>
  </si>
  <si>
    <t>IDE009129</t>
  </si>
  <si>
    <t>#43775</t>
  </si>
  <si>
    <t>IDE009130</t>
  </si>
  <si>
    <t>IDE009148</t>
  </si>
  <si>
    <t>865680657 sms telefone kestutis.gasiunas@gmail.com</t>
  </si>
  <si>
    <t>passat r16</t>
  </si>
  <si>
    <t>siurna kokybiski auto</t>
  </si>
  <si>
    <t>Arnas Šuliokas Invitee Email: arnas@a1motors.lt</t>
  </si>
  <si>
    <t>montazke kazkas 2024-11-06 priority</t>
  </si>
  <si>
    <t>IDE009181</t>
  </si>
  <si>
    <t>ratai dezent</t>
  </si>
  <si>
    <t>martynas bisikirskas veho osama uab</t>
  </si>
  <si>
    <t>238+120e davikliai</t>
  </si>
  <si>
    <t>IDE009292</t>
  </si>
  <si>
    <t>davikliai po 30e</t>
  </si>
  <si>
    <t>martynas bisikirskas veho  UAB kauen craft</t>
  </si>
  <si>
    <t>IDE009137</t>
  </si>
  <si>
    <t>kurjeriss</t>
  </si>
  <si>
    <t>#43315</t>
  </si>
  <si>
    <t>toyota rav4 inga 860825203 Inga Vaidukaityte</t>
  </si>
  <si>
    <t>IDE009143</t>
  </si>
  <si>
    <t>317+</t>
  </si>
  <si>
    <t>IDE009164</t>
  </si>
  <si>
    <t>346+</t>
  </si>
  <si>
    <t>#43343</t>
  </si>
  <si>
    <t>195+</t>
  </si>
  <si>
    <t>157+</t>
  </si>
  <si>
    <t>146+</t>
  </si>
  <si>
    <t>187+</t>
  </si>
  <si>
    <t>KCU939 Justina Lenčiauskienė</t>
  </si>
  <si>
    <t>kupon pati #53695</t>
  </si>
  <si>
    <t>126e</t>
  </si>
  <si>
    <t>pirelli winter m01</t>
  </si>
  <si>
    <t>kurjerj</t>
  </si>
  <si>
    <t>IDE009150</t>
  </si>
  <si>
    <t>beriv van den bam</t>
  </si>
  <si>
    <t>martynas bisikirskas veho kaunas Ivadentus MB</t>
  </si>
  <si>
    <t>480+535</t>
  </si>
  <si>
    <t>antonas mejus  KZE985</t>
  </si>
  <si>
    <t>IDE009291</t>
  </si>
  <si>
    <t>montazke tesla Y r19</t>
  </si>
  <si>
    <r>
      <t xml:space="preserve">Justas Rutkauskas Invitee Email: </t>
    </r>
    <r>
      <rPr>
        <rFont val="Roboto, Arial, sans-serif"/>
        <color rgb="FF1155CC"/>
        <sz val="11.0"/>
        <u/>
      </rPr>
      <t>m@justasrutkauskas.com</t>
    </r>
  </si>
  <si>
    <t>IDE009709</t>
  </si>
  <si>
    <t>passat montazke r18 priority</t>
  </si>
  <si>
    <t>marcius pats #47351</t>
  </si>
  <si>
    <t>goodyear performance 3 XL</t>
  </si>
  <si>
    <t>IDE009182</t>
  </si>
  <si>
    <t>#43746</t>
  </si>
  <si>
    <t>goodyear performance 3</t>
  </si>
  <si>
    <t>martynas bisikirskas veho Ūkininkas Giedrius Mėlinis</t>
  </si>
  <si>
    <t>345+kurjer</t>
  </si>
  <si>
    <t>IDE009165</t>
  </si>
  <si>
    <t>IDE009162</t>
  </si>
  <si>
    <t>michelin 5 ndo</t>
  </si>
  <si>
    <t>vilius foktas</t>
  </si>
  <si>
    <t>IDE009154</t>
  </si>
  <si>
    <t>vilius foktas LFF910</t>
  </si>
  <si>
    <t>conti ts860s ndo</t>
  </si>
  <si>
    <t>330? IDE009205</t>
  </si>
  <si>
    <t>balabdzio 22</t>
  </si>
  <si>
    <t>Raimis Sakalauskas Invitee Email: raimundas.sakalauskas@gmail.com</t>
  </si>
  <si>
    <t>montazke lexus 50eur</t>
  </si>
  <si>
    <t>uzregint 1 padanga</t>
  </si>
  <si>
    <t>lapkricio 12</t>
  </si>
  <si>
    <r>
      <rPr/>
      <t xml:space="preserve">Egle Keliauskaite Baciliuniene Invitee Email: </t>
    </r>
    <r>
      <rPr>
        <color rgb="FF000000"/>
      </rPr>
      <t>e.baciliuniene@gmail.com</t>
    </r>
  </si>
  <si>
    <t>monttazke merso du kartus</t>
  </si>
  <si>
    <t>IDE009186</t>
  </si>
  <si>
    <t>IDE009156</t>
  </si>
  <si>
    <t>montazke kokybiski auto</t>
  </si>
  <si>
    <t>martynas bisikirskas veho kaunas Ūkininkas Virgilijus Kuprevičius</t>
  </si>
  <si>
    <t>440+480e</t>
  </si>
  <si>
    <t>IDE009215</t>
  </si>
  <si>
    <t xml:space="preserve">martynas bisikirskas veho kaunas </t>
  </si>
  <si>
    <t>martynas bisikirskas veho kaunas  UAB Termo Langai</t>
  </si>
  <si>
    <t>235e</t>
  </si>
  <si>
    <t>IDE009232</t>
  </si>
  <si>
    <t>IDE009190</t>
  </si>
  <si>
    <t>IDE009172</t>
  </si>
  <si>
    <t>LEE546 montazke r15</t>
  </si>
  <si>
    <t>medgana montazke</t>
  </si>
  <si>
    <t>IDE009208</t>
  </si>
  <si>
    <t>865917022 dainiaus brolis 70e+kurjeris +37065917022</t>
  </si>
  <si>
    <t>k@ng.lt</t>
  </si>
  <si>
    <t>IDE009193 mb naujoji grupe 303350560</t>
  </si>
  <si>
    <t>yokohama minksta</t>
  </si>
  <si>
    <t>Lina Samulionytė &lt;linasamulionytevilnius@gmail.com</t>
  </si>
  <si>
    <t>IDE009161</t>
  </si>
  <si>
    <t>3x62eur motul 0w20 spec</t>
  </si>
  <si>
    <t>pirelli nfo</t>
  </si>
  <si>
    <t>347+299e</t>
  </si>
  <si>
    <t>IDE009170</t>
  </si>
  <si>
    <t>pirelli sottozero 3 mo</t>
  </si>
  <si>
    <t>IDE009171</t>
  </si>
  <si>
    <t>pirelli 2 mo1</t>
  </si>
  <si>
    <t>martynas bisikirskas veho MB Adrija style</t>
  </si>
  <si>
    <t>IDE009192</t>
  </si>
  <si>
    <t>4x70e devetos gy</t>
  </si>
  <si>
    <t>dave 280eur 2025-05</t>
  </si>
  <si>
    <t>michelin latitude alpin mo</t>
  </si>
  <si>
    <t>rimas kondratas #2411416</t>
  </si>
  <si>
    <t>paysera  306e</t>
  </si>
  <si>
    <t>IDE009217</t>
  </si>
  <si>
    <t>montazke busiko didelio</t>
  </si>
  <si>
    <t>95+montazke</t>
  </si>
  <si>
    <t>110e IDE009205</t>
  </si>
  <si>
    <t>37061873650 sms ieva sliziene</t>
  </si>
  <si>
    <t>IDE009167</t>
  </si>
  <si>
    <t>donatas jucius diverus cayenne aurimas nav</t>
  </si>
  <si>
    <t>cayene lempa 1+pvm</t>
  </si>
  <si>
    <t>325+montazke</t>
  </si>
  <si>
    <t>donatas jucius diverus arteon forminom</t>
  </si>
  <si>
    <t>jucius lempos dejimas 140eur</t>
  </si>
  <si>
    <t>1kart ziurejo, antra eme, 1 ivykis, nusidevejimas, francize, ir kreditine francyze, zibinto,groteliu keitimas, bamper dazymas, pirkom kita zibinta, kitas groteles</t>
  </si>
  <si>
    <t>arteon 1456+pvm pelnas</t>
  </si>
  <si>
    <t>IDE009220</t>
  </si>
  <si>
    <t>gy perf 3 seal</t>
  </si>
  <si>
    <t>IDE009207</t>
  </si>
  <si>
    <t>spalio 30 prioritu montazke+pasauga</t>
  </si>
  <si>
    <t>60+40</t>
  </si>
  <si>
    <t>#46494</t>
  </si>
  <si>
    <t>lukas arnas donatas siurna kokybiski auto</t>
  </si>
  <si>
    <t>60e IDE009177</t>
  </si>
  <si>
    <t>montakze kokybiski auto skoda kamiq</t>
  </si>
  <si>
    <t>montazke bmw 330e</t>
  </si>
  <si>
    <t>ilink winter</t>
  </si>
  <si>
    <t>IDE009227</t>
  </si>
  <si>
    <t>touareg ratu sukeitimas</t>
  </si>
  <si>
    <t>C 21 102  16eur</t>
  </si>
  <si>
    <t xml:space="preserve">IDE009211 </t>
  </si>
  <si>
    <t>3 397 014 214 26eur</t>
  </si>
  <si>
    <t>3x5L motul 0w30 eco-nergy 3x53eur</t>
  </si>
  <si>
    <t>6 langu</t>
  </si>
  <si>
    <t>dunlop at5</t>
  </si>
  <si>
    <t>130.5eur</t>
  </si>
  <si>
    <t>IDE009064</t>
  </si>
  <si>
    <t>pirelli scorpion2 MO1</t>
  </si>
  <si>
    <t>Bisikirskas Martynas &lt;Martynas.Bisikirskas@veho.lt</t>
  </si>
  <si>
    <t>223+225, 245+250e sask</t>
  </si>
  <si>
    <t>IDE009216</t>
  </si>
  <si>
    <t>Bisikirskas Martynas Laimis Binderis</t>
  </si>
  <si>
    <t>207000km</t>
  </si>
  <si>
    <t>tepalas backa 5L</t>
  </si>
  <si>
    <t>3langu skysci</t>
  </si>
  <si>
    <t>IDE009379</t>
  </si>
  <si>
    <t>1 457 429 192  6eur</t>
  </si>
  <si>
    <t>FP 2939  19eur</t>
  </si>
  <si>
    <t>116 060 0011/HD  20e</t>
  </si>
  <si>
    <t>116 060 0012/HD 20e</t>
  </si>
  <si>
    <t>240eur IDE009206</t>
  </si>
  <si>
    <t>martynas biskirskas veho  UAB Pireka</t>
  </si>
  <si>
    <t>1524eur i sask</t>
  </si>
  <si>
    <t>IDE009185</t>
  </si>
  <si>
    <t>martynas biskirskas veho</t>
  </si>
  <si>
    <t>330+370savik</t>
  </si>
  <si>
    <t>544 402 044 b18  65eur</t>
  </si>
  <si>
    <t>xls2026</t>
  </si>
  <si>
    <t>tomas lizunas uab astana</t>
  </si>
  <si>
    <t>178+173eur</t>
  </si>
  <si>
    <t>IDE009237</t>
  </si>
  <si>
    <t>112400km</t>
  </si>
  <si>
    <t>E1155L  16eur</t>
  </si>
  <si>
    <t>2nauji davikliai 2x35+pvm</t>
  </si>
  <si>
    <t xml:space="preserve">IDE009441 </t>
  </si>
  <si>
    <t>E2945LC 16eur</t>
  </si>
  <si>
    <t>montzke visu ratu</t>
  </si>
  <si>
    <t>ford transit daviklius idet 4vnt</t>
  </si>
  <si>
    <t>3vvnt langu skyscio</t>
  </si>
  <si>
    <t>CT 1028 WP4  107e</t>
  </si>
  <si>
    <t>E19H D83 5e</t>
  </si>
  <si>
    <t>635.432 3e</t>
  </si>
  <si>
    <t>625.76  5e</t>
  </si>
  <si>
    <t>107eur IDE009205</t>
  </si>
  <si>
    <t>OX 188D  6eur</t>
  </si>
  <si>
    <t>XA 12032 (XADO)  18eur</t>
  </si>
  <si>
    <t>continental van contact winter</t>
  </si>
  <si>
    <t>kurjerj IDE009266</t>
  </si>
  <si>
    <t>#57853</t>
  </si>
  <si>
    <t>333eur</t>
  </si>
  <si>
    <t>dave 2k-e ir pervesta alga 2k 2024-11-29</t>
  </si>
  <si>
    <t>dave 3k ir pervedziau 3k alg</t>
  </si>
  <si>
    <t>lkw skola 3410eur</t>
  </si>
  <si>
    <t>IDE008332 IDE008779</t>
  </si>
  <si>
    <t>P 54 031X (BREMBO)  60eur</t>
  </si>
  <si>
    <t>P 54 017X (BREMBO) 50eur</t>
  </si>
  <si>
    <t>MMT A040 410725  30.5eur</t>
  </si>
  <si>
    <t>IDE009251</t>
  </si>
  <si>
    <t>IDE009222  siuliau101e, sask 115e</t>
  </si>
  <si>
    <t>montzke</t>
  </si>
  <si>
    <t>galo keitimsa kaladziu</t>
  </si>
  <si>
    <t>P 85 184  65eur</t>
  </si>
  <si>
    <t>3 397 007 863  24eur</t>
  </si>
  <si>
    <t>martynas bisikirskas veho klaipeda</t>
  </si>
  <si>
    <t>398e kurjer</t>
  </si>
  <si>
    <t>IDE009240</t>
  </si>
  <si>
    <t>500e</t>
  </si>
  <si>
    <t>brembo diskai 08.C501.11 po 49e</t>
  </si>
  <si>
    <t>brembo kaladeles p85124 34eur</t>
  </si>
  <si>
    <t>petras jurkuvenas</t>
  </si>
  <si>
    <t>566.33 savik</t>
  </si>
  <si>
    <t>grazinimas padangu</t>
  </si>
  <si>
    <t>vilius paras uab prekeivis</t>
  </si>
  <si>
    <t>IDE009238</t>
  </si>
  <si>
    <t>martynas bisikirskas veho Moka Medžio projektas.</t>
  </si>
  <si>
    <t>IDE009236</t>
  </si>
  <si>
    <t>martynas bisikirskas veho Moka Medžio projektas kaunas</t>
  </si>
  <si>
    <t>donatas siurna kokybiski auto Aurimas Mikalauskas aurimas.mikalauskas@gmail.com</t>
  </si>
  <si>
    <t>344+montazke</t>
  </si>
  <si>
    <t>IDE009223</t>
  </si>
  <si>
    <t>michelin pa5 nd0</t>
  </si>
  <si>
    <t>IDE009265</t>
  </si>
  <si>
    <t>IDE009250</t>
  </si>
  <si>
    <t>andzej trachimovic</t>
  </si>
  <si>
    <t>IDE009263</t>
  </si>
  <si>
    <t xml:space="preserve">fulda </t>
  </si>
  <si>
    <t>albertas</t>
  </si>
  <si>
    <t>260 skola</t>
  </si>
  <si>
    <t>barum allseason</t>
  </si>
  <si>
    <t>valdas simutis</t>
  </si>
  <si>
    <t>IDE009271</t>
  </si>
  <si>
    <t>96+montazke</t>
  </si>
  <si>
    <t>91e+kurjer?</t>
  </si>
  <si>
    <t>pirelli ice zero FR</t>
  </si>
  <si>
    <t>24.3727-0163.2 2x16eur</t>
  </si>
  <si>
    <t>merso dzipo ratu sukeitimas</t>
  </si>
  <si>
    <t>donatas siurna kokybiski auto lukas sąsk Povilas Rimas povilas.rimas@gmial.com</t>
  </si>
  <si>
    <t>283eu IDE009279</t>
  </si>
  <si>
    <t>donatas siurna kokybiski auto Aurimas Šinskis aurimus@gmail.com</t>
  </si>
  <si>
    <t>IDE009267</t>
  </si>
  <si>
    <t>cupra 1.5 r19</t>
  </si>
  <si>
    <t>montavimas</t>
  </si>
  <si>
    <t>goodyear ug perf MO</t>
  </si>
  <si>
    <t>IDE009268</t>
  </si>
  <si>
    <t>#57836</t>
  </si>
  <si>
    <t>arturas zakroiskis draudima reginau tik</t>
  </si>
  <si>
    <t>eb0857 IDE009270 GWL2239246562393</t>
  </si>
  <si>
    <t>arturkos email</t>
  </si>
  <si>
    <t>#57856</t>
  </si>
  <si>
    <t>petras jurkuvenas draudima reginau tik   IDE009271</t>
  </si>
  <si>
    <t>ec2885 GWL2269815174200</t>
  </si>
  <si>
    <t>alan karol jurgelevic daviau</t>
  </si>
  <si>
    <t>donatas siurna kokybiski auto valerijus</t>
  </si>
  <si>
    <t>IDE009280</t>
  </si>
  <si>
    <t>100+montake</t>
  </si>
  <si>
    <t>denas danyla audi q3</t>
  </si>
  <si>
    <t>montazke 215eur IDE009274</t>
  </si>
  <si>
    <t>arunas darius daruna grigaravicius</t>
  </si>
  <si>
    <t>IDE009277</t>
  </si>
  <si>
    <t>82e</t>
  </si>
  <si>
    <t>Nerijus Š. &lt;neniera@gmail.com simkus</t>
  </si>
  <si>
    <t>58+montazke IDE009272</t>
  </si>
  <si>
    <t>ovidijus meilunas golf</t>
  </si>
  <si>
    <t>3 397 007 863 20eur</t>
  </si>
  <si>
    <t>alius vitas kaimynas</t>
  </si>
  <si>
    <t xml:space="preserve"> montakze kazkokia idomi+jutikliu keitimas (1vnt naujas)</t>
  </si>
  <si>
    <t>R19x8 5X108 ET 45 63.3 V516 (FE135) Black Polished Half Matt (MBHM) For VOLVO</t>
  </si>
  <si>
    <t>donatas siurna kokybiski auto lukas</t>
  </si>
  <si>
    <t>173e</t>
  </si>
  <si>
    <t>IDE009299</t>
  </si>
  <si>
    <t>martynas bisikirskas veho ruta lesinskiene</t>
  </si>
  <si>
    <t>IDE009294</t>
  </si>
  <si>
    <t>H97W07  7eur</t>
  </si>
  <si>
    <t>LX 3536 12eur</t>
  </si>
  <si>
    <t>laurynas goncauskas corolla 1.8 hybrid MJC056</t>
  </si>
  <si>
    <t>valytuvai 22eur</t>
  </si>
  <si>
    <t>E4959LC  11eur</t>
  </si>
  <si>
    <t>laurynas goncauskas corolla 1.8 hybrid</t>
  </si>
  <si>
    <t>P 85 124 24eur savik</t>
  </si>
  <si>
    <t>0 986 479 A84 2x32e savik</t>
  </si>
  <si>
    <t>tomas jatuzys passat</t>
  </si>
  <si>
    <t>ketiimas</t>
  </si>
  <si>
    <t>IDE009386</t>
  </si>
  <si>
    <t>315 012  57+pvm</t>
  </si>
  <si>
    <t>KB669.50  2x35+pvm</t>
  </si>
  <si>
    <t>900 212  28eur</t>
  </si>
  <si>
    <t xml:space="preserve">laurynas goncauskas toyota auris </t>
  </si>
  <si>
    <t>315 013  57+pvm</t>
  </si>
  <si>
    <t>amortiku keitimas</t>
  </si>
  <si>
    <t>remigijus staisiunas volvo</t>
  </si>
  <si>
    <t>IDE009309</t>
  </si>
  <si>
    <t>pirelli m01</t>
  </si>
  <si>
    <t>IDE009297</t>
  </si>
  <si>
    <t>stabdziu disku ir kaladziu keitimas</t>
  </si>
  <si>
    <t xml:space="preserve">rimas ali polo+pvm </t>
  </si>
  <si>
    <t>IDE009389</t>
  </si>
  <si>
    <t>1 987 473 601 10e</t>
  </si>
  <si>
    <t>P 85 185 +  P85165  180eur</t>
  </si>
  <si>
    <t>kaladziu keitimas audi sq5</t>
  </si>
  <si>
    <t>98061801  11eur</t>
  </si>
  <si>
    <t>VKBA 3449  35eur</t>
  </si>
  <si>
    <t>donatas siurna lukas ptasinskas kokybiski auto</t>
  </si>
  <si>
    <t>300+453eur</t>
  </si>
  <si>
    <t>IDE009310</t>
  </si>
  <si>
    <t>montazke q7 su ratais</t>
  </si>
  <si>
    <t>montazke gls r23 amg</t>
  </si>
  <si>
    <t>montazke skoda 2025-02-04 r18</t>
  </si>
  <si>
    <t>supra montazke r19? 2025-02-10</t>
  </si>
  <si>
    <t>golf 7 montazke</t>
  </si>
  <si>
    <t>x5 ratu balansas ir sukeitimas</t>
  </si>
  <si>
    <t>montazke minkstas uzdet</t>
  </si>
  <si>
    <t>balansas 2025-01-27</t>
  </si>
  <si>
    <t>ratu pakeitimas i kieta guma 2025-01-27</t>
  </si>
  <si>
    <t>IDE009305</t>
  </si>
  <si>
    <t>1330e</t>
  </si>
  <si>
    <t>IDE009308</t>
  </si>
  <si>
    <t>erikas instabal</t>
  </si>
  <si>
    <t>montazke IDE009421</t>
  </si>
  <si>
    <t>IDE009307</t>
  </si>
  <si>
    <t>IDE009312</t>
  </si>
  <si>
    <t>IDE009314</t>
  </si>
  <si>
    <t>IDE009313</t>
  </si>
  <si>
    <t>Valdas Stabile &lt;valdas@stabilesolutions.se</t>
  </si>
  <si>
    <t>IDE009306</t>
  </si>
  <si>
    <t>IDE009311</t>
  </si>
  <si>
    <t>marek marexas stefanovic</t>
  </si>
  <si>
    <t>IDE009315</t>
  </si>
  <si>
    <t>118eur+montake?</t>
  </si>
  <si>
    <t>vilius milasius</t>
  </si>
  <si>
    <t>44653 01 150+pvm savik</t>
  </si>
  <si>
    <t>LMI44651  157eur  ic</t>
  </si>
  <si>
    <t>bmw airbog pigu Mhk077</t>
  </si>
  <si>
    <t>pakaba</t>
  </si>
  <si>
    <t xml:space="preserve">IDE009361           </t>
  </si>
  <si>
    <t xml:space="preserve">pirelli b1 pzero </t>
  </si>
  <si>
    <t xml:space="preserve">aurimas nav bentley </t>
  </si>
  <si>
    <t>IDE009342</t>
  </si>
  <si>
    <t>ADT32522 5.32eur. (savikaina)</t>
  </si>
  <si>
    <t xml:space="preserve">F 026 400 114 9.61eur </t>
  </si>
  <si>
    <t>F 026 407 092 5.45eur</t>
  </si>
  <si>
    <t xml:space="preserve"> D72031TT 42.81eur (savikaina)</t>
  </si>
  <si>
    <t>Saulius Paliunis Toyota Corolla ABT207</t>
  </si>
  <si>
    <t>Radiatorio keitimas</t>
  </si>
  <si>
    <r>
      <rPr>
        <rFont val="Arial"/>
        <color rgb="FF1155CC"/>
        <sz val="11.0"/>
        <u/>
      </rPr>
      <t>AG3066MT</t>
    </r>
    <r>
      <rPr>
        <rFont val="Arial"/>
        <color rgb="FF000000"/>
        <sz val="11.0"/>
      </rPr>
      <t xml:space="preserve"> 29.27eur</t>
    </r>
  </si>
  <si>
    <r>
      <rPr>
        <color rgb="FF1155CC"/>
        <u/>
      </rPr>
      <t>P 59 042</t>
    </r>
    <r>
      <rPr>
        <color rgb="FF000000"/>
      </rPr>
      <t xml:space="preserve"> 19.72eur savikaina</t>
    </r>
  </si>
  <si>
    <r>
      <rPr>
        <rFont val="Arial"/>
        <color rgb="FF1155CC"/>
        <sz val="11.0"/>
        <u/>
      </rPr>
      <t>RH07-4010</t>
    </r>
    <r>
      <rPr>
        <rFont val="Arial"/>
        <color rgb="FF000000"/>
        <sz val="11.0"/>
      </rPr>
      <t xml:space="preserve"> 7.24eur</t>
    </r>
  </si>
  <si>
    <t>Uzor Angelus Nnanyre Mazda MUJ229</t>
  </si>
  <si>
    <t>Galiniu kaladeliu ir disku keitimas</t>
  </si>
  <si>
    <r>
      <rPr>
        <rFont val="Arial"/>
        <color rgb="FF1155CC"/>
        <sz val="11.0"/>
        <u/>
      </rPr>
      <t>AG3066MT</t>
    </r>
    <r>
      <rPr>
        <rFont val="Arial"/>
        <color rgb="FF000000"/>
        <sz val="11.0"/>
      </rPr>
      <t xml:space="preserve"> 29.27eur</t>
    </r>
  </si>
  <si>
    <r>
      <rPr>
        <color rgb="FF1155CC"/>
        <u/>
      </rPr>
      <t>0 986 479 C69</t>
    </r>
    <r>
      <rPr/>
      <t xml:space="preserve"> 27.19eur</t>
    </r>
  </si>
  <si>
    <t xml:space="preserve">LMI32010 14.60eur </t>
  </si>
  <si>
    <t>Uzor Angelus Nnanyre Mazda MUJ230</t>
  </si>
  <si>
    <t>H13026BTA 16.98eur</t>
  </si>
  <si>
    <t>0 986 479 C69 27.19eur</t>
  </si>
  <si>
    <t>Uzor Angelus Nnanyre Mazda MUJ231</t>
  </si>
  <si>
    <r>
      <rPr>
        <rFont val="Arial"/>
        <color rgb="FF1155CC"/>
        <sz val="11.0"/>
        <u/>
      </rPr>
      <t>TD1452W</t>
    </r>
    <r>
      <rPr>
        <rFont val="Arial"/>
        <color rgb="FF000000"/>
        <sz val="11.0"/>
      </rPr>
      <t xml:space="preserve"> 3.71eur</t>
    </r>
  </si>
  <si>
    <t>Uzor Angelus Nnanyre Mazda MUJ232</t>
  </si>
  <si>
    <t>NEPATIKIMAS, NEATVAZIAVO 4 kartus</t>
  </si>
  <si>
    <t>SAS1904027 9.39eur (14eur)</t>
  </si>
  <si>
    <t>A7G004MT 7.80eur</t>
  </si>
  <si>
    <t>Uzor Angelus Nnanyre Mazda MUJ233</t>
  </si>
  <si>
    <t>(+37063862879)</t>
  </si>
  <si>
    <t>Uzor Angelus Nnanyre Mazda MUJ234</t>
  </si>
  <si>
    <t>kolkas dave 400eur</t>
  </si>
  <si>
    <t>detales 254.33eur -+ darbas 174eur=430+-</t>
  </si>
  <si>
    <t>skolingas dar 30eur</t>
  </si>
  <si>
    <t>alyvos keeitimas</t>
  </si>
  <si>
    <t>HP113 337 8.59eur</t>
  </si>
  <si>
    <t>tomas patalavicius Audi a6 KGT066</t>
  </si>
  <si>
    <t>IDE009418</t>
  </si>
  <si>
    <t>alyva</t>
  </si>
  <si>
    <r>
      <rPr>
        <rFont val="Arial"/>
        <color rgb="FF000000"/>
        <sz val="11.0"/>
      </rPr>
      <t>HU 7020 Z</t>
    </r>
    <r>
      <rPr>
        <rFont val="Arial"/>
        <color rgb="FF000000"/>
        <sz val="11.0"/>
      </rPr>
      <t xml:space="preserve"> 8.19eur</t>
    </r>
  </si>
  <si>
    <t>tomas patalavicius Audi a6 KGT067</t>
  </si>
  <si>
    <t>4G9 955 985 A 2+pvm savik</t>
  </si>
  <si>
    <r>
      <rPr>
        <rFont val="Arial"/>
        <color rgb="FF000000"/>
        <sz val="11.0"/>
      </rPr>
      <t>CUK 2641</t>
    </r>
    <r>
      <rPr>
        <rFont val="Arial"/>
        <color rgb="FF000000"/>
        <sz val="11.0"/>
      </rPr>
      <t xml:space="preserve"> 25.64</t>
    </r>
  </si>
  <si>
    <t>tomas patalavicius Audi a6 KGT068</t>
  </si>
  <si>
    <t>VAL579717  160eur</t>
  </si>
  <si>
    <t>IDE009420</t>
  </si>
  <si>
    <r>
      <rPr>
        <rFont val="Arial"/>
        <color rgb="FF000000"/>
        <sz val="11.0"/>
      </rPr>
      <t>WK 6037</t>
    </r>
    <r>
      <rPr>
        <rFont val="Arial"/>
        <color rgb="FF000000"/>
        <sz val="11.0"/>
      </rPr>
      <t xml:space="preserve"> 23.46eur</t>
    </r>
  </si>
  <si>
    <t>tomas patalavicius Audi a6 KGT069</t>
  </si>
  <si>
    <t>valytuvas galas VAL574613  8eur</t>
  </si>
  <si>
    <t>IDE009421</t>
  </si>
  <si>
    <t>posparnio plastikas kaina?</t>
  </si>
  <si>
    <t>posparnio keitimas</t>
  </si>
  <si>
    <t>F 026 400 289 12.71eur</t>
  </si>
  <si>
    <t>tomas patalavicius Audi a6 KGT070</t>
  </si>
  <si>
    <t>valytuvai priekis 25eur</t>
  </si>
  <si>
    <t>IDE009422</t>
  </si>
  <si>
    <t>4G0 807 521 T 9B9  150eur</t>
  </si>
  <si>
    <t>difuzoriaus keitimas</t>
  </si>
  <si>
    <t>100 955 0010   11eur</t>
  </si>
  <si>
    <t>tomas patalavicius Audi a6 KGT071</t>
  </si>
  <si>
    <t>723180313  15eur</t>
  </si>
  <si>
    <t>IDE009423</t>
  </si>
  <si>
    <t>parko daviklis</t>
  </si>
  <si>
    <t>parko gumyte ir laikiklis</t>
  </si>
  <si>
    <t>IDE009316</t>
  </si>
  <si>
    <t>marijus kebla eqe</t>
  </si>
  <si>
    <t>IDE009329</t>
  </si>
  <si>
    <t>xclean+ motul backa 6l</t>
  </si>
  <si>
    <r>
      <rPr>
        <rFont val="Verdana, Helvetica, sans-serif"/>
        <color rgb="FF000000"/>
        <sz val="9.0"/>
      </rPr>
      <t>ADBLUE 10</t>
    </r>
    <r>
      <rPr>
        <rFont val="Verdana, Helvetica, sans-serif"/>
        <sz val="9.0"/>
      </rPr>
      <t>L 3x12eur</t>
    </r>
  </si>
  <si>
    <t>IDE009490</t>
  </si>
  <si>
    <t>3x langu</t>
  </si>
  <si>
    <t>narmontas paliokas kodiaw</t>
  </si>
  <si>
    <t>montazke/pasauga 2025-04</t>
  </si>
  <si>
    <t>montazke/pasauga 2024-11</t>
  </si>
  <si>
    <t>montazke/pasauga 2024-04</t>
  </si>
  <si>
    <t>vairo juosta 10e</t>
  </si>
  <si>
    <t>grandine 40eur</t>
  </si>
  <si>
    <t>revolut</t>
  </si>
  <si>
    <t>0w40 3vnt 300v</t>
  </si>
  <si>
    <t>IDE009572</t>
  </si>
  <si>
    <t>4l langu skyscio+paeme 1vnt.</t>
  </si>
  <si>
    <t>langu apiplovimo keitimas</t>
  </si>
  <si>
    <t>karterio keitimas</t>
  </si>
  <si>
    <t>4H0 133 246 J sklende  160eur</t>
  </si>
  <si>
    <t>EL398260 15.98EUR</t>
  </si>
  <si>
    <t>EL006553 8eur</t>
  </si>
  <si>
    <t>FE171623 keitimas?</t>
  </si>
  <si>
    <t>regimantas sostena</t>
  </si>
  <si>
    <t>IDE009321</t>
  </si>
  <si>
    <t>IDE009317</t>
  </si>
  <si>
    <t xml:space="preserve">goodyear efficient grip perf(+) </t>
  </si>
  <si>
    <t>arturas zakroiskis eb0859 id3 aurimas nav</t>
  </si>
  <si>
    <t>GWL2279196020260</t>
  </si>
  <si>
    <t>ratlankis oem vag r20</t>
  </si>
  <si>
    <t>IDE009318</t>
  </si>
  <si>
    <t>IDE009330</t>
  </si>
  <si>
    <t>E10-72-008-01-22  287eur</t>
  </si>
  <si>
    <t>713 6104 70 45eur+35</t>
  </si>
  <si>
    <t>IDE009319</t>
  </si>
  <si>
    <t>WP5-600-150 6.67eur savikaina</t>
  </si>
  <si>
    <r>
      <rPr>
        <color rgb="FF000000"/>
      </rPr>
      <t>C80179ABE</t>
    </r>
    <r>
      <rPr>
        <color rgb="FF000000"/>
      </rPr>
      <t xml:space="preserve"> 9.56eur</t>
    </r>
  </si>
  <si>
    <t xml:space="preserve">WP5-600-150 6.67eur </t>
  </si>
  <si>
    <t>DOT4 2l</t>
  </si>
  <si>
    <t>metaline stabdziu zarnele 1m</t>
  </si>
  <si>
    <t>44eur lidlas 2025-02-21</t>
  </si>
  <si>
    <t>skola 270eur 2025-02-24</t>
  </si>
  <si>
    <t>IDE009326</t>
  </si>
  <si>
    <t>IDE009325</t>
  </si>
  <si>
    <t>michelin pa5 suv MO</t>
  </si>
  <si>
    <t>IDE009328</t>
  </si>
  <si>
    <t>IDE009331</t>
  </si>
  <si>
    <t>martynas bisikirskas veho Reda Juškaitė-Domeikienė</t>
  </si>
  <si>
    <t>P 61 066  1x 25eur</t>
  </si>
  <si>
    <t>09.8695.11  2x35eur</t>
  </si>
  <si>
    <t>arturas zakroiskis peugeot</t>
  </si>
  <si>
    <t>montazke ratu susidengsim su garso izoliacija</t>
  </si>
  <si>
    <t>50eur garaze stalciuj 2024-10-04</t>
  </si>
  <si>
    <t>zaranka karolis gaabartas</t>
  </si>
  <si>
    <t>evoliuseno montazke</t>
  </si>
  <si>
    <t>Tomas Trifonovas</t>
  </si>
  <si>
    <t>volvo uz kaladeles mokejo</t>
  </si>
  <si>
    <t>opelis turjeo moket 12-14  17h</t>
  </si>
  <si>
    <t>1290 radau, sake dave 1340 :))</t>
  </si>
  <si>
    <t>lieka proco ausintuvas lga1700</t>
  </si>
  <si>
    <t>3080ti vaizduske</t>
  </si>
  <si>
    <t>bisikirsko update water</t>
  </si>
  <si>
    <t xml:space="preserve">uzsakiau nauja distroplate  </t>
  </si>
  <si>
    <t>3090 korta mano vandens+blokai vandens abieju pusiu 300eur</t>
  </si>
  <si>
    <t>20eur melyni ziedai</t>
  </si>
  <si>
    <t>deze dedam nauja lion li XL</t>
  </si>
  <si>
    <t>alphacool 2radikai 223eur</t>
  </si>
  <si>
    <t>noiseblock ventikai 176eur</t>
  </si>
  <si>
    <t>laidai 42eur</t>
  </si>
  <si>
    <t>rgb spliteris 1vnt 10eur</t>
  </si>
  <si>
    <t>2vnt kampukai 90l - 20eur</t>
  </si>
  <si>
    <t>6vnt ventiliatoriai dar 75+pvm</t>
  </si>
  <si>
    <t>usb adapteris 5eur</t>
  </si>
  <si>
    <t>kraniukas nuleidimui</t>
  </si>
  <si>
    <t>vanduo skystis cryo fuel 50eur</t>
  </si>
  <si>
    <t>trisakiai 16eur</t>
  </si>
  <si>
    <t>adapteriai su ziedais 60eur</t>
  </si>
  <si>
    <t>dvi slangos tiesios</t>
  </si>
  <si>
    <t>6ios slangos su 90kampu lenktos</t>
  </si>
  <si>
    <t>EK Water Blocks EK-Quantum Torque HDC 12 - 6er-Pack,</t>
  </si>
  <si>
    <t>marek marex kompa renku</t>
  </si>
  <si>
    <t>DeepCool MATREXX 55</t>
  </si>
  <si>
    <t>13100f   125eur</t>
  </si>
  <si>
    <t>PHANTEKS Eclipse G360A Midi-Tower, Tempered Glass, ARGB - black</t>
  </si>
  <si>
    <t>Item No.: GEPH-151</t>
  </si>
  <si>
    <t>ddr4 ramai 16gb ar kiek ?</t>
  </si>
  <si>
    <t>ZUUS-173 usb perejimas</t>
  </si>
  <si>
    <t>zalman deze</t>
  </si>
  <si>
    <t>gigabyte ds3h ax ddr4  motka</t>
  </si>
  <si>
    <t>700w maitekas   55eur</t>
  </si>
  <si>
    <t>hardas 1tb  lexar</t>
  </si>
  <si>
    <t>f</t>
  </si>
  <si>
    <t>Padangos pavadinimas</t>
  </si>
  <si>
    <t>Tipas: Ziemines dygliuotos / Ziemines minkstos / M+S universalios / Vasarines</t>
  </si>
  <si>
    <t>Su lietiniais/plieniniais ratlankiais, be ratlankiu</t>
  </si>
  <si>
    <t>Automobilis</t>
  </si>
  <si>
    <t>Automobilio Valst.Nr.</t>
  </si>
  <si>
    <t>Vairuotojas</t>
  </si>
  <si>
    <t>Kur padangos: ant automobilio / IDEA3 sandelyje / utilizuotos / atiduotos vairuotojui</t>
  </si>
  <si>
    <t>Padangu pirkimo data (jeigu pirkta is IDEA3)</t>
  </si>
  <si>
    <t>Padangos vnt. pirkimo kaina be PVM (jeigu pirkta is IDEA3)</t>
  </si>
  <si>
    <t>Padangu pagaminimo laikas</t>
  </si>
  <si>
    <t>Protektoriaus gylis mm (subjektyviai)</t>
  </si>
  <si>
    <t>Kiek sezonu tos pacios padangos buvo eksploatuojamos</t>
  </si>
  <si>
    <t>Padangu paskutinio keitimo data (nuo kada guli pas jus/ant automobilio)</t>
  </si>
  <si>
    <t>diskai</t>
  </si>
  <si>
    <t>masina</t>
  </si>
  <si>
    <t>valst numeriai</t>
  </si>
  <si>
    <t>komentarai</t>
  </si>
  <si>
    <t>einama saskaita</t>
  </si>
  <si>
    <t>kur ieskoti padangu</t>
  </si>
  <si>
    <t>buvusi saskaita</t>
  </si>
  <si>
    <t>STATUS</t>
  </si>
  <si>
    <t>Goodyear  ug ice 2   4mm</t>
  </si>
  <si>
    <t>ziema</t>
  </si>
  <si>
    <t>be</t>
  </si>
  <si>
    <t>skoda octavia</t>
  </si>
  <si>
    <t>JPF325</t>
  </si>
  <si>
    <t>IDE009586</t>
  </si>
  <si>
    <t>6 vidurys</t>
  </si>
  <si>
    <t>ok</t>
  </si>
  <si>
    <t>sava eskimo ice ir debica frigo</t>
  </si>
  <si>
    <t>ftp885</t>
  </si>
  <si>
    <t>11 virsus/pats virsus</t>
  </si>
  <si>
    <t>Hankook winter icept evo 2 suv</t>
  </si>
  <si>
    <t>r17 skarda</t>
  </si>
  <si>
    <t>IDE009651</t>
  </si>
  <si>
    <t>Po akva 6v</t>
  </si>
  <si>
    <t>Goodyear vector 4seasins cargo</t>
  </si>
  <si>
    <t>Renualt</t>
  </si>
  <si>
    <t>JGH197</t>
  </si>
  <si>
    <t>NAV</t>
  </si>
  <si>
    <t>po akva 9v</t>
  </si>
  <si>
    <t>1vnt. Sailun atrezzo zsrs</t>
  </si>
  <si>
    <t>vasara</t>
  </si>
  <si>
    <t>MTS273</t>
  </si>
  <si>
    <t>Tarp lango ir 1 stelazo</t>
  </si>
  <si>
    <t>Checked</t>
  </si>
  <si>
    <t>pasauga nuo 09/09/2025, Mingela atveze 1vnt.</t>
  </si>
  <si>
    <t>275/45 315/40r21</t>
  </si>
  <si>
    <t>Michelin pilot sport 4 suv</t>
  </si>
  <si>
    <t>porsche panamera</t>
  </si>
  <si>
    <t>MLG160</t>
  </si>
  <si>
    <t>iir dar pridet uz passata</t>
  </si>
  <si>
    <t>tik pasauga</t>
  </si>
  <si>
    <t>po namu 34</t>
  </si>
  <si>
    <t>IDE009585</t>
  </si>
  <si>
    <t>r17 lieti vw</t>
  </si>
  <si>
    <t>MND993</t>
  </si>
  <si>
    <t>3vnt pas mus 1vnt zapaske</t>
  </si>
  <si>
    <t>IDE009999</t>
  </si>
  <si>
    <t>tarp 15 ir 20 stelazo</t>
  </si>
  <si>
    <t>paeme klijentas</t>
  </si>
  <si>
    <t>Toyo proxes t1 sport</t>
  </si>
  <si>
    <t>r17 vw</t>
  </si>
  <si>
    <t>lah575</t>
  </si>
  <si>
    <t>Po namu 9v</t>
  </si>
  <si>
    <t>ismesta reikia nauju</t>
  </si>
  <si>
    <t>vw tiguan</t>
  </si>
  <si>
    <t>LSP085</t>
  </si>
  <si>
    <t>IDE010000</t>
  </si>
  <si>
    <t>15-16apacia</t>
  </si>
  <si>
    <t>265/45/295/40r20</t>
  </si>
  <si>
    <t>pirelli pzero (REIKIA NAUJU)</t>
  </si>
  <si>
    <t>porshe macan</t>
  </si>
  <si>
    <t>LPC732</t>
  </si>
  <si>
    <t>po namu 27eile</t>
  </si>
  <si>
    <t>NANKANG NOBLE SPORT NS20</t>
  </si>
  <si>
    <t>Toyota avensis</t>
  </si>
  <si>
    <t>KDV448</t>
  </si>
  <si>
    <t>IDE010065</t>
  </si>
  <si>
    <t>9 stopke nav</t>
  </si>
  <si>
    <t>BARUM vasara paeme</t>
  </si>
  <si>
    <t>matador hectorra 5</t>
  </si>
  <si>
    <t>LCN847</t>
  </si>
  <si>
    <t>14 virsus</t>
  </si>
  <si>
    <t>hankook winter i*pike rs</t>
  </si>
  <si>
    <t>opel astra</t>
  </si>
  <si>
    <t>goh423</t>
  </si>
  <si>
    <t>2 vidurys</t>
  </si>
  <si>
    <t>orium high performans</t>
  </si>
  <si>
    <t>VW Passat</t>
  </si>
  <si>
    <t xml:space="preserve"> KGF663</t>
  </si>
  <si>
    <t>Po namu 7v</t>
  </si>
  <si>
    <t>255/50r19 235/55r19</t>
  </si>
  <si>
    <t>dunlop ws5</t>
  </si>
  <si>
    <t>e-tron audi</t>
  </si>
  <si>
    <t>EB6430</t>
  </si>
  <si>
    <t>1stopke per viduri po namu</t>
  </si>
  <si>
    <t>yokohama bluEarth gt (reiketu nauju)</t>
  </si>
  <si>
    <t>vw caddy</t>
  </si>
  <si>
    <t>LNH421</t>
  </si>
  <si>
    <t>Po namu 5v</t>
  </si>
  <si>
    <t>hankook kinergy eco</t>
  </si>
  <si>
    <t>lej038</t>
  </si>
  <si>
    <t>uzdejom ant LNH421 05/06</t>
  </si>
  <si>
    <t>skoda</t>
  </si>
  <si>
    <t>LUU077</t>
  </si>
  <si>
    <t>Po namu 19</t>
  </si>
  <si>
    <t>ismesta</t>
  </si>
  <si>
    <t>VW Golf</t>
  </si>
  <si>
    <t>mpc433</t>
  </si>
  <si>
    <t>toyota avensis</t>
  </si>
  <si>
    <t>MES879</t>
  </si>
  <si>
    <t>po namu 2a per viduri</t>
  </si>
  <si>
    <t xml:space="preserve">Yokohama blueEarth A </t>
  </si>
  <si>
    <t>r16 vw</t>
  </si>
  <si>
    <t>caddy</t>
  </si>
  <si>
    <t>KUO039</t>
  </si>
  <si>
    <t>balansas+uzdeimas+disku pasauga?</t>
  </si>
  <si>
    <t>pasauga uo 07/08</t>
  </si>
  <si>
    <t>Muc689 reikia taip nudazyt ratus</t>
  </si>
  <si>
    <t xml:space="preserve">montazke+dazymas </t>
  </si>
  <si>
    <t xml:space="preserve">diamond cut merso ratai </t>
  </si>
  <si>
    <t>sneidaraitis</t>
  </si>
  <si>
    <t xml:space="preserve">goodyear ultra grip perf3 </t>
  </si>
  <si>
    <t>r21 audi</t>
  </si>
  <si>
    <t>Audi A6 NAV</t>
  </si>
  <si>
    <t xml:space="preserve">NBV088 </t>
  </si>
  <si>
    <t>1rat lyg</t>
  </si>
  <si>
    <t>po namu 9</t>
  </si>
  <si>
    <t>EA7733</t>
  </si>
  <si>
    <t>tik montazke r21</t>
  </si>
  <si>
    <t xml:space="preserve">Matador Dordicca </t>
  </si>
  <si>
    <t>r16 skoda</t>
  </si>
  <si>
    <t>skoda scala</t>
  </si>
  <si>
    <t>MCI119</t>
  </si>
  <si>
    <t>paskutine nav stopke</t>
  </si>
  <si>
    <t>sailun ice blazzer alpine +</t>
  </si>
  <si>
    <t>loy569</t>
  </si>
  <si>
    <t xml:space="preserve"> po namu 7 viduris desine</t>
  </si>
  <si>
    <t xml:space="preserve">175/70r14  </t>
  </si>
  <si>
    <t>sava eskimo s3+/eskimo ice</t>
  </si>
  <si>
    <t>vw polo</t>
  </si>
  <si>
    <t>mme069</t>
  </si>
  <si>
    <t>1 vidurys</t>
  </si>
  <si>
    <t>LEXUS</t>
  </si>
  <si>
    <t>JSO067</t>
  </si>
  <si>
    <t>montazke r20+rato klijavimas</t>
  </si>
  <si>
    <t>bridgestone blizzak lm005</t>
  </si>
  <si>
    <t>vw jetta</t>
  </si>
  <si>
    <t>kbd380 aai052</t>
  </si>
  <si>
    <t>pire moco arciau duru</t>
  </si>
  <si>
    <t>gbz546</t>
  </si>
  <si>
    <t>1 is kaires</t>
  </si>
  <si>
    <t>yokohamma advan winter 907 e+</t>
  </si>
  <si>
    <t>vw tayron</t>
  </si>
  <si>
    <t>NLP727</t>
  </si>
  <si>
    <t>po akva 1</t>
  </si>
  <si>
    <t>michelin x-ice north 4 suv</t>
  </si>
  <si>
    <t xml:space="preserve">skoda </t>
  </si>
  <si>
    <t>NIP818</t>
  </si>
  <si>
    <t>13 apacia</t>
  </si>
  <si>
    <t>yokohama ice guard ig60</t>
  </si>
  <si>
    <t>vw t-roc</t>
  </si>
  <si>
    <t>kjj455</t>
  </si>
  <si>
    <t xml:space="preserve">11 virsus /pats virsus </t>
  </si>
  <si>
    <t>295/30r21-245/35r20</t>
  </si>
  <si>
    <t>continental wintercontact ts 860 s</t>
  </si>
  <si>
    <t>porsche 911</t>
  </si>
  <si>
    <t>MRV992</t>
  </si>
  <si>
    <t>8-9 virsus</t>
  </si>
  <si>
    <t>debica frigo2,2+2, dvi 4mm</t>
  </si>
  <si>
    <t>peugeot partner</t>
  </si>
  <si>
    <t>MBL069</t>
  </si>
  <si>
    <t>prie moco kampe</t>
  </si>
  <si>
    <t>gripmaxx sure grip pro winter</t>
  </si>
  <si>
    <t>audi r20</t>
  </si>
  <si>
    <t>audi a7</t>
  </si>
  <si>
    <t>JJE064</t>
  </si>
  <si>
    <t>po akva 2</t>
  </si>
  <si>
    <t>skoda rapid</t>
  </si>
  <si>
    <t>kcz199</t>
  </si>
  <si>
    <t>17 apacia</t>
  </si>
  <si>
    <t xml:space="preserve">sava eskimo hp2 </t>
  </si>
  <si>
    <t>citroen berlingo</t>
  </si>
  <si>
    <t>moc069</t>
  </si>
  <si>
    <t>paskutine stopke nav</t>
  </si>
  <si>
    <t>pasauga nuo 10/20</t>
  </si>
  <si>
    <t>mbi069</t>
  </si>
  <si>
    <t>9 virsus</t>
  </si>
  <si>
    <t>ismesssta</t>
  </si>
  <si>
    <t>peugeot kablukas</t>
  </si>
  <si>
    <t>mbk690</t>
  </si>
  <si>
    <t>19 virsus</t>
  </si>
  <si>
    <t>hub746</t>
  </si>
  <si>
    <t>4 stopke nav</t>
  </si>
  <si>
    <t>LRL351</t>
  </si>
  <si>
    <t>virsus 14-15</t>
  </si>
  <si>
    <t>Volvo xc90</t>
  </si>
  <si>
    <t>Ec2885</t>
  </si>
  <si>
    <t>2 apacia</t>
  </si>
  <si>
    <t>235/55 255/50r19</t>
  </si>
  <si>
    <t>mb glc300e</t>
  </si>
  <si>
    <t>EB0307</t>
  </si>
  <si>
    <t xml:space="preserve">1 apacia </t>
  </si>
  <si>
    <t>rangerover velar</t>
  </si>
  <si>
    <t>hdd833</t>
  </si>
  <si>
    <t>3cia nuo galo</t>
  </si>
  <si>
    <t>Subaru</t>
  </si>
  <si>
    <t>MGN002</t>
  </si>
  <si>
    <t>21 pats virsus (2 ant stelazo 2sone pakabintos)</t>
  </si>
  <si>
    <t>vw golf</t>
  </si>
  <si>
    <t>LMZ867</t>
  </si>
  <si>
    <t>po akva 4</t>
  </si>
  <si>
    <t>volvo</t>
  </si>
  <si>
    <t>LAB800</t>
  </si>
  <si>
    <t>po namu 6v</t>
  </si>
  <si>
    <t>GENERAL winter 1vnt4mm tai reiketu nauju 2vnt</t>
  </si>
  <si>
    <t>bmw f30</t>
  </si>
  <si>
    <t>jpz855</t>
  </si>
  <si>
    <t>15-16 vidurys</t>
  </si>
  <si>
    <t>Nereus NS805+</t>
  </si>
  <si>
    <t>toyota corolla</t>
  </si>
  <si>
    <t>MFP690</t>
  </si>
  <si>
    <t>6 stopke nav</t>
  </si>
  <si>
    <t>r18 audi</t>
  </si>
  <si>
    <t>audi a6 avant</t>
  </si>
  <si>
    <t>mmi955</t>
  </si>
  <si>
    <t>4davikliai+rastafkes+varztai+daug gemaro</t>
  </si>
  <si>
    <t>8 is kaires</t>
  </si>
  <si>
    <t>yokohamma blue earth</t>
  </si>
  <si>
    <t>hyundai tuscon</t>
  </si>
  <si>
    <t>mub774</t>
  </si>
  <si>
    <t>1-2 stopke per viduri po namu</t>
  </si>
  <si>
    <t>goodyear ultragrip ice suv</t>
  </si>
  <si>
    <t>r18 juodi</t>
  </si>
  <si>
    <t>mercedes G kioskas</t>
  </si>
  <si>
    <t>MBI672</t>
  </si>
  <si>
    <t>po namu 2 v eile</t>
  </si>
  <si>
    <t>275/35 315/30r21</t>
  </si>
  <si>
    <t>po namu 36</t>
  </si>
  <si>
    <t>nokian snow proof 1</t>
  </si>
  <si>
    <t>tcross</t>
  </si>
  <si>
    <t>MOY385</t>
  </si>
  <si>
    <t>16-17  virsus kampe</t>
  </si>
  <si>
    <t>uniroyal winter expert</t>
  </si>
  <si>
    <t>mab136</t>
  </si>
  <si>
    <t>po namu 8v</t>
  </si>
  <si>
    <t>skoda kodiaq</t>
  </si>
  <si>
    <t>mbc727</t>
  </si>
  <si>
    <t>1 stopke nav</t>
  </si>
  <si>
    <t>285/40r21 255/35r21</t>
  </si>
  <si>
    <t>continental winter contact ts860s</t>
  </si>
  <si>
    <t>porsche macan</t>
  </si>
  <si>
    <t>EC1396</t>
  </si>
  <si>
    <t>21st po namu</t>
  </si>
  <si>
    <t>315/30+275/35r22</t>
  </si>
  <si>
    <t>bentley continentalGT</t>
  </si>
  <si>
    <t>MGO678</t>
  </si>
  <si>
    <t>18 vidurys/virsus</t>
  </si>
  <si>
    <t>hankook winter icept evo 3</t>
  </si>
  <si>
    <t>eet999</t>
  </si>
  <si>
    <t>6 is desines</t>
  </si>
  <si>
    <t>KRE232</t>
  </si>
  <si>
    <t>continental wintercontact ts 870</t>
  </si>
  <si>
    <t>jfb958</t>
  </si>
  <si>
    <t>5 stopke nav</t>
  </si>
  <si>
    <t>toyota r19</t>
  </si>
  <si>
    <t>toyota rav4</t>
  </si>
  <si>
    <t>KGK400</t>
  </si>
  <si>
    <t>bridgestone blizzak lm-80 evo</t>
  </si>
  <si>
    <t>maserati</t>
  </si>
  <si>
    <t>JOB365</t>
  </si>
  <si>
    <t>Po namu prie laiptu</t>
  </si>
  <si>
    <t>225/55r20 255/55r20</t>
  </si>
  <si>
    <t>hankook ion icept suv ev</t>
  </si>
  <si>
    <t>audi etron</t>
  </si>
  <si>
    <t>EC6278</t>
  </si>
  <si>
    <t>po akva 10v</t>
  </si>
  <si>
    <t>minicooper</t>
  </si>
  <si>
    <t>MJC455</t>
  </si>
  <si>
    <t>14-15vidurys 1vnt sale ant diksu</t>
  </si>
  <si>
    <t>conti ts850p 4-5mm</t>
  </si>
  <si>
    <t>audi q5</t>
  </si>
  <si>
    <t>KNM518</t>
  </si>
  <si>
    <t>3 apacia</t>
  </si>
  <si>
    <t>Gislaved euro frost 6</t>
  </si>
  <si>
    <t>LIN821</t>
  </si>
  <si>
    <t>2 virsus</t>
  </si>
  <si>
    <t>continental winter contact ts870p 2vnt reiketu nauju</t>
  </si>
  <si>
    <t>r20 audi</t>
  </si>
  <si>
    <t>audi q8</t>
  </si>
  <si>
    <t>MDY441</t>
  </si>
  <si>
    <t>Pireli ice zero</t>
  </si>
  <si>
    <t>r16 oxxo</t>
  </si>
  <si>
    <t>MUR197</t>
  </si>
  <si>
    <t>4 apacia</t>
  </si>
  <si>
    <t>rav4</t>
  </si>
  <si>
    <t>ejp525</t>
  </si>
  <si>
    <t>1 is desines</t>
  </si>
  <si>
    <t>275/40/245/45r19</t>
  </si>
  <si>
    <t>Good Year ug perf +</t>
  </si>
  <si>
    <t>mersedes S</t>
  </si>
  <si>
    <t>LSD020</t>
  </si>
  <si>
    <t>hankook  winter i*cept evo 3 x</t>
  </si>
  <si>
    <t>mercedes glc?</t>
  </si>
  <si>
    <t>lmj434</t>
  </si>
  <si>
    <t>nauji varztai 20vnt 40eur</t>
  </si>
  <si>
    <t>19-20 vidurys</t>
  </si>
  <si>
    <t>nav4 MPF899</t>
  </si>
  <si>
    <t>tik montazke</t>
  </si>
  <si>
    <t>toyo observe g3-ice</t>
  </si>
  <si>
    <t>Range Rover</t>
  </si>
  <si>
    <t>KUO040</t>
  </si>
  <si>
    <t>dunlop winter sport 5 suv</t>
  </si>
  <si>
    <t>r18 honda</t>
  </si>
  <si>
    <t>honda crv?</t>
  </si>
  <si>
    <t>NDM840</t>
  </si>
  <si>
    <t>Po namu 32</t>
  </si>
  <si>
    <t>tarp 10-11</t>
  </si>
  <si>
    <t>michelin pilot alpin 5suv</t>
  </si>
  <si>
    <t>landrover rangerover</t>
  </si>
  <si>
    <t>MRG919</t>
  </si>
  <si>
    <t>Po namu 27</t>
  </si>
  <si>
    <t>Pirelli winter scorpion 2</t>
  </si>
  <si>
    <t>AUDI Q7</t>
  </si>
  <si>
    <t>ed6477</t>
  </si>
  <si>
    <t>po namu prie laiptu</t>
  </si>
  <si>
    <t>Yokohama ice guard</t>
  </si>
  <si>
    <t>vw r20</t>
  </si>
  <si>
    <t>VW Tayron</t>
  </si>
  <si>
    <t>AIA044</t>
  </si>
  <si>
    <r>
      <rPr>
        <color rgb="FF1155CC"/>
        <u/>
      </rPr>
      <t>a.vainilavicius@nav.lt</t>
    </r>
  </si>
  <si>
    <t>po akva is desnes 12</t>
  </si>
  <si>
    <t>Pirelli scorpion</t>
  </si>
  <si>
    <t>Vasara</t>
  </si>
  <si>
    <t>Be</t>
  </si>
  <si>
    <t>VW TAYRON</t>
  </si>
  <si>
    <t>NAV aurimas</t>
  </si>
  <si>
    <t>po namu 15</t>
  </si>
  <si>
    <t>VW passat?</t>
  </si>
  <si>
    <t>KCV169</t>
  </si>
  <si>
    <t>po akva 5</t>
  </si>
  <si>
    <t>hankook winter icept  IZ2</t>
  </si>
  <si>
    <t>audi a5</t>
  </si>
  <si>
    <t>jcz505</t>
  </si>
  <si>
    <t>11-12 vidurys</t>
  </si>
  <si>
    <t>Continental winter contasc ts870p</t>
  </si>
  <si>
    <t>VW arteon</t>
  </si>
  <si>
    <t>LOA818</t>
  </si>
  <si>
    <t>7 is desines</t>
  </si>
  <si>
    <t>pirelli ice zero/debica frigo hp2</t>
  </si>
  <si>
    <t>MZD324</t>
  </si>
  <si>
    <t>3 stopke nav</t>
  </si>
  <si>
    <t>gripmaxx suregrip pro icex</t>
  </si>
  <si>
    <t>MRM800</t>
  </si>
  <si>
    <t>po akva prie kaires puses lango</t>
  </si>
  <si>
    <t>275/40-245/45 r20</t>
  </si>
  <si>
    <t>Triangle snow link</t>
  </si>
  <si>
    <t>bmw x4</t>
  </si>
  <si>
    <t>MHF009</t>
  </si>
  <si>
    <t>275/40 305/35r21</t>
  </si>
  <si>
    <t>su porsch org</t>
  </si>
  <si>
    <t>porsche cayene coupe</t>
  </si>
  <si>
    <t>mcv859</t>
  </si>
  <si>
    <t>1leidzia kazkuris?</t>
  </si>
  <si>
    <t>po namu 29eile</t>
  </si>
  <si>
    <t>continental winter contasc ts870p</t>
  </si>
  <si>
    <t>MRG541</t>
  </si>
  <si>
    <t>12-13 pats virsus</t>
  </si>
  <si>
    <t>lmz863</t>
  </si>
  <si>
    <t>yokohama blueearth winter v906 (dvi ismetimui)</t>
  </si>
  <si>
    <t>r16 skardos</t>
  </si>
  <si>
    <t>MBI363</t>
  </si>
  <si>
    <t>po namu 31 kampe</t>
  </si>
  <si>
    <t>LGV673</t>
  </si>
  <si>
    <t>11 vidurys</t>
  </si>
  <si>
    <t>r19merc</t>
  </si>
  <si>
    <t>mercedes glc 63amg</t>
  </si>
  <si>
    <t>MUC689</t>
  </si>
  <si>
    <t>nudazyti ratus</t>
  </si>
  <si>
    <t>Po akva 2v</t>
  </si>
  <si>
    <t>garaze dabar</t>
  </si>
  <si>
    <t>paeme</t>
  </si>
  <si>
    <t>r18 vw</t>
  </si>
  <si>
    <t>lcs303</t>
  </si>
  <si>
    <t>paeme 05/08</t>
  </si>
  <si>
    <t>225/40 255/40r18</t>
  </si>
  <si>
    <t>FRONWAY ICE POWER 868/FARROAD FRD79</t>
  </si>
  <si>
    <t>lexus is220d</t>
  </si>
  <si>
    <t>kfm272</t>
  </si>
  <si>
    <t>IMPERIAL snow dragon hp</t>
  </si>
  <si>
    <t xml:space="preserve">JEN809 </t>
  </si>
  <si>
    <t>VW passat</t>
  </si>
  <si>
    <t>12-13 virsus</t>
  </si>
  <si>
    <t>225/65R16C</t>
  </si>
  <si>
    <t>zmax icepioneer 989</t>
  </si>
  <si>
    <t>renault master</t>
  </si>
  <si>
    <t>MRB049</t>
  </si>
  <si>
    <t>11 apacia</t>
  </si>
  <si>
    <t>275/40r21-305/35r21</t>
  </si>
  <si>
    <t>Michelien pilot alpin 5 suv</t>
  </si>
  <si>
    <t>oem porsche</t>
  </si>
  <si>
    <t>porsche cayene</t>
  </si>
  <si>
    <t>LMZ555</t>
  </si>
  <si>
    <t>2 stopke nav</t>
  </si>
  <si>
    <t>kenda icetec</t>
  </si>
  <si>
    <t>vw</t>
  </si>
  <si>
    <t>mlg153</t>
  </si>
  <si>
    <t>po akva prie 1</t>
  </si>
  <si>
    <t>KENDA ICETEC</t>
  </si>
  <si>
    <t>prie garnuliu</t>
  </si>
  <si>
    <t>Yra dvi pasaugos sitos masinos (ziema ir vasara)</t>
  </si>
  <si>
    <t>UAB IDEA3</t>
  </si>
  <si>
    <t>Savininkas:</t>
  </si>
  <si>
    <t xml:space="preserve">UAB "Interlux" </t>
  </si>
  <si>
    <t>Aviečių g. 16, Vilnius</t>
  </si>
  <si>
    <t>Padangos paliktos saugojimui:</t>
  </si>
  <si>
    <t>Padangų dydžiai</t>
  </si>
  <si>
    <t>sava eskimo suv 2   1vnt</t>
  </si>
  <si>
    <t>palikau kaip zapaske</t>
  </si>
  <si>
    <t>16-17 pats virsus</t>
  </si>
  <si>
    <t xml:space="preserve">IDE007534 </t>
  </si>
  <si>
    <t>crafter</t>
  </si>
  <si>
    <t>jjd439</t>
  </si>
  <si>
    <t>prie duru</t>
  </si>
  <si>
    <t>265/60/18</t>
  </si>
  <si>
    <t>michelin latitude tour hp</t>
  </si>
  <si>
    <t>r18</t>
  </si>
  <si>
    <t>landrover discovery</t>
  </si>
  <si>
    <t>cez248</t>
  </si>
  <si>
    <t>IDE009604</t>
  </si>
  <si>
    <t>po namu 23stopke po namu</t>
  </si>
  <si>
    <t>2025--03-21</t>
  </si>
  <si>
    <t>Pirelli scorpion ice snow</t>
  </si>
  <si>
    <t>Ziema</t>
  </si>
  <si>
    <t>r18 mb</t>
  </si>
  <si>
    <t>mercedes gwagen</t>
  </si>
  <si>
    <t>MMI463</t>
  </si>
  <si>
    <t>laborama</t>
  </si>
  <si>
    <t>IDE009612</t>
  </si>
  <si>
    <t>po namu 20eile</t>
  </si>
  <si>
    <t>naujus varztus reikia uzsakyti</t>
  </si>
  <si>
    <t>JCB658</t>
  </si>
  <si>
    <t>interlux NT</t>
  </si>
  <si>
    <t>IDE009995</t>
  </si>
  <si>
    <t>IDE009609</t>
  </si>
  <si>
    <t>goodyear eff grip 2 suv</t>
  </si>
  <si>
    <t>tiguan</t>
  </si>
  <si>
    <t>JJO767</t>
  </si>
  <si>
    <t>labradon</t>
  </si>
  <si>
    <t>19 apacia</t>
  </si>
  <si>
    <t>IDE009590</t>
  </si>
  <si>
    <t>passat</t>
  </si>
  <si>
    <t>JJO202</t>
  </si>
  <si>
    <t>15 vidurys</t>
  </si>
  <si>
    <t>IDE009591</t>
  </si>
  <si>
    <t>IDE009982</t>
  </si>
  <si>
    <t>17apacia</t>
  </si>
  <si>
    <t>jsj805</t>
  </si>
  <si>
    <t>19 vidurys</t>
  </si>
  <si>
    <t>kuhmo ecsta ps71</t>
  </si>
  <si>
    <t>skoda kamiq</t>
  </si>
  <si>
    <t>MMS287</t>
  </si>
  <si>
    <t>5 is kaires</t>
  </si>
  <si>
    <t>yokohama blue earth winter v906</t>
  </si>
  <si>
    <t>mfv196</t>
  </si>
  <si>
    <t>22 apacia</t>
  </si>
  <si>
    <t>nokian hakkapeliitta r3 suv</t>
  </si>
  <si>
    <t>volvo v90 xc</t>
  </si>
  <si>
    <t>lth900</t>
  </si>
  <si>
    <t>migle.natkaite@multilab.lt</t>
  </si>
  <si>
    <t>22 virsus</t>
  </si>
  <si>
    <t>IDE009606</t>
  </si>
  <si>
    <t>reikia nauju</t>
  </si>
  <si>
    <t>vw crafter</t>
  </si>
  <si>
    <t>MPF542</t>
  </si>
  <si>
    <t>IDE009981</t>
  </si>
  <si>
    <t>37 stopke po namu</t>
  </si>
  <si>
    <t xml:space="preserve">debica frigo </t>
  </si>
  <si>
    <t>hjm294</t>
  </si>
  <si>
    <t>19-20pats virsus</t>
  </si>
  <si>
    <t>goodyear asym6</t>
  </si>
  <si>
    <t>LIR938</t>
  </si>
  <si>
    <t>Andrius Papartis</t>
  </si>
  <si>
    <t>multilabo</t>
  </si>
  <si>
    <t>po namu25</t>
  </si>
  <si>
    <t>r16 audi oem</t>
  </si>
  <si>
    <t>audi a6</t>
  </si>
  <si>
    <t>hpj757</t>
  </si>
  <si>
    <t>11 is desines</t>
  </si>
  <si>
    <t>michelin primacy 3</t>
  </si>
  <si>
    <t>peugeot rifter</t>
  </si>
  <si>
    <t>LHN694</t>
  </si>
  <si>
    <t>Ardeola, UAB</t>
  </si>
  <si>
    <t>IDE009994</t>
  </si>
  <si>
    <t>citroen cactus</t>
  </si>
  <si>
    <t>LJN921</t>
  </si>
  <si>
    <t>Ardeola</t>
  </si>
  <si>
    <t>Po namu prie 35 ir arciau laiptu</t>
  </si>
  <si>
    <t>goodyear ug perf gen1</t>
  </si>
  <si>
    <t>19vidurys apacia</t>
  </si>
  <si>
    <t>IDE009605</t>
  </si>
  <si>
    <t>Goodyear eagle f1 asymm6</t>
  </si>
  <si>
    <t>MB E220D 4matic</t>
  </si>
  <si>
    <t>KOD506</t>
  </si>
  <si>
    <t>SORMEDICA</t>
  </si>
  <si>
    <t>po akva prie platformos</t>
  </si>
  <si>
    <t>goodyear ultragrip artic 2 dygliai</t>
  </si>
  <si>
    <t>multivan</t>
  </si>
  <si>
    <t>htf127</t>
  </si>
  <si>
    <t>6-7 apacia</t>
  </si>
  <si>
    <t>goodyear ug artic 2 dyglai</t>
  </si>
  <si>
    <t>landcruiser</t>
  </si>
  <si>
    <t>hmu633</t>
  </si>
  <si>
    <t>petras</t>
  </si>
  <si>
    <t>prie 19-20</t>
  </si>
  <si>
    <t>IDE009996</t>
  </si>
  <si>
    <t xml:space="preserve">debica frigo hp2 </t>
  </si>
  <si>
    <t>MRG963</t>
  </si>
  <si>
    <t>16 apacia ir salia 19 stelazo</t>
  </si>
  <si>
    <t>hzu996</t>
  </si>
  <si>
    <t xml:space="preserve">virgis </t>
  </si>
  <si>
    <t>10 is desines</t>
  </si>
  <si>
    <t xml:space="preserve">yokohama blue yearth winter 906suv </t>
  </si>
  <si>
    <t>2 is desines</t>
  </si>
  <si>
    <t>mst864</t>
  </si>
  <si>
    <t>16-17 virsus/pats virsus ir prie 20</t>
  </si>
  <si>
    <t>goodyear ug9+, pavarge bet dar gali bandyt</t>
  </si>
  <si>
    <t>savaeskimo suv2</t>
  </si>
  <si>
    <t>hzu850</t>
  </si>
  <si>
    <t>6 is kaires</t>
  </si>
  <si>
    <t>naujos fulda</t>
  </si>
  <si>
    <t>kampe prie moco</t>
  </si>
  <si>
    <t>vidutines</t>
  </si>
  <si>
    <t>Yokohama blue earth winter v905 suv</t>
  </si>
  <si>
    <t>R18 oem lexus</t>
  </si>
  <si>
    <t>lexus rx</t>
  </si>
  <si>
    <t>1ratas leidzia</t>
  </si>
  <si>
    <t>dvi montazkas</t>
  </si>
  <si>
    <t>naujos hankook</t>
  </si>
  <si>
    <t>Po namu 13</t>
  </si>
  <si>
    <t xml:space="preserve">245/40r19 </t>
  </si>
  <si>
    <t>audi a4 allroad</t>
  </si>
  <si>
    <t>Mrr506</t>
  </si>
  <si>
    <t>9 is kaires</t>
  </si>
  <si>
    <t>235/60r19</t>
  </si>
  <si>
    <t>r19 lexus</t>
  </si>
  <si>
    <t>EC1389</t>
  </si>
  <si>
    <t>1ratas medvarztis</t>
  </si>
  <si>
    <t>7 is kaires</t>
  </si>
  <si>
    <t>kodiaq</t>
  </si>
  <si>
    <t>jst159</t>
  </si>
  <si>
    <t>13-14 vidurys</t>
  </si>
  <si>
    <t>ismesta, reikia nauju</t>
  </si>
  <si>
    <t>NGR792</t>
  </si>
  <si>
    <t>r17 toyota</t>
  </si>
  <si>
    <t>toyota proace</t>
  </si>
  <si>
    <t>LTP289</t>
  </si>
  <si>
    <t>virs laiptu</t>
  </si>
  <si>
    <t>Skoda octavia</t>
  </si>
  <si>
    <t>KZS360</t>
  </si>
  <si>
    <t>ardeola</t>
  </si>
  <si>
    <t>IDE010041</t>
  </si>
  <si>
    <t>maxtrek t7</t>
  </si>
  <si>
    <t>TOYOTA  chr</t>
  </si>
  <si>
    <t>NEB337</t>
  </si>
  <si>
    <t>genotipas</t>
  </si>
  <si>
    <t>Po namu 3</t>
  </si>
  <si>
    <t>IDE010042</t>
  </si>
  <si>
    <t>Nnm843</t>
  </si>
  <si>
    <t xml:space="preserve">IDE009810           </t>
  </si>
  <si>
    <t>hankook winter icept  evo 3x</t>
  </si>
  <si>
    <t>NAR684</t>
  </si>
  <si>
    <t>rusi prie moco 2</t>
  </si>
  <si>
    <t>Gislaved euro Frost 6</t>
  </si>
  <si>
    <t>LPV959</t>
  </si>
  <si>
    <t>tarp 4-5 stelazu</t>
  </si>
  <si>
    <t>jbd825</t>
  </si>
  <si>
    <t>6-7 virsus ir pats virsus</t>
  </si>
  <si>
    <t>lasa snowlays 4</t>
  </si>
  <si>
    <t>Audi a6</t>
  </si>
  <si>
    <t>NMV186</t>
  </si>
  <si>
    <t>Interlux</t>
  </si>
  <si>
    <t>nauja pasauga tik</t>
  </si>
  <si>
    <t>pasauga nuo 03/05</t>
  </si>
  <si>
    <t>Bridgestone blizzak lm 005</t>
  </si>
  <si>
    <t>Hyundai tucson</t>
  </si>
  <si>
    <t>MFP978</t>
  </si>
  <si>
    <t>po namu 5v</t>
  </si>
  <si>
    <t>pasauga nuo 11/07</t>
  </si>
  <si>
    <t>goodyear  ultragrip 9+</t>
  </si>
  <si>
    <t>JTR984</t>
  </si>
  <si>
    <t>19 palube pats virsus</t>
  </si>
  <si>
    <t>goodyaer ug ice suv gen1/sava intensa suv 2 1vnt</t>
  </si>
  <si>
    <t>touareg</t>
  </si>
  <si>
    <t>jdp573</t>
  </si>
  <si>
    <t>kazka sake kad reikalingas ratu dazymas</t>
  </si>
  <si>
    <t>Bimecc Bolt PS19D37-MW M14x1.5x37 19 mm Hex R14 1 pcs</t>
  </si>
  <si>
    <t>18 vidurys /apacia</t>
  </si>
  <si>
    <t>sailun ice blazzer alpine 5</t>
  </si>
  <si>
    <t>mrz199</t>
  </si>
  <si>
    <t>audi a4</t>
  </si>
  <si>
    <t>hgb400</t>
  </si>
  <si>
    <t>16-17 vidurys</t>
  </si>
  <si>
    <t>naujos sava</t>
  </si>
  <si>
    <t>be pasaugos</t>
  </si>
  <si>
    <t xml:space="preserve"> Skoda Yeti</t>
  </si>
  <si>
    <t>GUM361</t>
  </si>
  <si>
    <t>nabelita</t>
  </si>
  <si>
    <t>IDE009993</t>
  </si>
  <si>
    <t>sava eskimo hp2/debica frigo</t>
  </si>
  <si>
    <t>kjk255</t>
  </si>
  <si>
    <t>17-18 virsus</t>
  </si>
  <si>
    <t>goodyear ug perf 3 ismetimui</t>
  </si>
  <si>
    <t xml:space="preserve">reikai dazyti sake r17 mb </t>
  </si>
  <si>
    <t>mercedes viano</t>
  </si>
  <si>
    <t>jtr371</t>
  </si>
  <si>
    <t>Aivaras</t>
  </si>
  <si>
    <t>2naujos tos pacios</t>
  </si>
  <si>
    <t>7 stopke nav</t>
  </si>
  <si>
    <t>NAY794</t>
  </si>
  <si>
    <t>multilab ?</t>
  </si>
  <si>
    <t>Po namu 36</t>
  </si>
  <si>
    <t>audi q3</t>
  </si>
  <si>
    <t>hug003</t>
  </si>
  <si>
    <t>2 is kaires</t>
  </si>
  <si>
    <t>sava eskimo suv2</t>
  </si>
  <si>
    <t>LSG364</t>
  </si>
  <si>
    <t>12-13 apacia</t>
  </si>
  <si>
    <t>po namu 9v</t>
  </si>
  <si>
    <t>sava eskimo hp2 (2vnt krastai laiptuoti ir suvazineti)</t>
  </si>
  <si>
    <t>naujos debica</t>
  </si>
  <si>
    <t>tarp 4 ir 5</t>
  </si>
  <si>
    <t>fulda kristall control hp 2</t>
  </si>
  <si>
    <t>passat cc</t>
  </si>
  <si>
    <t>hbv909</t>
  </si>
  <si>
    <t xml:space="preserve">hba652 </t>
  </si>
  <si>
    <t>reikia nauju varztu</t>
  </si>
  <si>
    <t>14-15apacia</t>
  </si>
  <si>
    <t>MOH185</t>
  </si>
  <si>
    <t xml:space="preserve">po namu 10 </t>
  </si>
  <si>
    <t>Yokohama advan winter v907</t>
  </si>
  <si>
    <t>LIJ527</t>
  </si>
  <si>
    <t>naujos yoko</t>
  </si>
  <si>
    <t>po namu prie laptu</t>
  </si>
  <si>
    <t>mur145</t>
  </si>
  <si>
    <t>skirmantas</t>
  </si>
  <si>
    <t>4 virsus</t>
  </si>
  <si>
    <t>bridgestone blizzak dm v2</t>
  </si>
  <si>
    <t>subaru outback</t>
  </si>
  <si>
    <t>KSP277</t>
  </si>
  <si>
    <t>Po namu prie 35</t>
  </si>
  <si>
    <t>yokohama blueearth winter v906</t>
  </si>
  <si>
    <t>KUL925</t>
  </si>
  <si>
    <t>prie 21,stopkeje</t>
  </si>
  <si>
    <t>yokohama advan winter e+</t>
  </si>
  <si>
    <t xml:space="preserve"> be</t>
  </si>
  <si>
    <t>subaru forster e-boxter</t>
  </si>
  <si>
    <t>NYJ079</t>
  </si>
  <si>
    <t>fulda kristall control HP 2</t>
  </si>
  <si>
    <t>cupra Formentor</t>
  </si>
  <si>
    <t>NJC481</t>
  </si>
  <si>
    <t>naujos padangos</t>
  </si>
  <si>
    <t>12 vidurys</t>
  </si>
  <si>
    <t>vidutiniu</t>
  </si>
  <si>
    <t>cereska ricardas</t>
  </si>
  <si>
    <t>8-9 apacia</t>
  </si>
  <si>
    <t>yokoham blue earth winter v905</t>
  </si>
  <si>
    <t>seat ateca</t>
  </si>
  <si>
    <t>MCT673</t>
  </si>
  <si>
    <t>Justyna Mažul</t>
  </si>
  <si>
    <t>po namu 3v</t>
  </si>
  <si>
    <t>goodyear ug ice3 2vnt ant ribotuvo</t>
  </si>
  <si>
    <t>MSB723</t>
  </si>
  <si>
    <t>14 apacia</t>
  </si>
  <si>
    <t>JJE670</t>
  </si>
  <si>
    <t>13-14 virsus</t>
  </si>
  <si>
    <t>r20 vw org</t>
  </si>
  <si>
    <t>toureg</t>
  </si>
  <si>
    <t>MIB324</t>
  </si>
  <si>
    <t>Alenas Backis</t>
  </si>
  <si>
    <t>po namu 22</t>
  </si>
  <si>
    <t>paeme nav 05/21</t>
  </si>
  <si>
    <t>goodyear ug ice3 (1vnt klijuoti reikia)</t>
  </si>
  <si>
    <t>hzu967</t>
  </si>
  <si>
    <t>5 vidurys</t>
  </si>
  <si>
    <t>kuhmo winter craft</t>
  </si>
  <si>
    <t>huo449</t>
  </si>
  <si>
    <t>po akva 9</t>
  </si>
  <si>
    <t>205/65r16c (3vnt)</t>
  </si>
  <si>
    <t xml:space="preserve">Viking </t>
  </si>
  <si>
    <t>vw transporter</t>
  </si>
  <si>
    <t>FOS614</t>
  </si>
  <si>
    <t>INTERLUX</t>
  </si>
  <si>
    <t>Tipas</t>
  </si>
  <si>
    <t>235/35 ir 265/30r19</t>
  </si>
  <si>
    <t>tudor ir acceiera</t>
  </si>
  <si>
    <t>bmw 530d</t>
  </si>
  <si>
    <t>LMJ241</t>
  </si>
  <si>
    <t>Arunas Gliaudelis GL</t>
  </si>
  <si>
    <t>nemoketa tik uz pasauga 2022-10-23</t>
  </si>
  <si>
    <t>neber-2022-07-12</t>
  </si>
  <si>
    <t>neber pasieme</t>
  </si>
  <si>
    <t>hhv517</t>
  </si>
  <si>
    <t>2022-04 skola</t>
  </si>
  <si>
    <t>be eiles  2021-11men</t>
  </si>
  <si>
    <t>bmw 5</t>
  </si>
  <si>
    <t>lsy255</t>
  </si>
  <si>
    <t>Marius Kebla Gintare Zarskiene g.jarosaite@gmail.com</t>
  </si>
  <si>
    <t>IDE007783</t>
  </si>
  <si>
    <t>1-2apacia</t>
  </si>
  <si>
    <t>vardas pavarde</t>
  </si>
  <si>
    <t>vw troc</t>
  </si>
  <si>
    <t>LZH943</t>
  </si>
  <si>
    <t>Agnius Alperavicius nuo mingelos</t>
  </si>
  <si>
    <t>skola 25eur nuo 2023-10-18 +40eur uz opel skola</t>
  </si>
  <si>
    <t>14-15 apacia</t>
  </si>
  <si>
    <t>goodyear ir zeta</t>
  </si>
  <si>
    <t>r14 skarda</t>
  </si>
  <si>
    <t>abt207</t>
  </si>
  <si>
    <t>naujos padangos 2023-11-21 montazke hemarojus, su pasauga</t>
  </si>
  <si>
    <t>po namu salia5-6 vidurio stopkes</t>
  </si>
  <si>
    <t>nemokejo 2023-04  nemokejo 2022-11</t>
  </si>
  <si>
    <t>2024-04 pradzia</t>
  </si>
  <si>
    <t>lup250</t>
  </si>
  <si>
    <t>pasieme tik 2024-11-15</t>
  </si>
  <si>
    <t>po namu 4 eile</t>
  </si>
  <si>
    <t>skola 2024-05-10 montazke ir pasauga</t>
  </si>
  <si>
    <t>2023-11-09 skola tik montazke</t>
  </si>
  <si>
    <t>skola vel 2023-04.01</t>
  </si>
  <si>
    <t>be eiles 2022-04-14</t>
  </si>
  <si>
    <t>neber 1vnt</t>
  </si>
  <si>
    <t>nieko nebuvo 2024-05</t>
  </si>
  <si>
    <t>po namu 5/6eile</t>
  </si>
  <si>
    <t>neber padngos 2023-11</t>
  </si>
  <si>
    <t>montaz nauju r18-2vnt</t>
  </si>
  <si>
    <t>gislaved euro frost 6 1vnt</t>
  </si>
  <si>
    <t>toyota aygo</t>
  </si>
  <si>
    <t>hjp213</t>
  </si>
  <si>
    <t>Regina darbu saugos projektai mejus dspro</t>
  </si>
  <si>
    <t>prie 20 stelazo</t>
  </si>
  <si>
    <t>2024-09 pradzia</t>
  </si>
  <si>
    <t>jaguar fpace</t>
  </si>
  <si>
    <t>joo933</t>
  </si>
  <si>
    <t>IDE009415</t>
  </si>
  <si>
    <t>po akva 3</t>
  </si>
  <si>
    <t>lgz348</t>
  </si>
  <si>
    <t>antonas mejus regina orlova</t>
  </si>
  <si>
    <t>IDE009397</t>
  </si>
  <si>
    <t>8 is desines</t>
  </si>
  <si>
    <t>fiat 500x</t>
  </si>
  <si>
    <t>KMZ814</t>
  </si>
  <si>
    <t>2024-11-15 montazke su pasauga</t>
  </si>
  <si>
    <t>PAEME 2025-02-19 11:00</t>
  </si>
  <si>
    <t>nemokejo 2024-04-29</t>
  </si>
  <si>
    <t>2023-11-01 priority montaz su pasauga</t>
  </si>
  <si>
    <t>skola 2023-05-02, montazke su pasauga</t>
  </si>
  <si>
    <t>285/35r21-325/30r21</t>
  </si>
  <si>
    <t>Hankook ventus s1 evo3 suv</t>
  </si>
  <si>
    <t>r20 bmw</t>
  </si>
  <si>
    <t>bmw x5</t>
  </si>
  <si>
    <t>LOO050</t>
  </si>
  <si>
    <t xml:space="preserve">tadas mirono brolis lechovicius </t>
  </si>
  <si>
    <t>po namu 25</t>
  </si>
  <si>
    <t>r19 vw</t>
  </si>
  <si>
    <t>vw touareg</t>
  </si>
  <si>
    <t>IDE009364</t>
  </si>
  <si>
    <t>po akva namie</t>
  </si>
  <si>
    <t>pasieme 2026-05-18 ?</t>
  </si>
  <si>
    <t>volvo xc90</t>
  </si>
  <si>
    <t>MCS611</t>
  </si>
  <si>
    <t>Aleksandr kasinskyj</t>
  </si>
  <si>
    <t>prie laiptu</t>
  </si>
  <si>
    <t>Viena paliko vasarine 235/55r19 EffGrip 2 Suv</t>
  </si>
  <si>
    <t>275/35 245/40r19</t>
  </si>
  <si>
    <t>naujos gy sandelyje asymm6</t>
  </si>
  <si>
    <t>bmw 5e</t>
  </si>
  <si>
    <t>EV9840</t>
  </si>
  <si>
    <t>8 stopke is kaires</t>
  </si>
  <si>
    <t>jgs184</t>
  </si>
  <si>
    <t>vw jetta GLI</t>
  </si>
  <si>
    <t>goodyear eagle f1 asymetric 6</t>
  </si>
  <si>
    <t>ioniq5 N</t>
  </si>
  <si>
    <t>ec3407</t>
  </si>
  <si>
    <t>prie moco (priekinio rato)</t>
  </si>
  <si>
    <t>2025-09-</t>
  </si>
  <si>
    <t>jrl708</t>
  </si>
  <si>
    <t>3 vidurys</t>
  </si>
  <si>
    <t xml:space="preserve">goodyear eff grip perf2 </t>
  </si>
  <si>
    <t>skoda oktavia</t>
  </si>
  <si>
    <t>DFH563</t>
  </si>
  <si>
    <t>rimas100@gmail.com</t>
  </si>
  <si>
    <t xml:space="preserve">stopke prie 18 stelazo </t>
  </si>
  <si>
    <t>265/35r20/325/30r21</t>
  </si>
  <si>
    <t>michelin pilot sport cup2r</t>
  </si>
  <si>
    <t>911 gt3rs</t>
  </si>
  <si>
    <t>LDJ911</t>
  </si>
  <si>
    <t>IDE010030</t>
  </si>
  <si>
    <t>po namu 8</t>
  </si>
  <si>
    <t>continental premium contact 6 mov</t>
  </si>
  <si>
    <t>mersas viano</t>
  </si>
  <si>
    <t>NCN404</t>
  </si>
  <si>
    <t>IDE009698</t>
  </si>
  <si>
    <t>jgt960</t>
  </si>
  <si>
    <t>Vilma Tauraite</t>
  </si>
  <si>
    <t>po namu 17eile</t>
  </si>
  <si>
    <t>opel crossland</t>
  </si>
  <si>
    <t>MJP684</t>
  </si>
  <si>
    <t>i.chervotkin@norameda.com krasuckis</t>
  </si>
  <si>
    <t>po akva 4-5</t>
  </si>
  <si>
    <t>reik nauju vasarai</t>
  </si>
  <si>
    <t>hankook kinergy eco2</t>
  </si>
  <si>
    <t>LAR813 LCU925</t>
  </si>
  <si>
    <t>kia ceed</t>
  </si>
  <si>
    <t>tadas mirono brolis 2020spalis</t>
  </si>
  <si>
    <t>IDE009775, skola pasauga bbz kada</t>
  </si>
  <si>
    <t>paeme su savim</t>
  </si>
  <si>
    <t>r19 seat</t>
  </si>
  <si>
    <t>MGL527</t>
  </si>
  <si>
    <t>dunlop sp sport maxx 050</t>
  </si>
  <si>
    <t>toyota highlander</t>
  </si>
  <si>
    <t>MPY402</t>
  </si>
  <si>
    <t>aleksas abromavicius alexabro8@gmail.com</t>
  </si>
  <si>
    <t>IDE010031</t>
  </si>
  <si>
    <t>po namu 30stopke kampe</t>
  </si>
  <si>
    <t>kia ev6</t>
  </si>
  <si>
    <t>EB6591</t>
  </si>
  <si>
    <t>po namu 5eile</t>
  </si>
  <si>
    <t>reikia nauju vasariniu</t>
  </si>
  <si>
    <t>ed1151</t>
  </si>
  <si>
    <t>Augis Kuperman</t>
  </si>
  <si>
    <t>yokohama advan sport v107</t>
  </si>
  <si>
    <t>bmw 530i</t>
  </si>
  <si>
    <t>NJV013</t>
  </si>
  <si>
    <t>bridgestone blizzak lm</t>
  </si>
  <si>
    <t xml:space="preserve">ziema </t>
  </si>
  <si>
    <t>SKODA</t>
  </si>
  <si>
    <t>MCE928</t>
  </si>
  <si>
    <r>
      <rPr/>
      <t xml:space="preserve">Gintare Jokubauskaite </t>
    </r>
    <r>
      <rPr>
        <color rgb="FF1155CC"/>
        <u/>
      </rPr>
      <t>pigu.lt</t>
    </r>
    <r>
      <rPr/>
      <t xml:space="preserve"> airbog</t>
    </r>
  </si>
  <si>
    <t>IDE009863</t>
  </si>
  <si>
    <t>hankook ventus s1 evo 3 ev</t>
  </si>
  <si>
    <t>hyundai ioniq6</t>
  </si>
  <si>
    <t>EC0951</t>
  </si>
  <si>
    <t>rimantas kuliesius</t>
  </si>
  <si>
    <t>4vnt langu+ikea krovimas5eur+dviratukas421eur</t>
  </si>
  <si>
    <t>prie moco</t>
  </si>
  <si>
    <t>bridgestone turanza T001</t>
  </si>
  <si>
    <t xml:space="preserve">KJJ600 </t>
  </si>
  <si>
    <t>Elena Martinonienė emarti@email.lt</t>
  </si>
  <si>
    <t>IDE009900</t>
  </si>
  <si>
    <t>po namu po akva 9</t>
  </si>
  <si>
    <t>MET805</t>
  </si>
  <si>
    <t>toyota chr</t>
  </si>
  <si>
    <t>Dovydas Remeika</t>
  </si>
  <si>
    <t>8-9 vidurys</t>
  </si>
  <si>
    <t>235/50R19</t>
  </si>
  <si>
    <t>yokohama bluearth winter v905</t>
  </si>
  <si>
    <t>NES936</t>
  </si>
  <si>
    <t>HYUNDAI TUSCON</t>
  </si>
  <si>
    <t>Jovita Kumštytė norameda  justas krasuckis</t>
  </si>
  <si>
    <t>priority IDE009955</t>
  </si>
  <si>
    <t>Po namu 5</t>
  </si>
  <si>
    <t>225/40-255/35r18</t>
  </si>
  <si>
    <t>nexen winguar sport /sport 2 (reikia nauju)</t>
  </si>
  <si>
    <t>r18 lexus</t>
  </si>
  <si>
    <t>lexus i300h</t>
  </si>
  <si>
    <t>LGF555</t>
  </si>
  <si>
    <t>Giedre Soloveičikiene marijus kebla</t>
  </si>
  <si>
    <t>Vasarai tiks, sonai sudrozti, 5/6mm</t>
  </si>
  <si>
    <t>sava intena uhp2</t>
  </si>
  <si>
    <t>gea924</t>
  </si>
  <si>
    <t>adomas soblinskas gubertas trubila</t>
  </si>
  <si>
    <t>MNL015</t>
  </si>
  <si>
    <t>skoda octavia rs</t>
  </si>
  <si>
    <t>dovydas diktaras insitus martynas</t>
  </si>
  <si>
    <t>11-12 apacia</t>
  </si>
  <si>
    <t>reikia uzklijuoti padanga, leidzia per sniura</t>
  </si>
  <si>
    <t>bridgestone alenza h/l33</t>
  </si>
  <si>
    <t>CHG444</t>
  </si>
  <si>
    <t>priority 2025/11</t>
  </si>
  <si>
    <t>priespaskutine is kaires</t>
  </si>
  <si>
    <t>IDE009624</t>
  </si>
  <si>
    <t>MAA851</t>
  </si>
  <si>
    <t>Toyota rav4</t>
  </si>
  <si>
    <t>Mantvydas Jasinskas</t>
  </si>
  <si>
    <t>IDE010040</t>
  </si>
  <si>
    <t xml:space="preserve">toyo nanoenergy 3 </t>
  </si>
  <si>
    <t>fbr193</t>
  </si>
  <si>
    <t>toyota yaris</t>
  </si>
  <si>
    <t>9stopke po namu</t>
  </si>
  <si>
    <t>205/55r16 3vnt</t>
  </si>
  <si>
    <t xml:space="preserve">sava intensa hp2 </t>
  </si>
  <si>
    <t xml:space="preserve">vw golf </t>
  </si>
  <si>
    <t>LUR379</t>
  </si>
  <si>
    <t>tomas naruskevic tevas</t>
  </si>
  <si>
    <t>sava intensa hp2 reikia 2vnt nauju</t>
  </si>
  <si>
    <t>ford transit lykr</t>
  </si>
  <si>
    <t>lfu484</t>
  </si>
  <si>
    <t>22 vidurys</t>
  </si>
  <si>
    <t>225/50r17 205/55</t>
  </si>
  <si>
    <t>pirelli powercy NEKAZKA</t>
  </si>
  <si>
    <t>c350 mersas</t>
  </si>
  <si>
    <t>ev3599</t>
  </si>
  <si>
    <t>16 kampe</t>
  </si>
  <si>
    <t>MZL498</t>
  </si>
  <si>
    <t>insitus Vitalijus Belousovas</t>
  </si>
  <si>
    <t>dunlop sport maxx rt2</t>
  </si>
  <si>
    <t>MYP658</t>
  </si>
  <si>
    <t xml:space="preserve">lexus </t>
  </si>
  <si>
    <t>r15 no2 nitro</t>
  </si>
  <si>
    <t>fdu366</t>
  </si>
  <si>
    <t>sumokejo 80eur</t>
  </si>
  <si>
    <t>4 is kaires</t>
  </si>
  <si>
    <t>275/30r19 245/35r19</t>
  </si>
  <si>
    <t>ROCKBLADE Rock 525</t>
  </si>
  <si>
    <t>Arunas Gliaudelis GL kristina</t>
  </si>
  <si>
    <t>MND195</t>
  </si>
  <si>
    <t>Vitalijus Belousovas martynas insitus</t>
  </si>
  <si>
    <t>skola 15eur,dave 90eur (buvo priority)</t>
  </si>
  <si>
    <t>gy efg SUV</t>
  </si>
  <si>
    <t>r17 ford</t>
  </si>
  <si>
    <t>ford galaxy</t>
  </si>
  <si>
    <t xml:space="preserve">les677 </t>
  </si>
  <si>
    <t>pavel zagzin</t>
  </si>
  <si>
    <t>sumokejo 85eur</t>
  </si>
  <si>
    <t>prie 21stelazo</t>
  </si>
  <si>
    <t>skoda kamik</t>
  </si>
  <si>
    <t>lme716</t>
  </si>
  <si>
    <t>Mykolas Maciulis</t>
  </si>
  <si>
    <t>IDE009871</t>
  </si>
  <si>
    <t>po namu 2v stopke</t>
  </si>
  <si>
    <t>ec2458</t>
  </si>
  <si>
    <t>20 po namu</t>
  </si>
  <si>
    <t>mishelin primasy 3</t>
  </si>
  <si>
    <t>Ford Focus</t>
  </si>
  <si>
    <t>jhh884</t>
  </si>
  <si>
    <t>Neringa Latkauskienė</t>
  </si>
  <si>
    <t>IDE009799</t>
  </si>
  <si>
    <t>21-22   vidurys</t>
  </si>
  <si>
    <t>sunny comfort np118</t>
  </si>
  <si>
    <t>r15 toyota</t>
  </si>
  <si>
    <t>LTK725 JMT048</t>
  </si>
  <si>
    <t>antonas mejus inga@dspro.lt</t>
  </si>
  <si>
    <t>priority  IDE010024</t>
  </si>
  <si>
    <t>po namu 5 vidury</t>
  </si>
  <si>
    <t>pirelli pzero 1vnt</t>
  </si>
  <si>
    <t>EA3011</t>
  </si>
  <si>
    <t>bmw x5e</t>
  </si>
  <si>
    <t>Ernestas Sapalas</t>
  </si>
  <si>
    <t>skola 2025-11 5pcs langu skyscio+montazke r21+pasauga 1vnt</t>
  </si>
  <si>
    <t>1vnt</t>
  </si>
  <si>
    <t>r18 audi org</t>
  </si>
  <si>
    <t>jcp141</t>
  </si>
  <si>
    <t>Donatas Statulevicius donatas.statulevicius@gmail.com</t>
  </si>
  <si>
    <t xml:space="preserve">sumokejo 80e   </t>
  </si>
  <si>
    <t>michelin e primacy</t>
  </si>
  <si>
    <t>Nge028</t>
  </si>
  <si>
    <t>peugeot 5008</t>
  </si>
  <si>
    <t>skola 2025-11</t>
  </si>
  <si>
    <t>Po namu 37</t>
  </si>
  <si>
    <t>contisportcontact 7 nekazka</t>
  </si>
  <si>
    <t>bmw m3</t>
  </si>
  <si>
    <t>UPS696</t>
  </si>
  <si>
    <t>IDE009989    ISMEST</t>
  </si>
  <si>
    <t>po namu po akva prie lango</t>
  </si>
  <si>
    <t>pirelli pzero corsa</t>
  </si>
  <si>
    <t>po namu 2</t>
  </si>
  <si>
    <t>VW Touareg</t>
  </si>
  <si>
    <t>KI4766</t>
  </si>
  <si>
    <t>Adomas Ginevičius</t>
  </si>
  <si>
    <t>nauja pasauga</t>
  </si>
  <si>
    <t>goodyear ug ice 2+</t>
  </si>
  <si>
    <t>r19</t>
  </si>
  <si>
    <t>audi rs5</t>
  </si>
  <si>
    <t>MYR729</t>
  </si>
  <si>
    <t>Raimond Stefanovic</t>
  </si>
  <si>
    <t>ratu keitimas 2026-01-06</t>
  </si>
  <si>
    <t>namie,po akva kampe</t>
  </si>
  <si>
    <t>IDE009478 2025-04</t>
  </si>
  <si>
    <t>275/35r20 245/40r20</t>
  </si>
  <si>
    <t>hankook ventus s1 evo3</t>
  </si>
  <si>
    <t>bmw 7</t>
  </si>
  <si>
    <t>LJZ253</t>
  </si>
  <si>
    <t>Kazimieras Lukauskas</t>
  </si>
  <si>
    <t>skola 2024-11</t>
  </si>
  <si>
    <t>po namu salia 33eile</t>
  </si>
  <si>
    <t>IDE009620</t>
  </si>
  <si>
    <t>yokohama bluearth winter v906 suv</t>
  </si>
  <si>
    <t>LZS302</t>
  </si>
  <si>
    <t>Valdas Ustinovicius</t>
  </si>
  <si>
    <t>po akva 1v</t>
  </si>
  <si>
    <t>235/50r19c</t>
  </si>
  <si>
    <t>Goodyear effGrip cargo 2</t>
  </si>
  <si>
    <t>NMM535</t>
  </si>
  <si>
    <t>Ford transit</t>
  </si>
  <si>
    <t>Tadas Mirono brolis</t>
  </si>
  <si>
    <t>po moco 6</t>
  </si>
  <si>
    <t>goodyear eagle f1 suv 4x4</t>
  </si>
  <si>
    <t>rangerover sport</t>
  </si>
  <si>
    <t>MHH699</t>
  </si>
  <si>
    <t>Augis Kuperman augis@tova.lt ignas@tova.lt</t>
  </si>
  <si>
    <t>5 is desines</t>
  </si>
  <si>
    <t>IDE009614 reik varztu nauju</t>
  </si>
  <si>
    <t>dunlop ws5 2vnt ismetimui</t>
  </si>
  <si>
    <t>LGJ661</t>
  </si>
  <si>
    <t>skola 2026-01</t>
  </si>
  <si>
    <t>pasauga muo 01/12</t>
  </si>
  <si>
    <t>245/35r20 cup2 1vnt</t>
  </si>
  <si>
    <t>michelin cup2  1vnt</t>
  </si>
  <si>
    <t>Porsche gt3rs</t>
  </si>
  <si>
    <t>Donatas Jucius Diverus</t>
  </si>
  <si>
    <t>namie rusyje, 14eil</t>
  </si>
  <si>
    <t>265/35r20 cup2 2vnt</t>
  </si>
  <si>
    <t>michelin cup2  2vnt</t>
  </si>
  <si>
    <t>14eile 2vnt</t>
  </si>
  <si>
    <t>325/30r21 cup2 3vnt</t>
  </si>
  <si>
    <t>michelin cup2  3vnt</t>
  </si>
  <si>
    <t>namie rusyje  14eil</t>
  </si>
  <si>
    <t>14eile</t>
  </si>
  <si>
    <t>Toyo</t>
  </si>
  <si>
    <t>SKODA FABIA</t>
  </si>
  <si>
    <t>LFI168</t>
  </si>
  <si>
    <t>Valdas Fedianinas</t>
  </si>
  <si>
    <t>po akva 10</t>
  </si>
  <si>
    <t>255/45-265/45r20</t>
  </si>
  <si>
    <t>Michelin pilot spor 4 suv</t>
  </si>
  <si>
    <t>BMW X3M</t>
  </si>
  <si>
    <t>NSJ827</t>
  </si>
  <si>
    <t>po akva prie lango arti 1st</t>
  </si>
  <si>
    <t>goodyaer ultra grip perf3</t>
  </si>
  <si>
    <t>Porsche Cayene</t>
  </si>
  <si>
    <t>hnn004</t>
  </si>
  <si>
    <t>Giedrius Frankas</t>
  </si>
  <si>
    <t>IDE010078</t>
  </si>
  <si>
    <t>po namu 31</t>
  </si>
  <si>
    <t>farroad far79</t>
  </si>
  <si>
    <t>r20 MAK</t>
  </si>
  <si>
    <t>VOLVO XC90</t>
  </si>
  <si>
    <t>MGH199</t>
  </si>
  <si>
    <t>Stebink UAB aurimas baltusis</t>
  </si>
  <si>
    <t>Po akva 3v</t>
  </si>
  <si>
    <t>245/35r19 5vnt vienas kreivas</t>
  </si>
  <si>
    <t>r19 oem</t>
  </si>
  <si>
    <t>lus696</t>
  </si>
  <si>
    <t>2026-03-23skola, 4 ratai lyginti ar kiek ?</t>
  </si>
  <si>
    <t xml:space="preserve">2025-11-12 skola </t>
  </si>
  <si>
    <t>2025-04-25+naujos padangos</t>
  </si>
  <si>
    <t>skola 2024-11-05 priority</t>
  </si>
  <si>
    <t>skola 2024-04-11</t>
  </si>
  <si>
    <t>skola pasauga tik 2023-12</t>
  </si>
  <si>
    <t>sailun ice blazzer alpine evo1</t>
  </si>
  <si>
    <t>bmw e91</t>
  </si>
  <si>
    <t>Deividas Vileniskis  dada</t>
  </si>
  <si>
    <t>prie granuliu</t>
  </si>
  <si>
    <t>michelin latotude alpine</t>
  </si>
  <si>
    <t>meercedes gle</t>
  </si>
  <si>
    <t>jsj804</t>
  </si>
  <si>
    <t>Voldemaras Kallo bms tech</t>
  </si>
  <si>
    <t>8 stopke nav</t>
  </si>
  <si>
    <t>IDE010038</t>
  </si>
  <si>
    <t>goodyaer ultra grip perf+ (reiketu 2vnt nauju)</t>
  </si>
  <si>
    <t>bmw 540i</t>
  </si>
  <si>
    <t>fzh012</t>
  </si>
  <si>
    <t>4-5 kampe</t>
  </si>
  <si>
    <t>goodyear ultra grip perf 3</t>
  </si>
  <si>
    <t>suvedimas 60+pvm + padangu montaz</t>
  </si>
  <si>
    <t>IDE009802</t>
  </si>
  <si>
    <t>245/40 r19</t>
  </si>
  <si>
    <t>dunlop winter sport 5</t>
  </si>
  <si>
    <t>r19 MAK</t>
  </si>
  <si>
    <t>mercedes e53</t>
  </si>
  <si>
    <t>NCN053</t>
  </si>
  <si>
    <t>tadas jonaitis</t>
  </si>
  <si>
    <t>245/35r20 305/30r21</t>
  </si>
  <si>
    <t>pirelli p zero winter</t>
  </si>
  <si>
    <t>Porsche 911</t>
  </si>
  <si>
    <t>MVI522</t>
  </si>
  <si>
    <t>Jonas Kneita jkneita@gmail.com</t>
  </si>
  <si>
    <t>Prie granuliu</t>
  </si>
  <si>
    <t>sava eskimo s3 +</t>
  </si>
  <si>
    <t>suzuki swift</t>
  </si>
  <si>
    <t>KHJ081</t>
  </si>
  <si>
    <t>Ramunas Rutkauskas</t>
  </si>
  <si>
    <t xml:space="preserve">9 virsus/pats virsus </t>
  </si>
  <si>
    <t>IDE010039</t>
  </si>
  <si>
    <t>r17 audi</t>
  </si>
  <si>
    <t>JUD600</t>
  </si>
  <si>
    <t>Edgaras Pocepka</t>
  </si>
  <si>
    <t>IDE010032</t>
  </si>
  <si>
    <t>MMS081</t>
  </si>
  <si>
    <t>suzuki vitara</t>
  </si>
  <si>
    <t>ramunas.rutkauskas@yahoo.com</t>
  </si>
  <si>
    <t>16/17 apacia/ vidurys</t>
  </si>
  <si>
    <t>krz460</t>
  </si>
  <si>
    <t>fiat 500</t>
  </si>
  <si>
    <t>nemesis Kristina Agintaite</t>
  </si>
  <si>
    <t>sumokejo80</t>
  </si>
  <si>
    <t>2 pats virsus</t>
  </si>
  <si>
    <t>bmw oem</t>
  </si>
  <si>
    <t>bmw x6</t>
  </si>
  <si>
    <t>MUM640</t>
  </si>
  <si>
    <t>prie laiptu po namu</t>
  </si>
  <si>
    <t>r19 merc</t>
  </si>
  <si>
    <t>MB e43 amg w213</t>
  </si>
  <si>
    <t>2026-04 skola</t>
  </si>
  <si>
    <t>priority skola 2025-11</t>
  </si>
  <si>
    <t>powertrac snowtrour</t>
  </si>
  <si>
    <t>mjn973</t>
  </si>
  <si>
    <t>Martynas Aniulis insitus</t>
  </si>
  <si>
    <t>goodyear ultragrip perf 3</t>
  </si>
  <si>
    <t>r22 audi</t>
  </si>
  <si>
    <t>audi rs7</t>
  </si>
  <si>
    <t>skola montazke su pasauga2026-04</t>
  </si>
  <si>
    <t>namie rusyje, 24eile</t>
  </si>
  <si>
    <t>pasauga skola 2025-11-2026-04</t>
  </si>
  <si>
    <t>4x davikliai, montazke bbsr22 2025-04-02 priorit</t>
  </si>
  <si>
    <t>pasauga nuo 2024-12</t>
  </si>
  <si>
    <t>goodyear ultragrip perf+</t>
  </si>
  <si>
    <t>MB eqe500</t>
  </si>
  <si>
    <t>EA6989</t>
  </si>
  <si>
    <t>Marijus Kebla darius kriukas</t>
  </si>
  <si>
    <t>po akva prie lango</t>
  </si>
  <si>
    <t>285/30r20 275/35r19</t>
  </si>
  <si>
    <t>BMW M3</t>
  </si>
  <si>
    <t>NHE631</t>
  </si>
  <si>
    <t>Žilvinas Urbonas Siurna</t>
  </si>
  <si>
    <t>Po akva 10v</t>
  </si>
  <si>
    <t>235/55/r19</t>
  </si>
  <si>
    <t>hankook winter i*cept x</t>
  </si>
  <si>
    <t>r19 kia</t>
  </si>
  <si>
    <t>kia sorento</t>
  </si>
  <si>
    <t>Aleksas Abromavicius alexabro8@gmail.com</t>
  </si>
  <si>
    <t>po namu 7stopke</t>
  </si>
  <si>
    <t>yokohama bluearth winter V905</t>
  </si>
  <si>
    <t>Lft717</t>
  </si>
  <si>
    <t>mini countryman</t>
  </si>
  <si>
    <t>Po namu, koridoriuje</t>
  </si>
  <si>
    <t>r20 volvo</t>
  </si>
  <si>
    <t>JRZ090</t>
  </si>
  <si>
    <t xml:space="preserve">Po namu 15 </t>
  </si>
  <si>
    <t>225/50 245/45r18</t>
  </si>
  <si>
    <t>matador pizdec</t>
  </si>
  <si>
    <t>nissan z370</t>
  </si>
  <si>
    <t>KUM370</t>
  </si>
  <si>
    <t>po namu 6</t>
  </si>
  <si>
    <t>dunlop w5 suv</t>
  </si>
  <si>
    <t>FZD777</t>
  </si>
  <si>
    <t>po namu 19</t>
  </si>
  <si>
    <t>IDE010059</t>
  </si>
  <si>
    <t>goodyear ultra grip ice2</t>
  </si>
  <si>
    <t>denzent r18</t>
  </si>
  <si>
    <t>NGE304</t>
  </si>
  <si>
    <t>Narmontas paliokas</t>
  </si>
  <si>
    <t>po namu 34eile</t>
  </si>
  <si>
    <t>11/2025 skola</t>
  </si>
  <si>
    <t>MZL497</t>
  </si>
  <si>
    <t>Martynas aniulis  insitus Benas Kaškauskas</t>
  </si>
  <si>
    <t>Audi</t>
  </si>
  <si>
    <t>EC6036</t>
  </si>
  <si>
    <t>Tomas Patalavicius</t>
  </si>
  <si>
    <t>skoda karoq</t>
  </si>
  <si>
    <t>MYD188</t>
  </si>
  <si>
    <t>12-13 vidurys</t>
  </si>
  <si>
    <t>Toureg JFL988</t>
  </si>
  <si>
    <t>montazke tik</t>
  </si>
  <si>
    <t>Skoda JFR949</t>
  </si>
  <si>
    <t>BMW X5 KZR003  r18suv</t>
  </si>
  <si>
    <t>r18 braid</t>
  </si>
  <si>
    <t>kue969</t>
  </si>
  <si>
    <t>rimas alisauskas</t>
  </si>
  <si>
    <t>po namu, per viduri 2stopke</t>
  </si>
  <si>
    <t>265/35 305/30r21</t>
  </si>
  <si>
    <t>porsche taycan</t>
  </si>
  <si>
    <t>eb1911</t>
  </si>
  <si>
    <t>po namu 32</t>
  </si>
  <si>
    <t>235/45r20 255/40r20</t>
  </si>
  <si>
    <t>id7 gtx</t>
  </si>
  <si>
    <t>ee1277</t>
  </si>
  <si>
    <t>sumokejo xls</t>
  </si>
  <si>
    <t>Po akva, prie lango ant platformos</t>
  </si>
  <si>
    <t>yokohama blue earth v906</t>
  </si>
  <si>
    <t xml:space="preserve">kia sportage </t>
  </si>
  <si>
    <t>NSF621</t>
  </si>
  <si>
    <t>Karolis Eiinikis deividas vileniskis dada</t>
  </si>
  <si>
    <t>sask hesa</t>
  </si>
  <si>
    <t>po akva kairej 1 stopke</t>
  </si>
  <si>
    <t>Seat</t>
  </si>
  <si>
    <t>VVP567</t>
  </si>
  <si>
    <t>Arijandas Sliupas</t>
  </si>
  <si>
    <t>IDE010108</t>
  </si>
  <si>
    <t>9 is desines</t>
  </si>
  <si>
    <t>goodyear ultra grip perf + suv</t>
  </si>
  <si>
    <t>JGA005</t>
  </si>
  <si>
    <t>UAB "Fokus Group" eitvydas lubys</t>
  </si>
  <si>
    <t>po namu 26</t>
  </si>
  <si>
    <t>IDE010033</t>
  </si>
  <si>
    <t>285/35 ir 315/30r22</t>
  </si>
  <si>
    <t>don911</t>
  </si>
  <si>
    <t>Porsche cayene</t>
  </si>
  <si>
    <t>po akvariumu 6</t>
  </si>
  <si>
    <t>315/30r22 285/35</t>
  </si>
  <si>
    <t>hankook winter evo 3x</t>
  </si>
  <si>
    <t>Porsche cayenne</t>
  </si>
  <si>
    <t>JLA838</t>
  </si>
  <si>
    <t>tomas Jatuzys</t>
  </si>
  <si>
    <t>po akva prie duru</t>
  </si>
  <si>
    <t xml:space="preserve">225/45r18 </t>
  </si>
  <si>
    <t>Toyo gsi6</t>
  </si>
  <si>
    <t>LYV424</t>
  </si>
  <si>
    <t>zilvinas bidva</t>
  </si>
  <si>
    <t>IDE010101</t>
  </si>
  <si>
    <t>Po namu 11</t>
  </si>
  <si>
    <t>continental crosscontact</t>
  </si>
  <si>
    <t xml:space="preserve">r22 audi </t>
  </si>
  <si>
    <t>Audi sq8</t>
  </si>
  <si>
    <t>AIA898</t>
  </si>
  <si>
    <t>Mantas Jastremskas</t>
  </si>
  <si>
    <t>skola 2026-04 ir montavo 3setus?</t>
  </si>
  <si>
    <t>po namu 4</t>
  </si>
  <si>
    <t>naujos pirelli+4pcs tpms 2025-11 skola</t>
  </si>
  <si>
    <t>diamond cut uzdet ziemines ir daviklius, juodus palikt univeralio ir gumom</t>
  </si>
  <si>
    <t xml:space="preserve">pirelli scorpion winter 2 </t>
  </si>
  <si>
    <t>EV8007</t>
  </si>
  <si>
    <t>Agnius Tamulionis</t>
  </si>
  <si>
    <t>skola 2026-04</t>
  </si>
  <si>
    <t>namie po akva 12</t>
  </si>
  <si>
    <t>MRB226</t>
  </si>
  <si>
    <t>Valdas Špakauskas</t>
  </si>
  <si>
    <t>IDE010097</t>
  </si>
  <si>
    <t>16 apacia</t>
  </si>
  <si>
    <t>kleber</t>
  </si>
  <si>
    <t>mini cooper</t>
  </si>
  <si>
    <t>eb6556</t>
  </si>
  <si>
    <t>Nerijus Zilius</t>
  </si>
  <si>
    <t>4 is desines</t>
  </si>
  <si>
    <t>IDE009970</t>
  </si>
  <si>
    <t>NIK912</t>
  </si>
  <si>
    <t>po namu po akva 4v</t>
  </si>
  <si>
    <t>223/45r18</t>
  </si>
  <si>
    <t>r18 tesla</t>
  </si>
  <si>
    <t>Tesla Model 3</t>
  </si>
  <si>
    <t>EC1719</t>
  </si>
  <si>
    <r>
      <rPr>
        <rFont val="Roboto, Arial, sans-serif"/>
        <color rgb="FF3C4043"/>
        <sz val="11.0"/>
      </rPr>
      <t xml:space="preserve">Arijandas Sliupas </t>
    </r>
    <r>
      <rPr>
        <rFont val="Arial"/>
        <color rgb="FF000000"/>
        <sz val="11.0"/>
      </rPr>
      <t>sliupas@yahoo.co.uk</t>
    </r>
  </si>
  <si>
    <t>po namu 12</t>
  </si>
  <si>
    <t>hankook winter icept evo x</t>
  </si>
  <si>
    <t>KMH101</t>
  </si>
  <si>
    <t>Gita Baublienė</t>
  </si>
  <si>
    <t>1 apacia</t>
  </si>
  <si>
    <t>fulda kristal control hp 2 (reikia viena isliginti)</t>
  </si>
  <si>
    <t>r18 cms</t>
  </si>
  <si>
    <t>MMR228</t>
  </si>
  <si>
    <t>po akva 2st is kaires</t>
  </si>
  <si>
    <t>MUH881</t>
  </si>
  <si>
    <t>pirelli ice zero asimetrico</t>
  </si>
  <si>
    <t>r15 skardos</t>
  </si>
  <si>
    <t>skoda fabia</t>
  </si>
  <si>
    <t>JTO204</t>
  </si>
  <si>
    <t>zydrunas daunoravicius Vilma Ratautaitė</t>
  </si>
  <si>
    <t>kia rio</t>
  </si>
  <si>
    <t>jga929</t>
  </si>
  <si>
    <t>paulius norkus paulius@solutiomedica.lt</t>
  </si>
  <si>
    <t>bridgestone blizzak lm32 reiketu nauju</t>
  </si>
  <si>
    <t>hyundai i30</t>
  </si>
  <si>
    <t>GRV462</t>
  </si>
  <si>
    <t>Danutė Vederienė mokes pati</t>
  </si>
  <si>
    <t>IDE010103</t>
  </si>
  <si>
    <t>MNL021</t>
  </si>
  <si>
    <t>Algimantas Kavoliukas insitus martynas</t>
  </si>
  <si>
    <t>2virsus</t>
  </si>
  <si>
    <t>neatvaziavo</t>
  </si>
  <si>
    <t>nissan leaf</t>
  </si>
  <si>
    <t>Pavel Zagzin zagzin@gmail.com</t>
  </si>
  <si>
    <t>po namu po akva 8</t>
  </si>
  <si>
    <t>nokian tyres hakkapeliitta r5</t>
  </si>
  <si>
    <t>r16 toyota</t>
  </si>
  <si>
    <t>Toyota Yaris cross</t>
  </si>
  <si>
    <t>NSM074</t>
  </si>
  <si>
    <t>Paulius Grigaitis paulasgri@gmail.com</t>
  </si>
  <si>
    <t>Dunlop winter sport 5 suv</t>
  </si>
  <si>
    <t>VOLVO XC60 T8</t>
  </si>
  <si>
    <t>EB4815</t>
  </si>
  <si>
    <t>Dainius Cinaitis</t>
  </si>
  <si>
    <t>Po namu 2</t>
  </si>
  <si>
    <t>IDE009792</t>
  </si>
  <si>
    <t>265/35 295/30r20</t>
  </si>
  <si>
    <t>goodyear ultra grip perf3</t>
  </si>
  <si>
    <t>mercedes e63s</t>
  </si>
  <si>
    <t>KOK404</t>
  </si>
  <si>
    <t>23 po namu</t>
  </si>
  <si>
    <t>skola priority 2025-11</t>
  </si>
  <si>
    <t>2025-04 skola</t>
  </si>
  <si>
    <t>dynamo snow h mwc01</t>
  </si>
  <si>
    <t>opel vivaro</t>
  </si>
  <si>
    <t>MYS328</t>
  </si>
  <si>
    <t>naujos dynamo</t>
  </si>
  <si>
    <t>5-6 virsus</t>
  </si>
  <si>
    <t xml:space="preserve">IDE010013 </t>
  </si>
  <si>
    <t>bridgestone lm001 plikos</t>
  </si>
  <si>
    <t>ec2670</t>
  </si>
  <si>
    <t>Jaroslav Sadovski</t>
  </si>
  <si>
    <t>sumokejo85</t>
  </si>
  <si>
    <t>po namu, per viduri 7stopke</t>
  </si>
  <si>
    <t>lgv739</t>
  </si>
  <si>
    <t>Žilvinas Didžiapetris giedrius.zivatkauskas@eikaconstruction.lt</t>
  </si>
  <si>
    <t>IDE010114</t>
  </si>
  <si>
    <t>7-8 apacia</t>
  </si>
  <si>
    <t>MYO919</t>
  </si>
  <si>
    <t>vytenis danyla</t>
  </si>
  <si>
    <t>1 guli garaze del garantinio ?? sumokejo</t>
  </si>
  <si>
    <t>paklaust</t>
  </si>
  <si>
    <t>kbl913</t>
  </si>
  <si>
    <t xml:space="preserve">sumokejo </t>
  </si>
  <si>
    <t>325/35r22 285/40r22</t>
  </si>
  <si>
    <t>mercedes</t>
  </si>
  <si>
    <t>NGZ528</t>
  </si>
  <si>
    <t>prie ieimo po namu (prie skydelio)</t>
  </si>
  <si>
    <t>hankook rs3</t>
  </si>
  <si>
    <t>MJC056</t>
  </si>
  <si>
    <t>lzd733</t>
  </si>
  <si>
    <t>opel corsa</t>
  </si>
  <si>
    <t>Laimute Keiniene</t>
  </si>
  <si>
    <t>yokohama blue earth winter v905</t>
  </si>
  <si>
    <t>mhv178</t>
  </si>
  <si>
    <t xml:space="preserve">po namu po akvos </t>
  </si>
  <si>
    <t>bmw 330e</t>
  </si>
  <si>
    <t>EA2253</t>
  </si>
  <si>
    <t>Aistė Jokimčiūtė</t>
  </si>
  <si>
    <t>sava eskimp hp 2</t>
  </si>
  <si>
    <t>MFD974</t>
  </si>
  <si>
    <t>19-20 virsus</t>
  </si>
  <si>
    <t>continental winter contact ts870p</t>
  </si>
  <si>
    <t>byd sea lion 7</t>
  </si>
  <si>
    <t>Ed3019</t>
  </si>
  <si>
    <t>Ignas Vilkelis</t>
  </si>
  <si>
    <t>IDE010117</t>
  </si>
  <si>
    <t>goodyear ug perf/perf3 2vnt ismetimui</t>
  </si>
  <si>
    <t>vw arteon</t>
  </si>
  <si>
    <t>MDI171</t>
  </si>
  <si>
    <t>1 virsus</t>
  </si>
  <si>
    <t>Uzteks uzklijuoti, 5mm, ziema 6mm</t>
  </si>
  <si>
    <t>audi q8?</t>
  </si>
  <si>
    <t>EE0280</t>
  </si>
  <si>
    <t>Ugnius Jankauskas ugnius.jankauskas@gmail.com</t>
  </si>
  <si>
    <t>pirelli winter 2, klijuot viena</t>
  </si>
  <si>
    <t>audi rs6</t>
  </si>
  <si>
    <t>MZY769</t>
  </si>
  <si>
    <t>po namu 10 eile</t>
  </si>
  <si>
    <t>continental wintercontact ts 870p</t>
  </si>
  <si>
    <t>ec6404</t>
  </si>
  <si>
    <t>3 is kaires</t>
  </si>
  <si>
    <t>goodyear ug perf3 2vnt</t>
  </si>
  <si>
    <t>MNV130</t>
  </si>
  <si>
    <t>fulda kristal control suv</t>
  </si>
  <si>
    <t>r18 volvo</t>
  </si>
  <si>
    <t>led333</t>
  </si>
  <si>
    <t>norameda uab justas krasuckis</t>
  </si>
  <si>
    <t>265/35r21  305/30r21</t>
  </si>
  <si>
    <t>Porsche Taycan</t>
  </si>
  <si>
    <t>EA7002</t>
  </si>
  <si>
    <t>Igor C</t>
  </si>
  <si>
    <t>continental winter contact ts850p</t>
  </si>
  <si>
    <t>eb9191</t>
  </si>
  <si>
    <t>audi q8 eTron</t>
  </si>
  <si>
    <t>Ilona Ciunel</t>
  </si>
  <si>
    <t>dunlop winter ev</t>
  </si>
  <si>
    <t>MBC785</t>
  </si>
  <si>
    <t>paulius grigaitis</t>
  </si>
  <si>
    <t>po namu prielaiptu</t>
  </si>
  <si>
    <t>Continental winter contact ts870p</t>
  </si>
  <si>
    <t>EA6181</t>
  </si>
  <si>
    <t>JAGUAR</t>
  </si>
  <si>
    <t>Leonid C leonid@telemed.lt</t>
  </si>
  <si>
    <t>po namu 13</t>
  </si>
  <si>
    <t>r20 mercedes</t>
  </si>
  <si>
    <t>MB GL450</t>
  </si>
  <si>
    <t>KZN519</t>
  </si>
  <si>
    <t>arminas Balanaitis</t>
  </si>
  <si>
    <t>IDE010185</t>
  </si>
  <si>
    <t>Po akva</t>
  </si>
  <si>
    <t xml:space="preserve">r16 </t>
  </si>
  <si>
    <t>fno793</t>
  </si>
  <si>
    <t>citroen ds4</t>
  </si>
  <si>
    <t>prie moco 5</t>
  </si>
  <si>
    <t>matador nordica van</t>
  </si>
  <si>
    <t>mmh183</t>
  </si>
  <si>
    <t>sailun ice blazzer</t>
  </si>
  <si>
    <t>NLV799</t>
  </si>
  <si>
    <t>audi q7</t>
  </si>
  <si>
    <t>po namu 33</t>
  </si>
  <si>
    <t>nnm704</t>
  </si>
  <si>
    <t>valentina kazenaite rolkos</t>
  </si>
  <si>
    <t>205/55 r16</t>
  </si>
  <si>
    <t>r16 volvo</t>
  </si>
  <si>
    <t>vovlvo v70 d5</t>
  </si>
  <si>
    <t>MCI020</t>
  </si>
  <si>
    <t>Kristionas Dargužis +370 671 66434</t>
  </si>
  <si>
    <t>po akva 7</t>
  </si>
  <si>
    <t>goodyear ug perf+/perf3 2vnt perf3 pizda 4/3.5mm</t>
  </si>
  <si>
    <t>MEY508</t>
  </si>
  <si>
    <t>skod octavia RS</t>
  </si>
  <si>
    <t>2naujos, 2026-04</t>
  </si>
  <si>
    <t>13 /14 vidurys</t>
  </si>
  <si>
    <t>xls sumokejo</t>
  </si>
  <si>
    <t>Renault Scenic</t>
  </si>
  <si>
    <t>KJV302</t>
  </si>
  <si>
    <t>Simonas Kvedaras simonas.kvedaras@gmail.com</t>
  </si>
  <si>
    <t>po akva kampe/garaze</t>
  </si>
  <si>
    <t>michelin alpin MO</t>
  </si>
  <si>
    <t>r18 ford</t>
  </si>
  <si>
    <t>ford focus rs</t>
  </si>
  <si>
    <t>JEU878</t>
  </si>
  <si>
    <t>simonas kvedaras</t>
  </si>
  <si>
    <t>po namu 16eile</t>
  </si>
  <si>
    <t>4x nauji davikliai, 2025-11</t>
  </si>
  <si>
    <t>r20</t>
  </si>
  <si>
    <t>ED9131</t>
  </si>
  <si>
    <t>Vygintas Kazanavičius</t>
  </si>
  <si>
    <t>IDE010139</t>
  </si>
  <si>
    <t>po akva 5v</t>
  </si>
  <si>
    <t>LML979</t>
  </si>
  <si>
    <t>Ieva Misiuniene</t>
  </si>
  <si>
    <t>kbd509</t>
  </si>
  <si>
    <t>10 is kaires</t>
  </si>
  <si>
    <t>IDE009703</t>
  </si>
  <si>
    <t>225/40 255/35r19</t>
  </si>
  <si>
    <t>hankook w330, galas pizda</t>
  </si>
  <si>
    <t>bmw f30 335</t>
  </si>
  <si>
    <t>KTK499</t>
  </si>
  <si>
    <t>Deividas Rinkevicius</t>
  </si>
  <si>
    <t>po namu 29</t>
  </si>
  <si>
    <t>nokian wr snowproof P</t>
  </si>
  <si>
    <t>golf 8 gti</t>
  </si>
  <si>
    <t>NGT100</t>
  </si>
  <si>
    <t>Tautvydas Vileniskis</t>
  </si>
  <si>
    <t>17 vidurys</t>
  </si>
  <si>
    <r>
      <rPr>
        <color rgb="FF000000"/>
      </rPr>
      <t>maxxis presa suv ice</t>
    </r>
    <r>
      <rPr>
        <color rgb="FF000000"/>
      </rPr>
      <t>/ dunlop grandtrek sl6 (maxxis nesibalansuoja, padangos sokineja praso daug svoreliu, sukinek kiek nori svorio dahuja praso)</t>
    </r>
  </si>
  <si>
    <t>LEXUS RX300</t>
  </si>
  <si>
    <t>HCJ306</t>
  </si>
  <si>
    <t>Karolis Teišerskis karolis@dspro.lt mejus</t>
  </si>
  <si>
    <t>po namu po akva</t>
  </si>
  <si>
    <t>205/55/r16</t>
  </si>
  <si>
    <t>goodyear ug ice3 (pazimetas ratas leidzia kazkur)</t>
  </si>
  <si>
    <t>JCP449</t>
  </si>
  <si>
    <t>Jurga Žagaraitė</t>
  </si>
  <si>
    <t>maxxis premitrqa snow wp6</t>
  </si>
  <si>
    <t xml:space="preserve">ABY380 </t>
  </si>
  <si>
    <t>Martynas Aniulis | Insitus</t>
  </si>
  <si>
    <t>nhs842 uzdejom padangas</t>
  </si>
  <si>
    <t xml:space="preserve">barum polaris 5 </t>
  </si>
  <si>
    <t>nhs842</t>
  </si>
  <si>
    <t>Tomas Amšiejus insitus</t>
  </si>
  <si>
    <t>1klijuot reik</t>
  </si>
  <si>
    <t>michelin x-ice snow suv 5mm</t>
  </si>
  <si>
    <t>mercedes GLE</t>
  </si>
  <si>
    <t>MDU817</t>
  </si>
  <si>
    <t>1klijuot reik jeigu nepirks nauju (ziema)</t>
  </si>
  <si>
    <t>po namu 18eile</t>
  </si>
  <si>
    <t>kjh987</t>
  </si>
  <si>
    <t>ford smax</t>
  </si>
  <si>
    <t>mv@tradintek.com Martynas Vervečka</t>
  </si>
  <si>
    <t>po namu prie moco</t>
  </si>
  <si>
    <t>245/35 ir 275/30r20</t>
  </si>
  <si>
    <t>michelin pilot alpin n1 (priekine su guzu)</t>
  </si>
  <si>
    <t>lfn219</t>
  </si>
  <si>
    <t>po namu 12eile</t>
  </si>
  <si>
    <t>zimea</t>
  </si>
  <si>
    <t>ED0647</t>
  </si>
  <si>
    <t>Dovydas Diktaras dovydas@insitus.lt</t>
  </si>
  <si>
    <t>3 vidurys ir pats virsus</t>
  </si>
  <si>
    <t>goodyear perfomance MO</t>
  </si>
  <si>
    <t>LUM820</t>
  </si>
  <si>
    <t xml:space="preserve">VW golf </t>
  </si>
  <si>
    <t>Povilas Meškys</t>
  </si>
  <si>
    <t>tepalao, skola 2025-11</t>
  </si>
  <si>
    <t>HAN339</t>
  </si>
  <si>
    <t>Saulius Samulevicius +37060325052</t>
  </si>
  <si>
    <t>.</t>
  </si>
  <si>
    <t>17-18 vidurys</t>
  </si>
  <si>
    <t>skola 2025-11 ?</t>
  </si>
  <si>
    <t>r17 mb</t>
  </si>
  <si>
    <t>MBF020</t>
  </si>
  <si>
    <t>mercedes c/e</t>
  </si>
  <si>
    <t>po namu 4stopke vidury</t>
  </si>
  <si>
    <t>goodyear ug ice gen-1</t>
  </si>
  <si>
    <t>NBS117</t>
  </si>
  <si>
    <t>Po namu 1st</t>
  </si>
  <si>
    <t>EC4189</t>
  </si>
  <si>
    <t>AUDI A3</t>
  </si>
  <si>
    <t>Kristina Mic donatas mickus</t>
  </si>
  <si>
    <t>jto478</t>
  </si>
  <si>
    <t>evaldas prizginas prinsta marius</t>
  </si>
  <si>
    <t>IDE010159</t>
  </si>
  <si>
    <t>IDE009991</t>
  </si>
  <si>
    <t>EB5643</t>
  </si>
  <si>
    <t>IDE010160</t>
  </si>
  <si>
    <t>11-12 virsus/PATS VIRSUS</t>
  </si>
  <si>
    <t>vw tcross</t>
  </si>
  <si>
    <t>NEV131</t>
  </si>
  <si>
    <t>edgaraskovaliovas@gmail.com</t>
  </si>
  <si>
    <t>15-16 apacia</t>
  </si>
  <si>
    <t>IDE009873</t>
  </si>
  <si>
    <t>VW T-Roc</t>
  </si>
  <si>
    <t>LSH517</t>
  </si>
  <si>
    <t>Asta Rugieniute  a.rugieniute@norameda.com</t>
  </si>
  <si>
    <t>citroen elise</t>
  </si>
  <si>
    <t>JAG356</t>
  </si>
  <si>
    <t>Žydrūnas Strumila zydrunas@wearecritical.com</t>
  </si>
  <si>
    <t>sumokejo 80e</t>
  </si>
  <si>
    <t>tarp 10 ir 11</t>
  </si>
  <si>
    <t>MZL501</t>
  </si>
  <si>
    <t>Martynas Aniulis insitus Gytis Kreivys</t>
  </si>
  <si>
    <t>21 apacia</t>
  </si>
  <si>
    <t>eb6766</t>
  </si>
  <si>
    <t>mustang</t>
  </si>
  <si>
    <t>tadas lechovicius vtitas@hotmail.com mirono brolis</t>
  </si>
  <si>
    <t>15-16 virsus</t>
  </si>
  <si>
    <t>Alfa Romeo</t>
  </si>
  <si>
    <t>LZS879</t>
  </si>
  <si>
    <t>Marek Stefanovič marex</t>
  </si>
  <si>
    <t>skola montazke tik 2026-04</t>
  </si>
  <si>
    <t>2025-11 skola</t>
  </si>
  <si>
    <t>exel 2025-04</t>
  </si>
  <si>
    <t>hankook ventus s1 evo suv</t>
  </si>
  <si>
    <t>mgz786</t>
  </si>
  <si>
    <t>buhalterija@pigu.lt rysard airbog</t>
  </si>
  <si>
    <t>2-3 apacia</t>
  </si>
  <si>
    <t>GOODYEAR ice2/ sava eskimo ice</t>
  </si>
  <si>
    <t>ZIEMA</t>
  </si>
  <si>
    <t>hab919</t>
  </si>
  <si>
    <t>audra rimas kuliesius</t>
  </si>
  <si>
    <t>sumokejo pati</t>
  </si>
  <si>
    <t>3 pats virsus</t>
  </si>
  <si>
    <t>3.5eur uz hbh krovima, pervede 616e2025-11-26</t>
  </si>
  <si>
    <t>goodyear ug perf gen-1 (1vnt su guzu)</t>
  </si>
  <si>
    <t>lexus nx200t</t>
  </si>
  <si>
    <t>lan352</t>
  </si>
  <si>
    <t>16-17virsus</t>
  </si>
  <si>
    <t>sumokejo 90eur</t>
  </si>
  <si>
    <t>pezot 5008</t>
  </si>
  <si>
    <t>NID761</t>
  </si>
  <si>
    <t>Martynas Vervečka Invitee Email: martisver@gmail.com</t>
  </si>
  <si>
    <t>IDE010202</t>
  </si>
  <si>
    <t>pirelli ice friction</t>
  </si>
  <si>
    <t>LSU188</t>
  </si>
  <si>
    <t>goodyear perf3 sct</t>
  </si>
  <si>
    <t>tesla</t>
  </si>
  <si>
    <t>EA0808</t>
  </si>
  <si>
    <t>Vilius Fokas</t>
  </si>
  <si>
    <t>IDE010145</t>
  </si>
  <si>
    <t>skarda r16</t>
  </si>
  <si>
    <t>hpn081</t>
  </si>
  <si>
    <t>vilius@fokas.eu</t>
  </si>
  <si>
    <t>295/35r21+265/40</t>
  </si>
  <si>
    <t>LFY014</t>
  </si>
  <si>
    <t>mersas glc</t>
  </si>
  <si>
    <t>po namu 11eile</t>
  </si>
  <si>
    <t>2025-10-27 skola</t>
  </si>
  <si>
    <t>exel 2024-12</t>
  </si>
  <si>
    <t>michelin alipin 7</t>
  </si>
  <si>
    <t>Ec9516</t>
  </si>
  <si>
    <t>275/45r20 305/40r20</t>
  </si>
  <si>
    <t>EA6556</t>
  </si>
  <si>
    <t>Nerijus Žilius &lt;nerijus@zilius.eu</t>
  </si>
  <si>
    <t>po akva 2v</t>
  </si>
  <si>
    <t>IDE009972</t>
  </si>
  <si>
    <t>vw e-golf</t>
  </si>
  <si>
    <t>eb9542</t>
  </si>
  <si>
    <t>indre grig</t>
  </si>
  <si>
    <t>po namu,prie granuliu</t>
  </si>
  <si>
    <t>perveede80 2025-11-30</t>
  </si>
  <si>
    <t>iRONWAY Eurus 08</t>
  </si>
  <si>
    <t>mazda 6</t>
  </si>
  <si>
    <t>jgl790</t>
  </si>
  <si>
    <t>po namu 37</t>
  </si>
  <si>
    <t>Michelin pilot alpine 5 suv</t>
  </si>
  <si>
    <t>MB EQS</t>
  </si>
  <si>
    <t>EE4950</t>
  </si>
  <si>
    <t>Denas Danyla</t>
  </si>
  <si>
    <t>MNK987</t>
  </si>
  <si>
    <t>1pats virsus</t>
  </si>
  <si>
    <t>275/40 315/35r20</t>
  </si>
  <si>
    <t>hankook winter incept evo 3 x</t>
  </si>
  <si>
    <t>JZU383</t>
  </si>
  <si>
    <t>Igoris Kac projektai@realitus.lt</t>
  </si>
  <si>
    <t>IDE010157</t>
  </si>
  <si>
    <t>po namu per viduri 9v</t>
  </si>
  <si>
    <t>IDE009849</t>
  </si>
  <si>
    <t>MYB893</t>
  </si>
  <si>
    <t>6 virsus</t>
  </si>
  <si>
    <t>goodyear ug perf9+/conti wintercontast ts860 REIKIA NAUJU (2vnt tai jau nekazka goodyear)</t>
  </si>
  <si>
    <t>mhi513</t>
  </si>
  <si>
    <t>Martynas aniulis  insitus</t>
  </si>
  <si>
    <t>eb0859</t>
  </si>
  <si>
    <t>vw id3</t>
  </si>
  <si>
    <t>po namu 1</t>
  </si>
  <si>
    <t>ford focus</t>
  </si>
  <si>
    <t>jmk706</t>
  </si>
  <si>
    <t xml:space="preserve">18 virsus </t>
  </si>
  <si>
    <t>mgg898</t>
  </si>
  <si>
    <t>VW Taigo</t>
  </si>
  <si>
    <t>Edita BERNATONE bernatonis</t>
  </si>
  <si>
    <t>goodyear ug ice 3 1musa</t>
  </si>
  <si>
    <t>minicooper s</t>
  </si>
  <si>
    <t>LSM343</t>
  </si>
  <si>
    <t>r16 bmw</t>
  </si>
  <si>
    <t>bmw 1</t>
  </si>
  <si>
    <t>Jdf210</t>
  </si>
  <si>
    <t>dave40eur</t>
  </si>
  <si>
    <t>vw taigo</t>
  </si>
  <si>
    <t>nfa882</t>
  </si>
  <si>
    <t>bridgestone blizzak dm v3</t>
  </si>
  <si>
    <t>r18 toyota</t>
  </si>
  <si>
    <t>EC8825 EC6904</t>
  </si>
  <si>
    <t xml:space="preserve">ignas kamantauskas </t>
  </si>
  <si>
    <t>po namu 2v</t>
  </si>
  <si>
    <t>MJR797</t>
  </si>
  <si>
    <t>Martynas Grieze</t>
  </si>
  <si>
    <t>IDE010037</t>
  </si>
  <si>
    <t>mdr825</t>
  </si>
  <si>
    <t>sailun ice blazzer arctic suv</t>
  </si>
  <si>
    <t>r17 dezent</t>
  </si>
  <si>
    <t>HVB999</t>
  </si>
  <si>
    <t>Romualdas venckevicius 869807830</t>
  </si>
  <si>
    <t>paskutine is kaires</t>
  </si>
  <si>
    <t>JCZ550</t>
  </si>
  <si>
    <t>audrius.masiulionis@gmail.com</t>
  </si>
  <si>
    <t>sumokejo 90e</t>
  </si>
  <si>
    <t>LEK528</t>
  </si>
  <si>
    <t>Quashqai</t>
  </si>
  <si>
    <t>Ereminienė Elita</t>
  </si>
  <si>
    <t>21-22 vidurys</t>
  </si>
  <si>
    <t>nissan qashqai</t>
  </si>
  <si>
    <t>12 apacia</t>
  </si>
  <si>
    <t>305/40r20 275/45r20</t>
  </si>
  <si>
    <t>myg979</t>
  </si>
  <si>
    <t xml:space="preserve">skirmantas.paulavicius@gmail.com </t>
  </si>
  <si>
    <t>3 is desines</t>
  </si>
  <si>
    <t>r18 bmw</t>
  </si>
  <si>
    <t>bmw 3</t>
  </si>
  <si>
    <t>MUR418</t>
  </si>
  <si>
    <t>jeep grandcheroke</t>
  </si>
  <si>
    <t>romualdas venckevicius 869807830</t>
  </si>
  <si>
    <t>po namu 24</t>
  </si>
  <si>
    <t>goodyaear ug perf3</t>
  </si>
  <si>
    <t>ncu485</t>
  </si>
  <si>
    <t>Po namu 8</t>
  </si>
  <si>
    <t>yokohama ice guard iG60</t>
  </si>
  <si>
    <t>htl232 LOV800</t>
  </si>
  <si>
    <t>mazda 3</t>
  </si>
  <si>
    <t>Gabriele Zukaite</t>
  </si>
  <si>
    <t>goodyear uf perf+</t>
  </si>
  <si>
    <t>MPV701</t>
  </si>
  <si>
    <t>hankook ion i*cept</t>
  </si>
  <si>
    <t>EC7600</t>
  </si>
  <si>
    <t>Tomas mingela</t>
  </si>
  <si>
    <t>skola ?</t>
  </si>
  <si>
    <t>pirelli winter 2 scorpion</t>
  </si>
  <si>
    <t>goodyear ug ice gen1</t>
  </si>
  <si>
    <t>LHZ831</t>
  </si>
  <si>
    <t>21-22 apacia</t>
  </si>
  <si>
    <t>volvo xc40</t>
  </si>
  <si>
    <t>MEI276</t>
  </si>
  <si>
    <t>Justina Gringyte 861005989</t>
  </si>
  <si>
    <t>sumokejo  95eur</t>
  </si>
  <si>
    <t>po namu 6stopke</t>
  </si>
  <si>
    <t>hankook winter icept evo3 x</t>
  </si>
  <si>
    <t>kzr217</t>
  </si>
  <si>
    <t>volvo xc70</t>
  </si>
  <si>
    <t xml:space="preserve">bridgestone bizzak lm005 </t>
  </si>
  <si>
    <t>bmw r16</t>
  </si>
  <si>
    <t>kjp184</t>
  </si>
  <si>
    <t>Mindaugas Legeika 064870198</t>
  </si>
  <si>
    <t>pasauga nuo 2025/06/30</t>
  </si>
  <si>
    <t>dave 220eur kita suma sake pavedimu</t>
  </si>
  <si>
    <t>micheling pilot alpin 5 zp</t>
  </si>
  <si>
    <t>bmw f31</t>
  </si>
  <si>
    <t>mhs392</t>
  </si>
  <si>
    <t>Gediminas Koryzna</t>
  </si>
  <si>
    <t>18 apacia</t>
  </si>
  <si>
    <t>Continental sportContact 7</t>
  </si>
  <si>
    <t>r20 black</t>
  </si>
  <si>
    <t>naujos conti IDE010133</t>
  </si>
  <si>
    <t>skola 2025-11 IDE010133</t>
  </si>
  <si>
    <t>MOE125</t>
  </si>
  <si>
    <t>namie,prie granuliu</t>
  </si>
  <si>
    <t>IDE010017</t>
  </si>
  <si>
    <t>LLE103</t>
  </si>
  <si>
    <t>mercedes glc ?</t>
  </si>
  <si>
    <t>Gytis Malinauskas gytis.malinauskas@gmail.com</t>
  </si>
  <si>
    <t>14 vidurys</t>
  </si>
  <si>
    <t>goodyear ug perf 3+1vnt vasarine pirelli</t>
  </si>
  <si>
    <t>ziema/vasara 1vnt</t>
  </si>
  <si>
    <t>LIO301</t>
  </si>
  <si>
    <t>naujos pirelli 2vnt</t>
  </si>
  <si>
    <t>Po namu 5 viduris</t>
  </si>
  <si>
    <t>235/45r21 255/40r21</t>
  </si>
  <si>
    <t>hankook winter i*cept ion x</t>
  </si>
  <si>
    <t>VW ID4</t>
  </si>
  <si>
    <t>EB5458</t>
  </si>
  <si>
    <t>Donatas Kundrotas</t>
  </si>
  <si>
    <t>sask</t>
  </si>
  <si>
    <t>Po namu 34</t>
  </si>
  <si>
    <t>265/45r20 ir 275/45 r20</t>
  </si>
  <si>
    <t>goodyear ug perf+ (2vnt priekines 4/5mm)</t>
  </si>
  <si>
    <t>Ea3819</t>
  </si>
  <si>
    <t>Tesla Model X</t>
  </si>
  <si>
    <t>namu rusys po akva prie 3 lango</t>
  </si>
  <si>
    <t>hyundai ioniq</t>
  </si>
  <si>
    <t>EA3793</t>
  </si>
  <si>
    <t>Mindaugas Liktas</t>
  </si>
  <si>
    <t>po namu po akva 5</t>
  </si>
  <si>
    <t>michelinx ice snow</t>
  </si>
  <si>
    <t>MFJ031</t>
  </si>
  <si>
    <t>Maksim Afanasjev smuksik21@gmail.com</t>
  </si>
  <si>
    <t>skola, pavedimu sake</t>
  </si>
  <si>
    <t>IDE010153</t>
  </si>
  <si>
    <t>kia x-ceed</t>
  </si>
  <si>
    <t>ec0149</t>
  </si>
  <si>
    <t>Violeta Violeta vostrozorova@gmail.com</t>
  </si>
  <si>
    <t>po namu 4ta stopke</t>
  </si>
  <si>
    <t>IDE009912</t>
  </si>
  <si>
    <t>MRG607</t>
  </si>
  <si>
    <t>tomas.beinartas@gmail.com</t>
  </si>
  <si>
    <t>9-10apacia</t>
  </si>
  <si>
    <t>michelin pilot alpin pa4 (2 blogesnes)</t>
  </si>
  <si>
    <t>tesla 3 perf</t>
  </si>
  <si>
    <t>ev8427</t>
  </si>
  <si>
    <t>antonas mejus tesla 3 perf</t>
  </si>
  <si>
    <t>Po namu po akva</t>
  </si>
  <si>
    <t>ratas guli garaze islyginti reikia ir suvirinti</t>
  </si>
  <si>
    <t>275/35r19 ir 245/40r19</t>
  </si>
  <si>
    <t>Nexen winguard sport2</t>
  </si>
  <si>
    <t>bmw 545</t>
  </si>
  <si>
    <t>EC4621</t>
  </si>
  <si>
    <t>Mantas Drungilas</t>
  </si>
  <si>
    <t>po akva  4v</t>
  </si>
  <si>
    <t>goodyear ug ice g1</t>
  </si>
  <si>
    <t>Q3</t>
  </si>
  <si>
    <t>MGF876</t>
  </si>
  <si>
    <t>rytis.jadzevicius@gmail.com</t>
  </si>
  <si>
    <t>po namu 16stopke</t>
  </si>
  <si>
    <t>IDE009231 2024-11</t>
  </si>
  <si>
    <t>265/40r21 295/35r21</t>
  </si>
  <si>
    <t>AAI696</t>
  </si>
  <si>
    <t>goodyear ug pef+ suv</t>
  </si>
  <si>
    <t>MIS944</t>
  </si>
  <si>
    <t>jaguar f-pace</t>
  </si>
  <si>
    <t>Virginija Marcinkevičienė Agnius</t>
  </si>
  <si>
    <t>IDE010210</t>
  </si>
  <si>
    <t>po namu 1 per viduri</t>
  </si>
  <si>
    <t xml:space="preserve">IDE009937 </t>
  </si>
  <si>
    <t>michelin alpin 6 (1vnt lyginti reikai)</t>
  </si>
  <si>
    <t>r17 org</t>
  </si>
  <si>
    <t>chevrolet volt</t>
  </si>
  <si>
    <t>ev2105</t>
  </si>
  <si>
    <t>skola pasauga 2025-11 ?</t>
  </si>
  <si>
    <t>7.5v po namu</t>
  </si>
  <si>
    <t>hcp396</t>
  </si>
  <si>
    <t>po akva 5V</t>
  </si>
  <si>
    <t>yokohama ice guard G075</t>
  </si>
  <si>
    <t>LGI846</t>
  </si>
  <si>
    <t>Agne Balciunaite</t>
  </si>
  <si>
    <t>r16 audi</t>
  </si>
  <si>
    <t>HJS554</t>
  </si>
  <si>
    <t>po namu 21st</t>
  </si>
  <si>
    <t>mim868</t>
  </si>
  <si>
    <t>po namu 7v stopke</t>
  </si>
  <si>
    <t>federal Himalayainverno</t>
  </si>
  <si>
    <t>jtp157</t>
  </si>
  <si>
    <t>Kristina Damauskaitė</t>
  </si>
  <si>
    <t>IDE009909</t>
  </si>
  <si>
    <t>r17 bmw</t>
  </si>
  <si>
    <t>bmw 520d</t>
  </si>
  <si>
    <t>jdo520</t>
  </si>
  <si>
    <t>Andrejus Statino</t>
  </si>
  <si>
    <t>po namu 19eile</t>
  </si>
  <si>
    <t>245/35r20 295/30r20</t>
  </si>
  <si>
    <t xml:space="preserve">michelin pilot alpin PA4 </t>
  </si>
  <si>
    <t>mon011 AFY543</t>
  </si>
  <si>
    <t>porsche911 991.2</t>
  </si>
  <si>
    <t>sarunas.legeckas@gmail.com</t>
  </si>
  <si>
    <t>IDE010227</t>
  </si>
  <si>
    <t>po namu 4v</t>
  </si>
  <si>
    <t xml:space="preserve">265/30 285/30r20 </t>
  </si>
  <si>
    <t>bmw m4</t>
  </si>
  <si>
    <t>krs333</t>
  </si>
  <si>
    <t>kristijonas kristis plioplys</t>
  </si>
  <si>
    <t>po namu 3 stopke</t>
  </si>
  <si>
    <t>285/30r20 275/30r19</t>
  </si>
  <si>
    <t>michelin pilot alpin 5 (galine padanga ismetimui, ipistas bortas)</t>
  </si>
  <si>
    <t>r19+20 bmw</t>
  </si>
  <si>
    <t>bmw m4 comp</t>
  </si>
  <si>
    <t>triangle winter x tw401 (2vnt jau ismetimui, kiti dvi is biedos tiks)</t>
  </si>
  <si>
    <t>toyota yaris?</t>
  </si>
  <si>
    <t>KZE985</t>
  </si>
  <si>
    <t>gintare.skuza@gmail.com mejus darbu sauga</t>
  </si>
  <si>
    <t>2 naujos gt radial</t>
  </si>
  <si>
    <t>po namu 18</t>
  </si>
  <si>
    <t>285/40r22 315/35r22</t>
  </si>
  <si>
    <t>Porshce cayenne</t>
  </si>
  <si>
    <t>NSC547</t>
  </si>
  <si>
    <t>michelin cross climat 2</t>
  </si>
  <si>
    <t>bmw x3</t>
  </si>
  <si>
    <t>NIU012</t>
  </si>
  <si>
    <t>275/35r21 315/30r21</t>
  </si>
  <si>
    <t>yokohama bluearth winter v906</t>
  </si>
  <si>
    <t>MBT006</t>
  </si>
  <si>
    <t>mantas tautvaisas marijus kebla</t>
  </si>
  <si>
    <t>goodyear ug perf 2 / hankook winter i*cept evo 3 (blogos)</t>
  </si>
  <si>
    <t xml:space="preserve">bmw e65 </t>
  </si>
  <si>
    <t>BCO030</t>
  </si>
  <si>
    <t>skola 2026-05</t>
  </si>
  <si>
    <t>prie moco (prie iejimo)</t>
  </si>
  <si>
    <t>dunlop ws5 (5mm)</t>
  </si>
  <si>
    <t>LPS515</t>
  </si>
  <si>
    <t>elmantas.latkauskas@gmail.com</t>
  </si>
  <si>
    <t>po akva 8v</t>
  </si>
  <si>
    <t>ismesta  reikia nauju</t>
  </si>
  <si>
    <t>cupra formentor</t>
  </si>
  <si>
    <t>mfr228</t>
  </si>
  <si>
    <t>Ignas Buda Invitee ignassbuda@gmail.com</t>
  </si>
  <si>
    <t>17 vidurys (1vnt 17 pats virsus)</t>
  </si>
  <si>
    <t>bridgestone alenza hl33</t>
  </si>
  <si>
    <t>LTO344</t>
  </si>
  <si>
    <t>7-8 vidurys</t>
  </si>
  <si>
    <t>goodyearet perf2</t>
  </si>
  <si>
    <t>JDZ364</t>
  </si>
  <si>
    <t>Volkswagen Sharan</t>
  </si>
  <si>
    <t>sumokejo 85e 2025-11-14</t>
  </si>
  <si>
    <t>9 vid</t>
  </si>
  <si>
    <t>Subaru forester</t>
  </si>
  <si>
    <t>JNA724</t>
  </si>
  <si>
    <t>Violeta Šulcienė</t>
  </si>
  <si>
    <t>nebereiks</t>
  </si>
  <si>
    <t>vredestein 2jau nekazka</t>
  </si>
  <si>
    <t>hor599</t>
  </si>
  <si>
    <t>aurimas.matkevicius@gmail.com</t>
  </si>
  <si>
    <t>paliko garaze (vasara), sumoketa</t>
  </si>
  <si>
    <t>po namu 9eile per viduri</t>
  </si>
  <si>
    <t>AUTOGIDAS</t>
  </si>
  <si>
    <t>sake ismesti kurios yra saugomi</t>
  </si>
  <si>
    <t>(ziema paeme)</t>
  </si>
  <si>
    <t>Sava Intensa HP</t>
  </si>
  <si>
    <t>r16 momo kreivi visis</t>
  </si>
  <si>
    <t>Hul729</t>
  </si>
  <si>
    <t>pasiims ?</t>
  </si>
  <si>
    <t>8 stopke is desines</t>
  </si>
  <si>
    <t>IDE009031 pasauga</t>
  </si>
  <si>
    <t>????</t>
  </si>
  <si>
    <t>265/35r19 295/30r19</t>
  </si>
  <si>
    <t>micha cup2 2vnt</t>
  </si>
  <si>
    <t>bmw m2</t>
  </si>
  <si>
    <t>tik pasauga IDE009202</t>
  </si>
  <si>
    <t>namie, prie granuliu</t>
  </si>
  <si>
    <t>skelbimai autoplius</t>
  </si>
  <si>
    <t>255/35r19 285/30r19</t>
  </si>
  <si>
    <t>michelin supersport 4vnt</t>
  </si>
  <si>
    <t>UPS696 (HGZ232 kazkodel ant padangu sitas v.nr)</t>
  </si>
  <si>
    <t>JPG855</t>
  </si>
  <si>
    <t>kieno?</t>
  </si>
  <si>
    <t>continental ecocontact 6</t>
  </si>
  <si>
    <t>JBO489</t>
  </si>
  <si>
    <t>21 vidurys</t>
  </si>
  <si>
    <t>toyota land cruiser</t>
  </si>
  <si>
    <t>frc296</t>
  </si>
  <si>
    <t>4 stopke is desines</t>
  </si>
  <si>
    <t xml:space="preserve">dunlop ws5 </t>
  </si>
  <si>
    <t>subaru forester</t>
  </si>
  <si>
    <t>LTZ253</t>
  </si>
  <si>
    <t>Vytenis Danyla</t>
  </si>
  <si>
    <t>sumokejo 90</t>
  </si>
  <si>
    <t>po namu, 28 eile</t>
  </si>
  <si>
    <t>yokohama iceGuard IG50 PLUS</t>
  </si>
  <si>
    <t>r17 kia</t>
  </si>
  <si>
    <t>jso739 MNE235</t>
  </si>
  <si>
    <t>5 stopke is kaires</t>
  </si>
  <si>
    <t>parduot</t>
  </si>
  <si>
    <t>pirelli winter FR, 2vnt 5mm</t>
  </si>
  <si>
    <t>245/35R20 275/30R20</t>
  </si>
  <si>
    <t>GY eagle asymm 3 RunOnFlat</t>
  </si>
  <si>
    <t>mersas e400coupe</t>
  </si>
  <si>
    <t>mas139</t>
  </si>
  <si>
    <t>Vilius Milasius</t>
  </si>
  <si>
    <t>po namu prie granuliu</t>
  </si>
  <si>
    <t>Sufotkinti ir jam issiusti, masina pardave ir padangos nori parduoti</t>
  </si>
  <si>
    <t>skoda scout</t>
  </si>
  <si>
    <t>nebera masinos</t>
  </si>
  <si>
    <t>ant karucio garaze</t>
  </si>
  <si>
    <t>Continental TS860 2vnt isimti</t>
  </si>
  <si>
    <t>senas isimk is sandelio</t>
  </si>
  <si>
    <t>AG srote guli</t>
  </si>
  <si>
    <t>285/40-315/35r21</t>
  </si>
  <si>
    <t>pirelli pzero (kokios senos nzn izema)</t>
  </si>
  <si>
    <t>isimk is sandelio senas</t>
  </si>
  <si>
    <t xml:space="preserve">2 nav </t>
  </si>
  <si>
    <t>michelin xice north 4 dygliai 2vnt</t>
  </si>
  <si>
    <t>tik pasauga isimk is sandelio senas</t>
  </si>
  <si>
    <t>Prie moco</t>
  </si>
  <si>
    <t>IDE009587</t>
  </si>
  <si>
    <t>205/60/16</t>
  </si>
  <si>
    <t>hankook ventus prime 3  2vnt</t>
  </si>
  <si>
    <t>toyota verso</t>
  </si>
  <si>
    <t>GEC819</t>
  </si>
  <si>
    <t>sormedica</t>
  </si>
  <si>
    <t>guli 2vnt prie jungikliu kambaruke</t>
  </si>
  <si>
    <t>295/40r21 255/35r21</t>
  </si>
  <si>
    <t>michelin ps ev NEO, 2 galas pizda</t>
  </si>
  <si>
    <t>IDE010000  isimk is sandelio</t>
  </si>
  <si>
    <t>hzu824</t>
  </si>
  <si>
    <t>paziuret ar tinka kam</t>
  </si>
  <si>
    <t>v</t>
  </si>
  <si>
    <t>Laikas</t>
  </si>
  <si>
    <t>Marke</t>
  </si>
  <si>
    <t>Valst nr</t>
  </si>
  <si>
    <t>Sumokejo</t>
  </si>
  <si>
    <t>Darbas</t>
  </si>
  <si>
    <t>Suma</t>
  </si>
  <si>
    <t>BMW 540i</t>
  </si>
  <si>
    <t>LRF112</t>
  </si>
  <si>
    <t>-</t>
  </si>
  <si>
    <t>Auris</t>
  </si>
  <si>
    <t>GJC430</t>
  </si>
  <si>
    <t>?</t>
  </si>
  <si>
    <t>MHS392</t>
  </si>
  <si>
    <t>Saulius dest.</t>
  </si>
  <si>
    <t>mart paeme</t>
  </si>
  <si>
    <t>stalciuje yra</t>
  </si>
  <si>
    <t>a2 t744</t>
  </si>
  <si>
    <t>TOYOTA</t>
  </si>
  <si>
    <t>PORSCHE</t>
  </si>
  <si>
    <t>GET717</t>
  </si>
  <si>
    <t>reisas</t>
  </si>
  <si>
    <t>NEU815</t>
  </si>
  <si>
    <t>naujos pad.+montazke</t>
  </si>
  <si>
    <t>TOYOTA Corolla</t>
  </si>
  <si>
    <t>LOV155</t>
  </si>
  <si>
    <t>uab saza</t>
  </si>
  <si>
    <t>Chlrysler</t>
  </si>
  <si>
    <t>LRF813</t>
  </si>
  <si>
    <t>Yokohama 185/55 r15</t>
  </si>
  <si>
    <t>peugeote</t>
  </si>
  <si>
    <t>LRG257</t>
  </si>
  <si>
    <t xml:space="preserve"> superb</t>
  </si>
  <si>
    <t>aloyzas kaimynas</t>
  </si>
  <si>
    <t>nissan qashai</t>
  </si>
  <si>
    <t>montazke+saugojimas</t>
  </si>
  <si>
    <t>Tadas Gudaitis</t>
  </si>
  <si>
    <t>VW</t>
  </si>
  <si>
    <t>JRA212</t>
  </si>
  <si>
    <t>Daiva Sereliene</t>
  </si>
  <si>
    <t>ratus+padangos+montazke+pasauga?</t>
  </si>
  <si>
    <t>Rytenis</t>
  </si>
  <si>
    <t>NISSAN</t>
  </si>
  <si>
    <t>KBG165</t>
  </si>
  <si>
    <t>Arvydas Sereičikas</t>
  </si>
  <si>
    <t>VW PASSAT</t>
  </si>
  <si>
    <t>rato valymas</t>
  </si>
  <si>
    <t>KUR?</t>
  </si>
  <si>
    <t>EEK777</t>
  </si>
  <si>
    <t>HYUNDAI</t>
  </si>
  <si>
    <t>MLG792</t>
  </si>
  <si>
    <t>Priority</t>
  </si>
  <si>
    <t>Tomas Šajauka</t>
  </si>
  <si>
    <t xml:space="preserve">KIA </t>
  </si>
  <si>
    <t>CGH007</t>
  </si>
  <si>
    <t>Martynas Janusauskas</t>
  </si>
  <si>
    <t>TOYOTA venza</t>
  </si>
  <si>
    <t>CHRYSLER</t>
  </si>
  <si>
    <t>MAA257</t>
  </si>
  <si>
    <t>Vaidotas Kareckas</t>
  </si>
  <si>
    <t>AUDI a1</t>
  </si>
  <si>
    <t>ERK520</t>
  </si>
  <si>
    <t>Simonas Norvydas</t>
  </si>
  <si>
    <t>naujos gy 195/65r15</t>
  </si>
  <si>
    <t>Tomas Halkas???</t>
  </si>
  <si>
    <t>Citroen Ami</t>
  </si>
  <si>
    <t>61BDZ</t>
  </si>
  <si>
    <t>Naujos padangos</t>
  </si>
  <si>
    <t xml:space="preserve"> Volvo S90</t>
  </si>
  <si>
    <t>LTR780</t>
  </si>
  <si>
    <t>Montazke</t>
  </si>
  <si>
    <t>Gintaras Drumsta</t>
  </si>
  <si>
    <t>LEXUS UX</t>
  </si>
  <si>
    <t>NDA770</t>
  </si>
  <si>
    <t>Simona Čižinauskaitė</t>
  </si>
  <si>
    <t>LML151</t>
  </si>
  <si>
    <t>naujos padangos + montazke</t>
  </si>
  <si>
    <t>aurimas likus</t>
  </si>
  <si>
    <t>vw GOLF</t>
  </si>
  <si>
    <t>HZN609</t>
  </si>
  <si>
    <t>Deividas Vileniskis</t>
  </si>
  <si>
    <t>paemiau marrt</t>
  </si>
  <si>
    <t>Aiste Jokimciute</t>
  </si>
  <si>
    <t>KIA?</t>
  </si>
  <si>
    <t>MSH896</t>
  </si>
  <si>
    <t>Neatsiskaite uz--&gt;</t>
  </si>
  <si>
    <t>padangos klijavima</t>
  </si>
  <si>
    <t>Evaldas Jakubavičius</t>
  </si>
  <si>
    <t xml:space="preserve"> Mini Contryman</t>
  </si>
  <si>
    <t>EA8342</t>
  </si>
  <si>
    <t>balansas-ratu uzdeimas</t>
  </si>
  <si>
    <t>Rolandas Vasiliauskas</t>
  </si>
  <si>
    <t>OPEL</t>
  </si>
  <si>
    <t>LZD733</t>
  </si>
  <si>
    <t>Balansas+pasauga</t>
  </si>
  <si>
    <t>paemiau mart</t>
  </si>
  <si>
    <t>JZV546</t>
  </si>
  <si>
    <t>10 mokejo martynui</t>
  </si>
  <si>
    <t>balansas+ratu uzdeimas</t>
  </si>
  <si>
    <t>VYTENIS KORYZNA</t>
  </si>
  <si>
    <t>sako mokejo pavedimu (10e uz priority)</t>
  </si>
  <si>
    <t>EA3864</t>
  </si>
  <si>
    <t>60 mokejo martynui</t>
  </si>
  <si>
    <t>opel</t>
  </si>
  <si>
    <t>lhg295</t>
  </si>
  <si>
    <t>montazke+padangos (sailun)+langu skystis</t>
  </si>
  <si>
    <t>AGNIUS MAR</t>
  </si>
  <si>
    <t>HPT335</t>
  </si>
  <si>
    <t>pavedimu</t>
  </si>
  <si>
    <t>Justas Rutkauskas</t>
  </si>
  <si>
    <t>KET029</t>
  </si>
  <si>
    <t>Renatas Motuzas</t>
  </si>
  <si>
    <t>EB3606</t>
  </si>
  <si>
    <t>Leon Macejevskij</t>
  </si>
  <si>
    <t>Aud Q8 eTron</t>
  </si>
  <si>
    <t>EB9191</t>
  </si>
  <si>
    <t>balansas/pasauga</t>
  </si>
  <si>
    <t>GEA924</t>
  </si>
  <si>
    <t>Gubertas Trubila</t>
  </si>
  <si>
    <t>Mart dave</t>
  </si>
  <si>
    <t>LIO829</t>
  </si>
  <si>
    <t>uz 2 masinos montazke</t>
  </si>
  <si>
    <t>hyundai santafe</t>
  </si>
  <si>
    <t>JSO200</t>
  </si>
  <si>
    <t>Dziugas Baltrunas</t>
  </si>
  <si>
    <t>pasiemiau</t>
  </si>
  <si>
    <t>TOYOTA RAV4</t>
  </si>
  <si>
    <t>padangos autogidas</t>
  </si>
  <si>
    <t>ratu balansas/montazke 2vnt</t>
  </si>
  <si>
    <t>Mart paeme</t>
  </si>
  <si>
    <t>langu skystis 3vnt</t>
  </si>
  <si>
    <t xml:space="preserve"> Nisan qashqai</t>
  </si>
  <si>
    <t>Audi Q5</t>
  </si>
  <si>
    <t>NEB778</t>
  </si>
  <si>
    <t>Mindaugas Sederevičius</t>
  </si>
  <si>
    <t>Mazda</t>
  </si>
  <si>
    <t>Padangu keitimas</t>
  </si>
  <si>
    <t>Stanislav Sankovski</t>
  </si>
  <si>
    <t>AUDI A4 B5</t>
  </si>
  <si>
    <t>DCO303</t>
  </si>
  <si>
    <t>Fulda (195/65r15) montazke</t>
  </si>
  <si>
    <t>Albertas</t>
  </si>
  <si>
    <t>MB</t>
  </si>
  <si>
    <t>NEK682</t>
  </si>
  <si>
    <t xml:space="preserve">balansas </t>
  </si>
  <si>
    <t>Arnas kokybiski auto</t>
  </si>
  <si>
    <t>Padangos AutoGidas</t>
  </si>
  <si>
    <t>Audi (Q5?)</t>
  </si>
  <si>
    <t>GoodRide padangos ir montazke</t>
  </si>
  <si>
    <t>Paulius Senis</t>
  </si>
  <si>
    <t>MB (anglas)</t>
  </si>
  <si>
    <t>alius vitas?</t>
  </si>
  <si>
    <t>SKODA KODIAQ</t>
  </si>
  <si>
    <t>LAF100</t>
  </si>
  <si>
    <t>viking padangos/montazke</t>
  </si>
  <si>
    <t>Domas Vielavičius</t>
  </si>
  <si>
    <t>pasiemiau mart</t>
  </si>
  <si>
    <t>MAS139</t>
  </si>
  <si>
    <t>TOYOTA AURIS</t>
  </si>
  <si>
    <t>priekiniu amortiku keitimas</t>
  </si>
  <si>
    <t>12:00?</t>
  </si>
  <si>
    <t>JNC081</t>
  </si>
  <si>
    <t>keitimas galiniu disku ir kaladeliu</t>
  </si>
  <si>
    <t>TOYOTA COROLLA</t>
  </si>
  <si>
    <t>Kazkoks busikas</t>
  </si>
  <si>
    <t>sumotuota 1vnt. padanga is svalkos +balansas</t>
  </si>
  <si>
    <t>Mitsubishi evo-x</t>
  </si>
  <si>
    <t>NIG696</t>
  </si>
  <si>
    <t>Valke?</t>
  </si>
  <si>
    <t>Padangos AG</t>
  </si>
  <si>
    <t>2256517 micha xice</t>
  </si>
  <si>
    <t>Audi Q3</t>
  </si>
  <si>
    <t>NHK383</t>
  </si>
  <si>
    <t>montazke+gy ice 3, padangos</t>
  </si>
  <si>
    <t>2vnt nauju padangu???</t>
  </si>
  <si>
    <t>vitas</t>
  </si>
  <si>
    <t>Audi SQ5</t>
  </si>
  <si>
    <t>Visu kaladeliu keitimas (+2vnt jutikliu)</t>
  </si>
  <si>
    <t>Mantas</t>
  </si>
  <si>
    <t>KUHMO padangos</t>
  </si>
  <si>
    <t>Arvydas kaimynas</t>
  </si>
  <si>
    <t>Mart peme</t>
  </si>
  <si>
    <t>Mart dave Karoliui</t>
  </si>
  <si>
    <t>padamgos AG 120+50 montazke</t>
  </si>
  <si>
    <t>padangos montavimas</t>
  </si>
  <si>
    <t>Toyota</t>
  </si>
  <si>
    <t>(SF - Saskaitos faktura)</t>
  </si>
  <si>
    <t>montazke+naujos padangos michelin</t>
  </si>
  <si>
    <t>A1 Motors</t>
  </si>
  <si>
    <t>BMW X6M</t>
  </si>
  <si>
    <t>montazke+naijos padangos continental</t>
  </si>
  <si>
    <t>Skoda super b</t>
  </si>
  <si>
    <t>montazke+langu skystis 1vnt</t>
  </si>
  <si>
    <t>Golf VII</t>
  </si>
  <si>
    <t>KCV108</t>
  </si>
  <si>
    <t>Priekiniu spiruokliu keitimas (+atraminiai) 802 696, 802 696</t>
  </si>
  <si>
    <t>israsyti bendra saskaita</t>
  </si>
  <si>
    <t>disko lyginimas</t>
  </si>
  <si>
    <t>P08631</t>
  </si>
  <si>
    <t>pavedimu?</t>
  </si>
  <si>
    <t>naujos continental+montazke</t>
  </si>
  <si>
    <t>padangos naudotos+montazke</t>
  </si>
  <si>
    <t>MB GLS AMG</t>
  </si>
  <si>
    <t>R23 montazke</t>
  </si>
  <si>
    <t>2025-01-xx</t>
  </si>
  <si>
    <t>JDL183</t>
  </si>
  <si>
    <t>montazke+padangos sava</t>
  </si>
  <si>
    <t>Chevrolet</t>
  </si>
  <si>
    <t>EA0873</t>
  </si>
  <si>
    <t>balansas+uzdeimas ant masinos</t>
  </si>
  <si>
    <t>paemiau</t>
  </si>
  <si>
    <t>Audi Q7</t>
  </si>
  <si>
    <t>montazke, naujos sava eskimo ice 195/65r15 + traktoroiuko padangos keitimas</t>
  </si>
  <si>
    <t>Gintaras grig</t>
  </si>
  <si>
    <t>BMW X5</t>
  </si>
  <si>
    <t>Tadas T</t>
  </si>
  <si>
    <t>BMW X7 G07</t>
  </si>
  <si>
    <t>MHK077</t>
  </si>
  <si>
    <t>Pakabos keitimas</t>
  </si>
  <si>
    <t>airbog</t>
  </si>
  <si>
    <t>NIO ET5</t>
  </si>
  <si>
    <t>NI09121E</t>
  </si>
  <si>
    <t>Padangos remontas</t>
  </si>
  <si>
    <t>Arnas Šuliokas</t>
  </si>
  <si>
    <t>KGT066</t>
  </si>
  <si>
    <t>Adudi a6 Quattro</t>
  </si>
  <si>
    <t>Filtrai tepalai, duslintovo tvarkimas</t>
  </si>
  <si>
    <t>ABC123</t>
  </si>
  <si>
    <t xml:space="preserve">PORSCHE </t>
  </si>
  <si>
    <t>Bridge ratus, BFGoodrich padangos, montazke</t>
  </si>
  <si>
    <t>LEA788</t>
  </si>
  <si>
    <t>PEUGEOT kablukas</t>
  </si>
  <si>
    <t>Arturas</t>
  </si>
  <si>
    <t>VW POLO</t>
  </si>
  <si>
    <t>2vnt. montazke</t>
  </si>
  <si>
    <t>Audi a1</t>
  </si>
  <si>
    <t>2 naujos padangos, guolio keitimas</t>
  </si>
  <si>
    <t>P06975</t>
  </si>
  <si>
    <t>MB EQE500</t>
  </si>
  <si>
    <t>GY UG PERF+/montazke</t>
  </si>
  <si>
    <t>Kebla</t>
  </si>
  <si>
    <t>MUJ229</t>
  </si>
  <si>
    <t>Mazda 5</t>
  </si>
  <si>
    <t>pakabos stabdziu ir tt remontas</t>
  </si>
  <si>
    <t>Uzor Angelus Nnanyre</t>
  </si>
  <si>
    <t>bus skolingas 84eur su granatos apsaugos keitimu</t>
  </si>
  <si>
    <t xml:space="preserve">VW </t>
  </si>
  <si>
    <t>2vnt debica r15, montazke, 1vnt padangos remontas</t>
  </si>
  <si>
    <t>EB3936</t>
  </si>
  <si>
    <t>BMW 225xe?</t>
  </si>
  <si>
    <t xml:space="preserve">montazke+padangos </t>
  </si>
  <si>
    <t>montazke+padangos ag</t>
  </si>
  <si>
    <t>Totyta yaris</t>
  </si>
  <si>
    <t>BMW E61</t>
  </si>
  <si>
    <t>naujos padangos, r19 montazke, langu skistis 1vnt., pasauga 2vnt.</t>
  </si>
  <si>
    <t>Arunas Gliaudelis</t>
  </si>
  <si>
    <t>MCV188</t>
  </si>
  <si>
    <t>MB S-class?</t>
  </si>
  <si>
    <t>balansas+1vnt. rato lyginimas</t>
  </si>
  <si>
    <t>Ford Transit Contect</t>
  </si>
  <si>
    <t>2vnt slegio jutikliu keitimas+valytuvai</t>
  </si>
  <si>
    <t>Kovaliovas?</t>
  </si>
  <si>
    <t>subaru</t>
  </si>
  <si>
    <t>LJY889</t>
  </si>
  <si>
    <t>Suzuki Swift</t>
  </si>
  <si>
    <t>filtru keitimas, tepalo var.+deze meh., antifirzo, stabdziu skysciu keitimas</t>
  </si>
  <si>
    <t>Renatas motuzas</t>
  </si>
  <si>
    <t>Audi a3</t>
  </si>
  <si>
    <t>padangos+remontas stabdziu, aptarnavimas</t>
  </si>
  <si>
    <t>Dominykas Gasperovic</t>
  </si>
  <si>
    <t>UVU123</t>
  </si>
  <si>
    <t>Golf 7</t>
  </si>
  <si>
    <t>sklende ir jos keitimas+kiti darbai</t>
  </si>
  <si>
    <t>Audi RS5</t>
  </si>
  <si>
    <t>padangos gy, montazke</t>
  </si>
  <si>
    <t>Lexus NX</t>
  </si>
  <si>
    <t>montazke+naujos padangos gy</t>
  </si>
  <si>
    <t>MIS984</t>
  </si>
  <si>
    <t>VW scirocco</t>
  </si>
  <si>
    <t>galiniu disku ir kaladeliu keitimas</t>
  </si>
  <si>
    <t>MB s-class</t>
  </si>
  <si>
    <t>montazke+naujos gripmax 255/45r18</t>
  </si>
  <si>
    <t>LUV233</t>
  </si>
  <si>
    <t>Lexus</t>
  </si>
  <si>
    <t>montazke+gy ultragrip perf 3 205/55r16</t>
  </si>
  <si>
    <t>Denas</t>
  </si>
  <si>
    <t>EV8508</t>
  </si>
  <si>
    <t>Jeep Compass</t>
  </si>
  <si>
    <t>55pavediimu</t>
  </si>
  <si>
    <r>
      <rPr/>
      <t xml:space="preserve">montazke, </t>
    </r>
    <r>
      <rPr>
        <b/>
        <color rgb="FFFF0000"/>
        <sz val="11.0"/>
      </rPr>
      <t>israsyti sask sndn</t>
    </r>
  </si>
  <si>
    <t>Pijus Matulionis pijus.jonas@gmail.com</t>
  </si>
  <si>
    <t>mokejo pavedimu</t>
  </si>
  <si>
    <t>Alfa</t>
  </si>
  <si>
    <t>variklio tepalas,oro/tepalo filtrai,zvakes</t>
  </si>
  <si>
    <t>denisui</t>
  </si>
  <si>
    <t>montazke 1vnt+padanga dunlop 195/65r15</t>
  </si>
  <si>
    <t>HOS011</t>
  </si>
  <si>
    <t>Audi RS7</t>
  </si>
  <si>
    <t xml:space="preserve">Down pipes </t>
  </si>
  <si>
    <t>Kristis</t>
  </si>
  <si>
    <t>balansas,kitu ratu uzdeimas</t>
  </si>
  <si>
    <t>P01709</t>
  </si>
  <si>
    <t>VOLVO XC90 B5</t>
  </si>
  <si>
    <t>hankook 275/45r20+montazke</t>
  </si>
  <si>
    <t>Ford</t>
  </si>
  <si>
    <t>padangos remontas</t>
  </si>
  <si>
    <t>tomas leonavicius</t>
  </si>
  <si>
    <t>ratu keitimas+balansas</t>
  </si>
  <si>
    <t>montazke+util</t>
  </si>
  <si>
    <t>Airbago tvarkimas, dignostika ir pns.</t>
  </si>
  <si>
    <t>Padangos AG, langu skysti 1.3vnt</t>
  </si>
  <si>
    <t>2025-02-xx</t>
  </si>
  <si>
    <t>Tomas Kuzinauskas</t>
  </si>
  <si>
    <t>Karolis chaltura braidu</t>
  </si>
  <si>
    <t>EV8427</t>
  </si>
  <si>
    <t>Tesla</t>
  </si>
  <si>
    <t>montazke + michelin padangos.....</t>
  </si>
  <si>
    <t>Jeep</t>
  </si>
  <si>
    <t>padangos+montazke</t>
  </si>
  <si>
    <t>JEV841</t>
  </si>
  <si>
    <t>tepalai,filtrai, stabdziai, granata ir pns</t>
  </si>
  <si>
    <t>hankok padanga, montazke 1vnt</t>
  </si>
  <si>
    <t>Dencikui</t>
  </si>
  <si>
    <t>galinis valytuvas, difuzorius, apiplovimo varikliukas</t>
  </si>
  <si>
    <t>Toyota rav4?</t>
  </si>
  <si>
    <t>fulda padangos+montazke</t>
  </si>
  <si>
    <t>santechnikas?</t>
  </si>
  <si>
    <t>Opel</t>
  </si>
  <si>
    <t>rato tvarkimas</t>
  </si>
  <si>
    <t>kaimynas?</t>
  </si>
  <si>
    <t>Toyota supra</t>
  </si>
  <si>
    <t>BMW 330d</t>
  </si>
  <si>
    <t>rankinio stabdzio tvarkimas</t>
  </si>
  <si>
    <t>Daniel Liachovic</t>
  </si>
  <si>
    <t>5eur skolingas</t>
  </si>
  <si>
    <t>mart paeme, juozui santech</t>
  </si>
  <si>
    <t xml:space="preserve">Fiat </t>
  </si>
  <si>
    <t>2vnt montazke, suportu patikra valymas ir tepimas</t>
  </si>
  <si>
    <t>Ovidijus</t>
  </si>
  <si>
    <t>MYG749</t>
  </si>
  <si>
    <t>montazke r16+visu disku valymas</t>
  </si>
  <si>
    <t>BMW M340i</t>
  </si>
  <si>
    <t>hankook w330+montazke</t>
  </si>
  <si>
    <t xml:space="preserve">tepalai filtrai </t>
  </si>
  <si>
    <t>Ford Transit</t>
  </si>
  <si>
    <t>Akumu keitimas 2vnt+akumai, pakabos diagnostika+obd diagnostika</t>
  </si>
  <si>
    <t>kaimynas</t>
  </si>
  <si>
    <t>Competus Winter 2 235/55r18 padangos remontas (sniuras)</t>
  </si>
  <si>
    <t>kaimyno padanga?</t>
  </si>
  <si>
    <t>Pegeot kablukas</t>
  </si>
  <si>
    <t>patikra po avarijos</t>
  </si>
  <si>
    <t>AUDI A6</t>
  </si>
  <si>
    <t>tepalo keitimas+filtrai</t>
  </si>
  <si>
    <t>devetos AG 235/60r18</t>
  </si>
  <si>
    <t xml:space="preserve">Audi </t>
  </si>
  <si>
    <t>atveze uzklijoti padanga (dydele skyle, ar laikis? idetus 2 sniurus)</t>
  </si>
  <si>
    <t>dainiux</t>
  </si>
  <si>
    <t>PDC diagnostika, surastas kuris neveikia (pdc kodas: d25ke)</t>
  </si>
  <si>
    <t>LTO972</t>
  </si>
  <si>
    <t xml:space="preserve">BMW F10 </t>
  </si>
  <si>
    <t>GY UG Perf+ 1vnt, disko lyginimas+montazke 1vnt</t>
  </si>
  <si>
    <t>Fiat</t>
  </si>
  <si>
    <t>michelinus r17+montqazke</t>
  </si>
  <si>
    <t>Mitsubishi</t>
  </si>
  <si>
    <t>Padangos ag ir montazke</t>
  </si>
  <si>
    <t>Ukrainetis</t>
  </si>
  <si>
    <t>BMW g30</t>
  </si>
  <si>
    <t>Nexen padangos+montazke</t>
  </si>
  <si>
    <t>tepalai,filtrai, apiplovimo tvarkymas</t>
  </si>
  <si>
    <t>Tautvis</t>
  </si>
  <si>
    <t>ABT207</t>
  </si>
  <si>
    <t>zibintai</t>
  </si>
  <si>
    <t xml:space="preserve">AUDI </t>
  </si>
  <si>
    <t>(240) pavedimu</t>
  </si>
  <si>
    <t>montazke, dunlop padangos</t>
  </si>
  <si>
    <t>Karolis (paemiau uzmketi uz sarnyro restauracija)</t>
  </si>
  <si>
    <t>disku lyginimas</t>
  </si>
  <si>
    <t>SKODA RS</t>
  </si>
  <si>
    <t>Kaladeliu keitimas (priekis)</t>
  </si>
  <si>
    <t>FORD</t>
  </si>
  <si>
    <t>padangos ag hankook r16 215/60</t>
  </si>
  <si>
    <t>2025-02-24?</t>
  </si>
  <si>
    <t>PORSCHE 911</t>
  </si>
  <si>
    <t>vairo traukes keitimas+detales</t>
  </si>
  <si>
    <t>2025-03-xx</t>
  </si>
  <si>
    <t>AUDI RS7</t>
  </si>
  <si>
    <t>zvakiu, dirzu ir guolu keitimas</t>
  </si>
  <si>
    <t>Toyota yaris</t>
  </si>
  <si>
    <t>paeme martynas</t>
  </si>
  <si>
    <t>DON911</t>
  </si>
  <si>
    <t xml:space="preserve">Porsche </t>
  </si>
  <si>
    <t>rato, padangos nuemimas, nuveztas diskas virinti</t>
  </si>
  <si>
    <t>JSJ769</t>
  </si>
  <si>
    <t>Skoda</t>
  </si>
  <si>
    <t>rato lyginimas, padanga ir montazke (yokohama)</t>
  </si>
  <si>
    <t>Mingela</t>
  </si>
  <si>
    <t>Marto golfui siurblio jungiklius</t>
  </si>
  <si>
    <t>Hyundai 6</t>
  </si>
  <si>
    <t>Karolis, padejau uz bulkos detales FE21502</t>
  </si>
  <si>
    <t>kleber badanga+montazke 125+20</t>
  </si>
  <si>
    <t>Julius Pansevicius</t>
  </si>
  <si>
    <t>skolingas uz montazke 5</t>
  </si>
  <si>
    <t>LEC882</t>
  </si>
  <si>
    <t>kaladeliu ir disku keitimas (priekis)</t>
  </si>
  <si>
    <t>rato montazke.</t>
  </si>
  <si>
    <t xml:space="preserve"> VW MK7R</t>
  </si>
  <si>
    <t>tepalu keitimas ir tepalo filtras</t>
  </si>
  <si>
    <t>MB GLC63amg</t>
  </si>
  <si>
    <t>padangu nuemimas</t>
  </si>
  <si>
    <t>turbako nueimimas</t>
  </si>
  <si>
    <t>10:00-16:00</t>
  </si>
  <si>
    <t xml:space="preserve">karolis paemiau turbo </t>
  </si>
  <si>
    <t>karolis graza  uz turbo</t>
  </si>
  <si>
    <t>03/19</t>
  </si>
  <si>
    <t>Toyota Corolla</t>
  </si>
  <si>
    <t>Eugenijus Nirenberg</t>
  </si>
  <si>
    <t>turbako uzdeimas</t>
  </si>
  <si>
    <t>09:00-15:00</t>
  </si>
  <si>
    <t>03/20</t>
  </si>
  <si>
    <t>JPS686</t>
  </si>
  <si>
    <t>dirzu, vandens pompos, genero sank., zvakiu ir antifrizo keitimas</t>
  </si>
  <si>
    <t>id4</t>
  </si>
  <si>
    <t xml:space="preserve">Lizunas </t>
  </si>
  <si>
    <t>uz teslos ratus (kreivus)</t>
  </si>
  <si>
    <t>03/21</t>
  </si>
  <si>
    <t>Volvo</t>
  </si>
  <si>
    <t>20 dave mart</t>
  </si>
  <si>
    <t>padangu montazke vnt. 4kartus</t>
  </si>
  <si>
    <t>minkevicius</t>
  </si>
  <si>
    <t>Ford f150</t>
  </si>
  <si>
    <t>tepalu, oro ir tepalo filtru keitimas</t>
  </si>
  <si>
    <t>Mantas?</t>
  </si>
  <si>
    <t>MNU624?</t>
  </si>
  <si>
    <t>diagnostika, babinu keitimas vietomis, +1 nauja zvake</t>
  </si>
  <si>
    <t>HCV664</t>
  </si>
  <si>
    <t>HAB919</t>
  </si>
  <si>
    <t>VW Caddy</t>
  </si>
  <si>
    <t>montazke R16+pasauga</t>
  </si>
  <si>
    <t>Rimantas Kuliešius</t>
  </si>
  <si>
    <t>LNA116</t>
  </si>
  <si>
    <t>montazke R18 padangos paeme su savim</t>
  </si>
  <si>
    <t>ECO951</t>
  </si>
  <si>
    <t>IONIQ 6</t>
  </si>
  <si>
    <t>montazke R18+pasauga</t>
  </si>
  <si>
    <t>03/24</t>
  </si>
  <si>
    <t>tepalus fitrus, padangu montazke</t>
  </si>
  <si>
    <t>Agne</t>
  </si>
  <si>
    <t>Porshce 911</t>
  </si>
  <si>
    <t>tralistui uz porsche 911</t>
  </si>
  <si>
    <t>Civic</t>
  </si>
  <si>
    <t>civic ratas vienas islygintas, numontotos visos padangos</t>
  </si>
  <si>
    <t>audi ratus sumontotus</t>
  </si>
  <si>
    <t>HTF127</t>
  </si>
  <si>
    <t>busikas montazke+pasauga</t>
  </si>
  <si>
    <t>mingela</t>
  </si>
  <si>
    <t>03/25</t>
  </si>
  <si>
    <t>MST864</t>
  </si>
  <si>
    <t>Pranas Ušinskas</t>
  </si>
  <si>
    <t>LIP333</t>
  </si>
  <si>
    <t>BMW M240i</t>
  </si>
  <si>
    <t>gluoksnis</t>
  </si>
  <si>
    <t>BMW M3?</t>
  </si>
  <si>
    <t>mokejo, kur cash bbz</t>
  </si>
  <si>
    <t xml:space="preserve">montazke, nauju GY </t>
  </si>
  <si>
    <t>Jokubas</t>
  </si>
  <si>
    <t>255/35-255/40r19 UG Perf 3</t>
  </si>
  <si>
    <t>03/26</t>
  </si>
  <si>
    <t>stabdziu skistis, rankinis? 1l dot4</t>
  </si>
  <si>
    <t>Kaimynas</t>
  </si>
  <si>
    <t>HMU633</t>
  </si>
  <si>
    <t>Petras Kavaliauskas</t>
  </si>
  <si>
    <t>VW Tiguan</t>
  </si>
  <si>
    <t>Daiva Šerelienė</t>
  </si>
  <si>
    <t>KBB420</t>
  </si>
  <si>
    <t>PORSHCE CAYENE</t>
  </si>
  <si>
    <t>balansas+pasauga</t>
  </si>
  <si>
    <t>CIVIC</t>
  </si>
  <si>
    <t>OK-rato lyginimas,montazke visu buvo</t>
  </si>
  <si>
    <t>AUDI a6</t>
  </si>
  <si>
    <t>balansas, (ratai lygus) r22</t>
  </si>
  <si>
    <t>ratu keitimas is vienos masinos i kita</t>
  </si>
  <si>
    <t>airbog?</t>
  </si>
  <si>
    <t>03/27</t>
  </si>
  <si>
    <t>LGY 060</t>
  </si>
  <si>
    <t>AUDI</t>
  </si>
  <si>
    <t>Edita Znutiene</t>
  </si>
  <si>
    <t>LFN219</t>
  </si>
  <si>
    <t>Aivaras D</t>
  </si>
  <si>
    <t>borsh graztas</t>
  </si>
  <si>
    <t>Volvo XC 40</t>
  </si>
  <si>
    <t>Einar Bjarni Sturluson</t>
  </si>
  <si>
    <t>03/28</t>
  </si>
  <si>
    <t>sudetus daviklius (ne musu) ir subalansuoti</t>
  </si>
  <si>
    <t>Kaimyno alius ratus (+37065664941)</t>
  </si>
  <si>
    <t>LGH731</t>
  </si>
  <si>
    <t>BMW 3</t>
  </si>
  <si>
    <t>monazke</t>
  </si>
  <si>
    <t>LIUDMILA KEDA</t>
  </si>
  <si>
    <t>NBV088</t>
  </si>
  <si>
    <t>MEZ111</t>
  </si>
  <si>
    <t>GY EFFGRIP 2 SUV 255/55r18</t>
  </si>
  <si>
    <t>Andrius Mezenius?</t>
  </si>
  <si>
    <t>kur?</t>
  </si>
  <si>
    <t>balans + pasauga</t>
  </si>
  <si>
    <t>Rolandas Šustikas</t>
  </si>
  <si>
    <t>DENUI</t>
  </si>
  <si>
    <t>moco padangos</t>
  </si>
  <si>
    <t>03/29</t>
  </si>
  <si>
    <t>EA1495</t>
  </si>
  <si>
    <t>AUDI Q8</t>
  </si>
  <si>
    <t>HPN081</t>
  </si>
  <si>
    <t>Skoda Octavia</t>
  </si>
  <si>
    <t>balansas+pasauga (sask uz visas masinas)</t>
  </si>
  <si>
    <t>BMW330e</t>
  </si>
  <si>
    <t>montazke+pasaga+priority</t>
  </si>
  <si>
    <t>JEH970</t>
  </si>
  <si>
    <t>TOYOTA RAV</t>
  </si>
  <si>
    <t>pasake kad jau uzmoketa</t>
  </si>
  <si>
    <t>naujos gy, montazke</t>
  </si>
  <si>
    <t>Laurynas Dagys</t>
  </si>
  <si>
    <t xml:space="preserve"> </t>
  </si>
  <si>
    <t>03/31</t>
  </si>
  <si>
    <t>montazke+pasauga?</t>
  </si>
  <si>
    <t xml:space="preserve"> Kasinskij Aleksandr</t>
  </si>
  <si>
    <t>MYC755</t>
  </si>
  <si>
    <t>Nisan kasqai</t>
  </si>
  <si>
    <t>Kebla?</t>
  </si>
  <si>
    <t xml:space="preserve">SKODA </t>
  </si>
  <si>
    <t>LOY569</t>
  </si>
  <si>
    <t>LHT019</t>
  </si>
  <si>
    <t>montazke+paliko ismetimui padangos</t>
  </si>
  <si>
    <t>Tomas Blažonis</t>
  </si>
  <si>
    <t xml:space="preserve">Toyota Corolla </t>
  </si>
  <si>
    <t>MNU654</t>
  </si>
  <si>
    <t>VW GOLF mk7 R</t>
  </si>
  <si>
    <t>montazke (ziemines paeme su savim)</t>
  </si>
  <si>
    <t xml:space="preserve"> Mantas Ankudavičius</t>
  </si>
  <si>
    <t>NGR543</t>
  </si>
  <si>
    <t>MB Sprinter?</t>
  </si>
  <si>
    <t>naujos padangos+montazke</t>
  </si>
  <si>
    <t>EA6678</t>
  </si>
  <si>
    <t>VW ID3</t>
  </si>
  <si>
    <t>Giedrius Adamonis</t>
  </si>
  <si>
    <t>MNE235</t>
  </si>
  <si>
    <t>Kazėnaitė Valentina</t>
  </si>
  <si>
    <t>padangos ag continental (sestadeni atnesiau eurus penktadeni pardaviau)</t>
  </si>
  <si>
    <t>mdm007</t>
  </si>
  <si>
    <t>Lukas Mackeivicius</t>
  </si>
  <si>
    <t>Ea4337</t>
  </si>
  <si>
    <t>VW ID</t>
  </si>
  <si>
    <t>EC6904</t>
  </si>
  <si>
    <t>Toyota RAV</t>
  </si>
  <si>
    <t>montazke+pasauga+naujos gy</t>
  </si>
  <si>
    <t>Ignas Kamantauskas</t>
  </si>
  <si>
    <t>AUDI Q5?</t>
  </si>
  <si>
    <t>2025-04-xx</t>
  </si>
  <si>
    <t>NDB804</t>
  </si>
  <si>
    <t>BMW 3series</t>
  </si>
  <si>
    <t>paliko viena rata islyginti (ziema) guli garaze</t>
  </si>
  <si>
    <t>Romas Zienka</t>
  </si>
  <si>
    <t>ISLIGINTAS 2025/06/05</t>
  </si>
  <si>
    <t>LUM793</t>
  </si>
  <si>
    <t>Vilius Lukaševičius</t>
  </si>
  <si>
    <t>padangos ag kleber</t>
  </si>
  <si>
    <t>MINI</t>
  </si>
  <si>
    <t>montazke+pasauga!</t>
  </si>
  <si>
    <t>Tomas Mockevicius</t>
  </si>
  <si>
    <t>JAG060</t>
  </si>
  <si>
    <t>Pegeuot 305?</t>
  </si>
  <si>
    <t>Martynas Rudokas</t>
  </si>
  <si>
    <t>Audi RS6</t>
  </si>
  <si>
    <t>pasauga+balansas+bbz uz ka :D</t>
  </si>
  <si>
    <t>EC8100</t>
  </si>
  <si>
    <t>Audi Q</t>
  </si>
  <si>
    <t>balansas+priority</t>
  </si>
  <si>
    <t>Audi Q elvijus kersulis</t>
  </si>
  <si>
    <t>padangos ag sailun</t>
  </si>
  <si>
    <t>strimaitis mantas tiguan sumokejo HUH181</t>
  </si>
  <si>
    <t>HUH181</t>
  </si>
  <si>
    <t>MHV178</t>
  </si>
  <si>
    <t>subaru Outback</t>
  </si>
  <si>
    <t>silvinas sakalauskas</t>
  </si>
  <si>
    <t>04/20</t>
  </si>
  <si>
    <t>JBD581</t>
  </si>
  <si>
    <t>montazke 2vnt, 2vnt balansas+priority+ naujus maxxis x2, (uz padangos reikia sask)</t>
  </si>
  <si>
    <t>Arturas Andriejauskas</t>
  </si>
  <si>
    <r>
      <rPr>
        <color rgb="FF1155CC"/>
        <u/>
      </rPr>
      <t>arturas.andriejauskas@gmail.com</t>
    </r>
  </si>
  <si>
    <t>uz padangos nemokejo reikia sask</t>
  </si>
  <si>
    <t>pasiemiau as</t>
  </si>
  <si>
    <t>Audi A5</t>
  </si>
  <si>
    <t>LBS813</t>
  </si>
  <si>
    <t>LAIMAS NAUDUŽAS</t>
  </si>
  <si>
    <t>LSD066</t>
  </si>
  <si>
    <t>Audi A6 C6</t>
  </si>
  <si>
    <t>sumokejo mart</t>
  </si>
  <si>
    <t>montazke (R17)</t>
  </si>
  <si>
    <t>Arūnas Šulga</t>
  </si>
  <si>
    <t>EA8258</t>
  </si>
  <si>
    <t>mersas eqa</t>
  </si>
  <si>
    <t>Mantvydas Čekutis</t>
  </si>
  <si>
    <t>NGR453</t>
  </si>
  <si>
    <t>MB Sprinter</t>
  </si>
  <si>
    <t>EB2215</t>
  </si>
  <si>
    <t>Jaguar</t>
  </si>
  <si>
    <t>VW ID3?</t>
  </si>
  <si>
    <t>Hyundai SAntafe</t>
  </si>
  <si>
    <t>Tomas Beinartas</t>
  </si>
  <si>
    <t>MHC263</t>
  </si>
  <si>
    <t>???</t>
  </si>
  <si>
    <t>montazke IDE009533</t>
  </si>
  <si>
    <t>Robert Dzisevič</t>
  </si>
  <si>
    <t>paemiau (Karolis)</t>
  </si>
  <si>
    <t>AUDI Q</t>
  </si>
  <si>
    <t>NEC727</t>
  </si>
  <si>
    <t>Andzei</t>
  </si>
  <si>
    <t>nec720</t>
  </si>
  <si>
    <t>veronika Rad Invitee Email: koli343@gmail.com</t>
  </si>
  <si>
    <t>HOR599</t>
  </si>
  <si>
    <t>Aurimas Matkevičius</t>
  </si>
  <si>
    <t>Nissan Leaf</t>
  </si>
  <si>
    <t>EV3994</t>
  </si>
  <si>
    <t>Ieva Du</t>
  </si>
  <si>
    <t>HJS554, Audi A4</t>
  </si>
  <si>
    <t>montazke / pasaugs</t>
  </si>
  <si>
    <t>toyota c-hr</t>
  </si>
  <si>
    <t>Žygimantas Bidva</t>
  </si>
  <si>
    <t>61BDZ, Citroen Ami</t>
  </si>
  <si>
    <t>MPD 917</t>
  </si>
  <si>
    <t>Aurimas Leliukas</t>
  </si>
  <si>
    <t>EA2185</t>
  </si>
  <si>
    <t>Tomas Vaitiekūnas</t>
  </si>
  <si>
    <t>LCJ813</t>
  </si>
  <si>
    <t xml:space="preserve">Toyota </t>
  </si>
  <si>
    <t>montazke, ziema isveze</t>
  </si>
  <si>
    <t>Darius Rapčinskas?</t>
  </si>
  <si>
    <t>LZE313</t>
  </si>
  <si>
    <t>Elvijus K</t>
  </si>
  <si>
    <t>Ngm922</t>
  </si>
  <si>
    <t>revolut 50eur</t>
  </si>
  <si>
    <t>Reed Akilla</t>
  </si>
  <si>
    <t>MJO???</t>
  </si>
  <si>
    <t>montazke+naujos padangos GY</t>
  </si>
  <si>
    <t>Ldu797</t>
  </si>
  <si>
    <t>revolut 40eur</t>
  </si>
  <si>
    <t>Nbs117</t>
  </si>
  <si>
    <t xml:space="preserve">AUDI Q5 </t>
  </si>
  <si>
    <t>montazke+psasuga</t>
  </si>
  <si>
    <t>Saulius Baniulis</t>
  </si>
  <si>
    <t>VOLVO V70</t>
  </si>
  <si>
    <t>Kristijonas Dargužis</t>
  </si>
  <si>
    <t>Mad616</t>
  </si>
  <si>
    <t>rato lyginimas</t>
  </si>
  <si>
    <t>Andzej</t>
  </si>
  <si>
    <t>04/14</t>
  </si>
  <si>
    <t>jag356</t>
  </si>
  <si>
    <t>LAN352</t>
  </si>
  <si>
    <t>LEXUS NX200T</t>
  </si>
  <si>
    <t>montazke+pasaua</t>
  </si>
  <si>
    <t>MZO797</t>
  </si>
  <si>
    <t>Ford focus</t>
  </si>
  <si>
    <t>montazke+2vnt goodyear</t>
  </si>
  <si>
    <t>Ingrida Zabilienė</t>
  </si>
  <si>
    <t>NAS012</t>
  </si>
  <si>
    <t>Audi A4</t>
  </si>
  <si>
    <t>Tautvydas Bagonas</t>
  </si>
  <si>
    <t>EC5268</t>
  </si>
  <si>
    <t>ID 3</t>
  </si>
  <si>
    <t>MONTAZKE+UTIL</t>
  </si>
  <si>
    <t>10EUR PERVEDE</t>
  </si>
  <si>
    <t>04/15</t>
  </si>
  <si>
    <t>JCP141</t>
  </si>
  <si>
    <t>balans+pasauga</t>
  </si>
  <si>
    <t>Donatas Statulevičius</t>
  </si>
  <si>
    <t>NISSAN GAQKAI</t>
  </si>
  <si>
    <t>Elita Ereminiene</t>
  </si>
  <si>
    <t>EV7461</t>
  </si>
  <si>
    <t>Pavel Zagzin</t>
  </si>
  <si>
    <t>Subaru Forester</t>
  </si>
  <si>
    <t>Vytenis Sodaitis</t>
  </si>
  <si>
    <t>montazke+pasauga+naujos padangos</t>
  </si>
  <si>
    <t>Violeta Serbintienė</t>
  </si>
  <si>
    <t>Toyota Auris</t>
  </si>
  <si>
    <t>montazke+util, reikia nauju padangu</t>
  </si>
  <si>
    <t>Tadas Vanagas</t>
  </si>
  <si>
    <r>
      <rPr>
        <color rgb="FF1155CC"/>
        <u/>
      </rPr>
      <t>virtiis@gmail.com</t>
    </r>
  </si>
  <si>
    <t>uz contikus ir montazke</t>
  </si>
  <si>
    <t>04/16</t>
  </si>
  <si>
    <t>NBM199</t>
  </si>
  <si>
    <t>Tomas Lukaševičius</t>
  </si>
  <si>
    <t>04/17</t>
  </si>
  <si>
    <t>LUV612</t>
  </si>
  <si>
    <t>montazke, be pasaugos</t>
  </si>
  <si>
    <t>Mindaugas Čepas</t>
  </si>
  <si>
    <t>semislikus montazke</t>
  </si>
  <si>
    <t>VW golf</t>
  </si>
  <si>
    <t>JMO 870</t>
  </si>
  <si>
    <t>mntazke</t>
  </si>
  <si>
    <t>Povilas Valickas</t>
  </si>
  <si>
    <t>MSZ657</t>
  </si>
  <si>
    <t xml:space="preserve"> Robertas Liepa</t>
  </si>
  <si>
    <t>uz padangos sask reikia</t>
  </si>
  <si>
    <t>bmw</t>
  </si>
  <si>
    <t>MZT084</t>
  </si>
  <si>
    <t>balans</t>
  </si>
  <si>
    <t>Romas Laurinavicius</t>
  </si>
  <si>
    <t>04/18</t>
  </si>
  <si>
    <t xml:space="preserve">Lexus CT200h </t>
  </si>
  <si>
    <t>Denas Ramanauskas</t>
  </si>
  <si>
    <t>Lexus IS300H</t>
  </si>
  <si>
    <t>Giedrė Soloveičikienė</t>
  </si>
  <si>
    <t>Volvo s60</t>
  </si>
  <si>
    <t>htg750</t>
  </si>
  <si>
    <t xml:space="preserve"> Aurius P</t>
  </si>
  <si>
    <t>paemiau grazos mart</t>
  </si>
  <si>
    <t>04/018</t>
  </si>
  <si>
    <t>VW, Passat</t>
  </si>
  <si>
    <t>kbh712</t>
  </si>
  <si>
    <t>balansas, pats dave 40eur :D</t>
  </si>
  <si>
    <t>Tadas Stasiulis</t>
  </si>
  <si>
    <t>mersas gl-b</t>
  </si>
  <si>
    <t>Nisaan Qasqui</t>
  </si>
  <si>
    <t>04/19</t>
  </si>
  <si>
    <t>montazke r18+pasauga</t>
  </si>
  <si>
    <t>bmw f10</t>
  </si>
  <si>
    <t>JDO 520</t>
  </si>
  <si>
    <t>balansas+pasauga+klijavimas</t>
  </si>
  <si>
    <t>Bmw7</t>
  </si>
  <si>
    <t>r21 montazke</t>
  </si>
  <si>
    <t xml:space="preserve">Dir. Laimonas Jakas, +37061422008 </t>
  </si>
  <si>
    <t>UAB Talin 10</t>
  </si>
  <si>
    <t>svokpardavimai@gmail.com</t>
  </si>
  <si>
    <t xml:space="preserve">1 p.d </t>
  </si>
  <si>
    <t>Leonid C</t>
  </si>
  <si>
    <t>rasa motuziene</t>
  </si>
  <si>
    <t>Audi etron</t>
  </si>
  <si>
    <t>priotity+balansas+pasauga</t>
  </si>
  <si>
    <t>KBL913</t>
  </si>
  <si>
    <t>Laura Urbonaite</t>
  </si>
  <si>
    <t>priotity+montazke r19+pasauga</t>
  </si>
  <si>
    <t>Ieva Skyriene</t>
  </si>
  <si>
    <t>audi a6?</t>
  </si>
  <si>
    <t>kaimynas kazkoks</t>
  </si>
  <si>
    <t>mart pasiemiau</t>
  </si>
  <si>
    <t>04/22</t>
  </si>
  <si>
    <t>PORSHCE</t>
  </si>
  <si>
    <t>tepalai filtrai</t>
  </si>
  <si>
    <t>drobis</t>
  </si>
  <si>
    <t>04/23</t>
  </si>
  <si>
    <t>Škoda</t>
  </si>
  <si>
    <t>GHZ679</t>
  </si>
  <si>
    <t>Regina Verbaitienė</t>
  </si>
  <si>
    <t>uz montazke????</t>
  </si>
  <si>
    <t>audi</t>
  </si>
  <si>
    <t>Audrius Masiulionis</t>
  </si>
  <si>
    <t>pasiemaiu grazos</t>
  </si>
  <si>
    <t>JEU878 Ford Focus RS</t>
  </si>
  <si>
    <t>Simonas Kvedaras</t>
  </si>
  <si>
    <t>KCU939, Skoda Octavia</t>
  </si>
  <si>
    <t>Justina Lenčiauskienė</t>
  </si>
  <si>
    <t>04/24</t>
  </si>
  <si>
    <t>pamirsau uz lyginima paimti(</t>
  </si>
  <si>
    <t>x2 montazkes+pasauga (volvo ryt atsiskaitys)</t>
  </si>
  <si>
    <t>BMW 318i</t>
  </si>
  <si>
    <t>EGN318</t>
  </si>
  <si>
    <t xml:space="preserve">montazke+naujos sava </t>
  </si>
  <si>
    <t>Saulius Nagurnas</t>
  </si>
  <si>
    <t>04/25</t>
  </si>
  <si>
    <t>SEAT</t>
  </si>
  <si>
    <t>montazke+pasauga (reikia 2vnt nauju ziema)</t>
  </si>
  <si>
    <t>Tomas Šinkūnas</t>
  </si>
  <si>
    <t>MB SPRINTER</t>
  </si>
  <si>
    <t>montazke 1vnt rato</t>
  </si>
  <si>
    <t>ea7629</t>
  </si>
  <si>
    <t>LUS969</t>
  </si>
  <si>
    <t>nauji michelin+montazke+pasauga</t>
  </si>
  <si>
    <t>ovis</t>
  </si>
  <si>
    <t>MCR599</t>
  </si>
  <si>
    <t>nauji goodyear+montazke</t>
  </si>
  <si>
    <t>Aurimas Matkevicius</t>
  </si>
  <si>
    <t>NDB850</t>
  </si>
  <si>
    <t>andrej mama</t>
  </si>
  <si>
    <t>FZD77</t>
  </si>
  <si>
    <t>Darius Bernackas</t>
  </si>
  <si>
    <t>DODGE</t>
  </si>
  <si>
    <t>NAY181</t>
  </si>
  <si>
    <t>JTR008</t>
  </si>
  <si>
    <t>naujus dunlop+montazke</t>
  </si>
  <si>
    <t>jura</t>
  </si>
  <si>
    <t>KBC063</t>
  </si>
  <si>
    <t xml:space="preserve">montazke r19+pasauga </t>
  </si>
  <si>
    <t>Petras Andrasiunas</t>
  </si>
  <si>
    <t>Eb5035</t>
  </si>
  <si>
    <t>montazke r19 (RunOnFlat)</t>
  </si>
  <si>
    <t>Pijus Matulionis</t>
  </si>
  <si>
    <t>BMW X6</t>
  </si>
  <si>
    <t>MYG979</t>
  </si>
  <si>
    <t>montazke r20 (RunOnFlat)</t>
  </si>
  <si>
    <t>Skirmantas Paulavicius</t>
  </si>
  <si>
    <t>Skoda Kamiq</t>
  </si>
  <si>
    <t>MZL 498</t>
  </si>
  <si>
    <t>montazke r17+pasauga</t>
  </si>
  <si>
    <t>Vitalijus Belousovas</t>
  </si>
  <si>
    <t>x2 montazkes r19+pasauga</t>
  </si>
  <si>
    <t>BMW; 545</t>
  </si>
  <si>
    <t>pavedimu 90eur turejo atsisti</t>
  </si>
  <si>
    <t>montazke r19+pasauga</t>
  </si>
  <si>
    <t>andrej zmona</t>
  </si>
  <si>
    <t>Denui</t>
  </si>
  <si>
    <t>04/28</t>
  </si>
  <si>
    <t>scoda octavia</t>
  </si>
  <si>
    <t>mnm267</t>
  </si>
  <si>
    <t>montazke r16</t>
  </si>
  <si>
    <t>Dainius Kiela</t>
  </si>
  <si>
    <t>MNU624</t>
  </si>
  <si>
    <t xml:space="preserve">kaladeliu ir disku keitimas </t>
  </si>
  <si>
    <t>Tomas Bikulčius</t>
  </si>
  <si>
    <t>Škoda octavia</t>
  </si>
  <si>
    <t>montazke r16+pasauga</t>
  </si>
  <si>
    <t>Domas Puzinas</t>
  </si>
  <si>
    <t>KGF446</t>
  </si>
  <si>
    <t>Tomas Mingėla</t>
  </si>
  <si>
    <t xml:space="preserve">Citroen </t>
  </si>
  <si>
    <t>balansas+skardu pasauga</t>
  </si>
  <si>
    <t>Volkswagen Tiguan</t>
  </si>
  <si>
    <t>SKODA (TIGUAN :DD)</t>
  </si>
  <si>
    <t>KJJ600</t>
  </si>
  <si>
    <t>Busikas atveze ratus montazkei+2vnt nauji taurus</t>
  </si>
  <si>
    <t>VW GOLF R</t>
  </si>
  <si>
    <t>ratu lyginimas 4vnt+montazke</t>
  </si>
  <si>
    <t>Jovita Kumstyte</t>
  </si>
  <si>
    <t>Tiguan</t>
  </si>
  <si>
    <t>mmh314</t>
  </si>
  <si>
    <t>JJE676</t>
  </si>
  <si>
    <t>montazke+naujos sava+pasauga</t>
  </si>
  <si>
    <t>Paulė Kozlovienė</t>
  </si>
  <si>
    <t>Lexus RX300</t>
  </si>
  <si>
    <t>naujos zmax+montazke+pasauga</t>
  </si>
  <si>
    <t>Karolis Teišerskis</t>
  </si>
  <si>
    <t>C5X</t>
  </si>
  <si>
    <t>EA6610</t>
  </si>
  <si>
    <t>Debica presto hp2 195/65r15</t>
  </si>
  <si>
    <t>Miroslavas</t>
  </si>
  <si>
    <t>04/29</t>
  </si>
  <si>
    <t>Jaguar XJL</t>
  </si>
  <si>
    <t>NFT733</t>
  </si>
  <si>
    <t>montazke+pasauga r20</t>
  </si>
  <si>
    <t>Aurimas Baltušis</t>
  </si>
  <si>
    <t>Mercedes-Benz E220d</t>
  </si>
  <si>
    <t>balansas+disku pasauga</t>
  </si>
  <si>
    <t>Matas Buzelis</t>
  </si>
  <si>
    <t>busikas</t>
  </si>
  <si>
    <t>montazke r16c</t>
  </si>
  <si>
    <t>Stiklita</t>
  </si>
  <si>
    <t>martynas? ha ha, kazin ar as</t>
  </si>
  <si>
    <t>AUDI RS5</t>
  </si>
  <si>
    <t>montazke nauju contiku</t>
  </si>
  <si>
    <t>RENUALT busikas</t>
  </si>
  <si>
    <t>Lia314</t>
  </si>
  <si>
    <t>Marius Bernatonis</t>
  </si>
  <si>
    <t>Jaguar xj50</t>
  </si>
  <si>
    <t>nin212</t>
  </si>
  <si>
    <t>montazke r20 run flat+nauji pirelli</t>
  </si>
  <si>
    <t>Rysard B.</t>
  </si>
  <si>
    <t>montazke r20+prekines kaladeles su diskais</t>
  </si>
  <si>
    <t>renualt</t>
  </si>
  <si>
    <t>montazke+pasauga+naujos padangos+diskai</t>
  </si>
  <si>
    <t>balanaitis</t>
  </si>
  <si>
    <t>pirelli+montazke</t>
  </si>
  <si>
    <t>IGOR C</t>
  </si>
  <si>
    <t>Škoda Superb</t>
  </si>
  <si>
    <t>KDP839</t>
  </si>
  <si>
    <t>naujos debica+montazke</t>
  </si>
  <si>
    <t>Aloyzas Koryzna</t>
  </si>
  <si>
    <t>mb</t>
  </si>
  <si>
    <t>04/30</t>
  </si>
  <si>
    <t xml:space="preserve">BMW </t>
  </si>
  <si>
    <t>MUG990</t>
  </si>
  <si>
    <t>Povilas</t>
  </si>
  <si>
    <t>montazke+pasauga+nauji goodyear</t>
  </si>
  <si>
    <t>Gintare Jokubauskaite</t>
  </si>
  <si>
    <t>montazke (toyota diskus atveze su yokohma padangom)</t>
  </si>
  <si>
    <t>lum820</t>
  </si>
  <si>
    <t>TIK MONTAZKE!!!!!</t>
  </si>
  <si>
    <t>Volvo XC70</t>
  </si>
  <si>
    <t>JFD092</t>
  </si>
  <si>
    <t>montazke+nauji goodyear</t>
  </si>
  <si>
    <t>Ramūnas Armalis</t>
  </si>
  <si>
    <t>KIA CEED</t>
  </si>
  <si>
    <t>balansas+pasauga su diskais</t>
  </si>
  <si>
    <t>sailunu montazke 2vnt+disku pasauga</t>
  </si>
  <si>
    <t>Baranas</t>
  </si>
  <si>
    <t>Honda Civic</t>
  </si>
  <si>
    <t>JGG367</t>
  </si>
  <si>
    <t>montazke+new sava</t>
  </si>
  <si>
    <t>dencikui</t>
  </si>
  <si>
    <t>Škoda Kamiq</t>
  </si>
  <si>
    <t>Remigijus Stankevičius</t>
  </si>
  <si>
    <t>Porsche 718</t>
  </si>
  <si>
    <t>NEO718</t>
  </si>
  <si>
    <t>montazke r20</t>
  </si>
  <si>
    <t>Petras Navickas</t>
  </si>
  <si>
    <t>Tesla 3</t>
  </si>
  <si>
    <t>LES575</t>
  </si>
  <si>
    <t>Danielius Ramonas</t>
  </si>
  <si>
    <t>fcu513</t>
  </si>
  <si>
    <t>Marius Mameniškis</t>
  </si>
  <si>
    <t>NAR501</t>
  </si>
  <si>
    <t>Ineta Baltramiejunaite</t>
  </si>
  <si>
    <t>naujos yokohama+montazke+pasauga</t>
  </si>
  <si>
    <t>Igoris Kacelapovas</t>
  </si>
  <si>
    <t>montazker20 +p[asauga</t>
  </si>
  <si>
    <t>JTP157</t>
  </si>
  <si>
    <t>100 pavedimu uz montazke ir pasauga</t>
  </si>
  <si>
    <t>montazke r15+pasauga</t>
  </si>
  <si>
    <t>Laimutė Keinienė</t>
  </si>
  <si>
    <t>toyota rav</t>
  </si>
  <si>
    <t>Juozas SANTEHNIKAS</t>
  </si>
  <si>
    <t>LOT448</t>
  </si>
  <si>
    <t>Šarūnas Puidokas</t>
  </si>
  <si>
    <t>Mazda 6</t>
  </si>
  <si>
    <t>JGL790</t>
  </si>
  <si>
    <t>MIM868</t>
  </si>
  <si>
    <t>Marius Benedikas</t>
  </si>
  <si>
    <t>TOMAS MINGĖLA</t>
  </si>
  <si>
    <t>montazker18 (padangos paeme su savim)</t>
  </si>
  <si>
    <t>Petras Andrašiūnas</t>
  </si>
  <si>
    <t>LMJ434</t>
  </si>
  <si>
    <t>montazke r19+nauji goodyear+pasauga 2vnt</t>
  </si>
  <si>
    <t>LEF411</t>
  </si>
  <si>
    <t>, Toyota Rav4</t>
  </si>
  <si>
    <t>JSE976</t>
  </si>
  <si>
    <t>Algirdas Preikša</t>
  </si>
  <si>
    <t>JEM285</t>
  </si>
  <si>
    <t>montazker15+ new fulda+pasauga</t>
  </si>
  <si>
    <t>Ruta Cerniauskiene</t>
  </si>
  <si>
    <t xml:space="preserve">GOLF </t>
  </si>
  <si>
    <t>montazke+oil catch cano ispilimas</t>
  </si>
  <si>
    <t>Bmw x3</t>
  </si>
  <si>
    <t>montazke r20+pasauga</t>
  </si>
  <si>
    <t xml:space="preserve">Kristijonas </t>
  </si>
  <si>
    <t>LCC383</t>
  </si>
  <si>
    <t>montazke r19?</t>
  </si>
  <si>
    <t>Volvo XC60</t>
  </si>
  <si>
    <t>Edgaras Kovaliovas</t>
  </si>
  <si>
    <t>GNP690</t>
  </si>
  <si>
    <t>atveze ratus muontoti naujos padangos r18+disku valymas</t>
  </si>
  <si>
    <t>Domas Raškevičius</t>
  </si>
  <si>
    <t>LNS473</t>
  </si>
  <si>
    <t>tepalu keitimas+balansas+disku pasauga</t>
  </si>
  <si>
    <t>Skoda VRS</t>
  </si>
  <si>
    <t>2vnt lyginimas, 2vnt balansas</t>
  </si>
  <si>
    <t>Aurimas NAV</t>
  </si>
  <si>
    <t>JDV979</t>
  </si>
  <si>
    <t>Keliauskaite Baciliuniene</t>
  </si>
  <si>
    <t>BMW 7</t>
  </si>
  <si>
    <t>montazke r19+naujos padangos+pasauga su diskais</t>
  </si>
  <si>
    <t>Justas</t>
  </si>
  <si>
    <t>Porsche</t>
  </si>
  <si>
    <t>rastafkiu nuemimas+varztai</t>
  </si>
  <si>
    <t>BMW 2</t>
  </si>
  <si>
    <t>2vnt montazke r18+2vnt balansas+4vnt coiloversu pakelimas 0.5cm</t>
  </si>
  <si>
    <t>SSS222</t>
  </si>
  <si>
    <t>montazke r20+nauji diskai ir padangos</t>
  </si>
  <si>
    <t>Donatas</t>
  </si>
  <si>
    <t>Hzu967</t>
  </si>
  <si>
    <t>naujos sava+montazker17+pasauga</t>
  </si>
  <si>
    <t>interlux?</t>
  </si>
  <si>
    <t>BMW f31</t>
  </si>
  <si>
    <t>montazke r17 run flat+pasauga+skola 15eur</t>
  </si>
  <si>
    <t>JEEP</t>
  </si>
  <si>
    <t>montazke r20+padangu pasauga</t>
  </si>
  <si>
    <t>ratu keitimas tehui x2+balansas x1</t>
  </si>
  <si>
    <t>granatos, guolio ir abs daviklio keitimas</t>
  </si>
  <si>
    <t>05/13</t>
  </si>
  <si>
    <t>BMW i3</t>
  </si>
  <si>
    <t>EA6278</t>
  </si>
  <si>
    <t>Porshce</t>
  </si>
  <si>
    <t>MJM565</t>
  </si>
  <si>
    <t xml:space="preserve">padangu montazke </t>
  </si>
  <si>
    <t>Nerka</t>
  </si>
  <si>
    <t>KIA XCEED</t>
  </si>
  <si>
    <t>EC0149</t>
  </si>
  <si>
    <t>Violeta Ostrozorova</t>
  </si>
  <si>
    <t>Maserati</t>
  </si>
  <si>
    <t>montazke r19+paasuga</t>
  </si>
  <si>
    <t>GRO033</t>
  </si>
  <si>
    <t>montazke r17 50eur+kreipanciuju sutepimas ir suportu valymas x2 (20eur) +1vnt padangos buvo kazkada klijavimas (PASAKE KAD JAU SENAI UZMOKEJO UZ KLIJAVIMA)</t>
  </si>
  <si>
    <t>Ernestas</t>
  </si>
  <si>
    <t>Suzuki vitara</t>
  </si>
  <si>
    <t>MPE791</t>
  </si>
  <si>
    <t>Dalia Kubiliute</t>
  </si>
  <si>
    <t>05/14</t>
  </si>
  <si>
    <t>TOYOTA CHR</t>
  </si>
  <si>
    <t>MGN897</t>
  </si>
  <si>
    <t>Alfa Romeo stelvio</t>
  </si>
  <si>
    <t>Toyota Versus</t>
  </si>
  <si>
    <t>HZU824</t>
  </si>
  <si>
    <t>Algimantas Karaliūnas</t>
  </si>
  <si>
    <t>05/15</t>
  </si>
  <si>
    <t>tepalo, oro, salono (pats pakeite) ir tepalu keitimas</t>
  </si>
  <si>
    <t>AUDI A6 C7</t>
  </si>
  <si>
    <t>groteles keitimas, buferio, dugno apsaugos nuemimas, pdc</t>
  </si>
  <si>
    <t>2h 30min</t>
  </si>
  <si>
    <t>Ford transit connect</t>
  </si>
  <si>
    <t>LFU484</t>
  </si>
  <si>
    <t>montazke+pasauga+padangos klijavimas (ziema)</t>
  </si>
  <si>
    <t>NIssan</t>
  </si>
  <si>
    <t>LMM464</t>
  </si>
  <si>
    <t>montazke r19+visu disku valymas ir tepimas su kliju</t>
  </si>
  <si>
    <t>Vladimir Klimeniuk</t>
  </si>
  <si>
    <t>AUDI SQ5</t>
  </si>
  <si>
    <t>NAA760</t>
  </si>
  <si>
    <t>montazke r21 ir nauji goodyear 265/40r21</t>
  </si>
  <si>
    <t>05/16</t>
  </si>
  <si>
    <t>montazke nauju gy ss</t>
  </si>
  <si>
    <t xml:space="preserve">VW PASSAT </t>
  </si>
  <si>
    <t>filtru apart kuro ir tepalu keitimas, variklo plovimas (reikes greiciausiai keisit karterio tarpine), pritvirtinau duslintuvo apsauga</t>
  </si>
  <si>
    <t>Jurga</t>
  </si>
  <si>
    <t>purkstuku tarpines, karterio tarpine? bagazines jutiklis?</t>
  </si>
  <si>
    <t>audi grotele</t>
  </si>
  <si>
    <t>hyundai Kona</t>
  </si>
  <si>
    <t>Kur504</t>
  </si>
  <si>
    <t>montazke r18, uz naujus sailun sumoketa sake</t>
  </si>
  <si>
    <t>Darius Z</t>
  </si>
  <si>
    <t>FORD GALAXY</t>
  </si>
  <si>
    <t>FGB746</t>
  </si>
  <si>
    <t>montavimas r17+rato lyginimas</t>
  </si>
  <si>
    <r>
      <rPr>
        <b/>
        <sz val="11.0"/>
      </rPr>
      <t>REIKIA SASK</t>
    </r>
    <r>
      <rPr/>
      <t xml:space="preserve"> UAB ,,Baltijos informacinės sistemos,,  andrejus.baraskovas@bis.lt </t>
    </r>
  </si>
  <si>
    <t>IDE009577</t>
  </si>
  <si>
    <t>05/19</t>
  </si>
  <si>
    <t>RENUALT BUSIKAS</t>
  </si>
  <si>
    <t>Julius</t>
  </si>
  <si>
    <t xml:space="preserve">variklio plovimas nuo tepalo </t>
  </si>
  <si>
    <t>reikalingas alkuninio veleno riebikslis</t>
  </si>
  <si>
    <t>BMW x5 E70</t>
  </si>
  <si>
    <t>Rastafkiu nuemimas 2vnt, 10vnt varztu paskolinta</t>
  </si>
  <si>
    <t>Laimas Nauduzas</t>
  </si>
  <si>
    <t>reikia disku ir bagazines zenkliukus uzsakyti</t>
  </si>
  <si>
    <t>Toyota LANDCR</t>
  </si>
  <si>
    <t>montazke r18? SUV</t>
  </si>
  <si>
    <t>Egidijus Meilūnas</t>
  </si>
  <si>
    <t>LUR128</t>
  </si>
  <si>
    <t>galiniu kaladeliu keitimas, kazkas tai su priekiu...</t>
  </si>
  <si>
    <t>montazke r17+nauji dunlop</t>
  </si>
  <si>
    <t>05/20</t>
  </si>
  <si>
    <t xml:space="preserve">VW GOLF </t>
  </si>
  <si>
    <t>priekiniu kaladeliu keitimas, oil catch cana ispiliau, tepalu keitimas</t>
  </si>
  <si>
    <t>05/21</t>
  </si>
  <si>
    <t>tepalai filtrai, disku lyginimas</t>
  </si>
  <si>
    <t>Ignas</t>
  </si>
  <si>
    <t>HONDA CIVIC</t>
  </si>
  <si>
    <t>LED888</t>
  </si>
  <si>
    <t>montazke nauju gy</t>
  </si>
  <si>
    <t>Mantas Štrimaitis</t>
  </si>
  <si>
    <t>Toyota Rav4</t>
  </si>
  <si>
    <t>HUO449</t>
  </si>
  <si>
    <t>Interlux Andrius</t>
  </si>
  <si>
    <t>CBK009</t>
  </si>
  <si>
    <t>Jurij</t>
  </si>
  <si>
    <t>Gislaved 205/50r17 vnt turejo uzmoketi pavedimu</t>
  </si>
  <si>
    <t>NBN345</t>
  </si>
  <si>
    <t>montazke r21 be pasaugos</t>
  </si>
  <si>
    <t>Stepura</t>
  </si>
  <si>
    <t>05/22</t>
  </si>
  <si>
    <t>2vnt gy po 10eur ir montazke 2vnt</t>
  </si>
  <si>
    <t>tapalo, filtru (tepalo ir salono 2vnt), stabdziu skyscio keitimas 2l, rastafkiu uzdejimas</t>
  </si>
  <si>
    <t>1vnt montazke, stabdziu skyscio keitimas 2l, stabdziu disku ausinimo skyluciu valymas 4vnt (graztas+prapusti+break clener), sarnyro neumimas p.d</t>
  </si>
  <si>
    <t>balansas 4vnt</t>
  </si>
  <si>
    <t>05/23</t>
  </si>
  <si>
    <t>porscho Nm rakto skolinimas (grazintas)</t>
  </si>
  <si>
    <t>ratu lyginimas 4vnt r20 (30*4), +montazke 60eur+nauji goodyaer 520eur?+pasauga 40eur</t>
  </si>
  <si>
    <t>Bentley</t>
  </si>
  <si>
    <t>1vnt nauj pirelli su homologacija+montazke 1vnt</t>
  </si>
  <si>
    <t>Intrelux</t>
  </si>
  <si>
    <t>sarnyro restauracija 20eur (savikaina)+uzdeimas</t>
  </si>
  <si>
    <t>uzmoketa uz sarnyro restauracija</t>
  </si>
  <si>
    <t>mcs611</t>
  </si>
  <si>
    <t>2vnt goodyear +montazke 2vnt+pasauga 1 vasarine paliko</t>
  </si>
  <si>
    <t>Aleksandras</t>
  </si>
  <si>
    <r>
      <rPr>
        <color rgb="FF1155CC"/>
        <u/>
      </rPr>
      <t>ak19830810@gmail.com</t>
    </r>
  </si>
  <si>
    <t>4eur turetu i sask atsiusti</t>
  </si>
  <si>
    <t xml:space="preserve">Lexus </t>
  </si>
  <si>
    <t>NID306</t>
  </si>
  <si>
    <t>montazke nauju gy r18</t>
  </si>
  <si>
    <t>Jurij Čirko jurawh@gmail.com UAB Kerotis</t>
  </si>
  <si>
    <t>kupona issiusk zmogui</t>
  </si>
  <si>
    <t>BMW x6</t>
  </si>
  <si>
    <t>Karolis?</t>
  </si>
  <si>
    <t>goodyear asy 6 225/40r18</t>
  </si>
  <si>
    <t>danys</t>
  </si>
  <si>
    <t>05/26</t>
  </si>
  <si>
    <t>PORSCHE MACAN</t>
  </si>
  <si>
    <t>FTC131</t>
  </si>
  <si>
    <t>puodziukas, nauji gy r17+diagnostika</t>
  </si>
  <si>
    <t>LRV939</t>
  </si>
  <si>
    <t>montazke kuhmo r18</t>
  </si>
  <si>
    <t>Diamedica</t>
  </si>
  <si>
    <t>05/27</t>
  </si>
  <si>
    <t>VW tiguan</t>
  </si>
  <si>
    <t>JRL708</t>
  </si>
  <si>
    <t>Ovis</t>
  </si>
  <si>
    <t>nauji sailun +montazke r18 (paliko 2 komplektus ismetimui)</t>
  </si>
  <si>
    <t>padangos tvarkimas (3 sniurus idejau), sukeiciau ratus vietomis pirekis-galas</t>
  </si>
  <si>
    <t>LME716</t>
  </si>
  <si>
    <t>montazke r17+pasauga+1vnt rato klijavimas</t>
  </si>
  <si>
    <t>montazke r19 ROF+pasauga</t>
  </si>
  <si>
    <t>Elmantas Latkauskas</t>
  </si>
  <si>
    <t>Volvo XC90</t>
  </si>
  <si>
    <t>EC2885</t>
  </si>
  <si>
    <t>pavedimu (100eur)</t>
  </si>
  <si>
    <t>montazke r22+pasauga</t>
  </si>
  <si>
    <t>Paulius Pocius</t>
  </si>
  <si>
    <t>GNE996</t>
  </si>
  <si>
    <t>Martynas Plyčiuraitis</t>
  </si>
  <si>
    <t>05/28</t>
  </si>
  <si>
    <t>montazke r20+ nauji corsa</t>
  </si>
  <si>
    <t>valke</t>
  </si>
  <si>
    <t>MAP911</t>
  </si>
  <si>
    <t>montazke r20+ 4ratu lyginimas+montazke r20 zeminio kamplekto+pasauga su diskais+util.</t>
  </si>
  <si>
    <t>Paulius Mikolaitis</t>
  </si>
  <si>
    <t>montazke r20+pasauga su diskas</t>
  </si>
  <si>
    <t>Porsche Cayenne</t>
  </si>
  <si>
    <t>HNN004</t>
  </si>
  <si>
    <t>montazke r21+nauji michelin</t>
  </si>
  <si>
    <t>KSU921</t>
  </si>
  <si>
    <t>balansas r17 reikia (nauju zeminiu padangu)</t>
  </si>
  <si>
    <t>Egle Keliauskaite Baciliuniene</t>
  </si>
  <si>
    <t>MB G-class</t>
  </si>
  <si>
    <t xml:space="preserve">VW Golf </t>
  </si>
  <si>
    <t>montazke r18 nauju yohohama</t>
  </si>
  <si>
    <t>montazke r</t>
  </si>
  <si>
    <t>Valke</t>
  </si>
  <si>
    <t>montazke r20+util.</t>
  </si>
  <si>
    <t>Striska</t>
  </si>
  <si>
    <t>05/29</t>
  </si>
  <si>
    <t>EJP525</t>
  </si>
  <si>
    <t>jrz090</t>
  </si>
  <si>
    <t>Audre Gaideliene</t>
  </si>
  <si>
    <t>ford</t>
  </si>
  <si>
    <t>JHH884</t>
  </si>
  <si>
    <t>2025-06-xx</t>
  </si>
  <si>
    <t>Mantas Sidabras</t>
  </si>
  <si>
    <t>BMW 740Li</t>
  </si>
  <si>
    <t>LUKITO</t>
  </si>
  <si>
    <t>padangos tvarkimas TURETU PAVEDIMU ATSIUSTI</t>
  </si>
  <si>
    <t>BMW x3</t>
  </si>
  <si>
    <t>tepalo keitimas, visu filtru, rato lyginimas, kuro filtro adapteris???</t>
  </si>
  <si>
    <t>LTK725</t>
  </si>
  <si>
    <t>sunny r15+montazke+disku [asauga</t>
  </si>
  <si>
    <t>Inga Tarasevičienė</t>
  </si>
  <si>
    <t>EB6639</t>
  </si>
  <si>
    <r>
      <rPr/>
      <t>info@</t>
    </r>
    <r>
      <rPr>
        <color rgb="FF1155CC"/>
        <u/>
      </rPr>
      <t>svarusnama.lt</t>
    </r>
    <r>
      <rPr/>
      <t>, uab švarus namas,</t>
    </r>
  </si>
  <si>
    <t>montazke r15+padangos klijavimas+pasauga</t>
  </si>
  <si>
    <t>Gintarė Skuza</t>
  </si>
  <si>
    <t>padangos ag (michelin r18)</t>
  </si>
  <si>
    <t>MB S-class</t>
  </si>
  <si>
    <t>naujos yohohamma+r19 montazke</t>
  </si>
  <si>
    <t>Laurynas Kentra</t>
  </si>
  <si>
    <t>galiniu kaladeliu keitimas</t>
  </si>
  <si>
    <t>Giedre</t>
  </si>
  <si>
    <t xml:space="preserve">mb glc63s amg </t>
  </si>
  <si>
    <t>lfy014</t>
  </si>
  <si>
    <t>tepalo ir filtru keitimas+padangos klijavimas</t>
  </si>
  <si>
    <t xml:space="preserve">mantas ja </t>
  </si>
  <si>
    <t>nissan</t>
  </si>
  <si>
    <t>kum370</t>
  </si>
  <si>
    <t>montazke nauju gy r19+disku pasauga</t>
  </si>
  <si>
    <t>Gediminas Gaidelis</t>
  </si>
  <si>
    <t>pajamiau</t>
  </si>
  <si>
    <t>vieno rato montazke</t>
  </si>
  <si>
    <t>montazke r19+2naujos padangos+pasauga</t>
  </si>
  <si>
    <t>gliaudeliene</t>
  </si>
  <si>
    <t>AUDI Q5</t>
  </si>
  <si>
    <t>LOL949</t>
  </si>
  <si>
    <t>Fyodor Golos</t>
  </si>
  <si>
    <t>kemperis</t>
  </si>
  <si>
    <t>naujos padangos 2vnt+montazke 2vnt</t>
  </si>
  <si>
    <t>montazke r19+nauji goodyear</t>
  </si>
  <si>
    <t>LIY270</t>
  </si>
  <si>
    <t>Mantas Zalensas</t>
  </si>
  <si>
    <t>pasake kad su tavim susitares uz 45e (pizdiozh)</t>
  </si>
  <si>
    <t>BMW x4</t>
  </si>
  <si>
    <t>NMM404</t>
  </si>
  <si>
    <t>montazke r18 rof</t>
  </si>
  <si>
    <t>Alvidas</t>
  </si>
  <si>
    <t>atvaziuos antradeni keisti kaladeles ir diskus visus (Mums reikes uzsakyti (BREMBO)</t>
  </si>
  <si>
    <t>WBAXW1108H0U69086</t>
  </si>
  <si>
    <t>VOLVO XC60</t>
  </si>
  <si>
    <t>EA9551</t>
  </si>
  <si>
    <t>montazke r21+1vnt padangos klijavimas</t>
  </si>
  <si>
    <t>4Office andrej andrejav Pavel Davidavičius</t>
  </si>
  <si>
    <t>galinio stabiliko keitimas+stabilikas</t>
  </si>
  <si>
    <t>Marek Stefanovic</t>
  </si>
  <si>
    <t>KZR003</t>
  </si>
  <si>
    <t>nauji sailun+montazke r18</t>
  </si>
  <si>
    <t>naujos fulda+montazke</t>
  </si>
  <si>
    <t>montazke r16+pasauga+padangos klijavimas</t>
  </si>
  <si>
    <t>bmw 3series</t>
  </si>
  <si>
    <t>1 rato lyginimas+ 3vnt balansas</t>
  </si>
  <si>
    <t xml:space="preserve">Pegeuot </t>
  </si>
  <si>
    <t>priekiniu sarnyru keitimas+bamperio tvarkimas (ant hamtutu pritvirtinau jam bamperi (10min darbo))</t>
  </si>
  <si>
    <t>JGT960</t>
  </si>
  <si>
    <t>Vilma Tauraitė</t>
  </si>
  <si>
    <t>MB e-class?</t>
  </si>
  <si>
    <t>EEB333</t>
  </si>
  <si>
    <t>montazke r20+nauji goodyear</t>
  </si>
  <si>
    <t>Armalis</t>
  </si>
  <si>
    <t>LUR074</t>
  </si>
  <si>
    <t>Remigija Mikolaitiene</t>
  </si>
  <si>
    <t>BMW 530i</t>
  </si>
  <si>
    <t>montazke  r18 ROF+pasauga</t>
  </si>
  <si>
    <t>Marius Ramanauskas</t>
  </si>
  <si>
    <t>galiniu ir priekiniu stabdziu disku ir kaladeliu keitimas</t>
  </si>
  <si>
    <t>Alvydas Kazlauskas</t>
  </si>
  <si>
    <t>Gliaudeliene</t>
  </si>
  <si>
    <t>Padangos AG+Montazke R18</t>
  </si>
  <si>
    <t>BMW E61 530D</t>
  </si>
  <si>
    <t>pilna diagnostika</t>
  </si>
  <si>
    <t>montazke 2 nauju padangu ant skardu</t>
  </si>
  <si>
    <t xml:space="preserve">   ?</t>
  </si>
  <si>
    <t>KIA sportage</t>
  </si>
  <si>
    <t>visu filtru keitimas+tepalas</t>
  </si>
  <si>
    <t>Goncauskas</t>
  </si>
  <si>
    <t>Toyota corrola</t>
  </si>
  <si>
    <t>ratai+padangos+montazke</t>
  </si>
  <si>
    <t>Porshce gt3rs</t>
  </si>
  <si>
    <t>balansas+uzdeimas</t>
  </si>
  <si>
    <t>MB GLC</t>
  </si>
  <si>
    <t>NLM438</t>
  </si>
  <si>
    <t>nauji pirelli+montazke</t>
  </si>
  <si>
    <t>Elvijus Kersulis</t>
  </si>
  <si>
    <t>Marius sabaliauskas</t>
  </si>
  <si>
    <t>pezas 3008 gtline</t>
  </si>
  <si>
    <t>tepalo, kuro ir tepalu keitimas</t>
  </si>
  <si>
    <t xml:space="preserve">padangos ag pirelli kazkokios </t>
  </si>
  <si>
    <t>06/30</t>
  </si>
  <si>
    <t>BMW 3SERIES</t>
  </si>
  <si>
    <t>KJP194</t>
  </si>
  <si>
    <t>MONTAZKE R16+DUNLOP+DISKU PASAUGA</t>
  </si>
  <si>
    <t>MINDAUGAS</t>
  </si>
  <si>
    <t xml:space="preserve">disku apziura </t>
  </si>
  <si>
    <t>tadas</t>
  </si>
  <si>
    <t>JFR949</t>
  </si>
  <si>
    <t>tepalai, filtrai, stabdziu diskai ir kaladeles galines, priekines stabilikai x2</t>
  </si>
  <si>
    <t>KUE969</t>
  </si>
  <si>
    <t>balansas+ratu keitimas vietommis</t>
  </si>
  <si>
    <t>sunny padangos+disku dazymas+montazke r20 donatas ryto</t>
  </si>
  <si>
    <t>ford transit</t>
  </si>
  <si>
    <t>kaladeliu keitimas+kaldaeles</t>
  </si>
  <si>
    <t>2025-07-xx</t>
  </si>
  <si>
    <t>KIA Sportage</t>
  </si>
  <si>
    <t>LHO857</t>
  </si>
  <si>
    <t>sarnyro ir granatos apsaugos keitimas+padangos klijavimas</t>
  </si>
  <si>
    <t>goncauskas</t>
  </si>
  <si>
    <t>eb5643</t>
  </si>
  <si>
    <t>montazke r18+padangos</t>
  </si>
  <si>
    <t>Audi rs7</t>
  </si>
  <si>
    <t>saledoidas+keitimas</t>
  </si>
  <si>
    <t>montazke 5vnt+dazymas</t>
  </si>
  <si>
    <t>donatas</t>
  </si>
  <si>
    <t>LJZ312</t>
  </si>
  <si>
    <t>reikia keisti pagrindini sankabos celindriuka (nuimineti deze)</t>
  </si>
  <si>
    <t>KBH712</t>
  </si>
  <si>
    <t>galiniu stabdziu disku ir kaladeliu keitimas ir stabdziu skyscio keitimas</t>
  </si>
  <si>
    <t>padangos ag 285/50r20</t>
  </si>
  <si>
    <t>audi a6 c7</t>
  </si>
  <si>
    <t>tepalo ir visu filtru  keitimas</t>
  </si>
  <si>
    <t>blazonis</t>
  </si>
  <si>
    <r>
      <rPr>
        <rFont val="inherit"/>
        <color rgb="FF1155CC"/>
        <sz val="11.0"/>
        <u/>
      </rPr>
      <t>LMI35364</t>
    </r>
  </si>
  <si>
    <t>WSILIKON 3,5</t>
  </si>
  <si>
    <t>tepalu ir visu filtru keitimas</t>
  </si>
  <si>
    <t xml:space="preserve"> Loreta Statauskienė</t>
  </si>
  <si>
    <t>padangos ag gy eff grip 205/55r16</t>
  </si>
  <si>
    <t>Subaru outback</t>
  </si>
  <si>
    <t>HCP396?</t>
  </si>
  <si>
    <t>1 padangos klijavimas + 1rato daviklio keitimas (montazke+balansas+daviklis)</t>
  </si>
  <si>
    <t>Liutauras Prekursorius?</t>
  </si>
  <si>
    <t>Žilvinas Urbonas</t>
  </si>
  <si>
    <t>r22 montazke 2vnt + nauji contikai</t>
  </si>
  <si>
    <t>Dadura</t>
  </si>
  <si>
    <t>Caddy</t>
  </si>
  <si>
    <t>MEE101</t>
  </si>
  <si>
    <t>montazke 2vnt + nauji bridgestone</t>
  </si>
  <si>
    <t>Dolgovas A.</t>
  </si>
  <si>
    <t>Ev5474</t>
  </si>
  <si>
    <t>r21 montazke 1vnt+asymm3</t>
  </si>
  <si>
    <t>Vilius Chodkevicius</t>
  </si>
  <si>
    <t>padangos ag ir montazke 2 vnt</t>
  </si>
  <si>
    <t>vienos padangos montazke is ag</t>
  </si>
  <si>
    <t>BMW M4</t>
  </si>
  <si>
    <t>KRS333</t>
  </si>
  <si>
    <t>Padangos ag r16 michelin 2015</t>
  </si>
  <si>
    <t>montazke r20 (continental)+pasauga</t>
  </si>
  <si>
    <t>2vnt lyginimas+montazke naujos padangos+visu ratu balansas+priekabos rato tvarkimas</t>
  </si>
  <si>
    <t>P&gt;D</t>
  </si>
  <si>
    <t>air filters change</t>
  </si>
  <si>
    <t>MSH908</t>
  </si>
  <si>
    <t>montazke+2vnt goodyear (kita suma pavedimu)</t>
  </si>
  <si>
    <t>MAZDA cx-3</t>
  </si>
  <si>
    <t>LNC637</t>
  </si>
  <si>
    <t>Porsche 911 carrera s</t>
  </si>
  <si>
    <t>P.K guolio keitimas (2h 20min)</t>
  </si>
  <si>
    <t>Jonas Kneita</t>
  </si>
  <si>
    <t>sake ratas nulaisdavo ora per 2 sav, nereradau kur, tai profilaktiskai isvaliau diska sutepiau su klijais</t>
  </si>
  <si>
    <t>Liutauras Prekursorius</t>
  </si>
  <si>
    <t>ratu keitimas i zemines</t>
  </si>
  <si>
    <t>renualt/citroen</t>
  </si>
  <si>
    <t>busiko rato balansas ir uzdeimas 2vnt, citroen 2vnt montazke nauju ir disku valymas</t>
  </si>
  <si>
    <r>
      <rPr>
        <color rgb="FF000000"/>
        <u/>
      </rPr>
      <t>lakresta.info</t>
    </r>
    <r>
      <rPr>
        <color rgb="FF000000"/>
      </rPr>
      <t>@</t>
    </r>
    <r>
      <rPr>
        <color rgb="FF000000"/>
        <u/>
      </rPr>
      <t>gmail.com</t>
    </r>
  </si>
  <si>
    <t>atveze 2vnt permuontoti+util?</t>
  </si>
  <si>
    <t>Agne mazda kaimyne</t>
  </si>
  <si>
    <t>padangos ag contikai 235/50r19</t>
  </si>
  <si>
    <t>nauji davikliai+montazke (is vienu ratu uzmontuoti i kitas)</t>
  </si>
  <si>
    <t>07/14</t>
  </si>
  <si>
    <t>tesla 3</t>
  </si>
  <si>
    <t>guolio ir vairo traukes p.k keitimas</t>
  </si>
  <si>
    <t>MND955</t>
  </si>
  <si>
    <t>egle laurinaviciene kaimynka</t>
  </si>
  <si>
    <t>pavedimu turi atsiusit 15euru</t>
  </si>
  <si>
    <t>rato tvarkimas (isvaliau diska ir sutepiau)</t>
  </si>
  <si>
    <t>kristina damauskaite</t>
  </si>
  <si>
    <t>07/15</t>
  </si>
  <si>
    <t>AII969</t>
  </si>
  <si>
    <t>downpipe nuemimas ir katalizos uzdeimas, tepalo kamstis naujas, sutvarkyti ventilatoriai</t>
  </si>
  <si>
    <t>07/16</t>
  </si>
  <si>
    <t>BMW x7</t>
  </si>
  <si>
    <t>pigu (montazke r21+padangu pasauga)</t>
  </si>
  <si>
    <t>keitimas/dejimas rastafkiu, keitimas kald/diskuu, keitimas skyscio, varztai</t>
  </si>
  <si>
    <t>Mindaugas Striska</t>
  </si>
  <si>
    <t>07/17</t>
  </si>
  <si>
    <t>VW GOLF VIII</t>
  </si>
  <si>
    <t>LRF125</t>
  </si>
  <si>
    <r>
      <rPr/>
      <t xml:space="preserve">keitimas 05E103495AP ir 04E145641M , </t>
    </r>
    <r>
      <rPr>
        <color rgb="FFFF0000"/>
      </rPr>
      <t>HP119 171?</t>
    </r>
  </si>
  <si>
    <t>Lina leonaviciute</t>
  </si>
  <si>
    <t>uz mb ratus</t>
  </si>
  <si>
    <t>BMW X3?</t>
  </si>
  <si>
    <t xml:space="preserve">montazke nauju dunlop 235/55r18 </t>
  </si>
  <si>
    <t>bevita ?</t>
  </si>
  <si>
    <t>07/18</t>
  </si>
  <si>
    <t>montqazke r17 nauju sava</t>
  </si>
  <si>
    <t>Mindaugas Juodaitis</t>
  </si>
  <si>
    <t>furistui</t>
  </si>
  <si>
    <t xml:space="preserve">mb rato lyginimas 1vnt </t>
  </si>
  <si>
    <t>donatas (kuriam buvo dazyti 2 komplektai)</t>
  </si>
  <si>
    <t xml:space="preserve">SEAT LEON </t>
  </si>
  <si>
    <t>MYY641</t>
  </si>
  <si>
    <t>visu filtru ir tepalo keitimas</t>
  </si>
  <si>
    <t>padangos ag</t>
  </si>
  <si>
    <t>07/22</t>
  </si>
  <si>
    <t>suzuki</t>
  </si>
  <si>
    <t>mnu460</t>
  </si>
  <si>
    <t>padangos tvarkimas</t>
  </si>
  <si>
    <t>Bmw pirmukas 118d</t>
  </si>
  <si>
    <t>KJF118</t>
  </si>
  <si>
    <t>IS KUR?</t>
  </si>
  <si>
    <t>07/24</t>
  </si>
  <si>
    <t>VW passat b6</t>
  </si>
  <si>
    <t>tepalu keitimas ir filtru (be kuro)</t>
  </si>
  <si>
    <t>PORSCHE 991 gts</t>
  </si>
  <si>
    <t>balansas, akumas, akumo keitimas+pririsimas, rankinis stabdis</t>
  </si>
  <si>
    <t>padangos ag gy 205/55r16 2017</t>
  </si>
  <si>
    <t>4x balansas + 1 vnt. lyginimas + 1 vnt. motazke</t>
  </si>
  <si>
    <t>07/25</t>
  </si>
  <si>
    <t>VOLVO XC90?</t>
  </si>
  <si>
    <t>HOP868?</t>
  </si>
  <si>
    <t xml:space="preserve">1 bridgestone padanga 235/50r19	</t>
  </si>
  <si>
    <t>Opel cross land</t>
  </si>
  <si>
    <t>rato klijavimas 15eur sask</t>
  </si>
  <si>
    <t xml:space="preserve">Ivan Chervotkin UAB Norameda i.chervotkin@norameda.com </t>
  </si>
  <si>
    <t>citroen</t>
  </si>
  <si>
    <t>MMN360</t>
  </si>
  <si>
    <t>07/28</t>
  </si>
  <si>
    <t>uzdeimas zeminiu+balansas (vasara paliko reikia virinti arba uzsakyti naujus)</t>
  </si>
  <si>
    <t>uzsakyta nauja padanga, montazke 2 zeminiu is pasaugos ir balansas</t>
  </si>
  <si>
    <t>Renault scenic 4</t>
  </si>
  <si>
    <t>montazke r20+naujos padangos 195/55r20 sailun</t>
  </si>
  <si>
    <t>07/29</t>
  </si>
  <si>
    <t>padangos ag pirelli 285/30r20</t>
  </si>
  <si>
    <t>07/30</t>
  </si>
  <si>
    <t>mb diskai is skelbimo</t>
  </si>
  <si>
    <t>ljz312</t>
  </si>
  <si>
    <t>deze (12-13h(((</t>
  </si>
  <si>
    <t>alius vitas, tomas</t>
  </si>
  <si>
    <t>montazke 19+ nauji nakook</t>
  </si>
  <si>
    <t>valdas fedianinas valdoska/remigijus</t>
  </si>
  <si>
    <t>paeme michelin cup2 padangos 295/30r20</t>
  </si>
  <si>
    <t>Tomas gluoksnis</t>
  </si>
  <si>
    <t>07/31</t>
  </si>
  <si>
    <t>numontuoti 4vnt</t>
  </si>
  <si>
    <t>JZV???</t>
  </si>
  <si>
    <t>Julia</t>
  </si>
  <si>
    <t>2025/08/xx</t>
  </si>
  <si>
    <t>Citroen</t>
  </si>
  <si>
    <t>DGG803</t>
  </si>
  <si>
    <t>spiruokliu,stabiliku keitimas (viskas maksimaliai supuves, reikejo ieskoti ir perdaryneti varztus)</t>
  </si>
  <si>
    <t>michelin cup2 padangos ir paeme alpina diskus uz lyginima ne mokejo</t>
  </si>
  <si>
    <t>Povilas kutveliokas</t>
  </si>
  <si>
    <t>pezas</t>
  </si>
  <si>
    <t>montazke r16+util</t>
  </si>
  <si>
    <t>Toyota corolla</t>
  </si>
  <si>
    <t>montazke r17+pasauga padangu</t>
  </si>
  <si>
    <t xml:space="preserve"> VW Arteon</t>
  </si>
  <si>
    <t>LIT225</t>
  </si>
  <si>
    <t>dsg tepalo keitimas+tepalas 5l</t>
  </si>
  <si>
    <t xml:space="preserve">Raimond Černiavskij </t>
  </si>
  <si>
    <t>EC0226</t>
  </si>
  <si>
    <t>JFW044 (be lt nr)</t>
  </si>
  <si>
    <t>uz vata (21vnt)</t>
  </si>
  <si>
    <t xml:space="preserve">uz kabeli </t>
  </si>
  <si>
    <t>Nissan</t>
  </si>
  <si>
    <t>HNT291</t>
  </si>
  <si>
    <t>disko valymas</t>
  </si>
  <si>
    <t>han339</t>
  </si>
  <si>
    <t>montazke r15+padangos is sroto (be balanso)</t>
  </si>
  <si>
    <t>Ruta Navickaite, Saulius samulev</t>
  </si>
  <si>
    <t>VW jetta</t>
  </si>
  <si>
    <t>montazke r16 nauju sava intensa hp2 205/55 (2024m)+disku lyginimas 2vnt</t>
  </si>
  <si>
    <t>LUT146</t>
  </si>
  <si>
    <t>(100 pavedimu)</t>
  </si>
  <si>
    <t>montazke r20+disku valymas ir tepimas+davikliu keitimas (pats viskas atveze)</t>
  </si>
  <si>
    <t>Rimantas S???</t>
  </si>
  <si>
    <t>08/13</t>
  </si>
  <si>
    <t>(30 pavedimu)</t>
  </si>
  <si>
    <t>Rimantas S</t>
  </si>
  <si>
    <t>Toyota proace</t>
  </si>
  <si>
    <t>NCT350</t>
  </si>
  <si>
    <t>diskai+montazke r17</t>
  </si>
  <si>
    <t xml:space="preserve">Renualt </t>
  </si>
  <si>
    <t>NFP647</t>
  </si>
  <si>
    <t>montazke 2vnt+2vnt padangos is sroto paskolinti?</t>
  </si>
  <si>
    <t>padangos 2vnt targos Pirelli 245...</t>
  </si>
  <si>
    <t>Misinys tinko Weber IP18</t>
  </si>
  <si>
    <t>08/14</t>
  </si>
  <si>
    <t>LDU797</t>
  </si>
  <si>
    <t>(15 revolut)</t>
  </si>
  <si>
    <t>disko valymas, tepimas ir ventilio keitimas (laido ora)</t>
  </si>
  <si>
    <t>Birutė Alunderytė</t>
  </si>
  <si>
    <t xml:space="preserve">BMW 3series </t>
  </si>
  <si>
    <t>(LV) NV-5009</t>
  </si>
  <si>
    <t>montazke 2vnt. r19+padangos is ag 255/35r19 Michelin (po 20eur 1vnt)</t>
  </si>
  <si>
    <t>invoice@LLV.costs.invoice.schwarz LIDL Latvija SIA PVN Nr. LV40203023760 Dzelzavas ieal 131, Riga, LV1021</t>
  </si>
  <si>
    <t>vairuotojo nr. (mergina, kalba rusiskai)37124208717</t>
  </si>
  <si>
    <t>08/18</t>
  </si>
  <si>
    <t>Porshce GT4RS</t>
  </si>
  <si>
    <t>GT4RS</t>
  </si>
  <si>
    <t>montazke nauju michelin 2vnt</t>
  </si>
  <si>
    <t>Gedas</t>
  </si>
  <si>
    <t>Remualt</t>
  </si>
  <si>
    <t>montazke 2vnt +1vnt nauja padanga zetex wh1000</t>
  </si>
  <si>
    <t>08/19</t>
  </si>
  <si>
    <t>MGT337</t>
  </si>
  <si>
    <t>padangos tvarimas</t>
  </si>
  <si>
    <t>Kristina Gaidelioniene</t>
  </si>
  <si>
    <t>HTL901</t>
  </si>
  <si>
    <t>montazke 6vnt+2vnt disku lyginimas+hankook padangos 4vnt r17 225/55</t>
  </si>
  <si>
    <t>dainius dotroniika</t>
  </si>
  <si>
    <t xml:space="preserve">VOLVO </t>
  </si>
  <si>
    <t>HOP868</t>
  </si>
  <si>
    <t>tepalu ir filtru keitimas (viska pats atveze) kapoto atidarymas + tepimas</t>
  </si>
  <si>
    <t>kaimynas +37068665705</t>
  </si>
  <si>
    <t>NFA830</t>
  </si>
  <si>
    <t>2vnt ratu keitimas vietoms</t>
  </si>
  <si>
    <t>MSB943</t>
  </si>
  <si>
    <t>montazke r18+nauji hankook (uz padangos pavedimu (jau uzmokejo))</t>
  </si>
  <si>
    <t>08/20</t>
  </si>
  <si>
    <t>benzui</t>
  </si>
  <si>
    <t>Karolis padejau uz prekes ir detales</t>
  </si>
  <si>
    <t>duslintuvo pagalves keitimas</t>
  </si>
  <si>
    <t>Audi a4 b8</t>
  </si>
  <si>
    <t>GTA382</t>
  </si>
  <si>
    <t>disko lyginimas+disku valymas ir tepimas (2vnt)+balansas (2vnt)</t>
  </si>
  <si>
    <t>Vitalijus?</t>
  </si>
  <si>
    <t>debica 205/55r16 zemines 4vnt</t>
  </si>
  <si>
    <t>busiko padangos tvarkimas</t>
  </si>
  <si>
    <t>tepalu keitimas ir filtru+montazke 2vnt+davykliu diagnstika</t>
  </si>
  <si>
    <t>08/22</t>
  </si>
  <si>
    <t>PADANGOS AG</t>
  </si>
  <si>
    <t>BMW 353i</t>
  </si>
  <si>
    <t>karolis uz detales</t>
  </si>
  <si>
    <t>montazke 2vnt ir padangos is sroto po 5e</t>
  </si>
  <si>
    <t>atminusavau centus is sumos kad nemaisytu skaicuoti (centai guli dezutei)</t>
  </si>
  <si>
    <t>08/25</t>
  </si>
  <si>
    <t>uz gitti padanga</t>
  </si>
  <si>
    <t>TIGUAN</t>
  </si>
  <si>
    <t>zvakiu, filtru, variklio ir dsg tepalo, stabdziu skyscio keitimas</t>
  </si>
  <si>
    <t xml:space="preserve">Giedre Lapenaite  </t>
  </si>
  <si>
    <t>08/26</t>
  </si>
  <si>
    <t>Klijai ir peiliukai</t>
  </si>
  <si>
    <t>NNK846</t>
  </si>
  <si>
    <t>bridgestone padanga 1vnt + montazke su balansu</t>
  </si>
  <si>
    <t>2025/09/xx</t>
  </si>
  <si>
    <t>tepalo keitimas ir carbon air intake montavimas</t>
  </si>
  <si>
    <t>Renualt busikas</t>
  </si>
  <si>
    <t>MFI660</t>
  </si>
  <si>
    <t>montazke nauju vikingu</t>
  </si>
  <si>
    <t>kaladeliu ir disku keitimas</t>
  </si>
  <si>
    <t>Toyota prius</t>
  </si>
  <si>
    <t>kelly montazke r17 is ag</t>
  </si>
  <si>
    <t>medarzciai ir graztas (sask garaze)</t>
  </si>
  <si>
    <t>kemperis uz 1 rata</t>
  </si>
  <si>
    <t>graza is geleziniu 5iu eur</t>
  </si>
  <si>
    <t>Honda acord</t>
  </si>
  <si>
    <t>JZV739</t>
  </si>
  <si>
    <t>tepalo ir filtru keitimas be kuro</t>
  </si>
  <si>
    <t>pasiemiau grazos mart</t>
  </si>
  <si>
    <t>Audi a4 b8.5/9?</t>
  </si>
  <si>
    <t>KDM222</t>
  </si>
  <si>
    <t>montazke r19 nauju bridgestone</t>
  </si>
  <si>
    <t xml:space="preserve">Karolis paemiau </t>
  </si>
  <si>
    <t>Karolis padejau uz detales (skola)</t>
  </si>
  <si>
    <t>Daviau dencikui nes labai parase</t>
  </si>
  <si>
    <t>GOK555</t>
  </si>
  <si>
    <t>montazke 2vnt is sroto ir utilizavmas</t>
  </si>
  <si>
    <t>kita suma atsiunte pavedimu</t>
  </si>
  <si>
    <t>dencikui, pirko kazka senukose</t>
  </si>
  <si>
    <t xml:space="preserve">lietvamzdziu laikikliai, k4, </t>
  </si>
  <si>
    <t>Kablukas</t>
  </si>
  <si>
    <t>montazke 2vnt r15, disku valymas nuo oksidacijos ir tepimas, 195/65r15 sava is sroto apie 4/5mm</t>
  </si>
  <si>
    <t xml:space="preserve">matador r16c padangos ir montazke 2vnt </t>
  </si>
  <si>
    <t>eaugalai.lt</t>
  </si>
  <si>
    <t xml:space="preserve"> LHZ256</t>
  </si>
  <si>
    <t>tepalo ir filtro keitimas</t>
  </si>
  <si>
    <t>NMP750</t>
  </si>
  <si>
    <t>Skoda kodaq</t>
  </si>
  <si>
    <t>Karolis (padejau cash, skola)</t>
  </si>
  <si>
    <t>09:20-13:30</t>
  </si>
  <si>
    <t>Subaru legacy</t>
  </si>
  <si>
    <t>GGP002</t>
  </si>
  <si>
    <t>Vilius</t>
  </si>
  <si>
    <t>HTB009</t>
  </si>
  <si>
    <t>galiniu kaladeliu keitimas ir suporto apkabos</t>
  </si>
  <si>
    <t>09/17</t>
  </si>
  <si>
    <t>priesrukinio plafaono montavimas,litavimas</t>
  </si>
  <si>
    <t>Citroen Berlingo</t>
  </si>
  <si>
    <t>MOC069</t>
  </si>
  <si>
    <t>naujos padangos sava+montazke (senos ismestos)</t>
  </si>
  <si>
    <t>montazke nauju michelin r20/19</t>
  </si>
  <si>
    <t>09/18</t>
  </si>
  <si>
    <t>Porsche Cayman</t>
  </si>
  <si>
    <t>LOL123</t>
  </si>
  <si>
    <t>tepalas, tepalo filtras, tepalo keitimas</t>
  </si>
  <si>
    <t>09/19</t>
  </si>
  <si>
    <t>polo gti</t>
  </si>
  <si>
    <t>3x 0w-40, filtras/keitimas</t>
  </si>
  <si>
    <t xml:space="preserve">rimas ali </t>
  </si>
  <si>
    <t>AUDI A4 B7</t>
  </si>
  <si>
    <t>LFN549</t>
  </si>
  <si>
    <t>09/23</t>
  </si>
  <si>
    <t>montazke nauju sunny r18</t>
  </si>
  <si>
    <t>JUC350</t>
  </si>
  <si>
    <t>montazke nauju gy r18 2vnt</t>
  </si>
  <si>
    <t>Rojus Aidietis</t>
  </si>
  <si>
    <t>09/24</t>
  </si>
  <si>
    <t>passat b6 baltas</t>
  </si>
  <si>
    <t>JFW 044 (ne lt valst. nr)</t>
  </si>
  <si>
    <t>Albertas Ignatavicius</t>
  </si>
  <si>
    <t>Hyandai tuscon</t>
  </si>
  <si>
    <t>MUB774</t>
  </si>
  <si>
    <t>padangu keitimas r19+padangu pasauga</t>
  </si>
  <si>
    <t>BMW e61</t>
  </si>
  <si>
    <t>LUO563</t>
  </si>
  <si>
    <t>montazke r17 is sroto 4vnt</t>
  </si>
  <si>
    <t>Chrysler</t>
  </si>
  <si>
    <t>JTO966</t>
  </si>
  <si>
    <t>montazke r14 1vnt (turejo atsiusti pavedimu 15eur)</t>
  </si>
  <si>
    <t>VYTAUTAS VIRŽBICKAS</t>
  </si>
  <si>
    <t>Senukose pirkau pjovimo diskus x20 slifavimo diska, markeris padangom, slifavimo kempine</t>
  </si>
  <si>
    <t>09/25</t>
  </si>
  <si>
    <t>hamuto keitimas, biego antifrizas</t>
  </si>
  <si>
    <t>kaimynas tomas vitas??</t>
  </si>
  <si>
    <t>PORSCHE Macan</t>
  </si>
  <si>
    <t xml:space="preserve">pravalytas benzo ipilimo kamstis </t>
  </si>
  <si>
    <t>paulius</t>
  </si>
  <si>
    <t>BMW x5</t>
  </si>
  <si>
    <t>montazke r18+padangu pasauga+disku lyginimas 2vnt (visu disku valymas)+1 padanga prasukinejau 5 kartus kad subalansuoti</t>
  </si>
  <si>
    <t>GOH186</t>
  </si>
  <si>
    <t xml:space="preserve">balansas+1vnt padangos prasukimas 180* </t>
  </si>
  <si>
    <t>09/26</t>
  </si>
  <si>
    <t>LEXUS NX300</t>
  </si>
  <si>
    <t>2vnt davykliu keitimas</t>
  </si>
  <si>
    <t>09/29</t>
  </si>
  <si>
    <t>BMW m4</t>
  </si>
  <si>
    <t>davyklio keitimas, montazke r21 1vnt</t>
  </si>
  <si>
    <t>Krisitis</t>
  </si>
  <si>
    <t>Tralas</t>
  </si>
  <si>
    <t>montazke 6vnt ir naujos padangos</t>
  </si>
  <si>
    <t>Balciunas</t>
  </si>
  <si>
    <t>09/30</t>
  </si>
  <si>
    <t>Audi b9</t>
  </si>
  <si>
    <t>purkstuku isemimas</t>
  </si>
  <si>
    <t>montazke r16+padangu pasauga</t>
  </si>
  <si>
    <t>Vita Čekuolienė</t>
  </si>
  <si>
    <t>VW passat b8</t>
  </si>
  <si>
    <t>gear lever replacement</t>
  </si>
  <si>
    <t>dumbliauskas</t>
  </si>
  <si>
    <t xml:space="preserve"> Bmw e92 m3</t>
  </si>
  <si>
    <t>JHR011</t>
  </si>
  <si>
    <t>tepalo keitimas ir filtro keitimas+tepalas 10w60 (tepalo filtra pats atveze)</t>
  </si>
  <si>
    <t>Mitsubishi Carisma</t>
  </si>
  <si>
    <t>DDB222</t>
  </si>
  <si>
    <t>montazke + naujos padangos hanook r13</t>
  </si>
  <si>
    <t>2025-10-xx</t>
  </si>
  <si>
    <t>Renualt busas</t>
  </si>
  <si>
    <t>Balanaitis</t>
  </si>
  <si>
    <t>Skoda superb</t>
  </si>
  <si>
    <t>JAD361</t>
  </si>
  <si>
    <t>Nuostoliu vald.</t>
  </si>
  <si>
    <t>montazke r17 gy nauju</t>
  </si>
  <si>
    <t>Mantas Zemleris</t>
  </si>
  <si>
    <t>JPH121</t>
  </si>
  <si>
    <t>montazke r17+2 nauji sava+padangu pasauga</t>
  </si>
  <si>
    <t>Žydrūnas Daunoravičius</t>
  </si>
  <si>
    <t>Volswagen passat CC</t>
  </si>
  <si>
    <t>HBV909</t>
  </si>
  <si>
    <t>montazke r18+padangu pasauga</t>
  </si>
  <si>
    <t>Audronė Juknevičienė</t>
  </si>
  <si>
    <t>mart pajame</t>
  </si>
  <si>
    <t>KCZ199</t>
  </si>
  <si>
    <t>montazke r15+padangu pasauga</t>
  </si>
  <si>
    <t>montazke r15+naujos debica 195/65r15</t>
  </si>
  <si>
    <t>Vilma Ratautaitė</t>
  </si>
  <si>
    <t>montazke r17+padangu pasauga</t>
  </si>
  <si>
    <t>montazke r17 nauju yohohama+disku pasauga</t>
  </si>
  <si>
    <t>Viktorija Stučytė</t>
  </si>
  <si>
    <t>JHA383</t>
  </si>
  <si>
    <t>montazke r17 + padangos devetos</t>
  </si>
  <si>
    <t>Toyota chr</t>
  </si>
  <si>
    <t>FIAT</t>
  </si>
  <si>
    <t>MAB136</t>
  </si>
  <si>
    <t>montazke r19+padangu pasauga</t>
  </si>
  <si>
    <t xml:space="preserve">JFW044 </t>
  </si>
  <si>
    <t>HTG750</t>
  </si>
  <si>
    <t>vintilio keitimas</t>
  </si>
  <si>
    <t>JPH131</t>
  </si>
  <si>
    <t>Aurimas Pukinas</t>
  </si>
  <si>
    <t>EOA547</t>
  </si>
  <si>
    <t>montazke r16, senos padangos ismestos</t>
  </si>
  <si>
    <t>HZU996</t>
  </si>
  <si>
    <t>montazke r17+ padangu pasauga</t>
  </si>
  <si>
    <t>Virgis</t>
  </si>
  <si>
    <t>mjc455</t>
  </si>
  <si>
    <t>balansas 479</t>
  </si>
  <si>
    <t>montazke r19+ 2vnt nauji hankook</t>
  </si>
  <si>
    <t>GBZ546</t>
  </si>
  <si>
    <t>AII052</t>
  </si>
  <si>
    <t>Žydrūnas Strumila</t>
  </si>
  <si>
    <t>MRR506</t>
  </si>
  <si>
    <t>montazke r19+naujos padangos (padangos ismestos)</t>
  </si>
  <si>
    <t>Audrius Valantiejus</t>
  </si>
  <si>
    <t>montazke r16+naujos padangos+pasauga?</t>
  </si>
  <si>
    <t>JFL988</t>
  </si>
  <si>
    <t>Montazke nauju r19 sailun (vasara)</t>
  </si>
  <si>
    <t>NBP434</t>
  </si>
  <si>
    <t>Robertas Jankauskas</t>
  </si>
  <si>
    <t>Pezas</t>
  </si>
  <si>
    <t>stabdziu patikra kazkas barska</t>
  </si>
  <si>
    <t>Toyota rav</t>
  </si>
  <si>
    <t>Lsg364</t>
  </si>
  <si>
    <t>Montazke r17 + padangu pasauga</t>
  </si>
  <si>
    <t>Dovilė Žurauskaitė</t>
  </si>
  <si>
    <t>LAH575</t>
  </si>
  <si>
    <t>balansas+disku pasauga r17</t>
  </si>
  <si>
    <t>VW  passat</t>
  </si>
  <si>
    <t>montazke r16 nauju sava</t>
  </si>
  <si>
    <t>evaldas Varanauskas</t>
  </si>
  <si>
    <t>Vw tiguan</t>
  </si>
  <si>
    <t>montazke r17 + pasauga</t>
  </si>
  <si>
    <t>Justina Škarnulytė</t>
  </si>
  <si>
    <t>Mariua Bernatonis</t>
  </si>
  <si>
    <t>VISŲ SERVISO PASLAUGŲ KAINORAŠTIS</t>
  </si>
  <si>
    <t>KAINORAŠTIS - BALANSAVIMAS, UŽDĖJIMAS, VALYMAS</t>
  </si>
  <si>
    <t>montazke r17 nauju debica</t>
  </si>
  <si>
    <t>Oksana Butkutė</t>
  </si>
  <si>
    <t>Ratų atsukimas-prisukimas</t>
  </si>
  <si>
    <t>2.00 - 5.00 EUR / 1 vnt.</t>
  </si>
  <si>
    <t>MHI513</t>
  </si>
  <si>
    <t>Montazke r16+pasauga</t>
  </si>
  <si>
    <t>Irmantas Šupšinskas</t>
  </si>
  <si>
    <t>Ratų balansavimas (iki R16 be prisukimo)</t>
  </si>
  <si>
    <t>5.00 EUR / 1 vnt.</t>
  </si>
  <si>
    <t>MTB266</t>
  </si>
  <si>
    <t>stasys penikas</t>
  </si>
  <si>
    <t>Ratų balansavimas (R17 - R18 be prisukimo)</t>
  </si>
  <si>
    <t>6.00 EUR / 1 vnt.</t>
  </si>
  <si>
    <t>Skoda Kodiaq</t>
  </si>
  <si>
    <t>JST159</t>
  </si>
  <si>
    <t>montazke r17+2vnt nauji GY+pasauga</t>
  </si>
  <si>
    <t>Ratų balansavimas (R19 - R20 be prisukimo)</t>
  </si>
  <si>
    <t>7.00 EUR / 1 vnt.</t>
  </si>
  <si>
    <t>AUDI a4 b9</t>
  </si>
  <si>
    <t>purkstuku restauracija+lizdu valymas+uzdeti atgal</t>
  </si>
  <si>
    <t>Ratų balansavimas (Nuo R21 be prisukimo)</t>
  </si>
  <si>
    <t>8.00 EUR / 1 vnt.</t>
  </si>
  <si>
    <t>JTR371</t>
  </si>
  <si>
    <t>balansas+pasauga disku</t>
  </si>
  <si>
    <t>Aivaras Pliauckys</t>
  </si>
  <si>
    <t>Ratlankio tvarkymas (valymas+hermetizavimas be montavimo)</t>
  </si>
  <si>
    <t>3.00 - 6.00 EUR / 1 vnt.</t>
  </si>
  <si>
    <t>montazke r19+naujos yohokama</t>
  </si>
  <si>
    <t>Simona Bartkeviciute</t>
  </si>
  <si>
    <t>Vidinės ratlankio dalies purvo valymas</t>
  </si>
  <si>
    <t>1.00 EUR / 1 vnt.</t>
  </si>
  <si>
    <t>VW tcross</t>
  </si>
  <si>
    <t>Padangų utilizavimas perkant arba montuojant padangas</t>
  </si>
  <si>
    <t>0.00 EUR / 1 vnt.</t>
  </si>
  <si>
    <t>HUG003</t>
  </si>
  <si>
    <t>montazke r17+pasauga+4vnt langu skyst.</t>
  </si>
  <si>
    <t>RR</t>
  </si>
  <si>
    <t>HDD833</t>
  </si>
  <si>
    <t>montazke r21+pasauga</t>
  </si>
  <si>
    <t>PILNAS PADANGŲ MONTAVIMAS-BALANSAVIMAS SU PRISUKIMU</t>
  </si>
  <si>
    <t>DIRIKO</t>
  </si>
  <si>
    <t>marius Bernatonis</t>
  </si>
  <si>
    <t>Lengvasis automobilis</t>
  </si>
  <si>
    <t>1 vnt.</t>
  </si>
  <si>
    <t>4 vnt.</t>
  </si>
  <si>
    <t>4 vnt RunFlat.</t>
  </si>
  <si>
    <t>JPZ855</t>
  </si>
  <si>
    <t>Montazke r18+pasauga</t>
  </si>
  <si>
    <t>Metalinis ratlankis iki R16</t>
  </si>
  <si>
    <t>10.00 EUR</t>
  </si>
  <si>
    <t>40.00 EUR</t>
  </si>
  <si>
    <t>50.00 EUR</t>
  </si>
  <si>
    <t>Montazke r17+pasauga</t>
  </si>
  <si>
    <t>Lengvo lydinio ratlankis 12”-16”</t>
  </si>
  <si>
    <t>Audi a4 b9</t>
  </si>
  <si>
    <t>Lengvo lydinio ratlankis 17”</t>
  </si>
  <si>
    <t>12.00 EUR</t>
  </si>
  <si>
    <t>45.00 EUR</t>
  </si>
  <si>
    <t>55.00 EUR</t>
  </si>
  <si>
    <t>JEV939</t>
  </si>
  <si>
    <t>balansas vieno komplekto</t>
  </si>
  <si>
    <t>Lengvo lydinio ratlankis 18”</t>
  </si>
  <si>
    <t>13.00 EUR</t>
  </si>
  <si>
    <t>60.00 EUR</t>
  </si>
  <si>
    <t>Lengvo lydinio ratlankis 19”</t>
  </si>
  <si>
    <t>15.00 EUR</t>
  </si>
  <si>
    <t>70.00 EUR</t>
  </si>
  <si>
    <t>JSJ805</t>
  </si>
  <si>
    <t>montazke r16+pasauga?</t>
  </si>
  <si>
    <t>Rasa Konciuviene</t>
  </si>
  <si>
    <t>Lengvo lydinio ratlankis 20”</t>
  </si>
  <si>
    <t>18.00 EUR</t>
  </si>
  <si>
    <t>80.00 EUR</t>
  </si>
  <si>
    <t>priekiniu kaladeliu keitimas+padangu montazke r15+pasauga</t>
  </si>
  <si>
    <t>Rimas</t>
  </si>
  <si>
    <t>Lengvo lydinio ratlankis 21-26”</t>
  </si>
  <si>
    <t>20.00 EUR</t>
  </si>
  <si>
    <t>90.00 EUR</t>
  </si>
  <si>
    <t>montazke r20+naujos yokohama padangos</t>
  </si>
  <si>
    <t>SUV</t>
  </si>
  <si>
    <t>Mantas Baliukynas</t>
  </si>
  <si>
    <t>Ratlankiai 15”-16”</t>
  </si>
  <si>
    <t>stabdziai, kaladeles+montazke r16</t>
  </si>
  <si>
    <t>Ratlankiai 17”-18”</t>
  </si>
  <si>
    <t>14.00 EUR</t>
  </si>
  <si>
    <t>65.00 EUR</t>
  </si>
  <si>
    <t>cbk009</t>
  </si>
  <si>
    <t>i viena sask</t>
  </si>
  <si>
    <t>Jurij Čirko</t>
  </si>
  <si>
    <t>jurawh@gmail.com</t>
  </si>
  <si>
    <t>UAB Kerotis</t>
  </si>
  <si>
    <t>https://rekvizitai.vz.lt/imone/uab_kerotis/</t>
  </si>
  <si>
    <t>Ratlankiai 19”-20”</t>
  </si>
  <si>
    <t>Ratlankiai 21-26”</t>
  </si>
  <si>
    <t>23.00 EUR</t>
  </si>
  <si>
    <t>110.00 EUR</t>
  </si>
  <si>
    <t>lab800</t>
  </si>
  <si>
    <t>Visureigis</t>
  </si>
  <si>
    <t xml:space="preserve">VW passat </t>
  </si>
  <si>
    <t>FUV569</t>
  </si>
  <si>
    <t>HJM191</t>
  </si>
  <si>
    <t>montazke r16+naujos debica</t>
  </si>
  <si>
    <t>Rimas b</t>
  </si>
  <si>
    <t>17.00 EUR</t>
  </si>
  <si>
    <t>75.00 EUR</t>
  </si>
  <si>
    <t>HONDA CRV</t>
  </si>
  <si>
    <t>28.00 EUR</t>
  </si>
  <si>
    <t>130.00 EUR</t>
  </si>
  <si>
    <t>MUA600</t>
  </si>
  <si>
    <t>montazke r14+nauji hankook</t>
  </si>
  <si>
    <t>Julija Cgl</t>
  </si>
  <si>
    <t>Mikroautobusas</t>
  </si>
  <si>
    <t>Ratlankiai nuo R14</t>
  </si>
  <si>
    <t>Mst864</t>
  </si>
  <si>
    <t>Pranas Usinskas</t>
  </si>
  <si>
    <t xml:space="preserve">Egle kaimyne 3706837224 </t>
  </si>
  <si>
    <t>KALADELES REIKIA KEISTI PRIEKIS IR GALAS+DISKAI (GALAS)</t>
  </si>
  <si>
    <t>KAINORAŠTIS - RATLANKIŲ REMONTAS</t>
  </si>
  <si>
    <t>Ratlankių lyginimas (iki R17)</t>
  </si>
  <si>
    <t>Nuo 25.00 EUR</t>
  </si>
  <si>
    <t>EB0857</t>
  </si>
  <si>
    <t>Arturka</t>
  </si>
  <si>
    <t>Ratlankių lyginimas (R18 ir R19)</t>
  </si>
  <si>
    <t>Nuo 30.00 EUR</t>
  </si>
  <si>
    <t>Jatuzys</t>
  </si>
  <si>
    <t>Ratlankių lyginimas (nuo R20)</t>
  </si>
  <si>
    <t>Nuo 35.00 EUR</t>
  </si>
  <si>
    <t>Pezas kablukas</t>
  </si>
  <si>
    <t>MBI069</t>
  </si>
  <si>
    <t>montazke r15+naujos fulda+pasauga</t>
  </si>
  <si>
    <t>Ratlankių virinimas</t>
  </si>
  <si>
    <t>Škoda Kodiaq</t>
  </si>
  <si>
    <t>JST157</t>
  </si>
  <si>
    <t>montazke r17+nauji goodyear</t>
  </si>
  <si>
    <t>Ričardas Čereška</t>
  </si>
  <si>
    <t>KAINORAŠTIS - RATLANKIŲ DAŽYMAS</t>
  </si>
  <si>
    <t>EA7734</t>
  </si>
  <si>
    <t>montazke r21</t>
  </si>
  <si>
    <t>NAV?</t>
  </si>
  <si>
    <t>Ratlankių dažymas (iki R19) juoda spalva</t>
  </si>
  <si>
    <t>Nuo 350.00 EUR komplektas</t>
  </si>
  <si>
    <t>HBM444</t>
  </si>
  <si>
    <t>Ratlankių dažymas (iki R19) sidabriniai bei spalvoti (viena spalva)</t>
  </si>
  <si>
    <t>Nuo 380.00 EUR komplektas</t>
  </si>
  <si>
    <t xml:space="preserve">Skoda </t>
  </si>
  <si>
    <t>MUR145</t>
  </si>
  <si>
    <t>Skirmantas Visockas</t>
  </si>
  <si>
    <t>Ratlankių dažymas (iki R19) sidabriniai bei spalvoti su DIAMOND CUT (2 spalvos: poliruotas metalas + pasirinkta spalva)</t>
  </si>
  <si>
    <t>Nuo 520.00 EUR komplektas</t>
  </si>
  <si>
    <t>MCV859</t>
  </si>
  <si>
    <t>Ratlankių dažymas (nuo R20) juoda spalva</t>
  </si>
  <si>
    <t>Nuo 390.00 EUR komplektas</t>
  </si>
  <si>
    <t xml:space="preserve">VW E-GOLF </t>
  </si>
  <si>
    <t>EB9542</t>
  </si>
  <si>
    <t>Ratlankių dažymas (nuo R20) sidabriniai bei spalvoti (viena spalva)</t>
  </si>
  <si>
    <t>Nuo 420.00 EUR komplektas</t>
  </si>
  <si>
    <t>montazke r17+nauja padanga+pasauga</t>
  </si>
  <si>
    <t>Ratlankių dažymas (nuo R20) sidabriniai bei spalvoti su DIAMOND CUT (2 spalvos: poliruotas metalas + pasirinkta spalva)</t>
  </si>
  <si>
    <t>Nuo 550.00 EUR komplektas</t>
  </si>
  <si>
    <t>JTO174</t>
  </si>
  <si>
    <t>montazke r17 (padangos ismestos)</t>
  </si>
  <si>
    <t>Andrius Bardauskas</t>
  </si>
  <si>
    <t>PORSCHE Targa</t>
  </si>
  <si>
    <t>montazke r21/20+pasauga</t>
  </si>
  <si>
    <t>Montazke r21+pasauga</t>
  </si>
  <si>
    <t>KAINORAŠTIS - Padangų remontas ir saugojimas</t>
  </si>
  <si>
    <t xml:space="preserve">BMW F06 640xd </t>
  </si>
  <si>
    <t>KRT088</t>
  </si>
  <si>
    <t>montazke r19+naujos tiangle padangos</t>
  </si>
  <si>
    <t>Šniūro įdėjimas</t>
  </si>
  <si>
    <t>7.00 EUR</t>
  </si>
  <si>
    <t>Lopo klijavimas (be montavimo, balansavimo, uždėjimo)</t>
  </si>
  <si>
    <t>8.00 - 15.00 EUR</t>
  </si>
  <si>
    <t>JFB958</t>
  </si>
  <si>
    <t>Vulkanizavimas (be montavimo, balansavimo, uždėjimo)</t>
  </si>
  <si>
    <t>Guminis ventilis</t>
  </si>
  <si>
    <t>2.00 EUR</t>
  </si>
  <si>
    <t>VW touareg</t>
  </si>
  <si>
    <t>JDP573</t>
  </si>
  <si>
    <t>Paulina Kizinievič</t>
  </si>
  <si>
    <t>Ventilio keitimas (be montavimo, balansavimo, uždėjimo)</t>
  </si>
  <si>
    <t>padangos+stabdziai priekis galas</t>
  </si>
  <si>
    <t>vilmante</t>
  </si>
  <si>
    <t>JNG783</t>
  </si>
  <si>
    <t>montazke r17+nauji goodyear ug ice3</t>
  </si>
  <si>
    <t>Odeta Urbanienė</t>
  </si>
  <si>
    <t>montazke r20+pasauga?</t>
  </si>
  <si>
    <t>montazke r17+nauji pirelli</t>
  </si>
  <si>
    <t>BMW 225xe</t>
  </si>
  <si>
    <t>arunas kebla</t>
  </si>
  <si>
    <t>JCG679</t>
  </si>
  <si>
    <t>KIA sorento</t>
  </si>
  <si>
    <t xml:space="preserve">Aleksas Abromavicius </t>
  </si>
  <si>
    <t>10/13</t>
  </si>
  <si>
    <t>Mindaugas Juodaitis Interlux</t>
  </si>
  <si>
    <t>Mbf020</t>
  </si>
  <si>
    <t>MB gle450</t>
  </si>
  <si>
    <t>Ngz528</t>
  </si>
  <si>
    <t>Vilius Milašius</t>
  </si>
  <si>
    <t>Kia Ceed</t>
  </si>
  <si>
    <t>LCU 925</t>
  </si>
  <si>
    <t>montazke r16+nauji taurus</t>
  </si>
  <si>
    <t>Evaldas Ustinovicius</t>
  </si>
  <si>
    <t>Mgl527</t>
  </si>
  <si>
    <t>balansas+disku pasauga+padangos remontas (+15eur)</t>
  </si>
  <si>
    <t>montazke r19+nauji hankook+pasauga?</t>
  </si>
  <si>
    <t>RangeRover</t>
  </si>
  <si>
    <t>montazke r23+pasauga</t>
  </si>
  <si>
    <t>LAH804</t>
  </si>
  <si>
    <t xml:space="preserve">Pauliaus </t>
  </si>
  <si>
    <t>balansas+disku pasauga+nauji varztai</t>
  </si>
  <si>
    <t>AUDRIUS RAISELIS</t>
  </si>
  <si>
    <t>Remyga</t>
  </si>
  <si>
    <t>Aleksas Abromavicius</t>
  </si>
  <si>
    <t>NNI654</t>
  </si>
  <si>
    <t>montazke r19+naujos padangos</t>
  </si>
  <si>
    <t>10/14</t>
  </si>
  <si>
    <t>montazke r17 nauju goodyear ug ice3</t>
  </si>
  <si>
    <t>MFV196</t>
  </si>
  <si>
    <t>montazke r17+naujos padangos+pasauga</t>
  </si>
  <si>
    <t>Goda Juzenaite</t>
  </si>
  <si>
    <t>GOH423</t>
  </si>
  <si>
    <t>Justina Gringytė- Trevino</t>
  </si>
  <si>
    <t>montazke r21 (nauji michelin ne musu?) disku pasauga</t>
  </si>
  <si>
    <t>NYY900</t>
  </si>
  <si>
    <t>montazke r20+nauji hankook</t>
  </si>
  <si>
    <t>Algis Butrimovic</t>
  </si>
  <si>
    <t>LED333</t>
  </si>
  <si>
    <t>AUDI RS6</t>
  </si>
  <si>
    <t>JCZ505</t>
  </si>
  <si>
    <t>montazke r19+pasauga+nauji varztai 20vnt.</t>
  </si>
  <si>
    <t>LTH900</t>
  </si>
  <si>
    <t>Miglė Natkaitė</t>
  </si>
  <si>
    <t>LAG081</t>
  </si>
  <si>
    <t>Aleksandras Leonovic</t>
  </si>
  <si>
    <t>https://rekvizitai.vz.lt/imone/stabile_fundamentum/</t>
  </si>
  <si>
    <t>montazke r21 nauju pirelli winter 2</t>
  </si>
  <si>
    <t>ec7468</t>
  </si>
  <si>
    <t>montazke naudotu sava r17</t>
  </si>
  <si>
    <t>Algirdas</t>
  </si>
  <si>
    <t>MME069</t>
  </si>
  <si>
    <t>montazke r14+2vnt naujos sava</t>
  </si>
  <si>
    <t>LJC10</t>
  </si>
  <si>
    <t>montazke r19, pats atveze</t>
  </si>
  <si>
    <t>Renata Biskienė</t>
  </si>
  <si>
    <t>NAV mokes</t>
  </si>
  <si>
    <t>Citroen c3</t>
  </si>
  <si>
    <t>Nenad Joanovic</t>
  </si>
  <si>
    <t xml:space="preserve">Hyundai </t>
  </si>
  <si>
    <t>montazke 3komplektu (r20/r16/r16c)</t>
  </si>
  <si>
    <t>Tomas Liz</t>
  </si>
  <si>
    <t>Skoda Superb</t>
  </si>
  <si>
    <t>montazke nauju debica r17 (senos ismestos)</t>
  </si>
  <si>
    <t>motazke r18+pasauga</t>
  </si>
  <si>
    <t>montazke r16c+pasauga+padangos remontas</t>
  </si>
  <si>
    <t>Honda accord</t>
  </si>
  <si>
    <t>LME289</t>
  </si>
  <si>
    <t>montazke r17+naujos goodyear (vasara paeme i bagazine)</t>
  </si>
  <si>
    <t>Oleg Abeliašev</t>
  </si>
  <si>
    <t>Svj590</t>
  </si>
  <si>
    <t>montazke r16+4vnt langu skyscio+util. 40+5+16</t>
  </si>
  <si>
    <t>Linas Liubeckas</t>
  </si>
  <si>
    <t>pasake sumokes pavedimu (61eur pervede is revolut)</t>
  </si>
  <si>
    <t>pezas kablukas</t>
  </si>
  <si>
    <t>MBK690</t>
  </si>
  <si>
    <t>MPV016 NNI725</t>
  </si>
  <si>
    <t>montazke r17 (padangos paeme su savim)</t>
  </si>
  <si>
    <t>Audi SQ</t>
  </si>
  <si>
    <t>P07764</t>
  </si>
  <si>
    <t>montazke r22+davykliu isemimas,uzdeimas+tepalo keitimas, tepalo ir oro filtras</t>
  </si>
  <si>
    <t>Mantas Ja</t>
  </si>
  <si>
    <t>KIA EV6</t>
  </si>
  <si>
    <t>Tadas Šaltenis</t>
  </si>
  <si>
    <t>VW T-roc</t>
  </si>
  <si>
    <t>KJJ455</t>
  </si>
  <si>
    <t>montazke r17+pasauga?</t>
  </si>
  <si>
    <t>10/16</t>
  </si>
  <si>
    <t>montazke r17 1vnt+1vnt utilizavimas</t>
  </si>
  <si>
    <t>sear tarraco</t>
  </si>
  <si>
    <t>Nff103</t>
  </si>
  <si>
    <t>VW kablukas</t>
  </si>
  <si>
    <t>jps686</t>
  </si>
  <si>
    <t>JEN809</t>
  </si>
  <si>
    <t>motzke r18+nauji goodyear (senos is sandelio ismetam)</t>
  </si>
  <si>
    <t>LEXUS RX</t>
  </si>
  <si>
    <t>Eitvydas Lubys</t>
  </si>
  <si>
    <t>ACY917</t>
  </si>
  <si>
    <t>montazke ant r16+nauji goodyear (numontuoti nereikejo)</t>
  </si>
  <si>
    <t>Marius Survilas</t>
  </si>
  <si>
    <t>Martynas Vervečka</t>
  </si>
  <si>
    <t>VW Transporter</t>
  </si>
  <si>
    <t>balansas+pasauga (3vnt)</t>
  </si>
  <si>
    <t>montazke r19 + pasauga</t>
  </si>
  <si>
    <t>lgv673</t>
  </si>
  <si>
    <t>montazke r16+pasauga+naujos debica</t>
  </si>
  <si>
    <t>MZR760</t>
  </si>
  <si>
    <t>montazke r18+nauji Sunny</t>
  </si>
  <si>
    <t>Bushra Abbas</t>
  </si>
  <si>
    <t>293eur mokejo is revolut</t>
  </si>
  <si>
    <t>Hyundai i5N</t>
  </si>
  <si>
    <t>Kazimeras</t>
  </si>
  <si>
    <t>Karolis padejau uz detales</t>
  </si>
  <si>
    <t>Cupra Formentor</t>
  </si>
  <si>
    <t>montazke r18+naujos fulda (senos ismestos)</t>
  </si>
  <si>
    <t>Deividas V</t>
  </si>
  <si>
    <t>mersedes Bens</t>
  </si>
  <si>
    <t>JSJ804</t>
  </si>
  <si>
    <t>Voldemaras Kallo</t>
  </si>
  <si>
    <t>mazda</t>
  </si>
  <si>
    <t>LOV800</t>
  </si>
  <si>
    <t>montazke r16+yokohama+tepalu ir filtru keitimas</t>
  </si>
  <si>
    <t xml:space="preserve">kia </t>
  </si>
  <si>
    <t>NIJ460</t>
  </si>
  <si>
    <t>montazke r16+nauji sailun+1vnt langu skyscio</t>
  </si>
  <si>
    <t>37068754868 andrius bernotas</t>
  </si>
  <si>
    <t>montazke r19+nauji goodyear+pasauga</t>
  </si>
  <si>
    <t>Zivile Kuzborskiene</t>
  </si>
  <si>
    <t>LFM292</t>
  </si>
  <si>
    <t xml:space="preserve">Kebla </t>
  </si>
  <si>
    <t>Huydai</t>
  </si>
  <si>
    <t>EC0591</t>
  </si>
  <si>
    <t>SVE123</t>
  </si>
  <si>
    <t>montazke r18+pasauga+tepalai filtrai</t>
  </si>
  <si>
    <t>Jūratė Balzerė</t>
  </si>
  <si>
    <t>MJN973</t>
  </si>
  <si>
    <t>Augustinas viruišis</t>
  </si>
  <si>
    <t>10/18</t>
  </si>
  <si>
    <t>sask?</t>
  </si>
  <si>
    <t>Audi e-tron</t>
  </si>
  <si>
    <t>EC2670</t>
  </si>
  <si>
    <t>balansas+disku pasauga+padangos remontas</t>
  </si>
  <si>
    <t>FCU513</t>
  </si>
  <si>
    <t>montazke  r17</t>
  </si>
  <si>
    <t>Bmw 5</t>
  </si>
  <si>
    <t>Mnv130</t>
  </si>
  <si>
    <t>montazke r18+utilizavimas (be pasaugos, padangos ismetem)</t>
  </si>
  <si>
    <t>Kasparas K</t>
  </si>
  <si>
    <t>Ineta Baltramiejūnaitė</t>
  </si>
  <si>
    <t>Audi a6  c6</t>
  </si>
  <si>
    <t>montazke  r17+2vnt langu skyscio</t>
  </si>
  <si>
    <t>Arunas NAV</t>
  </si>
  <si>
    <t>Audi a6 allroad</t>
  </si>
  <si>
    <t>Koz777</t>
  </si>
  <si>
    <t xml:space="preserve">pavedima turi padaryti </t>
  </si>
  <si>
    <t>montazke r19+ nauji goodyear</t>
  </si>
  <si>
    <t>Aleksandras Kozlovas</t>
  </si>
  <si>
    <t>bus dar viena masina i viena sask abi</t>
  </si>
  <si>
    <t>Rav4</t>
  </si>
  <si>
    <t>NISSAN QASHQAI</t>
  </si>
  <si>
    <t xml:space="preserve">pavedimu </t>
  </si>
  <si>
    <t>Elena Martinonienė</t>
  </si>
  <si>
    <t>EV3178</t>
  </si>
  <si>
    <t>montazke r16+nauji goodyear</t>
  </si>
  <si>
    <t>10/20</t>
  </si>
  <si>
    <t>montazke r19+rato lyginimas+util</t>
  </si>
  <si>
    <t>Bagonas</t>
  </si>
  <si>
    <t>montazke 1vnt is sroto (LABAI STIPRIAI KREIVAS)</t>
  </si>
  <si>
    <t>Suzuki</t>
  </si>
  <si>
    <t>montazke r17 (be pasaugos, padangos paeme)</t>
  </si>
  <si>
    <t>Dalia Kubiliūtė</t>
  </si>
  <si>
    <t>HGB400</t>
  </si>
  <si>
    <t>montazke r18+pasauga+2vnt naujos sava</t>
  </si>
  <si>
    <t>Violeta Bartuskiene</t>
  </si>
  <si>
    <t>Volvo xc70</t>
  </si>
  <si>
    <t>LES374</t>
  </si>
  <si>
    <t>montazke r18+util.+davykliu uzdeimas ir davykliai</t>
  </si>
  <si>
    <t>edgara kovaliovas 4x davikliai</t>
  </si>
  <si>
    <t>VW TRoc</t>
  </si>
  <si>
    <t>Asta Rugieniute</t>
  </si>
  <si>
    <t>Audi A6</t>
  </si>
  <si>
    <t>LTH019</t>
  </si>
  <si>
    <t>Jga929</t>
  </si>
  <si>
    <t>montazke r16+naujos padangos+pasauga</t>
  </si>
  <si>
    <t>Paulius Norkus</t>
  </si>
  <si>
    <t>VW Crafter</t>
  </si>
  <si>
    <t>MPF 542</t>
  </si>
  <si>
    <t>montazke r16c+pasauga</t>
  </si>
  <si>
    <t>NNM704</t>
  </si>
  <si>
    <t>LIA136</t>
  </si>
  <si>
    <t>montazke r16+4vnt langu skyscio</t>
  </si>
  <si>
    <t>Darius 061031146</t>
  </si>
  <si>
    <t>NNE313</t>
  </si>
  <si>
    <t>Tautvydas Mikšionis  ntperlai@gmail.com</t>
  </si>
  <si>
    <t>montazke r17+pasauga+2vnt langu skyscio</t>
  </si>
  <si>
    <t>Ramūnas Rutkauskas</t>
  </si>
  <si>
    <t>Benas Kaškauskas</t>
  </si>
  <si>
    <t xml:space="preserve">goodyear ug 9+ 1vnt kazkam </t>
  </si>
  <si>
    <t xml:space="preserve">Suzuki </t>
  </si>
  <si>
    <t>montazke r16+pasauga+2vnt langu skyscio</t>
  </si>
  <si>
    <t>10/21</t>
  </si>
  <si>
    <t xml:space="preserve">Audi a4 </t>
  </si>
  <si>
    <t>Mdm007</t>
  </si>
  <si>
    <t>Lukas Mackevicius</t>
  </si>
  <si>
    <t>NISSAN Qaskay</t>
  </si>
  <si>
    <t>VW CADDY</t>
  </si>
  <si>
    <t>LEJ038</t>
  </si>
  <si>
    <t>EC0036</t>
  </si>
  <si>
    <t>Debica frigo hp2 205/55r16</t>
  </si>
  <si>
    <t>Tadas stasiulis</t>
  </si>
  <si>
    <t>MB S</t>
  </si>
  <si>
    <t>WV Golf</t>
  </si>
  <si>
    <t>BMWX5</t>
  </si>
  <si>
    <t>7744EP-4 (BY)</t>
  </si>
  <si>
    <t>montazke r18+nauji hankook</t>
  </si>
  <si>
    <t>Darius S.</t>
  </si>
  <si>
    <t>Suzuki Vitara</t>
  </si>
  <si>
    <t>MEM61</t>
  </si>
  <si>
    <t>VW TIGUAN</t>
  </si>
  <si>
    <t xml:space="preserve">balansas+disku pasauga </t>
  </si>
  <si>
    <t>Arijandas Šliupas</t>
  </si>
  <si>
    <t>V70</t>
  </si>
  <si>
    <t>JAR152</t>
  </si>
  <si>
    <t>montazke r16+nauji taurus winter</t>
  </si>
  <si>
    <t>Vidas Raškevičius</t>
  </si>
  <si>
    <t xml:space="preserve">Volvo </t>
  </si>
  <si>
    <t>NDZ752</t>
  </si>
  <si>
    <t>montazke r18+nauji goodyear+2vnt langu skyscio</t>
  </si>
  <si>
    <t>Ovidijus Vitaitis</t>
  </si>
  <si>
    <t>NGU878</t>
  </si>
  <si>
    <t>montazke r17 priority IDE009825</t>
  </si>
  <si>
    <t>Donatas Bartusevicius</t>
  </si>
  <si>
    <t>LFS414</t>
  </si>
  <si>
    <t>padangos is ag+montaze r17 (debica frigo hp 2 215/55r17)</t>
  </si>
  <si>
    <t xml:space="preserve">Aleksei 062779332 </t>
  </si>
  <si>
    <t>LIL212</t>
  </si>
  <si>
    <t>sask kartu su NIN212</t>
  </si>
  <si>
    <t>Lur128</t>
  </si>
  <si>
    <t>Rytis Žvironas</t>
  </si>
  <si>
    <t>Karolis padejau uz kura/skola</t>
  </si>
  <si>
    <t>10/22</t>
  </si>
  <si>
    <t xml:space="preserve">montazke r20/19+pasauga </t>
  </si>
  <si>
    <t>tomas kuzinauskas</t>
  </si>
  <si>
    <t>r18 SUV komplekto montazke (atveze 10/21 ratus paliko sumontuoti new hankook tyres)</t>
  </si>
  <si>
    <t>montazke r19+1vnt langu skyscio</t>
  </si>
  <si>
    <t>skola?</t>
  </si>
  <si>
    <t>NYD483</t>
  </si>
  <si>
    <t>montazke r17+naujos padangos</t>
  </si>
  <si>
    <t>Donatas Lubys</t>
  </si>
  <si>
    <t>KJK255</t>
  </si>
  <si>
    <t>Laura Kazlauskaite</t>
  </si>
  <si>
    <t>Lexus RX450h</t>
  </si>
  <si>
    <t>MPY284</t>
  </si>
  <si>
    <t>Lexus IS</t>
  </si>
  <si>
    <t>KFM272</t>
  </si>
  <si>
    <t>montazke r19+nauji hankook+pasauga</t>
  </si>
  <si>
    <t>NJO029</t>
  </si>
  <si>
    <t>Jonas Bačiš</t>
  </si>
  <si>
    <t>KUD782</t>
  </si>
  <si>
    <t xml:space="preserve">montazke r16+naujos padangos gy ice3 </t>
  </si>
  <si>
    <t>Rytis Buzelis</t>
  </si>
  <si>
    <t>LTH071</t>
  </si>
  <si>
    <t>Puodziukas</t>
  </si>
  <si>
    <t>GNN191</t>
  </si>
  <si>
    <t>montazke r17+new hankook</t>
  </si>
  <si>
    <t>montazke r17+priority</t>
  </si>
  <si>
    <t>Tomas Šatas</t>
  </si>
  <si>
    <t>Jcz550</t>
  </si>
  <si>
    <t>JAGUAR XJ</t>
  </si>
  <si>
    <t>NIN212</t>
  </si>
  <si>
    <t>sask kartu su LIL212</t>
  </si>
  <si>
    <t>Rysard Bogdanovic</t>
  </si>
  <si>
    <t>10/23</t>
  </si>
  <si>
    <t>Infiniti</t>
  </si>
  <si>
    <t>Lol121</t>
  </si>
  <si>
    <t>montazke r22 IDE009842</t>
  </si>
  <si>
    <t>Toyota RAV4</t>
  </si>
  <si>
    <t>JBD825</t>
  </si>
  <si>
    <t>Rytis Pacevicius</t>
  </si>
  <si>
    <t>Golf</t>
  </si>
  <si>
    <t>montazke r16+pasauga+priority</t>
  </si>
  <si>
    <t>FORD RS</t>
  </si>
  <si>
    <t>balansas+disku pasauga+nauji 4 davykliai (paeme KJV302 padangos)</t>
  </si>
  <si>
    <t>Hyundai</t>
  </si>
  <si>
    <t>montazke r19+pasauga+priority</t>
  </si>
  <si>
    <t>Škoda OCTAVIA RS</t>
  </si>
  <si>
    <t>montazke r19 +priority (padangos ismestos, be pasaugos)</t>
  </si>
  <si>
    <t>MPC433</t>
  </si>
  <si>
    <t>montazke r15+4vnt. varztu+priority</t>
  </si>
  <si>
    <t>ID4</t>
  </si>
  <si>
    <t>EB0859</t>
  </si>
  <si>
    <t xml:space="preserve">balansas+disku pasauga+skola uz disko lyg. </t>
  </si>
  <si>
    <t>montazke r18+pasauga+priority</t>
  </si>
  <si>
    <t>Dovydas Diktaras</t>
  </si>
  <si>
    <t>Audi q7</t>
  </si>
  <si>
    <t>Tadas G</t>
  </si>
  <si>
    <t>EV3599</t>
  </si>
  <si>
    <t>monrazke r17+pasauga</t>
  </si>
  <si>
    <t>Mindaugas B.</t>
  </si>
  <si>
    <t>MNM267</t>
  </si>
  <si>
    <t>saksk</t>
  </si>
  <si>
    <t>montazke r16+r15 (be masinos, reikejo tik sumontuoti)</t>
  </si>
  <si>
    <t>dainius kiela</t>
  </si>
  <si>
    <t>MFB591</t>
  </si>
  <si>
    <t>priority+montazke r18</t>
  </si>
  <si>
    <t>Giedrius Sabūnas diverus</t>
  </si>
  <si>
    <t>10/24</t>
  </si>
  <si>
    <t>MMH183</t>
  </si>
  <si>
    <t>Jurga Zagaraite</t>
  </si>
  <si>
    <t>EA8323</t>
  </si>
  <si>
    <t>Marek Stiklita</t>
  </si>
  <si>
    <t>HJM294</t>
  </si>
  <si>
    <t>Liudmila Keda</t>
  </si>
  <si>
    <t>montazke r20+contikai+priority+pasauga</t>
  </si>
  <si>
    <t>montazke r19+nauj goodyear+pasauga</t>
  </si>
  <si>
    <t>Vytenis Koryzna</t>
  </si>
  <si>
    <t>JTO478</t>
  </si>
  <si>
    <t>Evaldas Prizginas</t>
  </si>
  <si>
    <t>montazke r18+naujos padangos, ratai be padangu</t>
  </si>
  <si>
    <t xml:space="preserve"> Pezas 5008</t>
  </si>
  <si>
    <t>LZU659</t>
  </si>
  <si>
    <t>Giedrius Sabūnas</t>
  </si>
  <si>
    <t>10/25</t>
  </si>
  <si>
    <t>Vw taigo</t>
  </si>
  <si>
    <t>montazke r17+pasauga+priority</t>
  </si>
  <si>
    <t>Martynas Aniulis</t>
  </si>
  <si>
    <t>ED8598</t>
  </si>
  <si>
    <t>montazke r19+nauji goodyear+1vnt langu skyscio+priority</t>
  </si>
  <si>
    <t>Loreta Šiškevičienė</t>
  </si>
  <si>
    <t>MB EQA</t>
  </si>
  <si>
    <t>grazos daviau montazke r19</t>
  </si>
  <si>
    <t>Mantvydas Cekutis</t>
  </si>
  <si>
    <t>toyota raw4</t>
  </si>
  <si>
    <t xml:space="preserve">paemiau mart </t>
  </si>
  <si>
    <t>MOR850</t>
  </si>
  <si>
    <t>montazke r18+1vnt langu skyscio</t>
  </si>
  <si>
    <t>kaimyne andrej zmona</t>
  </si>
  <si>
    <t>MND996</t>
  </si>
  <si>
    <t>Audi S5</t>
  </si>
  <si>
    <t>montazke r19+naujos gy+priority</t>
  </si>
  <si>
    <t>BMW 5</t>
  </si>
  <si>
    <t>montazke r20+pasauga+priority</t>
  </si>
  <si>
    <t>Aivaras Dadura</t>
  </si>
  <si>
    <t>Ec4189</t>
  </si>
  <si>
    <t>Kristina M</t>
  </si>
  <si>
    <t>balansas+pasauga+priority</t>
  </si>
  <si>
    <t>balansas+priority+disko lyginimas</t>
  </si>
  <si>
    <t>10/27</t>
  </si>
  <si>
    <t>Karolis padejau uz padangos ir kita suda</t>
  </si>
  <si>
    <t>AUDI q8</t>
  </si>
  <si>
    <t xml:space="preserve">montazke r21+pasauga </t>
  </si>
  <si>
    <t>Agnius Tamul</t>
  </si>
  <si>
    <t>Andrej mama</t>
  </si>
  <si>
    <t>montazke r16 nauju gy</t>
  </si>
  <si>
    <t>nissasn</t>
  </si>
  <si>
    <t>montazke r20+pasauga+priority (uz priority pavedimu)</t>
  </si>
  <si>
    <t>LCC229</t>
  </si>
  <si>
    <t>montazke r19+naujos gy padangos</t>
  </si>
  <si>
    <t>Zana Vaskeviciene</t>
  </si>
  <si>
    <t>montazke r20 be pasaugos, padangos ismestos</t>
  </si>
  <si>
    <t xml:space="preserve">BENTLY </t>
  </si>
  <si>
    <t>LMZ863</t>
  </si>
  <si>
    <t>montazke r16+naujos padangos senos ismestos</t>
  </si>
  <si>
    <t>montazke r21+pasauga+priority (uz priority pavedimu)</t>
  </si>
  <si>
    <t>mdu817</t>
  </si>
  <si>
    <t>justas krasuckis norameda/NAV</t>
  </si>
  <si>
    <t>HBA652</t>
  </si>
  <si>
    <t>AUDRIUS TUTLYS</t>
  </si>
  <si>
    <t>Porsche Targa 4GTS</t>
  </si>
  <si>
    <t>MON011 AFY543</t>
  </si>
  <si>
    <t>Sarunas Legeckas</t>
  </si>
  <si>
    <t>Busikas</t>
  </si>
  <si>
    <t>MYG975</t>
  </si>
  <si>
    <t xml:space="preserve">montazke r16c+padangos gy+cupros ratlankiai,padangos ir montazke </t>
  </si>
  <si>
    <t>Aringas Vaškevičius</t>
  </si>
  <si>
    <t>LGV739</t>
  </si>
  <si>
    <t>Giedrius Živatkauskas</t>
  </si>
  <si>
    <t>Mur101</t>
  </si>
  <si>
    <t>Glc 63</t>
  </si>
  <si>
    <t>montazke r21+pasauga+priority</t>
  </si>
  <si>
    <t>vw  scirocco</t>
  </si>
  <si>
    <t>KZR121</t>
  </si>
  <si>
    <t>Rysard B</t>
  </si>
  <si>
    <t>KBD509</t>
  </si>
  <si>
    <t>Mantas Mazeika</t>
  </si>
  <si>
    <t>10/28</t>
  </si>
  <si>
    <t>Algimantas Kavoliukas</t>
  </si>
  <si>
    <t>balansas passat</t>
  </si>
  <si>
    <t>Arunas Kebla</t>
  </si>
  <si>
    <t>Lexus CT200h</t>
  </si>
  <si>
    <t>balansas+2vnt langu skyscio</t>
  </si>
  <si>
    <t>Lamborghini Urus</t>
  </si>
  <si>
    <t>R10</t>
  </si>
  <si>
    <t>nauji diskai+davykliai+padangos+montazke r22+pasauga disku</t>
  </si>
  <si>
    <t>KRZ460</t>
  </si>
  <si>
    <t>Kristna Agintaite</t>
  </si>
  <si>
    <t>Hyundai Ioniq</t>
  </si>
  <si>
    <t>255/40r20 GoodYear UltraGrip ICE3</t>
  </si>
  <si>
    <t>MRZ199</t>
  </si>
  <si>
    <t>Vytenis Kabalinskas</t>
  </si>
  <si>
    <t>TOYOTA VERSO</t>
  </si>
  <si>
    <t>HZU850</t>
  </si>
  <si>
    <t>Eugenijus Ganza</t>
  </si>
  <si>
    <t>JAE651</t>
  </si>
  <si>
    <t>montazke r17+naujos padangos sunny</t>
  </si>
  <si>
    <t>Bogdan</t>
  </si>
  <si>
    <t>montazke r18+anaujos triangle 225/55r18 padangos</t>
  </si>
  <si>
    <t xml:space="preserve">Vilius </t>
  </si>
  <si>
    <t>Kristijonas Plioplys</t>
  </si>
  <si>
    <t>Seat Ateca</t>
  </si>
  <si>
    <t>Vytautas Preiksa</t>
  </si>
  <si>
    <t>SKODA YETI</t>
  </si>
  <si>
    <t>montazke r16+2 nauji ice2</t>
  </si>
  <si>
    <t>Zivile Kiveryte</t>
  </si>
  <si>
    <t>LAA074</t>
  </si>
  <si>
    <t>Justas Cerkauskas</t>
  </si>
  <si>
    <t xml:space="preserve">balansas+pasauga 3vnt </t>
  </si>
  <si>
    <t>Tomas Naruskevic</t>
  </si>
  <si>
    <t>5vnt lang skyscio</t>
  </si>
  <si>
    <t>Tomas Gluoksnis</t>
  </si>
  <si>
    <t>10/29</t>
  </si>
  <si>
    <t>NJC813</t>
  </si>
  <si>
    <t xml:space="preserve">montazke r18+new ice3 </t>
  </si>
  <si>
    <t>ausra rimeikyte</t>
  </si>
  <si>
    <t>Busikas renualt</t>
  </si>
  <si>
    <t>LUVxxx</t>
  </si>
  <si>
    <t>montazke r16c+naujos padangos</t>
  </si>
  <si>
    <t>MDR825</t>
  </si>
  <si>
    <t>montazke r21+naujos yokohama+pasauga</t>
  </si>
  <si>
    <t>htb009</t>
  </si>
  <si>
    <t>kaladeles p.+keitimas</t>
  </si>
  <si>
    <t>montazke r15+new goodyear+10vnt langu skyscio</t>
  </si>
  <si>
    <t>Dalia Binkiene</t>
  </si>
  <si>
    <t>JAN510</t>
  </si>
  <si>
    <t>montazke r22+new goodyear</t>
  </si>
  <si>
    <t>Donatas Kruša</t>
  </si>
  <si>
    <t>Toyota rava4</t>
  </si>
  <si>
    <t>montazke r17+naujos padangos + pasauga</t>
  </si>
  <si>
    <t>JMK686</t>
  </si>
  <si>
    <t>montazke r18+priority</t>
  </si>
  <si>
    <t>Mindaugas Norkaitis</t>
  </si>
  <si>
    <t>BMW 335</t>
  </si>
  <si>
    <t>montazke r16+pasauga JHH884</t>
  </si>
  <si>
    <t>EB6766</t>
  </si>
  <si>
    <t>Saulius Žilėnas</t>
  </si>
  <si>
    <t>??????</t>
  </si>
  <si>
    <t>HHH525</t>
  </si>
  <si>
    <t>Andrius Laurikėnas</t>
  </si>
  <si>
    <t>GoodYear UG Perf3 235/60r18</t>
  </si>
  <si>
    <t xml:space="preserve">Ričardas Dokšas +37061237575	#2510070 </t>
  </si>
  <si>
    <t>NGM922</t>
  </si>
  <si>
    <t>Lexus NX200t</t>
  </si>
  <si>
    <t>Adomas Ginevicius</t>
  </si>
  <si>
    <t>montazke r16+priority</t>
  </si>
  <si>
    <t>montazke r19+naujos padangos+priority+pasauga</t>
  </si>
  <si>
    <t>Paulius Grigaitis</t>
  </si>
  <si>
    <t>10/30</t>
  </si>
  <si>
    <t>,montazke r16+naujos ice 3</t>
  </si>
  <si>
    <t>Egle baciliuniene rtqa grupe</t>
  </si>
  <si>
    <t>KZR217</t>
  </si>
  <si>
    <t>montazke r18+nauji hankook 235/50r18</t>
  </si>
  <si>
    <t>montazke r20/21+pasauga+2pcs new pirelli</t>
  </si>
  <si>
    <t>NEO802</t>
  </si>
  <si>
    <t>KUM460</t>
  </si>
  <si>
    <t>montazke r17+naujos padangos+priority</t>
  </si>
  <si>
    <t>Andrius Čepas</t>
  </si>
  <si>
    <t>Rimas Ali</t>
  </si>
  <si>
    <t>LJK203</t>
  </si>
  <si>
    <t>SEAT Tarraco</t>
  </si>
  <si>
    <t>LTA172</t>
  </si>
  <si>
    <t>Gintaras Žiaukas</t>
  </si>
  <si>
    <t>Ncu485</t>
  </si>
  <si>
    <t>Mantas Staliunas</t>
  </si>
  <si>
    <t>Kovaliovas</t>
  </si>
  <si>
    <t>Ncy819</t>
  </si>
  <si>
    <t>Jurgis Berzinis</t>
  </si>
  <si>
    <t>BMW sharan</t>
  </si>
  <si>
    <t>karolis puodziukas ?</t>
  </si>
  <si>
    <t>montazke r22+pasauga+naujos padangos hankook</t>
  </si>
  <si>
    <t>MFT 186</t>
  </si>
  <si>
    <t>10/31</t>
  </si>
  <si>
    <t>Kamilė Normantaitė</t>
  </si>
  <si>
    <t>EC6404</t>
  </si>
  <si>
    <t>montazke r20+pasauga+priority+12vnt langu skyscio</t>
  </si>
  <si>
    <t>Vytautas Binkis</t>
  </si>
  <si>
    <t>porsche</t>
  </si>
  <si>
    <t>MJM545</t>
  </si>
  <si>
    <t>Nerijus Kersys</t>
  </si>
  <si>
    <t>Nav</t>
  </si>
  <si>
    <t>montazke r14</t>
  </si>
  <si>
    <t>Rytis Cekanauskas</t>
  </si>
  <si>
    <t>Nissan Qashqai</t>
  </si>
  <si>
    <t>Migle Gudaitiene</t>
  </si>
  <si>
    <t>montavimas nauju yokohama, ratus paeme, pavelavo 20min</t>
  </si>
  <si>
    <t>Vilijus is INTERLUX?</t>
  </si>
  <si>
    <t>Kersulis</t>
  </si>
  <si>
    <t>JDO520</t>
  </si>
  <si>
    <t>montazke r19 (be pasaugos)</t>
  </si>
  <si>
    <t>Andrasiunas</t>
  </si>
  <si>
    <t>Gytis Kreivys</t>
  </si>
  <si>
    <t>HCP396</t>
  </si>
  <si>
    <t>Liutauras Gencevicius</t>
  </si>
  <si>
    <t>Vw T-Roc</t>
  </si>
  <si>
    <t>LCS303</t>
  </si>
  <si>
    <t>710eur paemiau mart, balanaitis</t>
  </si>
  <si>
    <t>MB Viano</t>
  </si>
  <si>
    <t>disko valymas+germetikas</t>
  </si>
  <si>
    <t>Ignas kamantauskas</t>
  </si>
  <si>
    <t>BMW 328</t>
  </si>
  <si>
    <t>Citroen c5</t>
  </si>
  <si>
    <t>Valerij Chatinovskij</t>
  </si>
  <si>
    <t>montazke r19 skarda 2vnt</t>
  </si>
  <si>
    <t>montazke MINI ratu, universaliu+2vnt nauji musu TAURUS?</t>
  </si>
  <si>
    <t>2025/11/xx</t>
  </si>
  <si>
    <t>MNO101</t>
  </si>
  <si>
    <t>uzmokes pavedimu uz viska</t>
  </si>
  <si>
    <t>montazke r17+naujos padangos perf3+priority</t>
  </si>
  <si>
    <t>Sarunas Jasas</t>
  </si>
  <si>
    <t>lgr257</t>
  </si>
  <si>
    <t>balansas visu ratu+2 vnt prasukimas po du kartus (galas ir priekis keleivio puse padangos baisiai sokineja)</t>
  </si>
  <si>
    <t>MB E63s</t>
  </si>
  <si>
    <t>Rokas Bilevičius</t>
  </si>
  <si>
    <t>DANUTĖ VEDERIENĖ</t>
  </si>
  <si>
    <t>Mgo476</t>
  </si>
  <si>
    <t>Jonas Klimaitis</t>
  </si>
  <si>
    <t>BMW X7</t>
  </si>
  <si>
    <t>Mhk077</t>
  </si>
  <si>
    <t>montazke r21 (be pasaugos, padangos paeme)</t>
  </si>
  <si>
    <t>fiat punto</t>
  </si>
  <si>
    <t>FTP882</t>
  </si>
  <si>
    <t>montazke r15+pasauga+priority</t>
  </si>
  <si>
    <t>Superb,</t>
  </si>
  <si>
    <t>Lcs493</t>
  </si>
  <si>
    <t>montazke r15</t>
  </si>
  <si>
    <t>buvo palikti uz vartu</t>
  </si>
  <si>
    <t>Ratu balansas+ventiliu keitimas visu 4</t>
  </si>
  <si>
    <t>Povilas Armanavčius</t>
  </si>
  <si>
    <t>MINI Clubman S</t>
  </si>
  <si>
    <t>GZN006</t>
  </si>
  <si>
    <t>montazke r16+nauji hankook+priority</t>
  </si>
  <si>
    <t>Erikas Langiar</t>
  </si>
  <si>
    <t>Rokas Arlauskas</t>
  </si>
  <si>
    <t>Romualdas</t>
  </si>
  <si>
    <t>Audi S7</t>
  </si>
  <si>
    <t xml:space="preserve"> balansas+pasauga </t>
  </si>
  <si>
    <t>Lfl599</t>
  </si>
  <si>
    <t>montazke r20+nauji goodyear+priorit)</t>
  </si>
  <si>
    <t>Marius S</t>
  </si>
  <si>
    <t>montazke 2vnt+balansas visu+pasauga</t>
  </si>
  <si>
    <t xml:space="preserve">montazke r16c+nauji dunlop </t>
  </si>
  <si>
    <t>Elvis  kersulis</t>
  </si>
  <si>
    <t>Andžej Maciejevski</t>
  </si>
  <si>
    <t>NEH875</t>
  </si>
  <si>
    <t>montazke r19+nauji maxxis</t>
  </si>
  <si>
    <t>LGH549</t>
  </si>
  <si>
    <t>Dagnė Kemežytė</t>
  </si>
  <si>
    <t>Tomas Mice</t>
  </si>
  <si>
    <t>Evo X</t>
  </si>
  <si>
    <t>Lny440</t>
  </si>
  <si>
    <t>montazke r18 (be pasaugos)</t>
  </si>
  <si>
    <t>Bmw 116d</t>
  </si>
  <si>
    <t>balansas+priority+pasauga</t>
  </si>
  <si>
    <t>Jonas Vainius</t>
  </si>
  <si>
    <t>EOZ413</t>
  </si>
  <si>
    <t>montazke r19+utilizavimas</t>
  </si>
  <si>
    <t>AUDI q</t>
  </si>
  <si>
    <t>Nlv799</t>
  </si>
  <si>
    <t>montazke r21+naujos sailun</t>
  </si>
  <si>
    <t>Marius Sabaliauskas</t>
  </si>
  <si>
    <t>Volvo S60</t>
  </si>
  <si>
    <t>Egidijus Grigaravičius</t>
  </si>
  <si>
    <t>montqazke r18+pasauga</t>
  </si>
  <si>
    <t>MPD917</t>
  </si>
  <si>
    <t>montazke r16+utilizavimas</t>
  </si>
  <si>
    <t>Kia Xceed</t>
  </si>
  <si>
    <t>LES677</t>
  </si>
  <si>
    <t>balansas+disku pasauga+priority</t>
  </si>
  <si>
    <t>tomas beinartas</t>
  </si>
  <si>
    <t>EC8825</t>
  </si>
  <si>
    <t>Viking 225/55r17</t>
  </si>
  <si>
    <t>MINI COUNTRYMAN</t>
  </si>
  <si>
    <t>LFT717</t>
  </si>
  <si>
    <t>montazke r17 be pasaugos</t>
  </si>
  <si>
    <t>SEAT ALTEA XL</t>
  </si>
  <si>
    <t>LFC540</t>
  </si>
  <si>
    <t>Igor Margunov</t>
  </si>
  <si>
    <t>medgana</t>
  </si>
  <si>
    <r>
      <rPr>
        <color rgb="FF1155CC"/>
        <u/>
      </rPr>
      <t>igor</t>
    </r>
    <r>
      <rPr>
        <color rgb="FF1155CC"/>
        <u/>
      </rPr>
      <t>.</t>
    </r>
    <r>
      <rPr/>
      <t>margunov@gmail.com</t>
    </r>
  </si>
  <si>
    <t>montazke r19/20+disku pasauga</t>
  </si>
  <si>
    <t>FDU366</t>
  </si>
  <si>
    <t>Algimantas Radzebičius</t>
  </si>
  <si>
    <t>Kristina Gliaudeliene</t>
  </si>
  <si>
    <t>Skolingas dar 15, nes dencikas paeme tik 90</t>
  </si>
  <si>
    <t>JLA383</t>
  </si>
  <si>
    <t>MB e53</t>
  </si>
  <si>
    <t>montazke r19+new goodyear+pasauga</t>
  </si>
  <si>
    <t>JMK706</t>
  </si>
  <si>
    <t>Mazda 3</t>
  </si>
  <si>
    <t>FJC889</t>
  </si>
  <si>
    <t>montazke r16+naujos bridgestone padangos+4vnt davykliai nauji musu+skardos naujos</t>
  </si>
  <si>
    <t>Mindaugas Čiaglys</t>
  </si>
  <si>
    <t>mjc056</t>
  </si>
  <si>
    <t xml:space="preserve">montazke r18+pasauga+davyklis </t>
  </si>
  <si>
    <t>EV0815</t>
  </si>
  <si>
    <t>montazke r17 suv</t>
  </si>
  <si>
    <t>Toyota C-HR</t>
  </si>
  <si>
    <t>Dovile Cislikaiskiene</t>
  </si>
  <si>
    <t>Ford Galaxy II</t>
  </si>
  <si>
    <t>Andrėjus Baraškovas</t>
  </si>
  <si>
    <t>Reiketu 20vnt nauju varztu</t>
  </si>
  <si>
    <t>HPJ757</t>
  </si>
  <si>
    <t>montazke r19+new yokohama (vasara ismesta)</t>
  </si>
  <si>
    <t>Julius Savickas</t>
  </si>
  <si>
    <t>MAS805</t>
  </si>
  <si>
    <t>montazke r16c+naujos dynamo padangos be pasaugos (ismesta)</t>
  </si>
  <si>
    <t>EB2606</t>
  </si>
  <si>
    <t>montazke r19+new yokohama+priority</t>
  </si>
  <si>
    <t>Marius Kasnauskas</t>
  </si>
  <si>
    <t>Karolis paemiau uz 2025/10/xx</t>
  </si>
  <si>
    <t>Škoda Octavia</t>
  </si>
  <si>
    <t>NYM260</t>
  </si>
  <si>
    <t>Gabija Tarapovskytė</t>
  </si>
  <si>
    <t>Alanas Galalis</t>
  </si>
  <si>
    <t>MGZ786</t>
  </si>
  <si>
    <t>Emilis Gustainis</t>
  </si>
  <si>
    <t>montazke r18+pasauga+tepalo keitimas (tepalas,filtrai)</t>
  </si>
  <si>
    <t>LNH425</t>
  </si>
  <si>
    <t>montazke r17 2vnt, balansas visu</t>
  </si>
  <si>
    <t>FORD Transit</t>
  </si>
  <si>
    <t>BMW X5 50e</t>
  </si>
  <si>
    <t>montazke r20+nauji diskai+nauji goodyear+pasauga</t>
  </si>
  <si>
    <t>Donatas Šiurna</t>
  </si>
  <si>
    <t>NMS023</t>
  </si>
  <si>
    <t>montazke r17+nauji viking (be pasaugos)+1vnt langu skyscio</t>
  </si>
  <si>
    <t>Regimantas Stiklita</t>
  </si>
  <si>
    <t>Mercedes-Benz GLC</t>
  </si>
  <si>
    <t>montazke r18+naujos padangos+pasauga</t>
  </si>
  <si>
    <t>Gytis Malinauskas</t>
  </si>
  <si>
    <t>Peugeot 5008</t>
  </si>
  <si>
    <t>China kazkoks</t>
  </si>
  <si>
    <t>EC2002</t>
  </si>
  <si>
    <t>padangos ag sava 215/50r17</t>
  </si>
  <si>
    <t>VW Multivan</t>
  </si>
  <si>
    <t>FBV968</t>
  </si>
  <si>
    <t>balansas be pasaugos (pasake kad brangiai, toli vaziuoti ir pns)</t>
  </si>
  <si>
    <t>BMW 630D</t>
  </si>
  <si>
    <t>MZT08</t>
  </si>
  <si>
    <t>MGG898</t>
  </si>
  <si>
    <t>Edita BERNATONE</t>
  </si>
  <si>
    <t>pavedimu (55eur)</t>
  </si>
  <si>
    <t>ACY629</t>
  </si>
  <si>
    <t>montazke r17+naujos padangos+langu skystis 1vnt</t>
  </si>
  <si>
    <t>Anton Zagzin</t>
  </si>
  <si>
    <t>rato remontas, idetas sniuras, be rato nuemimo</t>
  </si>
  <si>
    <t>MHI363</t>
  </si>
  <si>
    <t>balansas be pasaugos</t>
  </si>
  <si>
    <t>Paulius Palubinskas</t>
  </si>
  <si>
    <t>5pcs langu skyscio+montazke r21+pasauga 1vnt</t>
  </si>
  <si>
    <t>Doodge</t>
  </si>
  <si>
    <t>Paulius Balciunas</t>
  </si>
  <si>
    <t>Lit236</t>
  </si>
  <si>
    <t>Raimis Sakalauskas</t>
  </si>
  <si>
    <t>BMW 330e</t>
  </si>
  <si>
    <t>balansas+priority+disku pasauga</t>
  </si>
  <si>
    <t>toyota camry</t>
  </si>
  <si>
    <t>LCV367</t>
  </si>
  <si>
    <t>montazke nauju goodyear</t>
  </si>
  <si>
    <t>Vytautas Dumbliauskas</t>
  </si>
  <si>
    <t>montazke r17 nauju debica+pasauga</t>
  </si>
  <si>
    <t>Ignas Kuprys</t>
  </si>
  <si>
    <t>NLE 162</t>
  </si>
  <si>
    <t>montazke r19+priority</t>
  </si>
  <si>
    <t>Edmontas Šiugžda</t>
  </si>
  <si>
    <t>montzke r16</t>
  </si>
  <si>
    <t>Birutė Alunderytė-Akilla</t>
  </si>
  <si>
    <t>Mercedes Benz A180Sedan</t>
  </si>
  <si>
    <t>NFA 933</t>
  </si>
  <si>
    <t xml:space="preserve"> montazke r  +priority</t>
  </si>
  <si>
    <t>bmw730d</t>
  </si>
  <si>
    <t>Bco030</t>
  </si>
  <si>
    <t>Justas Str</t>
  </si>
  <si>
    <t>KMT244</t>
  </si>
  <si>
    <t>BMW F31</t>
  </si>
  <si>
    <t>MIR961</t>
  </si>
  <si>
    <t>MB AMG</t>
  </si>
  <si>
    <t>Deivis Vileniskis</t>
  </si>
  <si>
    <t>montazke nauju goodyear r19</t>
  </si>
  <si>
    <t>montazke r16+nauji hankook</t>
  </si>
  <si>
    <t>montazke nauju contiku+pasauga+priority</t>
  </si>
  <si>
    <t>montazke r22+pasauga+priority</t>
  </si>
  <si>
    <t>Audi etron Q8</t>
  </si>
  <si>
    <t>balansas+disku pasauga+priority+28eur skola</t>
  </si>
  <si>
    <t>Ilona C</t>
  </si>
  <si>
    <t>11/.10</t>
  </si>
  <si>
    <t>Langu skstis</t>
  </si>
  <si>
    <t>senas 4l</t>
  </si>
  <si>
    <t>naujas 3.75l</t>
  </si>
  <si>
    <t>Taureg</t>
  </si>
  <si>
    <t>MYY767?</t>
  </si>
  <si>
    <t>neatsukom vieno slapuko, montazkes nebuvo</t>
  </si>
  <si>
    <t>Diverus</t>
  </si>
  <si>
    <t>pcs.</t>
  </si>
  <si>
    <t>kze985</t>
  </si>
  <si>
    <t>graza</t>
  </si>
  <si>
    <t>montazke nauju yokohama r19+paasuga</t>
  </si>
  <si>
    <t>VW caddy</t>
  </si>
  <si>
    <t>balansas+diksu pasauga+2pcs new gtradial+padangos remontas (sniuras)</t>
  </si>
  <si>
    <t>pirko</t>
  </si>
  <si>
    <t xml:space="preserve">nissan x-trail
</t>
  </si>
  <si>
    <t>Jsk219</t>
  </si>
  <si>
    <t>balansas+padangos prasukimas</t>
  </si>
  <si>
    <t>MJO023</t>
  </si>
  <si>
    <t>montazke r18+235/40r18 gy asym 6 nauja atidaviau sena su guzu paliko</t>
  </si>
  <si>
    <t>andrius bernotas</t>
  </si>
  <si>
    <t>Gintarė Viliošienė</t>
  </si>
  <si>
    <t>montazke r21 nauju pirelli + pasauga</t>
  </si>
  <si>
    <t>Toyota corola</t>
  </si>
  <si>
    <t>LSU701</t>
  </si>
  <si>
    <t>Indrė Leškuvienė</t>
  </si>
  <si>
    <t>pajamiau mart</t>
  </si>
  <si>
    <t>KJH987</t>
  </si>
  <si>
    <t>Dovilė Vervečkienė</t>
  </si>
  <si>
    <t>Kjp184</t>
  </si>
  <si>
    <t>Mindaugas Legeika</t>
  </si>
  <si>
    <t>Peugeot 3008</t>
  </si>
  <si>
    <t>NEJ308</t>
  </si>
  <si>
    <t>Remigijus Vaišė</t>
  </si>
  <si>
    <t>P07442</t>
  </si>
  <si>
    <t>montaze r18+naujos padangos sailun be pasaugos</t>
  </si>
  <si>
    <t>Mcz566</t>
  </si>
  <si>
    <t>Stareka Uab</t>
  </si>
  <si>
    <t>RSD</t>
  </si>
  <si>
    <t>5?</t>
  </si>
  <si>
    <t>bmw x5 f15</t>
  </si>
  <si>
    <t>LFO455</t>
  </si>
  <si>
    <t>balansas+davykliu isemimas tepimas su hermetiku visi 4vnt, stebules ir disku valymas, 2vnt padangu prasukimas 180 laipsniu+davyklio ventilis musu</t>
  </si>
  <si>
    <t>Sarunas Pikelis</t>
  </si>
  <si>
    <t>NGE028</t>
  </si>
  <si>
    <t>ieva Skyriene</t>
  </si>
  <si>
    <t>DZZ888</t>
  </si>
  <si>
    <t>montazke r21+naujos continental</t>
  </si>
  <si>
    <t>Laurynas Bočkus</t>
  </si>
  <si>
    <t>MB busikas</t>
  </si>
  <si>
    <t>FCP600</t>
  </si>
  <si>
    <t>ED9132</t>
  </si>
  <si>
    <t>motazke r18+naujos dunlop padangos ismestos</t>
  </si>
  <si>
    <t>Lukas Donelaitis</t>
  </si>
  <si>
    <t>balansas+rato lyginimas (vasara buvo islygintas)</t>
  </si>
  <si>
    <t>montazke r16 nauju debica+pasauga</t>
  </si>
  <si>
    <t>Lexus NX 300h</t>
  </si>
  <si>
    <t>P21063</t>
  </si>
  <si>
    <t>montazke r18+naujos contikus</t>
  </si>
  <si>
    <t>Linas Butauskas</t>
  </si>
  <si>
    <t>https://rekvizitai.vz.lt/imone/eiprela/</t>
  </si>
  <si>
    <t>pavedimu (65 arba 70 turi atsiusti)</t>
  </si>
  <si>
    <t>KRD999</t>
  </si>
  <si>
    <t xml:space="preserve">montaze r18+naujos goodyear ice artic2 </t>
  </si>
  <si>
    <t>LHU322</t>
  </si>
  <si>
    <t>vw taureg</t>
  </si>
  <si>
    <t>PORSCHE CAYENNE</t>
  </si>
  <si>
    <t>montazke r22+pasauga (P.D. ratas kreivas)</t>
  </si>
  <si>
    <t>Diverus donatas</t>
  </si>
  <si>
    <t>montazke r18 +padangos remontas (sniuras)be pasaugos, padangos ismestos reikia nauju</t>
  </si>
  <si>
    <t>MLA737</t>
  </si>
  <si>
    <t>montazke r19 nauju goodyear be pasaugos</t>
  </si>
  <si>
    <t>Tomas Jucius</t>
  </si>
  <si>
    <t>JGG125</t>
  </si>
  <si>
    <t>montazke r16c+2vnt nauji taurus</t>
  </si>
  <si>
    <t>Tomas +37061131225</t>
  </si>
  <si>
    <t>Romualdas Venckevicius</t>
  </si>
  <si>
    <t xml:space="preserve">MINI </t>
  </si>
  <si>
    <t>EB6556</t>
  </si>
  <si>
    <t>Nerijus Zi</t>
  </si>
  <si>
    <t>pakabos diagnostika</t>
  </si>
  <si>
    <t>ea6556</t>
  </si>
  <si>
    <t>montqazke r20+pasauga</t>
  </si>
  <si>
    <t>ABY380</t>
  </si>
  <si>
    <t>montazke r17 nauju maxxis</t>
  </si>
  <si>
    <t>Gediminas Barysas</t>
  </si>
  <si>
    <t>Cine Service julius navagrudskas</t>
  </si>
  <si>
    <t>LUS696</t>
  </si>
  <si>
    <t>Balansas+disku pasauga (reikia ratus islyginti)</t>
  </si>
  <si>
    <t>Ovidijus Meilunas</t>
  </si>
  <si>
    <t>montazke r19+naujos kumho+3vnt TPMS</t>
  </si>
  <si>
    <t>Kbd371</t>
  </si>
  <si>
    <t>montazke r20 suv</t>
  </si>
  <si>
    <t>Linas R</t>
  </si>
  <si>
    <t>padangos ag falken</t>
  </si>
  <si>
    <t>LJU874</t>
  </si>
  <si>
    <t>montazke r18 suv</t>
  </si>
  <si>
    <t>Cine Service</t>
  </si>
  <si>
    <t>ED3019</t>
  </si>
  <si>
    <t>SABINA</t>
  </si>
  <si>
    <t>montazke r20+naujos padangos perf3</t>
  </si>
  <si>
    <t>Ieska romas</t>
  </si>
  <si>
    <t>Audi A6 Allroad</t>
  </si>
  <si>
    <t>DZO610</t>
  </si>
  <si>
    <t>Jolita Knezytė</t>
  </si>
  <si>
    <t>Agne kaimyne</t>
  </si>
  <si>
    <t>HZU967</t>
  </si>
  <si>
    <t>Julijus Fisas</t>
  </si>
  <si>
    <t>NUU408</t>
  </si>
  <si>
    <t>Ernestas Kitas</t>
  </si>
  <si>
    <t>mart pasieme</t>
  </si>
  <si>
    <t>11/13</t>
  </si>
  <si>
    <t>montazke r20+naujos hankook (be pasaugos, padangos paeme su savim)</t>
  </si>
  <si>
    <t>MB EQE</t>
  </si>
  <si>
    <t>montazke r20 (be pasaugos, padangos paeme)</t>
  </si>
  <si>
    <t>Darius Kriukas</t>
  </si>
  <si>
    <t>FNO735</t>
  </si>
  <si>
    <t>montazke r17 ir 1vnt r16</t>
  </si>
  <si>
    <t>Daumantas Zavadskis</t>
  </si>
  <si>
    <t>DOB602</t>
  </si>
  <si>
    <t>Laura Kondratavičienė</t>
  </si>
  <si>
    <t>MFR228</t>
  </si>
  <si>
    <t xml:space="preserve">montazke r19 be pasaugos, ismesta </t>
  </si>
  <si>
    <t>Ignas Buda</t>
  </si>
  <si>
    <t>p07764</t>
  </si>
  <si>
    <t>montazke r22+naujos pirelli+4pcs tpms+diskai?</t>
  </si>
  <si>
    <t>EV8988</t>
  </si>
  <si>
    <t>montazke r18+naujos hankook</t>
  </si>
  <si>
    <t>Maciej Mikelevič</t>
  </si>
  <si>
    <t>montazke r20+pasauga+diska paliko islyginti ir suvirinti</t>
  </si>
  <si>
    <t>Antonas mejus</t>
  </si>
  <si>
    <t>MB G500</t>
  </si>
  <si>
    <t>Golf GTI 7</t>
  </si>
  <si>
    <t>LPM617</t>
  </si>
  <si>
    <t>montazke r18+naujos goodyear (uz padangos uzmokejo)</t>
  </si>
  <si>
    <t>Tautvydas Krikščiūnas</t>
  </si>
  <si>
    <t xml:space="preserve">Tycan </t>
  </si>
  <si>
    <t>EB1911</t>
  </si>
  <si>
    <t>montazke r16c nauju goodyear</t>
  </si>
  <si>
    <t>Hyundai IONIQ Electric</t>
  </si>
  <si>
    <t>EV6175</t>
  </si>
  <si>
    <t>BMW m3</t>
  </si>
  <si>
    <t>Hyundai Kona</t>
  </si>
  <si>
    <t>montazke r17 nauju goodyear</t>
  </si>
  <si>
    <t>Vidmantas Vadluga</t>
  </si>
  <si>
    <t>SKODA OCTAVIA</t>
  </si>
  <si>
    <t>NEC072</t>
  </si>
  <si>
    <t>veronika Rad</t>
  </si>
  <si>
    <t>BMW, F02</t>
  </si>
  <si>
    <t>MB r350</t>
  </si>
  <si>
    <t>Rimantas Bag</t>
  </si>
  <si>
    <t>11/14</t>
  </si>
  <si>
    <t>balansas+1vnt langu skyscio</t>
  </si>
  <si>
    <t>NAP220</t>
  </si>
  <si>
    <t>montazke r17 nauju fulda</t>
  </si>
  <si>
    <t>Ligita Rasimavičienė</t>
  </si>
  <si>
    <t>montazke r17 1vnt sava</t>
  </si>
  <si>
    <t xml:space="preserve">Darius geguzis </t>
  </si>
  <si>
    <t>LLI571</t>
  </si>
  <si>
    <t>montazke r17+3vnt langu skyscio (seno)</t>
  </si>
  <si>
    <t>Kia sportage</t>
  </si>
  <si>
    <t>montazke r17+util</t>
  </si>
  <si>
    <t>Laurynas Gončauskas</t>
  </si>
  <si>
    <t>GY060</t>
  </si>
  <si>
    <t>montazkzke r20+pasauga</t>
  </si>
  <si>
    <t>BMW X4</t>
  </si>
  <si>
    <t>montazke r18 ROF</t>
  </si>
  <si>
    <t>WV Passat</t>
  </si>
  <si>
    <t>LEG444</t>
  </si>
  <si>
    <t>balansas r16 (ziema), ismontuoti r17 vasarines padangos ir utilizuoti</t>
  </si>
  <si>
    <t>KNR671</t>
  </si>
  <si>
    <t>montazke r16+ventiliu keitimas+disku valymas</t>
  </si>
  <si>
    <t>evaldas kaimynas</t>
  </si>
  <si>
    <t>Karolis daviau Dencikui</t>
  </si>
  <si>
    <t>11/17</t>
  </si>
  <si>
    <t>VW ID7</t>
  </si>
  <si>
    <t xml:space="preserve">montazke 2vnt </t>
  </si>
  <si>
    <t>Martas</t>
  </si>
  <si>
    <t>MDZ 645</t>
  </si>
  <si>
    <t>padangos remontas, idetas sniuras</t>
  </si>
  <si>
    <t>UAB Mediq Lietuva</t>
  </si>
  <si>
    <t>bmw 740li</t>
  </si>
  <si>
    <t>Lukit0</t>
  </si>
  <si>
    <t>nebuvo slapuko, nieko nadarem, uz praita karta mokejo</t>
  </si>
  <si>
    <t>Lukas Siradze</t>
  </si>
  <si>
    <t>MDE754</t>
  </si>
  <si>
    <t>monatazke r17</t>
  </si>
  <si>
    <t>KZP133</t>
  </si>
  <si>
    <t>monatazke r17 sask reikia</t>
  </si>
  <si>
    <t>giedrius znutas</t>
  </si>
  <si>
    <t>https://rekvizitai.vz.lt/imone/lova_plius/</t>
  </si>
  <si>
    <t>MRS094</t>
  </si>
  <si>
    <t>Vytautas Lukšys</t>
  </si>
  <si>
    <t>NHB878</t>
  </si>
  <si>
    <t>37062603314 kaimyno kazkokio ???</t>
  </si>
  <si>
    <t>Porshce Cayenne</t>
  </si>
  <si>
    <t>ventiliu keitimas  2vnt</t>
  </si>
  <si>
    <t>NOE028</t>
  </si>
  <si>
    <t>montazke r20 nauju yokohama</t>
  </si>
  <si>
    <t>MiniCooper S</t>
  </si>
  <si>
    <t>LUK545</t>
  </si>
  <si>
    <t>pavedimu (45eur)</t>
  </si>
  <si>
    <t>Dovydas Lukšas</t>
  </si>
  <si>
    <t>11/18</t>
  </si>
  <si>
    <t xml:space="preserve">Peugeot </t>
  </si>
  <si>
    <t>montazke r18 2vnt+balansas visu 4</t>
  </si>
  <si>
    <t xml:space="preserve">Ferrari </t>
  </si>
  <si>
    <t>montazke r19 be masinos</t>
  </si>
  <si>
    <t>montazke r20+3vnt disku lyginimas+2 vnt nauju goodyear+pasauga</t>
  </si>
  <si>
    <t>montazke r20+nauji ratlankiai+triangle padangos</t>
  </si>
  <si>
    <t>Donatas nuo ryto</t>
  </si>
  <si>
    <t>BMW F10</t>
  </si>
  <si>
    <t>maxxis+1vnt langu skyscio</t>
  </si>
  <si>
    <t>MUM300</t>
  </si>
  <si>
    <t>NYD716</t>
  </si>
  <si>
    <t>montazke r19+pasauga+mihcelin 2vnt</t>
  </si>
  <si>
    <t xml:space="preserve">5 skoloi </t>
  </si>
  <si>
    <t>LANDROVER DISCOVERE</t>
  </si>
  <si>
    <t>montazke 2vnt nauju goodride</t>
  </si>
  <si>
    <t>disku valymas, ventiliu keitimas, balansas 2 disku</t>
  </si>
  <si>
    <t>3vnt disku lyginimas</t>
  </si>
  <si>
    <t>montazke r19+util</t>
  </si>
  <si>
    <t>LUV885</t>
  </si>
  <si>
    <t>montazke r18 nauju goodyear+paprase nuresetinti servisa su diagnostika (be pasaugos)</t>
  </si>
  <si>
    <t>x1 sniuras, x2 hermetizavimas, x2 ventiliai, montazke su balansu</t>
  </si>
  <si>
    <t>NAV Arunas</t>
  </si>
  <si>
    <t>4872KWT</t>
  </si>
  <si>
    <t>montazke r19+padangos remontas sniuras+1vnt langu skyscio</t>
  </si>
  <si>
    <t>Einar Sturluson</t>
  </si>
  <si>
    <t>montazke r17 suv+pasauga</t>
  </si>
  <si>
    <t>MSI590</t>
  </si>
  <si>
    <t>montazke r16 nauju sunny+valytuvai priekis/galas+2vnt langu skyscio seno</t>
  </si>
  <si>
    <t>Mantas paliokas</t>
  </si>
  <si>
    <t>davykliu pririsimas</t>
  </si>
  <si>
    <t xml:space="preserve">Goncauskas </t>
  </si>
  <si>
    <t>11/21</t>
  </si>
  <si>
    <t>montazke r19 nauju goodyear+pasauga</t>
  </si>
  <si>
    <t>Tadas mirono brolis</t>
  </si>
  <si>
    <t>montazke r16 nauju blizzak (be masinos, ratus atveze)</t>
  </si>
  <si>
    <t>11/24</t>
  </si>
  <si>
    <t>VW passtat</t>
  </si>
  <si>
    <t xml:space="preserve">montazke r16 nauju bridgestone </t>
  </si>
  <si>
    <t>sarunas skyrius montazke+pasauga</t>
  </si>
  <si>
    <t>Skyrius</t>
  </si>
  <si>
    <t>montazke r20 nauju goodyear+pasauga</t>
  </si>
  <si>
    <t>rav4 montazke</t>
  </si>
  <si>
    <t>davyklio remontas + naujas alu ventil</t>
  </si>
  <si>
    <t xml:space="preserve">FORD </t>
  </si>
  <si>
    <t>montazke r18+2 naujos padangos</t>
  </si>
  <si>
    <t>NNB267</t>
  </si>
  <si>
    <t>montazke r18 nauju china padangu</t>
  </si>
  <si>
    <t>Oleksandr Tsybyk 064797607</t>
  </si>
  <si>
    <t>balansas+4vnt langu skscio</t>
  </si>
  <si>
    <t>11/25</t>
  </si>
  <si>
    <t>montazke r19 GY is AG</t>
  </si>
  <si>
    <t>montazke r18 suv+pasauga</t>
  </si>
  <si>
    <t xml:space="preserve">toyota </t>
  </si>
  <si>
    <t>HUA586</t>
  </si>
  <si>
    <t>montazke r16 nauju sava+1vnt langu skyscio</t>
  </si>
  <si>
    <t>Garbincius</t>
  </si>
  <si>
    <t>montazke r16 nauju sunny</t>
  </si>
  <si>
    <t>11/26</t>
  </si>
  <si>
    <t>Multivan</t>
  </si>
  <si>
    <t>hermetizavimas, ventiliu keitimas</t>
  </si>
  <si>
    <t>4vnt ratu lyginimas be masinos</t>
  </si>
  <si>
    <t>PORSCHE macan</t>
  </si>
  <si>
    <t>vaidas kaimynas</t>
  </si>
  <si>
    <t>montazke r16c+naujos dynamo padangos</t>
  </si>
  <si>
    <t>11/27</t>
  </si>
  <si>
    <t>MRG963???</t>
  </si>
  <si>
    <t>ventilio keitimas+hermetizavimas+balansas</t>
  </si>
  <si>
    <t>Interlux?</t>
  </si>
  <si>
    <t>JOA732</t>
  </si>
  <si>
    <t>montazke r18+padangos is ag</t>
  </si>
  <si>
    <t>montazke r17 nauju sunny</t>
  </si>
  <si>
    <t>Rokas Buzelis</t>
  </si>
  <si>
    <t>7eur skola?</t>
  </si>
  <si>
    <t>montazke r16+padangos ag r16 nexen</t>
  </si>
  <si>
    <t>Tomas</t>
  </si>
  <si>
    <t>Vw passat</t>
  </si>
  <si>
    <t>montazke r17 nauju goodyear ice3</t>
  </si>
  <si>
    <t>OVIDIJUS MEILUNAS</t>
  </si>
  <si>
    <t xml:space="preserve">montazke nauju goodyear </t>
  </si>
  <si>
    <t>11/28</t>
  </si>
  <si>
    <t>UAB Inion LT</t>
  </si>
  <si>
    <t>Vw golf</t>
  </si>
  <si>
    <t>EA5971</t>
  </si>
  <si>
    <t xml:space="preserve">montazke r16 nauju perf3 </t>
  </si>
  <si>
    <t>Gediminas Kerpiskis</t>
  </si>
  <si>
    <t>padangos ag 265/60r18</t>
  </si>
  <si>
    <t>2025/12/xx</t>
  </si>
  <si>
    <t>MDI079</t>
  </si>
  <si>
    <t>montazke r17 nauju triangle+1vnt langu skyscio</t>
  </si>
  <si>
    <t>Viktorija Šatė</t>
  </si>
  <si>
    <t>VW T5</t>
  </si>
  <si>
    <t>Vyga</t>
  </si>
  <si>
    <t>---------------&gt;</t>
  </si>
  <si>
    <t>Iš naujo uždėti karterį nes bėga tepalai;</t>
  </si>
  <si>
    <t>montazke naujos padangos</t>
  </si>
  <si>
    <t>Variklio alyva;</t>
  </si>
  <si>
    <t>Ford Tourneo</t>
  </si>
  <si>
    <t>NGZ539</t>
  </si>
  <si>
    <t>montazke r17c</t>
  </si>
  <si>
    <t>Tadas MONKEVIČIUS</t>
  </si>
  <si>
    <t>Saleinblokai galas</t>
  </si>
  <si>
    <t>MLM343</t>
  </si>
  <si>
    <t>balansas tiguan+6seno langu+6naujo langu</t>
  </si>
  <si>
    <t>Julus Juodisius</t>
  </si>
  <si>
    <t>Stabdžių skystis;</t>
  </si>
  <si>
    <t>Pegeot</t>
  </si>
  <si>
    <t>Pavarų dėžės alyva;</t>
  </si>
  <si>
    <t>Dacia</t>
  </si>
  <si>
    <t xml:space="preserve">Albertas ignatavicius </t>
  </si>
  <si>
    <t>Reduktoriaus alyva;</t>
  </si>
  <si>
    <t>montazke 1vnt</t>
  </si>
  <si>
    <t>Artūras Kiselis</t>
  </si>
  <si>
    <t>Haldex alyva ir filtras</t>
  </si>
  <si>
    <t>kaitinimo zvakiu keitimas, dugno apsaugos uzdeimas, rato hermetizavimas, suporto valymas</t>
  </si>
  <si>
    <t>Antifrizas ok, dapilta 500ml</t>
  </si>
  <si>
    <t>2vnt disku valymas, hermetizavimas+2vnt balansas</t>
  </si>
  <si>
    <t>rimas ali</t>
  </si>
  <si>
    <t>Visi filtrai</t>
  </si>
  <si>
    <t>Skoda kadiq</t>
  </si>
  <si>
    <t>tepalai/filtrai</t>
  </si>
  <si>
    <t>Saleinblokai priekis</t>
  </si>
  <si>
    <t>padangos ag dunlop</t>
  </si>
  <si>
    <t xml:space="preserve">Balansas </t>
  </si>
  <si>
    <t xml:space="preserve">Transferbox tepalas </t>
  </si>
  <si>
    <t>tepalo uzpilimas</t>
  </si>
  <si>
    <t>Galines balkes varztai ne kreivi</t>
  </si>
  <si>
    <t xml:space="preserve">BMW x3 </t>
  </si>
  <si>
    <t>BE CS 888</t>
  </si>
  <si>
    <t>montazke r18 nauju gy ice 3, vasara paims vakare</t>
  </si>
  <si>
    <t>Vadim keda</t>
  </si>
  <si>
    <t>paemiau grazos uz ceshkes</t>
  </si>
  <si>
    <t>montazke r18 2vnt nauju</t>
  </si>
  <si>
    <t>padangos ag 225/50r18 gy</t>
  </si>
  <si>
    <t>padangos vasarines 2vnt fulda</t>
  </si>
  <si>
    <t xml:space="preserve">balansas+1m vakuumines zarnos keitimas </t>
  </si>
  <si>
    <t>Senukai</t>
  </si>
  <si>
    <t>Montazke r16 2vnt nauju debica 205/55r16 91h</t>
  </si>
  <si>
    <t>Toyota Verso</t>
  </si>
  <si>
    <t>montazke r16 nauju debica+valymas+montazke atgal senu padangu nes nusprende masina parduoti:D naujos sava liko pas mus</t>
  </si>
  <si>
    <t>VOVLO V50</t>
  </si>
  <si>
    <t>JZP234</t>
  </si>
  <si>
    <t>Remigijus</t>
  </si>
  <si>
    <t>Toyota kablukas</t>
  </si>
  <si>
    <t>ZCB521</t>
  </si>
  <si>
    <t>montazke r16 nauju taurus</t>
  </si>
  <si>
    <t>Valdas Simutis</t>
  </si>
  <si>
    <t>Andrius papartis</t>
  </si>
  <si>
    <t>Karolis uz detles</t>
  </si>
  <si>
    <t>VW I.D.7</t>
  </si>
  <si>
    <t>EE1277</t>
  </si>
  <si>
    <t>ratu uzdeimas+balansas (marto diskus ir naujos padaangos goodyear perf3)</t>
  </si>
  <si>
    <t>Remeika</t>
  </si>
  <si>
    <t>mantulis sake paeme 2025-12-12</t>
  </si>
  <si>
    <t>12/15</t>
  </si>
  <si>
    <t>disku ir kaladelu keitimas (priekis ir galas) filtru ir tepalu keitimas, 1vnt rato davyklio keitimas</t>
  </si>
  <si>
    <t>Mantas paeme medziagom</t>
  </si>
  <si>
    <t>12/16</t>
  </si>
  <si>
    <t>padangos ag 245/45r18 gy rof</t>
  </si>
  <si>
    <t>12/17</t>
  </si>
  <si>
    <t>MB V300D</t>
  </si>
  <si>
    <t>pakabos remontas</t>
  </si>
  <si>
    <t>12/18</t>
  </si>
  <si>
    <t>kaladeliu keitimas - priekis/galas</t>
  </si>
  <si>
    <t>kitu disku uzdeimas+balansas</t>
  </si>
  <si>
    <t>galiniu bumerangu keitimas</t>
  </si>
  <si>
    <t>12/19</t>
  </si>
  <si>
    <t>Audi A6L</t>
  </si>
  <si>
    <t>LGY060</t>
  </si>
  <si>
    <t>kaladeliu keitimas priekis, disku ir kaladeliu keitimas galas</t>
  </si>
  <si>
    <t>sailun padanos nuo audi kreivu ratu</t>
  </si>
  <si>
    <t>jaroslav</t>
  </si>
  <si>
    <t xml:space="preserve">Toyota rav4 </t>
  </si>
  <si>
    <t>vienos padangos remontas</t>
  </si>
  <si>
    <t>Mantas avansas</t>
  </si>
  <si>
    <t>bmw ratlankiu dazymas+montavimas su balansu r19</t>
  </si>
  <si>
    <t>rojus</t>
  </si>
  <si>
    <t>uzdeimas atgal zeminiu ratu</t>
  </si>
  <si>
    <t>Martas paeme</t>
  </si>
  <si>
    <t>2026/01/xx</t>
  </si>
  <si>
    <t>CCK062</t>
  </si>
  <si>
    <t xml:space="preserve">montazke r15+padangos debica </t>
  </si>
  <si>
    <t>Marijonas</t>
  </si>
  <si>
    <t>NNM843</t>
  </si>
  <si>
    <t>montazke r19 1vnt goodyear is garantinio</t>
  </si>
  <si>
    <t xml:space="preserve">NAV Mingela ricardas cereska interlux </t>
  </si>
  <si>
    <t>VOLVO V50</t>
  </si>
  <si>
    <t xml:space="preserve"> JZP234</t>
  </si>
  <si>
    <t>galinio amortiko keitimas</t>
  </si>
  <si>
    <t xml:space="preserve">Remigijus </t>
  </si>
  <si>
    <t>montazke r16 2vnt 205/55 goodyear perf3+surasti kur bega antifrizas</t>
  </si>
  <si>
    <t>MST862</t>
  </si>
  <si>
    <t>montazke nauju sava 215/60r16+paeme 4sniurus ir 1sniura is tu brangesniu</t>
  </si>
  <si>
    <t>NFA499</t>
  </si>
  <si>
    <t>montazke r18 nauju yokohama+2vnt langu skyscio daviau vietoi grazos</t>
  </si>
  <si>
    <t>algirdas zalagaitis 062614479???</t>
  </si>
  <si>
    <r>
      <rPr/>
      <t>atvaziavo be slapuko,</t>
    </r>
    <r>
      <rPr>
        <strike/>
      </rPr>
      <t xml:space="preserve"> montazke r17 dunlop is ag</t>
    </r>
  </si>
  <si>
    <t>Valickas</t>
  </si>
  <si>
    <t>Kamantauskas</t>
  </si>
  <si>
    <t>purkstuku diagnostika+purkstuku isemimas</t>
  </si>
  <si>
    <t>Jaguar xf</t>
  </si>
  <si>
    <t>MCR298</t>
  </si>
  <si>
    <t>montazke r19+disku valymas ir hermetizavimas</t>
  </si>
  <si>
    <t>kaimynas evaldas</t>
  </si>
  <si>
    <t>montazke r17+disku pasauga</t>
  </si>
  <si>
    <t>dugno apsaugos nuemimas, kartero tarpine reikia keisti</t>
  </si>
  <si>
    <t>(dave uz padangos ir montavima) antifrizo zarnos keitimas, 1h 20min</t>
  </si>
  <si>
    <t xml:space="preserve">Aurius </t>
  </si>
  <si>
    <t>01/13</t>
  </si>
  <si>
    <t>Ernest kaimynas</t>
  </si>
  <si>
    <t>karterio nuemimas ir uzdeimas, hermetikas, brake cleaner, tepalas is backos, tepalo filtro keitimas</t>
  </si>
  <si>
    <t>Karolis paemiau uz gruodi</t>
  </si>
  <si>
    <t>01/14</t>
  </si>
  <si>
    <t>stabiliku, ivoriu, sailentu ir atraminiu keitimas</t>
  </si>
  <si>
    <t>01/15</t>
  </si>
  <si>
    <t>LBD653</t>
  </si>
  <si>
    <t xml:space="preserve">montazke r16c nauju sava </t>
  </si>
  <si>
    <t>paulius valiukevicius kristijonas plioplys?</t>
  </si>
  <si>
    <t>montazke r18 nauju goodyear</t>
  </si>
  <si>
    <t>01/19</t>
  </si>
  <si>
    <t>Ernestas kaimynas</t>
  </si>
  <si>
    <t xml:space="preserve">VW ID7 </t>
  </si>
  <si>
    <t>akumas+akumo keitimas+pririsimas</t>
  </si>
  <si>
    <t>JZV969</t>
  </si>
  <si>
    <t>60976556 Julija Andrej sese?</t>
  </si>
  <si>
    <t>01/20</t>
  </si>
  <si>
    <t>VW passat b5</t>
  </si>
  <si>
    <t>GBK230</t>
  </si>
  <si>
    <t>tepalu ir visu filtru keitimas, stabdziu skyscio keitimas, vieno komplekto ismontavimas r16, kitas komplektas montazke r16 su balansu, langu skystis 1vnt melyno, lempos atregulotos</t>
  </si>
  <si>
    <t>uzdetas atgal bamperis (palitavau vietomis), zibinto laikilis sulituotas, kapotas isligintas, sparnas atrauktas, akumas pakeistas</t>
  </si>
  <si>
    <t>Agne kaimyne?</t>
  </si>
  <si>
    <t>01/21</t>
  </si>
  <si>
    <t>balansas (sekeisti ratai vietom), langu skystis turtle wax 15vnt.</t>
  </si>
  <si>
    <t>Binkis</t>
  </si>
  <si>
    <t xml:space="preserve">AUDI A6 </t>
  </si>
  <si>
    <t>montazke 2vnt 315/35r22 ir 1vnt 285/40r22 pirelli winter 2 NCO</t>
  </si>
  <si>
    <t>kristis kristijonas plioplys???</t>
  </si>
  <si>
    <t xml:space="preserve">VW passat b5 </t>
  </si>
  <si>
    <t>voztuvo dangtelio keitimas, variklio plovimas (3/4l brake clean), durelio spynos keitimas, airbag galimai paviko sutvarkyti kolkas nedega lempute (pravaliau kontaktus)</t>
  </si>
  <si>
    <t>01/22</t>
  </si>
  <si>
    <t>ratu nuemimas</t>
  </si>
  <si>
    <t>Kneita</t>
  </si>
  <si>
    <t>FORD S-MAX</t>
  </si>
  <si>
    <t xml:space="preserve">3vnt davykliu, montazke </t>
  </si>
  <si>
    <t>Martynas Vervecka</t>
  </si>
  <si>
    <t>01/23</t>
  </si>
  <si>
    <t>tepalo, tepalo filtro ir oro keitimas</t>
  </si>
  <si>
    <t>Rimas B</t>
  </si>
  <si>
    <t>variklio diagnostika, leidzia antifriza per egr</t>
  </si>
  <si>
    <t>Rimantas Samulevicius</t>
  </si>
  <si>
    <t>LGP833</t>
  </si>
  <si>
    <t>01/26</t>
  </si>
  <si>
    <t xml:space="preserve">dugno apsaugos nuemimas, variklio valymas nuo tepalo, dignostika, </t>
  </si>
  <si>
    <t>nuemimas/uzeimas: buferis 2kartus, posparnius, zibintus, storkes keitimas, balke pagrindine/apatine nuemimas</t>
  </si>
  <si>
    <t>Erlmantas</t>
  </si>
  <si>
    <t>01/27</t>
  </si>
  <si>
    <t>dugno apsaugos nuemimas</t>
  </si>
  <si>
    <t>01/28</t>
  </si>
  <si>
    <t>Toyota YARISGR</t>
  </si>
  <si>
    <t>MSG440</t>
  </si>
  <si>
    <t>Tomas Kužinauskas</t>
  </si>
  <si>
    <t>Audi sq7</t>
  </si>
  <si>
    <t>1langu skyst+klijavimas 1 rato</t>
  </si>
  <si>
    <t>surinktas priekis (buferis, posparniai, apsaugos....</t>
  </si>
  <si>
    <t>01/29</t>
  </si>
  <si>
    <t>BMW x3 M340i</t>
  </si>
  <si>
    <t>2026/02/xx</t>
  </si>
  <si>
    <t>Suzuki swift</t>
  </si>
  <si>
    <t>atraminiu keitimas (laukiu kol ateis guolis kitas nes atejo su broku ir vairo traukes)</t>
  </si>
  <si>
    <t>tepalu ir filtru keitimas (oro ir tepalo)</t>
  </si>
  <si>
    <t>Lauryanas Goncauskas</t>
  </si>
  <si>
    <t>akumas+keitimas</t>
  </si>
  <si>
    <t>guolio keitimas ir vairo traukes</t>
  </si>
  <si>
    <t>montazke r17 naujos viking padangos ir ventilio keitimas kitam rate (100 dave uz padanga 20 uz montazke ir ventilio keitima)</t>
  </si>
  <si>
    <t>padangos ag 205/60r16 ir montazke+util</t>
  </si>
  <si>
    <t>montazke r19 (atveze naujos padangos ir diskus, reikejo tik uzmontuoti)</t>
  </si>
  <si>
    <t>rato klijavimas+balansas</t>
  </si>
  <si>
    <t>VW Touran</t>
  </si>
  <si>
    <t>istumem i garaza (rejkejo atjungt rankinio troseli), starterio keitimas</t>
  </si>
  <si>
    <t>uzdegimo jungilio keitimas</t>
  </si>
  <si>
    <t>vairavimo kampo jutiklio keitimas,(vairo nuemimas) voztuvo dangtelio keitimas</t>
  </si>
  <si>
    <t>NCU485</t>
  </si>
  <si>
    <t>ratu balansas+2vnt disku lyginimas</t>
  </si>
  <si>
    <t>balansas+4vnt davykliai</t>
  </si>
  <si>
    <t>Skoda kodiaq vrs</t>
  </si>
  <si>
    <t>Tepalu ir visu filtru keitimas</t>
  </si>
  <si>
    <t>Porsche carrera s</t>
  </si>
  <si>
    <t>disku ir kaladeliu keitimas (apie 2h darbo)</t>
  </si>
  <si>
    <t xml:space="preserve">jonas kneita </t>
  </si>
  <si>
    <t xml:space="preserve">lipduku neumimas </t>
  </si>
  <si>
    <t>Karolis paemiau uz 2026/01</t>
  </si>
  <si>
    <t>Karolis padejau uz skola</t>
  </si>
  <si>
    <t>02/17</t>
  </si>
  <si>
    <t>vw passat b7 103kw</t>
  </si>
  <si>
    <t>pakaitinimo zvakiu keitimas</t>
  </si>
  <si>
    <t>gearbox filter&amp;oil change, small turbo pipe removal, 24mm rakta musu jeikejo nupjauti per puse kad atsukti/uzsukti filtra,</t>
  </si>
  <si>
    <t>02/18</t>
  </si>
  <si>
    <t>debica frigo hp2 (2vnt*60eur) 1vnt disko lyginimas+montazke 2vnt 60*2+30+30</t>
  </si>
  <si>
    <t>Augustin +37067844145</t>
  </si>
  <si>
    <t>haldex tepalo keitimas ir filtro valymas (tepalas juodas su drozlem), stabdziu skyscio keitimas, dignostika</t>
  </si>
  <si>
    <t>fulda 245/45r18+montazke+rato lyginimas+uzdeimas</t>
  </si>
  <si>
    <t>xenon lemputes ir keitimas (reikejo atspausti buferi kad istrakti truputi zibinta (20min darbo is viso)+ dugno apsaugos pritvirtinimas (5min darbo))</t>
  </si>
  <si>
    <t>Vitalijus kaimynas (Marto tievo draugas)</t>
  </si>
  <si>
    <t xml:space="preserve">skolingas dar uz darba </t>
  </si>
  <si>
    <t>02/19</t>
  </si>
  <si>
    <t xml:space="preserve">audi </t>
  </si>
  <si>
    <t>JBF999</t>
  </si>
  <si>
    <t>priekiniu kaladeliu keitimas</t>
  </si>
  <si>
    <t>jeep</t>
  </si>
  <si>
    <t>nesugebejau atsukti egro vieno varzto is 4, atvaziuos dar karta, reikes bandyti pjauti (reikia instrumento)</t>
  </si>
  <si>
    <t>rimantas 37068719395</t>
  </si>
  <si>
    <t>02/20</t>
  </si>
  <si>
    <t>vw golf r</t>
  </si>
  <si>
    <t>lambdos keitimas (bank 2 po kataliko)</t>
  </si>
  <si>
    <t>montazke r16 2vnt is ag hankook 205/60r16 po 10eur</t>
  </si>
  <si>
    <t>02/27</t>
  </si>
  <si>
    <t>GUT011</t>
  </si>
  <si>
    <t>1200eur sumoketa uz dezes restauracija+apie 4h kelio is viso</t>
  </si>
  <si>
    <t>Loreta Statauskiene</t>
  </si>
  <si>
    <t>akumo krovimas, saugyklio ir kliemu valymas</t>
  </si>
  <si>
    <t>2026/03/xx</t>
  </si>
  <si>
    <t>VW golf r</t>
  </si>
  <si>
    <t>lamdos keitimas ir lamda</t>
  </si>
  <si>
    <t>tepalu, filtru ir akumo keitimas</t>
  </si>
  <si>
    <t>guolio keitimas, kataliko nuemimas</t>
  </si>
  <si>
    <t>abs jutiklio keitimas</t>
  </si>
  <si>
    <t>audi a2</t>
  </si>
  <si>
    <t>NDI152</t>
  </si>
  <si>
    <t>Nenad Jovanovič</t>
  </si>
  <si>
    <t>atidave skola uz padangu saugojima</t>
  </si>
  <si>
    <t>Mantas ank 063852955</t>
  </si>
  <si>
    <t>kataliko keitimas</t>
  </si>
  <si>
    <t>BMW x3M</t>
  </si>
  <si>
    <t>tepalu ir filtru keitimas/ padangu keitimas r20</t>
  </si>
  <si>
    <t>mantas mameniskis???</t>
  </si>
  <si>
    <t>E85 Martui</t>
  </si>
  <si>
    <t>lamdos uzdeimas</t>
  </si>
  <si>
    <t>Renualt Master</t>
  </si>
  <si>
    <t>stabilniko keitimas</t>
  </si>
  <si>
    <t>porsche cayenne</t>
  </si>
  <si>
    <t>LHZ256</t>
  </si>
  <si>
    <t>tepalu ir filtru keitimas,variklio plovimas nuo tepalo (leidzia kazkur is virsaus)</t>
  </si>
  <si>
    <t>1vnt rato lyginimas</t>
  </si>
  <si>
    <t>karolis padejau uz detales (skola)</t>
  </si>
  <si>
    <t>Karolis(paemiau uz 2026/02men likuti)</t>
  </si>
  <si>
    <t>moco kameros keitimas</t>
  </si>
  <si>
    <t>Tomas? kaimynas +37065664941</t>
  </si>
  <si>
    <t>KHF999</t>
  </si>
  <si>
    <t xml:space="preserve">rato lyginimas ir ratu keitimas vietomis nes padangom sikna </t>
  </si>
  <si>
    <t>numontotos dvi padangos, vien rato lyginimas</t>
  </si>
  <si>
    <t>stasys ivaskauskas</t>
  </si>
  <si>
    <t>Raudonai pazimeta savikaina!!!</t>
  </si>
  <si>
    <t>balansas be masinos</t>
  </si>
  <si>
    <t>Data</t>
  </si>
  <si>
    <t>Detales</t>
  </si>
  <si>
    <t>Detaliu Kaina</t>
  </si>
  <si>
    <t>Dabras:</t>
  </si>
  <si>
    <t>Darbu kaina:</t>
  </si>
  <si>
    <t>Komentaras:</t>
  </si>
  <si>
    <t>03/13</t>
  </si>
  <si>
    <t>disku tikrinimas stabdziu+balans</t>
  </si>
  <si>
    <r>
      <rPr>
        <rFont val="Arial"/>
        <color rgb="FF1155CC"/>
        <sz val="11.0"/>
        <u/>
      </rPr>
      <t>MULTI DCTF 1L</t>
    </r>
    <r>
      <rPr>
        <rFont val="Arial"/>
        <color rgb="FF000000"/>
        <sz val="11.0"/>
      </rPr>
      <t xml:space="preserve"> 6vnt</t>
    </r>
  </si>
  <si>
    <t>MBV088</t>
  </si>
  <si>
    <t>balansas r22+ montazke ir lyginimas vienos</t>
  </si>
  <si>
    <t>LMI35451</t>
  </si>
  <si>
    <t>montazke r21+davykliu nuemimas is senu disku</t>
  </si>
  <si>
    <r>
      <rPr>
        <rFont val="Arial"/>
        <color rgb="FF1155CC"/>
        <sz val="11.0"/>
        <u/>
      </rPr>
      <t>LMI35451</t>
    </r>
    <r>
      <rPr>
        <rFont val="Arial"/>
        <color rgb="FF000000"/>
        <sz val="11.0"/>
      </rPr>
      <t xml:space="preserve"> </t>
    </r>
  </si>
  <si>
    <t xml:space="preserve">Opel </t>
  </si>
  <si>
    <t>HCN984</t>
  </si>
  <si>
    <t>montazke r16+PADANGOS IS AG, DISKU VALYMAS IR HERMETIZAVIMAS</t>
  </si>
  <si>
    <t>PFB401SE</t>
  </si>
  <si>
    <t>citroen 2vnt balansas 2vnt montazke ir 2 lyginimas, audi ratus visu montazke 1vnt diska isvaliau is vidaus nes leido ora kitus 3 lyginau</t>
  </si>
  <si>
    <t>valera</t>
  </si>
  <si>
    <t>OX 188D</t>
  </si>
  <si>
    <t>Saleinblokai galas 2vnt</t>
  </si>
  <si>
    <t>Honda civic???</t>
  </si>
  <si>
    <t>2vnt ratu lyginimas, 2vnt balansas + nauja padanga</t>
  </si>
  <si>
    <t>KX 220D</t>
  </si>
  <si>
    <t>03/16</t>
  </si>
  <si>
    <t>Montazke r16c</t>
  </si>
  <si>
    <t>LX 1211</t>
  </si>
  <si>
    <t>Toyota land cruiser</t>
  </si>
  <si>
    <t>Krd999</t>
  </si>
  <si>
    <t>balansas+1vnt spilkes keitimas (Karolis praita sezona nulauze)</t>
  </si>
  <si>
    <t>LAK 181</t>
  </si>
  <si>
    <t>montazke r16c skardos(senos ismetem)</t>
  </si>
  <si>
    <t>HX 132D</t>
  </si>
  <si>
    <t>03/17</t>
  </si>
  <si>
    <t>montazke r16 nauju debica</t>
  </si>
  <si>
    <t>GEAR 300 75W90 1L</t>
  </si>
  <si>
    <t>r18 ratu lyginimas 3vnt</t>
  </si>
  <si>
    <t>Kubilinskas</t>
  </si>
  <si>
    <t>Saleinblokai priekis 2vnt</t>
  </si>
  <si>
    <t xml:space="preserve">neatsimenu ar reikejo nuleidineti visa pakaba kad istraukti varzta </t>
  </si>
  <si>
    <r>
      <rPr>
        <color rgb="FF000000"/>
      </rPr>
      <t>FE177922</t>
    </r>
    <r>
      <rPr/>
      <t xml:space="preserve"> </t>
    </r>
  </si>
  <si>
    <t>03/18</t>
  </si>
  <si>
    <t>ismontavau 4vnt, lyginimas 3vnt (uztruke apie 2val)</t>
  </si>
  <si>
    <t>Andrius stepankevicius</t>
  </si>
  <si>
    <t>oil pipe (kuris karteryje stovi)</t>
  </si>
  <si>
    <t>vw multivan</t>
  </si>
  <si>
    <t>montaske r17+ pasauga</t>
  </si>
  <si>
    <t xml:space="preserve">100 407 0086 </t>
  </si>
  <si>
    <t>Galines balkes varztai ne kreivi patikrinta</t>
  </si>
  <si>
    <t>visu filtru keitimas+tepalai</t>
  </si>
  <si>
    <t xml:space="preserve">Jurga </t>
  </si>
  <si>
    <t>100 610 0014/HD</t>
  </si>
  <si>
    <t>reikejo ilgai pistis, kaitinti varztus, pjauti, gal ir daugiau negu 100eur</t>
  </si>
  <si>
    <t>Elmantas</t>
  </si>
  <si>
    <t>2vnt ratu nuemimas, prasukimas ant stakliu</t>
  </si>
  <si>
    <t>Mantas jastremskas rs7</t>
  </si>
  <si>
    <t>vieno komplekto ismontavimas r16</t>
  </si>
  <si>
    <t>montazke r16 su balanus</t>
  </si>
  <si>
    <t>padangos ag r19 contikai</t>
  </si>
  <si>
    <t>tepalas is backos 4.5L 9*4.5</t>
  </si>
  <si>
    <t>langu skystis 1vnt melyno</t>
  </si>
  <si>
    <t>AUDI SQ7</t>
  </si>
  <si>
    <r>
      <rPr>
        <rFont val="Arial"/>
        <color rgb="FF1155CC"/>
        <sz val="11.0"/>
        <u/>
      </rPr>
      <t>LMI35463</t>
    </r>
    <r>
      <rPr>
        <rFont val="Arial"/>
        <color rgb="FF000000"/>
        <sz val="11.0"/>
      </rPr>
      <t xml:space="preserve"> </t>
    </r>
  </si>
  <si>
    <t>lempos atregulotos</t>
  </si>
  <si>
    <t>Mantulis (senukai)</t>
  </si>
  <si>
    <r>
      <rPr>
        <rFont val="Arial"/>
        <color rgb="FF1155CC"/>
        <sz val="11.0"/>
        <u/>
      </rPr>
      <t>LMI35463</t>
    </r>
    <r>
      <rPr>
        <rFont val="Arial"/>
        <color rgb="FF000000"/>
        <sz val="11.0"/>
      </rPr>
      <t xml:space="preserve"> </t>
    </r>
  </si>
  <si>
    <t>voztuvo dangtelio keitimas</t>
  </si>
  <si>
    <t>Martas ir Mantulis paeme+</t>
  </si>
  <si>
    <t>LMI35465</t>
  </si>
  <si>
    <t>variklio plovimas (3/4l brake clean)</t>
  </si>
  <si>
    <t>03/23</t>
  </si>
  <si>
    <t>montazke r18+pasauga+padangos klijavimas 2sniurai</t>
  </si>
  <si>
    <r>
      <rPr>
        <rFont val="Arial"/>
        <color rgb="FF1155CC"/>
        <sz val="11.0"/>
        <u/>
      </rPr>
      <t>RH15-0030</t>
    </r>
    <r>
      <rPr>
        <rFont val="Arial"/>
        <color rgb="FF000000"/>
        <sz val="11.0"/>
      </rPr>
      <t xml:space="preserve"> </t>
    </r>
  </si>
  <si>
    <t>dureliu spynos keitimas</t>
  </si>
  <si>
    <t>VW golf 8</t>
  </si>
  <si>
    <t>ratu lyginimas 4vnt+disku pasauga+balansas</t>
  </si>
  <si>
    <r>
      <rPr>
        <rFont val="Arial"/>
        <color rgb="FF1155CC"/>
        <sz val="11.0"/>
        <u/>
      </rPr>
      <t>RH15-0030</t>
    </r>
    <r>
      <rPr>
        <rFont val="Arial"/>
        <color rgb="FF000000"/>
        <sz val="11.0"/>
      </rPr>
      <t xml:space="preserve"> </t>
    </r>
  </si>
  <si>
    <t>Airbag dego lepmute (pravaliau kontaktus)</t>
  </si>
  <si>
    <t>VKBA 3643</t>
  </si>
  <si>
    <t>Ar keitem guoli???</t>
  </si>
  <si>
    <t>Mantulis paeme</t>
  </si>
  <si>
    <t>LMI35464</t>
  </si>
  <si>
    <t>Svirciu reaktiviniu traukiu keitimas 2vnt</t>
  </si>
  <si>
    <t>RH17-0002</t>
  </si>
  <si>
    <t>116 050 0079/S</t>
  </si>
  <si>
    <t>montazke r17 nauju westlake</t>
  </si>
  <si>
    <t>simonas didziulis</t>
  </si>
  <si>
    <t>EL266060</t>
  </si>
  <si>
    <t>r2bike maike  61eur</t>
  </si>
  <si>
    <t>Lexus rX</t>
  </si>
  <si>
    <t>balansas+disku pasauga+2vnt naujos debica</t>
  </si>
  <si>
    <t>montazke r18+pasauga+disko lyginimas</t>
  </si>
  <si>
    <t>skyrius sarunas</t>
  </si>
  <si>
    <t>LAK 63</t>
  </si>
  <si>
    <t>50 013 194</t>
  </si>
  <si>
    <t>Renualt master</t>
  </si>
  <si>
    <t>OX 143D</t>
  </si>
  <si>
    <t>VW pollo</t>
  </si>
  <si>
    <t>montazke r14+pasauga</t>
  </si>
  <si>
    <t>E206L</t>
  </si>
  <si>
    <t>NLN144</t>
  </si>
  <si>
    <t>Suma:</t>
  </si>
  <si>
    <t>montazke r19 nauju fulda</t>
  </si>
  <si>
    <t xml:space="preserve">Nissan leaf </t>
  </si>
  <si>
    <t>Ev4456</t>
  </si>
  <si>
    <t>uzdeimas ant masinos (jau buvo sumontuota ir subalansuota)</t>
  </si>
  <si>
    <t>03G 103 526</t>
  </si>
  <si>
    <t>MG ZS</t>
  </si>
  <si>
    <t>NRD578</t>
  </si>
  <si>
    <t>2025-12.01</t>
  </si>
  <si>
    <t>moller sask</t>
  </si>
  <si>
    <t>kamstis,nul kamst, halex alyv</t>
  </si>
  <si>
    <t>AAI052</t>
  </si>
  <si>
    <t>1vnt klijavimas ir montazke r18</t>
  </si>
  <si>
    <t>Edita Znutiene37068690099</t>
  </si>
  <si>
    <t>MERCEDES AMG E53</t>
  </si>
  <si>
    <t>Tadas Jonaitis</t>
  </si>
  <si>
    <t>Hyundai ioniq 5n</t>
  </si>
  <si>
    <t xml:space="preserve">Subaru </t>
  </si>
  <si>
    <t>MCZ566</t>
  </si>
  <si>
    <t>Uab Stareka UAB Stareka</t>
  </si>
  <si>
    <t>VW Jetta</t>
  </si>
  <si>
    <t>Jud600</t>
  </si>
  <si>
    <t>mantulis paeme</t>
  </si>
  <si>
    <t xml:space="preserve">oro filtru keitimas </t>
  </si>
  <si>
    <t>Porsche carrera 911</t>
  </si>
  <si>
    <t>montazke r20/21+pasauga+filtru ir tepalu keitimas+diagnostika+service reset</t>
  </si>
  <si>
    <t xml:space="preserve">montazke r15+pasauga </t>
  </si>
  <si>
    <t>Kristina Agintaitė</t>
  </si>
  <si>
    <t>elmantas</t>
  </si>
  <si>
    <t>kaladeliu keitimas priekis+galas</t>
  </si>
  <si>
    <t>klimaitis</t>
  </si>
  <si>
    <t>balansavimas + disku pasauga</t>
  </si>
  <si>
    <t>Ignas Krasuckis</t>
  </si>
  <si>
    <t>03/30</t>
  </si>
  <si>
    <t>Lpd437</t>
  </si>
  <si>
    <t>Virgis Virgis</t>
  </si>
  <si>
    <t>sutepiau sailenbloka (ar padejo nzn, suluzo adata nepavyko normaliai sutepti)</t>
  </si>
  <si>
    <t>ANDRIUS LAURIKĖNAS</t>
  </si>
  <si>
    <t>MB eqe</t>
  </si>
  <si>
    <t>montazke r20+ratu lyginimas (2vnt)+pasauga</t>
  </si>
  <si>
    <t>Mantas ja</t>
  </si>
  <si>
    <t>Augustinas Viruišis</t>
  </si>
  <si>
    <t>Porshce targa 992</t>
  </si>
  <si>
    <t>montazke r20/21+pasauga</t>
  </si>
  <si>
    <t>BMW M3 G81 Touring</t>
  </si>
  <si>
    <t>montazke r19/20+pasauga</t>
  </si>
  <si>
    <t>montazke r15+pasauga+naujos debica</t>
  </si>
  <si>
    <t>ratu balansas (be masinos)</t>
  </si>
  <si>
    <t>Ramunas 067227936</t>
  </si>
  <si>
    <t>aleksas abromavičius</t>
  </si>
  <si>
    <t>volksvagen scirocco</t>
  </si>
  <si>
    <t>Ugnė Kiselytė airbog</t>
  </si>
  <si>
    <t>reikalinga sask</t>
  </si>
  <si>
    <t>Audi s7</t>
  </si>
  <si>
    <t>montazke r19+pasauga+naujos fulda</t>
  </si>
  <si>
    <t>Darius B</t>
  </si>
  <si>
    <t>2026/04/xx</t>
  </si>
  <si>
    <t>NPM892</t>
  </si>
  <si>
    <t>Citroen kablukas</t>
  </si>
  <si>
    <t xml:space="preserve">BMW 3        </t>
  </si>
  <si>
    <t>NSL054</t>
  </si>
  <si>
    <t>montazke r18+disku dazymas (1vnt rato lyginimas, jau rasyta exelyje virsui)</t>
  </si>
  <si>
    <t>Tomas Lizunas</t>
  </si>
  <si>
    <t>Toureg</t>
  </si>
  <si>
    <t>JFL 988</t>
  </si>
  <si>
    <t>montazke r19 (tegul nepisa proto jei jam prades drebeti po plovimo:DD zviro ir zemes tiek kad bulves sodinti galima)</t>
  </si>
  <si>
    <t>VW polo</t>
  </si>
  <si>
    <t>vw id</t>
  </si>
  <si>
    <t>arturas Remeika</t>
  </si>
  <si>
    <t>Karolis Eiinikis</t>
  </si>
  <si>
    <t>NOE031</t>
  </si>
  <si>
    <t>montazke r16c+naujos padangos 2vnt</t>
  </si>
  <si>
    <t>Normantas</t>
  </si>
  <si>
    <t>Lexus RX</t>
  </si>
  <si>
    <t>Jaguar XJ50</t>
  </si>
  <si>
    <t>montazke r21+pasauga (brangesni svoreliai)</t>
  </si>
  <si>
    <t>montazke r19+nauja pasauga</t>
  </si>
  <si>
    <t>ismontavau r22 padangos ratlankiu kur sandeli buvo ir iemiau davyklius, davyklius uzdejau ant nauju china ratu ir sumontavau naujus goodyear padangos</t>
  </si>
  <si>
    <t>montazke r15 (be pasaugos, padangos ismestos)</t>
  </si>
  <si>
    <t>montazke r19+naujos fulda</t>
  </si>
  <si>
    <t>ec1389</t>
  </si>
  <si>
    <t>montazke r18+pakabos patikra</t>
  </si>
  <si>
    <t>montazke r18+naujos padangos (seat)</t>
  </si>
  <si>
    <t>Audi q8</t>
  </si>
  <si>
    <t>Andrius Krasnevičius</t>
  </si>
  <si>
    <t>,montazke r17</t>
  </si>
  <si>
    <t>balansas volvo disku</t>
  </si>
  <si>
    <t>montazke r19 nauju fulda (be pasaugos, padangos ismestos)</t>
  </si>
  <si>
    <t>MUR121</t>
  </si>
  <si>
    <t>IDE010098</t>
  </si>
  <si>
    <t>SEAT Taracco</t>
  </si>
  <si>
    <t>Tomas Jatužys</t>
  </si>
  <si>
    <t>volvo xc90?</t>
  </si>
  <si>
    <t>jurkuvenas</t>
  </si>
  <si>
    <t>ec2885</t>
  </si>
  <si>
    <t>Toyota Proace</t>
  </si>
  <si>
    <t>LPB900</t>
  </si>
  <si>
    <t>balansas+6vnt langu skyscio+paliko disku su padangom, reikia suvirinti ir padangos ismontuoti</t>
  </si>
  <si>
    <t>uzdeimas (2vnt ratu lyginimas, 2vnt balansas + nauja padanga)</t>
  </si>
  <si>
    <t>balansas r20+priority</t>
  </si>
  <si>
    <t>montazke r19+padangos klijavimas</t>
  </si>
  <si>
    <t>cekutis</t>
  </si>
  <si>
    <t>Gita B.</t>
  </si>
  <si>
    <t>montazke r19+naujos fulda+pasauga+reikia isliginti viena diska (ziema)</t>
  </si>
  <si>
    <t>Internus MB Rolandas</t>
  </si>
  <si>
    <t>Nissan X-trail</t>
  </si>
  <si>
    <t>JSK219</t>
  </si>
  <si>
    <t>balansas r19</t>
  </si>
  <si>
    <t>montazke r20+priority</t>
  </si>
  <si>
    <t>peugeot 308</t>
  </si>
  <si>
    <t>LYP124</t>
  </si>
  <si>
    <t>montazke r16 2vnt be balanso (ismontavau dvi padangos is kittu ratlankiu)+priority</t>
  </si>
  <si>
    <t>Algirdas Streimikis</t>
  </si>
  <si>
    <t xml:space="preserve">Porsche Cayenne S </t>
  </si>
  <si>
    <t>OAA310</t>
  </si>
  <si>
    <t>montazke r20+priority+naujos padangos</t>
  </si>
  <si>
    <t>Ricardas Tverijonas</t>
  </si>
  <si>
    <t>MRB235</t>
  </si>
  <si>
    <t>Maksim Kapralov</t>
  </si>
  <si>
    <t>Lexus rx400h</t>
  </si>
  <si>
    <t>Darius Mikenas</t>
  </si>
  <si>
    <t>montazke r15 (be pasaugos, paeme su savim)</t>
  </si>
  <si>
    <t>ratu uzdeimas+priority+nauji bmw rato kamstukai ((montazke r18+disku dazymas (1vnt rato lyginimas, jau rasyta exelyje virsui))</t>
  </si>
  <si>
    <t>Škoda Fabia</t>
  </si>
  <si>
    <t>balansas r15+pasauga</t>
  </si>
  <si>
    <t>montazke r17 (be pasaugos ismesta)</t>
  </si>
  <si>
    <t xml:space="preserve">Toyota chr </t>
  </si>
  <si>
    <t>montazke r16 (be pasaugos, paeme su savim)</t>
  </si>
  <si>
    <t>montazke r20 be pasaugos padangos ismestos reikia nauju</t>
  </si>
  <si>
    <t>Hyundai i30</t>
  </si>
  <si>
    <t>Danutė Vederienė</t>
  </si>
  <si>
    <t>balans + keitimas</t>
  </si>
  <si>
    <t>Dovile 067307831</t>
  </si>
  <si>
    <t>nnm843</t>
  </si>
  <si>
    <t>zivile filatovaite</t>
  </si>
  <si>
    <t xml:space="preserve">TOYOTA </t>
  </si>
  <si>
    <t>montazke r16 dveju komplektu+pasauga vieno komplekto su diskais</t>
  </si>
  <si>
    <t>Karolis padejau uz circle k kuponus</t>
  </si>
  <si>
    <t>Rokas Bilevicius</t>
  </si>
  <si>
    <t>montazke r16c+naujos padangos+pasauga</t>
  </si>
  <si>
    <t>MB G class</t>
  </si>
  <si>
    <t>jaroslav Sadovski</t>
  </si>
  <si>
    <t>4davykliai+montazke r20 (2 kartus balansas, nes buvo uzdeti ventiliai paskui pasake kad reikia davykliu)</t>
  </si>
  <si>
    <t>montazke r17+naujos michelin (+paliko permontuoti viena komplekta)</t>
  </si>
  <si>
    <t>Panamera</t>
  </si>
  <si>
    <t>Lilia Kučeriavienė</t>
  </si>
  <si>
    <t>Robertas Parnarauskas</t>
  </si>
  <si>
    <t>ec7448</t>
  </si>
  <si>
    <t>nauji diskai+naujos padangos+montazke r22</t>
  </si>
  <si>
    <t>37065581010 Naruskevic</t>
  </si>
  <si>
    <t>Saulius Lapinskas</t>
  </si>
  <si>
    <t>balansas+uzdeimas (ratlankius paeme su savim)</t>
  </si>
  <si>
    <t>montazke r17+pasauga+padangos klijavimas</t>
  </si>
  <si>
    <t>MBC727</t>
  </si>
  <si>
    <t>montazker20+pasauga</t>
  </si>
  <si>
    <t>montazke r18+pasauga+nauji 3vnt. tmps</t>
  </si>
  <si>
    <t>Giedrius Čiuta</t>
  </si>
  <si>
    <t>EET999</t>
  </si>
  <si>
    <t>ŠKODA OCTAVIA</t>
  </si>
  <si>
    <t>Viktorija Naidionova</t>
  </si>
  <si>
    <t>montazker r20+pasauga+priority</t>
  </si>
  <si>
    <t>audi q</t>
  </si>
  <si>
    <t>montazke r22+naujos padangos+pasauga</t>
  </si>
  <si>
    <t>Ugnius Jankauskas</t>
  </si>
  <si>
    <t>Honda CR-V</t>
  </si>
  <si>
    <t>MGR120</t>
  </si>
  <si>
    <t>Donatas Slipiko</t>
  </si>
  <si>
    <t>60eur pavedima padare</t>
  </si>
  <si>
    <t>AID384</t>
  </si>
  <si>
    <t>montazke r20+naujos padangos</t>
  </si>
  <si>
    <t>Aleksas Pozemkauskas</t>
  </si>
  <si>
    <t>montazke r18 3vnt+pasauga</t>
  </si>
  <si>
    <t>montazke r20+naujos unirolay padangos+pasauga</t>
  </si>
  <si>
    <t>Masserati</t>
  </si>
  <si>
    <t>montazke r20+pasauga+naujos dvi padangos (hankook)</t>
  </si>
  <si>
    <t>ratlankiu uzdeimas+rastafkes 2vnt 1.2 +varztai 10vnt</t>
  </si>
  <si>
    <t>montaze r17</t>
  </si>
  <si>
    <t>Skoda Super</t>
  </si>
  <si>
    <t>montazke r17+naujos savaintensa+pasauga</t>
  </si>
  <si>
    <t>Algirdas Preikš</t>
  </si>
  <si>
    <t>montazke r18+nauji goodyear+pasauga? (padangos 4/5mm)</t>
  </si>
  <si>
    <t>skoda yeti</t>
  </si>
  <si>
    <t>Živilė Kiverytė</t>
  </si>
  <si>
    <t>montazke r19 IDE010127</t>
  </si>
  <si>
    <t>Sarunas Puidokas</t>
  </si>
  <si>
    <t>Vitalij Keda</t>
  </si>
  <si>
    <t>Hyundai Ioniq 5</t>
  </si>
  <si>
    <t>ED1929</t>
  </si>
  <si>
    <t>IDE010126 sumokej</t>
  </si>
  <si>
    <t>Ignas Plius</t>
  </si>
  <si>
    <t>70eur pavedimu</t>
  </si>
  <si>
    <t>montazke r14+priority</t>
  </si>
  <si>
    <t>had141</t>
  </si>
  <si>
    <t>48eur pavedimu</t>
  </si>
  <si>
    <t>priority+montazke r21+pasauga</t>
  </si>
  <si>
    <t>Igor C.</t>
  </si>
  <si>
    <t>priority+balansas r21+disku pasauga</t>
  </si>
  <si>
    <t>Ilona C.</t>
  </si>
  <si>
    <t>priority+montazke r19+nauji goodyear+pasauga</t>
  </si>
  <si>
    <t>priority+montazke r22+pasauga</t>
  </si>
  <si>
    <t>MGN202</t>
  </si>
  <si>
    <t>priority+montazke r16</t>
  </si>
  <si>
    <t>04/13</t>
  </si>
  <si>
    <t>Blanaitis</t>
  </si>
  <si>
    <t>FNO793</t>
  </si>
  <si>
    <t>juozui grazos</t>
  </si>
  <si>
    <t>Marek Lačinskij</t>
  </si>
  <si>
    <r>
      <rPr>
        <color rgb="FF1155CC"/>
        <u/>
      </rPr>
      <t>tiekimas@stiklita.lt</t>
    </r>
  </si>
  <si>
    <t>IDE010129</t>
  </si>
  <si>
    <t>IVECO busikas mokyklinis</t>
  </si>
  <si>
    <t>Martas kazka tvakre</t>
  </si>
  <si>
    <t>IDE010130</t>
  </si>
  <si>
    <t>skdoda</t>
  </si>
  <si>
    <t>montazke r17+pasauga+naujos debica</t>
  </si>
  <si>
    <t>Juozui</t>
  </si>
  <si>
    <t>mantas paeme uz zemes</t>
  </si>
  <si>
    <t>MB viano</t>
  </si>
  <si>
    <t>balansas+uzdeimas+disku pasauga (ismontavau 2vnt, padangu nauju nebuvo, sumontavau atgal senas)</t>
  </si>
  <si>
    <t>NEC720</t>
  </si>
  <si>
    <t>balansas+padangos klijavimas+priority</t>
  </si>
  <si>
    <t>Veronika Rad</t>
  </si>
  <si>
    <t>EVO X</t>
  </si>
  <si>
    <t>LNY440</t>
  </si>
  <si>
    <t>MME 920</t>
  </si>
  <si>
    <t>aidas Vilda</t>
  </si>
  <si>
    <t>skoda OCTAVIA</t>
  </si>
  <si>
    <t>montazke r20+nauji goodyear+pasauga</t>
  </si>
  <si>
    <t>MHC26</t>
  </si>
  <si>
    <t>montazke r19+pasauga+20 vnt nauju varztu (45757)</t>
  </si>
  <si>
    <t>lexus</t>
  </si>
  <si>
    <t>balansas+padangos remontas</t>
  </si>
  <si>
    <t>MPF899</t>
  </si>
  <si>
    <t>montazke r16 2vnt+naujos debica+2vnt tik balansas+disku pasauga</t>
  </si>
  <si>
    <t>INFINITI</t>
  </si>
  <si>
    <t>LOL121</t>
  </si>
  <si>
    <t>montazke r22 suv</t>
  </si>
  <si>
    <t>UAB Stareka</t>
  </si>
  <si>
    <t>montazke r17+naujos padangos debica+pasauga</t>
  </si>
  <si>
    <t>Octavia RS</t>
  </si>
  <si>
    <t>montazke r18+naujos padangos 2vnt+pasauga</t>
  </si>
  <si>
    <t>Adomas Šoblinskas</t>
  </si>
  <si>
    <t>balansas+pasauga+priority (paprase prasukti paziureti zemines diskus nes jam drebejo nuo 120-140km/h)</t>
  </si>
  <si>
    <t>Vygintas Kazanavicius</t>
  </si>
  <si>
    <t>Hyundai IONIQ</t>
  </si>
  <si>
    <t>EV6185</t>
  </si>
  <si>
    <t>Mantas Mažeika</t>
  </si>
  <si>
    <t>honda</t>
  </si>
  <si>
    <t>disku pasauga+naujos padangos</t>
  </si>
  <si>
    <t>LFL599</t>
  </si>
  <si>
    <t>montazke r20+padangos remontas</t>
  </si>
  <si>
    <t>mart remygai</t>
  </si>
  <si>
    <t>BMW 335 F30</t>
  </si>
  <si>
    <t>Vw golf 8 gti</t>
  </si>
  <si>
    <t>montazke r19+naujos padangos+pasauga</t>
  </si>
  <si>
    <t>VOLVO xc60</t>
  </si>
  <si>
    <t>ED6477</t>
  </si>
  <si>
    <t>Fors Focus RS</t>
  </si>
  <si>
    <t>JeU878</t>
  </si>
  <si>
    <t>NHS842</t>
  </si>
  <si>
    <t>Tomas Amšiejus</t>
  </si>
  <si>
    <t>NCO010</t>
  </si>
  <si>
    <t>2vnt balansas+2vnt montazke r19 nauju kuhmo</t>
  </si>
  <si>
    <t>montazke r20+nauji goodyear+nauji diskia</t>
  </si>
  <si>
    <t>montazke r17 (bbs)+nauji goodear</t>
  </si>
  <si>
    <t>Rytis Čius is facebook??</t>
  </si>
  <si>
    <t>montazke r15 semi slick+2vnt lyginimas</t>
  </si>
  <si>
    <t>Gvidas nupirko poperiaus i garaza ir i tulika</t>
  </si>
  <si>
    <t>montazke 19+naujos padangos+pasauga</t>
  </si>
  <si>
    <t>montazker r19+pasauga+naujos padangos</t>
  </si>
  <si>
    <t>Simona Bartkevičiūtė</t>
  </si>
  <si>
    <t>Diriko</t>
  </si>
  <si>
    <t>montazke q7</t>
  </si>
  <si>
    <t>montazke r18 1vnt+varztai 20vnt</t>
  </si>
  <si>
    <t>motnazke r16+pasauga</t>
  </si>
  <si>
    <t>FORD smax</t>
  </si>
  <si>
    <t xml:space="preserve">nuluzo slapukas </t>
  </si>
  <si>
    <t>balansas r18+disku pasauga</t>
  </si>
  <si>
    <t>MFT186</t>
  </si>
  <si>
    <t>turetu but 45eur, dave 50eur, grazos neturejau tai daviau 1vnt langu skyscio</t>
  </si>
  <si>
    <t>Lum820</t>
  </si>
  <si>
    <t>Povilas Meskys</t>
  </si>
  <si>
    <t>Volkswagen Taigo</t>
  </si>
  <si>
    <t>Ruta Samuleviciene</t>
  </si>
  <si>
    <t>JZV773</t>
  </si>
  <si>
    <t>Karolis Žibas</t>
  </si>
  <si>
    <t>LTL507</t>
  </si>
  <si>
    <t>montazke r22+nauja pasauga</t>
  </si>
  <si>
    <t>vw passerati</t>
  </si>
  <si>
    <t>HPJ235</t>
  </si>
  <si>
    <t>mhf009</t>
  </si>
  <si>
    <t>PEUGEOT 5008</t>
  </si>
  <si>
    <t>montazke r19(be pasaugos , padangos ismestos reikes nauju)</t>
  </si>
  <si>
    <t>montazke r17 (be pasaugos , padangos ismestos reikes nauju)</t>
  </si>
  <si>
    <t>Lexus IS300h</t>
  </si>
  <si>
    <t>HNM711</t>
  </si>
  <si>
    <t>40eur pavedima padare</t>
  </si>
  <si>
    <t>AUDI etron 45</t>
  </si>
  <si>
    <t>montazke r20  bmw style666 (BBD as juos montuoti :DDD)</t>
  </si>
  <si>
    <t>Mantas  Ja</t>
  </si>
  <si>
    <t>Chevrolet volt</t>
  </si>
  <si>
    <t>Leon M</t>
  </si>
  <si>
    <t>montazke r15 semi slick</t>
  </si>
  <si>
    <t>montazke r16+naujos padangos</t>
  </si>
  <si>
    <t>ventilio keitimas, disko valymas ir hermetizavimas su balansu kitam sniura idejau+balansas</t>
  </si>
  <si>
    <t>su busiku atveze is ryto kazkas</t>
  </si>
  <si>
    <t>ED9747</t>
  </si>
  <si>
    <t>Ana Andrejeva</t>
  </si>
  <si>
    <t>Kristina m kris.naite@gmail.com</t>
  </si>
  <si>
    <t>Audi a6 c8</t>
  </si>
  <si>
    <t>montazke r20 +kaladeliu ir disku keitimas</t>
  </si>
  <si>
    <t>Tomas Micė</t>
  </si>
  <si>
    <t>edgaras Kovaliovas</t>
  </si>
  <si>
    <t>ec1396</t>
  </si>
  <si>
    <t>montazke r21+pasauga+naujos padangos</t>
  </si>
  <si>
    <t>Skoda kodiaq</t>
  </si>
  <si>
    <t>mrg541</t>
  </si>
  <si>
    <t>montazke r18+naujos hankook padangos</t>
  </si>
  <si>
    <t>Ford Mustang</t>
  </si>
  <si>
    <t>https://rekvizitai.vz.lt/imone/ernst_young_baltic/</t>
  </si>
  <si>
    <t>montazke r20 (be pasaugos)</t>
  </si>
  <si>
    <t>Mfv894</t>
  </si>
  <si>
    <t>vw ratai is ag</t>
  </si>
  <si>
    <t>Daiva Cesiūnaitė</t>
  </si>
  <si>
    <t>Ec6313</t>
  </si>
  <si>
    <t>montazke r21+util</t>
  </si>
  <si>
    <t>Julius Lizūnas</t>
  </si>
  <si>
    <t>Audi q5</t>
  </si>
  <si>
    <t>Volkswagen Caddy</t>
  </si>
  <si>
    <t>Audra Kuliese</t>
  </si>
  <si>
    <t>Karolis padejau uz detales (SKOLA)</t>
  </si>
  <si>
    <t>04/21</t>
  </si>
  <si>
    <t>Elvijus kersulis</t>
  </si>
  <si>
    <t>Ginevicius</t>
  </si>
  <si>
    <t>ftc131</t>
  </si>
  <si>
    <t>mnontazke r17</t>
  </si>
  <si>
    <t>Karolis puodziukas</t>
  </si>
  <si>
    <t>Marius B</t>
  </si>
  <si>
    <t>EC2458</t>
  </si>
  <si>
    <t>mantas medziagom</t>
  </si>
  <si>
    <t xml:space="preserve">Romualdas </t>
  </si>
  <si>
    <t>LEB870</t>
  </si>
  <si>
    <t>Žilvinas Skačkauskas</t>
  </si>
  <si>
    <t>lmz555</t>
  </si>
  <si>
    <t>montazke r21+naujos padangos+disku pasauga</t>
  </si>
  <si>
    <t>bmw 5 g30</t>
  </si>
  <si>
    <t>reikes pvm s.f. UAB Bartus pro</t>
  </si>
  <si>
    <t>GLC63 amg</t>
  </si>
  <si>
    <t xml:space="preserve">Puodziukas </t>
  </si>
  <si>
    <t>Tomas Mockevičius</t>
  </si>
  <si>
    <t>HUA736</t>
  </si>
  <si>
    <t>Daiva Dumbliauskienė</t>
  </si>
  <si>
    <t>montazke r16 (be pasaugos)</t>
  </si>
  <si>
    <t>Edita Bernatone</t>
  </si>
  <si>
    <t>SAB1NA</t>
  </si>
  <si>
    <t>Sabina Banevic</t>
  </si>
  <si>
    <t>sukeitem vietom prieki su galu, balansas ir stebuliu valymas</t>
  </si>
  <si>
    <t>tepalu ir tepalo filtro keitimas (uzpilau 5.8l)</t>
  </si>
  <si>
    <t>Nissan Quasquai</t>
  </si>
  <si>
    <t>KFV599</t>
  </si>
  <si>
    <t>montazke r18+naujos padangos</t>
  </si>
  <si>
    <t>Eglė Hurčinaitė-Orlickienė</t>
  </si>
  <si>
    <t>Toyota Yaris</t>
  </si>
  <si>
    <t>NOR316</t>
  </si>
  <si>
    <t>Gediminas Papartis</t>
  </si>
  <si>
    <t>Remyga remigijus staisiunas</t>
  </si>
  <si>
    <t>BMW3</t>
  </si>
  <si>
    <t>Volvo xc60</t>
  </si>
  <si>
    <t>EC9516</t>
  </si>
  <si>
    <t>SKODA Kodiaq</t>
  </si>
  <si>
    <t>Indre Grigaraviciute</t>
  </si>
  <si>
    <t>montazke r21+nauji michelin+pasauga</t>
  </si>
  <si>
    <t>SKODA Octavia</t>
  </si>
  <si>
    <t>montazke r21+naujos padangos (turbut ne musu)+disku pasauga</t>
  </si>
  <si>
    <t>JHB372</t>
  </si>
  <si>
    <t>montazke r16+kazkokios sava padangos</t>
  </si>
  <si>
    <t>Karolis Puodziukas</t>
  </si>
  <si>
    <t>Gabija Tarapovskytė-Ba</t>
  </si>
  <si>
    <t>vw passat 4motion</t>
  </si>
  <si>
    <t>sumokejo montazke r18</t>
  </si>
  <si>
    <t>Marius Dumčius</t>
  </si>
  <si>
    <t>Mb gle350e</t>
  </si>
  <si>
    <t xml:space="preserve">2vnt balansas+2vnt montavimas r22 </t>
  </si>
  <si>
    <t>Tomas Kalinauskas</t>
  </si>
  <si>
    <t>Gle 400 coupe</t>
  </si>
  <si>
    <t>LCT729?</t>
  </si>
  <si>
    <t>nauji diskai+2vnt naujos padangos (kitos dvi uzdejom nuo ec7448)</t>
  </si>
  <si>
    <t>Volkswagen Golft Gti 7</t>
  </si>
  <si>
    <t>2ieju montazke</t>
  </si>
  <si>
    <t>Renault master</t>
  </si>
  <si>
    <t>EE0517</t>
  </si>
  <si>
    <t>balansas+uzdejimas</t>
  </si>
  <si>
    <t>Ignas Bikulčius</t>
  </si>
  <si>
    <t>MEM611</t>
  </si>
  <si>
    <t>BMW 116D</t>
  </si>
  <si>
    <t>JDF210</t>
  </si>
  <si>
    <t>jonas Vainius</t>
  </si>
  <si>
    <t>2 komplektai montazke r22,juodi+diamondcut</t>
  </si>
  <si>
    <t>mantas ja</t>
  </si>
  <si>
    <t>Ismontavau 305/25r21 2vnt</t>
  </si>
  <si>
    <t>VW taigo</t>
  </si>
  <si>
    <t>NFA882</t>
  </si>
  <si>
    <t>LOI101</t>
  </si>
  <si>
    <t>montazke r19+naujos padangos+ratu dazymas</t>
  </si>
  <si>
    <t>Andrius Stepankevicius</t>
  </si>
  <si>
    <t>gaidysku ratu montazke r17+pasauga</t>
  </si>
  <si>
    <t>ID3</t>
  </si>
  <si>
    <t>IS KUR 188EUR</t>
  </si>
  <si>
    <t>byd</t>
  </si>
  <si>
    <t>EE3696</t>
  </si>
  <si>
    <t>agne kaimyne</t>
  </si>
  <si>
    <t>04/27</t>
  </si>
  <si>
    <t>Nissan quaskai</t>
  </si>
  <si>
    <t>montazke r17+pasauga+naujos padangos</t>
  </si>
  <si>
    <t>montazke r20 rof+pasauga</t>
  </si>
  <si>
    <t>Mnd955</t>
  </si>
  <si>
    <t>Egle Laurinavice</t>
  </si>
  <si>
    <t>Mazda 2</t>
  </si>
  <si>
    <t>Gabrielė Žukaitė</t>
  </si>
  <si>
    <t>balansas r18+pasauga</t>
  </si>
  <si>
    <t>Mur418</t>
  </si>
  <si>
    <t>LCI808</t>
  </si>
  <si>
    <t>balansas r21+uzdeimas</t>
  </si>
  <si>
    <t>https://rekvizitai.vz.lt/imone/medgana/</t>
  </si>
  <si>
    <t>vytautas preiksa</t>
  </si>
  <si>
    <t>bmw x5 e70</t>
  </si>
  <si>
    <t>KSP943</t>
  </si>
  <si>
    <t>lyginiams 1vnt, 2vnt ventiliu keitimas, valymas ir hermetizavias+balansas</t>
  </si>
  <si>
    <t>Gžegož Rodevič</t>
  </si>
  <si>
    <t>Mtb277</t>
  </si>
  <si>
    <t>montazke r17+1vnt lyginimas+2vnt util</t>
  </si>
  <si>
    <t>Rytis P</t>
  </si>
  <si>
    <t>montazke r20+pasauga (65eur montazke+40eur pasauga)</t>
  </si>
  <si>
    <t>dave 200eur, grazos daviau 90eur, 5eur paliko arbatos (buvau blogai paskaiciaves, tai jei kita sezona sakys, kad dave ant 10eur daugiau tai NE! viskas gerai buvo paskaicuota</t>
  </si>
  <si>
    <t>Tomas Mingela</t>
  </si>
  <si>
    <t>seat</t>
  </si>
  <si>
    <t>montazke r19 (55eur)</t>
  </si>
  <si>
    <t>dave 100eur, turetu moketi 55eur, martas dave grazos 45eur (ne is kasos)</t>
  </si>
  <si>
    <t>KJP184</t>
  </si>
  <si>
    <t xml:space="preserve">montazke r18 semi slick 2vnt +davykliu isemimas </t>
  </si>
  <si>
    <t>Ivan Chervotkin</t>
  </si>
  <si>
    <t>montazke r18 (be masinos)</t>
  </si>
  <si>
    <t>Kristijonas Valasevičius</t>
  </si>
  <si>
    <t>Leon M leonm845@gmail.com</t>
  </si>
  <si>
    <t xml:space="preserve">155/70r19 2vnt nankang+montazke </t>
  </si>
  <si>
    <t>atnesiau po petaka grazoms</t>
  </si>
  <si>
    <t xml:space="preserve">montazke r18+naujos? padangos </t>
  </si>
  <si>
    <t>Mindaugas C</t>
  </si>
  <si>
    <t>1vnt davyklis+balansas</t>
  </si>
  <si>
    <t>montazke r20+naujos padangos+pasauga</t>
  </si>
  <si>
    <t>KNC249</t>
  </si>
  <si>
    <t>montazke r15+naujos padangos+disku ir stebuliu valymas+2vnt hermetizavimas+ventiliu keitimas+disku valymas nuo oksidacijos 4vnt</t>
  </si>
  <si>
    <t>Passat</t>
  </si>
  <si>
    <t>NCY819</t>
  </si>
  <si>
    <t>Ratlankio tiesinimas 1vnt, be montavimo</t>
  </si>
  <si>
    <t>Jurgis Beržinis</t>
  </si>
  <si>
    <t>TOYOTA corolla</t>
  </si>
  <si>
    <t>pavedimu 40eur</t>
  </si>
  <si>
    <t>NVM186</t>
  </si>
  <si>
    <t>montazke r20+naujos padangos+rato lyginimas 1vnt</t>
  </si>
  <si>
    <t>tepalo/tepalo filtro keitimas+stabdziu zarneliu ir rbf700 keitimas</t>
  </si>
  <si>
    <t>montazke ant diksu yokohama atskirai</t>
  </si>
  <si>
    <t>AUDI Q3</t>
  </si>
  <si>
    <t>honda crv</t>
  </si>
  <si>
    <t>2 sniurai</t>
  </si>
  <si>
    <t>Aleksandras Leonovic aleksandras@stabile.lt</t>
  </si>
  <si>
    <t>https://rekvizitai.vz.lt/en/company/stabile_fundamentum/</t>
  </si>
  <si>
    <t>montazke r20+disku pasauga+naujos padangos</t>
  </si>
  <si>
    <t>Dodge Journey</t>
  </si>
  <si>
    <t>montazke r19 (55eur turejo buti, bet turejo tik 50eur, tai pasake prirasyti prie skolos)</t>
  </si>
  <si>
    <t xml:space="preserve">peugeot 5008 </t>
  </si>
  <si>
    <t>montazke r18+ 3 kartus prasukinejau padangos</t>
  </si>
  <si>
    <t>Vilius Ivanauskas</t>
  </si>
  <si>
    <t>motnazke r20+pasauga 5vnt padangu+2vnt naujos padangos</t>
  </si>
  <si>
    <t>LBO767</t>
  </si>
  <si>
    <t>Justas Širmenis</t>
  </si>
  <si>
    <t>montazke r21+pasauga+2vnt util</t>
  </si>
  <si>
    <t>2026/05/xx</t>
  </si>
  <si>
    <t>LEXUS RX 450</t>
  </si>
  <si>
    <t>Maksim Afanasjev</t>
  </si>
  <si>
    <t>pavedimu, naujas masinos savininkas</t>
  </si>
  <si>
    <t>Toyota Prius</t>
  </si>
  <si>
    <t>Jps018</t>
  </si>
  <si>
    <t>montazke r15+klijavimas</t>
  </si>
  <si>
    <t>Povilas Vaitilavicius</t>
  </si>
  <si>
    <t xml:space="preserve"> HPN081
</t>
  </si>
  <si>
    <t>balansas su uzdeimu+disku pasauga</t>
  </si>
  <si>
    <t>Mantulis medziagom</t>
  </si>
  <si>
    <t>tesla model x</t>
  </si>
  <si>
    <t>ea3819</t>
  </si>
  <si>
    <t>Antonas Mejus</t>
  </si>
  <si>
    <t>Karolis medziagom (teptukai, klijai...)</t>
  </si>
  <si>
    <t>montazke r16+pasauga (2vnt sava is sroto)</t>
  </si>
  <si>
    <t>Algimantas Karaliunas</t>
  </si>
  <si>
    <t xml:space="preserve">90eur pavedimu </t>
  </si>
  <si>
    <t>Gle coupe</t>
  </si>
  <si>
    <t>LCT729</t>
  </si>
  <si>
    <t>1vnt balansas+1vnt montazke naujos padangos</t>
  </si>
  <si>
    <t>balansas r22+uzdeimas</t>
  </si>
  <si>
    <t xml:space="preserve">sharan </t>
  </si>
  <si>
    <t>NBA412</t>
  </si>
  <si>
    <t>montazke r17 vnt nauju gy+2vnt balansas+skola uz slango keitima (95*2+35+30)</t>
  </si>
  <si>
    <t>Autius P</t>
  </si>
  <si>
    <t>montazke r18 1vnt su blansu+utilizavimas</t>
  </si>
  <si>
    <t>NDJ199</t>
  </si>
  <si>
    <t>Petras J</t>
  </si>
  <si>
    <t>ventiliu keitimas ir hermetizavimas</t>
  </si>
  <si>
    <t>vw toureg</t>
  </si>
  <si>
    <t>balansas r20+disku pasauga</t>
  </si>
  <si>
    <t>Alenas Bačkis</t>
  </si>
  <si>
    <t>bmw 520xd</t>
  </si>
  <si>
    <t>Mim018</t>
  </si>
  <si>
    <t>Mis944</t>
  </si>
  <si>
    <t>Virginija Mar</t>
  </si>
  <si>
    <t>Audi rs5</t>
  </si>
  <si>
    <t>priekiniu ir galiniu kaladeliu ketimas</t>
  </si>
  <si>
    <t>montazke r18 be pasaugos, ismestos reikia nauju</t>
  </si>
  <si>
    <t>Padangos ag 215/60r16 michelin</t>
  </si>
  <si>
    <t>Edita G</t>
  </si>
  <si>
    <t>BOV318</t>
  </si>
  <si>
    <t>balansas r17+uzdejimas</t>
  </si>
  <si>
    <t>Nerijus Bastys</t>
  </si>
  <si>
    <t>r21 montazke kazkad buvo+naujos padangos ir uzdeimas</t>
  </si>
  <si>
    <t>Lnh421</t>
  </si>
  <si>
    <t>montazke r15+pasauga (padangos uzdejom nuo LEJ038, dabar bus dvi pasaugos sitos masinos ziema ir vasara)</t>
  </si>
  <si>
    <t xml:space="preserve">AUDI Q3
</t>
  </si>
  <si>
    <t>Rytis Jadzevicius</t>
  </si>
  <si>
    <t>Toyota busikas</t>
  </si>
  <si>
    <t>LER718</t>
  </si>
  <si>
    <t>balansas (be masinos)</t>
  </si>
  <si>
    <t>Bronius.s@lokmis.lt</t>
  </si>
  <si>
    <t>https://rekvizitai.vz.lt/imone/lokmis/</t>
  </si>
  <si>
    <t>Chevrolet Volt</t>
  </si>
  <si>
    <t>montazke r17 nauju padangu</t>
  </si>
  <si>
    <t>Vetra Kentraite laurynas kentra</t>
  </si>
  <si>
    <t>balansas be disku pasaugos</t>
  </si>
  <si>
    <t>NLE162</t>
  </si>
  <si>
    <t>rta pro</t>
  </si>
  <si>
    <t>NFA993</t>
  </si>
  <si>
    <t>Honda crv</t>
  </si>
  <si>
    <t>LUL484</t>
  </si>
  <si>
    <t>montazke r18 nauju gy</t>
  </si>
  <si>
    <t>Renault Captur</t>
  </si>
  <si>
    <t>MGI900</t>
  </si>
  <si>
    <t>Ąžuolis K</t>
  </si>
  <si>
    <t>bmw f10 520d</t>
  </si>
  <si>
    <t>balansas 17+disku pasauga</t>
  </si>
  <si>
    <t>montazke r19 nauju JR+yokohama</t>
  </si>
  <si>
    <t>Superb</t>
  </si>
  <si>
    <t>Neo161</t>
  </si>
  <si>
    <t>Livijua Mintauckis</t>
  </si>
  <si>
    <t>ABI600</t>
  </si>
  <si>
    <t>Aidas Bubinas</t>
  </si>
  <si>
    <t>Opel vivaro</t>
  </si>
  <si>
    <t>LSF907</t>
  </si>
  <si>
    <t>Asgena Asgena</t>
  </si>
  <si>
    <t>NISSAN LEAF</t>
  </si>
  <si>
    <t>EA4207</t>
  </si>
  <si>
    <t>montazke r17+naujos padangos (padangos po 63eur)</t>
  </si>
  <si>
    <t>montazke r19 be pasaugos</t>
  </si>
  <si>
    <t>fiat busikas</t>
  </si>
  <si>
    <t>LIA592</t>
  </si>
  <si>
    <t>pakeitem dirza, slanga ir pripylem apie 8l antifryzo. Apie 3h darbo</t>
  </si>
  <si>
    <t>MDV205</t>
  </si>
  <si>
    <t>montazke r16+1vnt disko lyginimas</t>
  </si>
  <si>
    <t>montazker17+pasauga</t>
  </si>
  <si>
    <t>NNT023</t>
  </si>
  <si>
    <t>rato lyginimas (truko ratas)</t>
  </si>
  <si>
    <t>davykliu uzdeimas ir pririsimas kartu su balansu</t>
  </si>
  <si>
    <t>Rimgaile S</t>
  </si>
  <si>
    <t>HUG951</t>
  </si>
  <si>
    <t>montazke r15 nauju hankook</t>
  </si>
  <si>
    <t xml:space="preserve">tepalu keitimas 5vnt po 2l  </t>
  </si>
  <si>
    <t>Mantas JA</t>
  </si>
  <si>
    <t>VOLT</t>
  </si>
  <si>
    <t>EV2105</t>
  </si>
  <si>
    <t>montazke r18 (pasake kad sask israsei uz praita sezona ir uz sita uz dvi masinos)</t>
  </si>
  <si>
    <t>Audi a8</t>
  </si>
  <si>
    <t>AIM366</t>
  </si>
  <si>
    <t>montazke r22+dazymas</t>
  </si>
  <si>
    <t>2vnt nauji davykliai plus 2vnt balansas</t>
  </si>
  <si>
    <t>montazke r22+pasauga+2vnt nauji contikai</t>
  </si>
  <si>
    <t>Kristijonas Plio</t>
  </si>
  <si>
    <t>montazke r16c (padangos ismestos)</t>
  </si>
  <si>
    <t>Interlux Andrius  andrius.krasnevicius@interlux.lt</t>
  </si>
  <si>
    <t>Mantas Tautvaišas</t>
  </si>
  <si>
    <t>Hyundai i20 active</t>
  </si>
  <si>
    <t>LAH202</t>
  </si>
  <si>
    <t>montazke r15+nauji goodyear</t>
  </si>
  <si>
    <t>Toyota Avensis</t>
  </si>
  <si>
    <t>JGK921</t>
  </si>
  <si>
    <t>montazke r16+debica hp2 205/55r16</t>
  </si>
  <si>
    <t>keitem dirza, slanga, du nauji hamutai...</t>
  </si>
  <si>
    <t>VW Transporte</t>
  </si>
  <si>
    <t>balansas+disku pasauga (nauju padangu nedejom,pasake damus esamos)</t>
  </si>
  <si>
    <t>LBL640</t>
  </si>
  <si>
    <t>padangos klijavimas + vintilio keitimas + balansas r16</t>
  </si>
  <si>
    <t>pezas 207cc</t>
  </si>
  <si>
    <t>Mantas Mamenskis</t>
  </si>
  <si>
    <t>GOF797</t>
  </si>
  <si>
    <t>montazke r17+nauji contikai</t>
  </si>
  <si>
    <t>Robertas Butkus</t>
  </si>
  <si>
    <t>neturejo 3eur</t>
  </si>
  <si>
    <t>Jolita Genceviciene</t>
  </si>
  <si>
    <t>bmw e65</t>
  </si>
  <si>
    <t>balansas r19+disku pasauga</t>
  </si>
  <si>
    <t xml:space="preserve">akumo saugiklio keitimas </t>
  </si>
  <si>
    <t>MDI869</t>
  </si>
  <si>
    <t>montazke r20 + utilizavimas</t>
  </si>
  <si>
    <t>montazke r18 + pasauga</t>
  </si>
  <si>
    <t>MZ0797</t>
  </si>
  <si>
    <t xml:space="preserve">montazke r16+klijavimas </t>
  </si>
  <si>
    <t>Audi A5 Sportback</t>
  </si>
  <si>
    <t>Kur345</t>
  </si>
  <si>
    <t>montazke r18+nauji sailun</t>
  </si>
  <si>
    <t>Justė Umbrasaitė</t>
  </si>
  <si>
    <t xml:space="preserve">audi a4 b8 </t>
  </si>
  <si>
    <t>FORD EDGE</t>
  </si>
  <si>
    <t>JOE555</t>
  </si>
  <si>
    <t>montazke r20+naujos gy padangos</t>
  </si>
  <si>
    <t>Kristina Marčiulaitienė</t>
  </si>
  <si>
    <t>pavedimu 90eur</t>
  </si>
  <si>
    <t>bandymas uzdeti rastafkes :DD</t>
  </si>
  <si>
    <r>
      <rPr>
        <rFont val="&quot;Google Sans&quot;, Roboto, Arial, sans-serif"/>
        <color rgb="FF1155CC"/>
        <sz val="11.0"/>
        <u/>
      </rPr>
      <t>a.vainilavicius@nav.lt</t>
    </r>
  </si>
  <si>
    <t>Kmt224</t>
  </si>
  <si>
    <t>05/18</t>
  </si>
  <si>
    <t>priekiniu kaladeliu/ galiniu kaladeliu ir disku keitimas</t>
  </si>
  <si>
    <t>Toyota Rava4</t>
  </si>
  <si>
    <t>interlux Andrius</t>
  </si>
  <si>
    <t>Status</t>
  </si>
  <si>
    <t>188eur per daug (exelyje E2102 eilute)</t>
  </si>
  <si>
    <t>karucio kameros keitimas</t>
  </si>
  <si>
    <t>MJI812</t>
  </si>
  <si>
    <t>montazke r18 2vnt (be ismontavimo ir be balanso)</t>
  </si>
  <si>
    <t>bmw m4  comp</t>
  </si>
  <si>
    <t>montazke r20/21+nauji hankook+disku pasauga</t>
  </si>
  <si>
    <t>AFY543 (seni nr: MON011)</t>
  </si>
  <si>
    <t>tepalu ir filtru keitimas, variuotojo puses: stabiliko, sarnyro ir vairo traukes keitimas. Keleivio puse: stabiliko keitimas, vairo traukes ir sarnyro</t>
  </si>
  <si>
    <t xml:space="preserve">05/20 </t>
  </si>
  <si>
    <t>montazke r15+pasauga(2vnt nauji gt radial, 2vnt seni is sandelio imperial)</t>
  </si>
  <si>
    <t>montazke 245/40r19</t>
  </si>
  <si>
    <t>Karolis, padejau uz detales (skola)</t>
  </si>
  <si>
    <t>Tesla model x</t>
  </si>
  <si>
    <t>montazke r20 nauju contiku</t>
  </si>
  <si>
    <t>Mejus</t>
  </si>
  <si>
    <t xml:space="preserve">bmw e91 318d </t>
  </si>
  <si>
    <t>LTN955</t>
  </si>
  <si>
    <t>montazke r16+hermetizvimas 2vnt+utilizavimas</t>
  </si>
  <si>
    <t>VW passat b5?</t>
  </si>
  <si>
    <t>pajungiau kazkoki vakuma nes buvo atjungtas, reiketu pakeisti p.k. guoli, is naujo ant hermetiko pasodinti voztuvo dangtelio atarpine, isplauti varikli...</t>
  </si>
  <si>
    <t>NCS883</t>
  </si>
  <si>
    <t>montazke r20 (pisomes ilgai kad atsukti varztus)</t>
  </si>
  <si>
    <t>Aurimas Vizgirda</t>
  </si>
  <si>
    <t>FOG324</t>
  </si>
  <si>
    <t>Dovydas Grigas</t>
  </si>
  <si>
    <r>
      <rPr>
        <color rgb="FF1155CC"/>
        <u/>
      </rPr>
      <t>dovydas.g@lokmis.lt</t>
    </r>
  </si>
  <si>
    <t>JMT048</t>
  </si>
  <si>
    <t>subalansavom bet neuzdejom neturejo verzliu</t>
  </si>
  <si>
    <t>padangos nuo LTK725</t>
  </si>
  <si>
    <t xml:space="preserve">sava 215/60r17 AG </t>
  </si>
  <si>
    <t>AG</t>
  </si>
  <si>
    <t>2 nauji davikliai su balansu+bandymas priristi?</t>
  </si>
  <si>
    <t>bendras balansas</t>
  </si>
  <si>
    <t>pirkimai ir visas sudas:</t>
  </si>
  <si>
    <t>Nuo</t>
  </si>
  <si>
    <t>Iki</t>
  </si>
  <si>
    <t xml:space="preserve"> Valandos</t>
  </si>
  <si>
    <t>Konvertuota</t>
  </si>
  <si>
    <t>Menesio valandu suma</t>
  </si>
  <si>
    <t>Mart pervede</t>
  </si>
  <si>
    <t xml:space="preserve">Mart dave cash </t>
  </si>
  <si>
    <t>Paemiau</t>
  </si>
  <si>
    <t>seno exelio skola</t>
  </si>
  <si>
    <t>114769 circlek dovanu 60eur</t>
  </si>
  <si>
    <r>
      <rPr>
        <rFont val="roboto, sans-serif"/>
        <color rgb="FF1155CC"/>
        <sz val="11.0"/>
        <u/>
      </rPr>
      <t>C24015ABE</t>
    </r>
  </si>
  <si>
    <r>
      <rPr>
        <rFont val="roboto, sans-serif"/>
        <color rgb="FF1155CC"/>
        <sz val="11.0"/>
        <u/>
      </rPr>
      <t>C44034ABE</t>
    </r>
  </si>
  <si>
    <r>
      <rPr>
        <rFont val="roboto, sans-serif"/>
        <color rgb="FF1155CC"/>
        <sz val="11.0"/>
        <u/>
      </rPr>
      <t>C44034ABE</t>
    </r>
  </si>
  <si>
    <r>
      <rPr>
        <rFont val="roboto, sans-serif"/>
        <color rgb="FF1155CC"/>
        <sz val="11.0"/>
        <u/>
      </rPr>
      <t>I54117YMT</t>
    </r>
  </si>
  <si>
    <t>Padejau uz detales 2025/10/16</t>
  </si>
  <si>
    <t>F 026 400 157 (BOSCH)</t>
  </si>
  <si>
    <t>F 026 402 068 (BOSCH)</t>
  </si>
  <si>
    <t>F 026 407 023 (BOSCH)</t>
  </si>
  <si>
    <r>
      <rPr>
        <rFont val="roboto, sans-serif"/>
        <color rgb="FF1155CC"/>
        <sz val="11.0"/>
        <u/>
      </rPr>
      <t>8100 X-CLEAN+ 5W30 5L</t>
    </r>
  </si>
  <si>
    <t>Padejau uz detales 2025/10/18</t>
  </si>
  <si>
    <t>MMT A040 542780</t>
  </si>
  <si>
    <t>Padejau uz detales</t>
  </si>
  <si>
    <t>119039 circkleK</t>
  </si>
  <si>
    <t>112963 circkleK</t>
  </si>
  <si>
    <t>Padejau uz kura/skola</t>
  </si>
  <si>
    <r>
      <rPr>
        <rFont val="roboto, sans-serif"/>
        <color rgb="FF1155CC"/>
        <sz val="11.0"/>
        <u/>
      </rPr>
      <t>OSR66240CLC XENARC</t>
    </r>
  </si>
  <si>
    <r>
      <rPr>
        <rFont val="roboto, sans-serif"/>
        <color rgb="FF1155CC"/>
        <sz val="11.0"/>
        <u/>
      </rPr>
      <t>OSR66240CLC XENARC</t>
    </r>
  </si>
  <si>
    <t>Padejau uz padangos ir kita suda</t>
  </si>
  <si>
    <t>4vnt langu skyscio, naujo</t>
  </si>
  <si>
    <t>F 026 407 068</t>
  </si>
  <si>
    <t>1 987 432 166</t>
  </si>
  <si>
    <r>
      <rPr>
        <rFont val="roboto, sans-serif"/>
        <color rgb="FF1155CC"/>
        <sz val="9.0"/>
        <u/>
      </rPr>
      <t>F 026 400 159</t>
    </r>
  </si>
  <si>
    <r>
      <rPr>
        <rFont val="roboto, sans-serif"/>
        <color rgb="FF1155CC"/>
        <sz val="9.0"/>
        <u/>
      </rPr>
      <t>F 026 402 063</t>
    </r>
  </si>
  <si>
    <r>
      <rPr>
        <rFont val="roboto, sans-serif"/>
        <color rgb="FF1155CC"/>
        <sz val="9.0"/>
        <u/>
      </rPr>
      <t>8100 X-CLEAN+ 5W30 5L</t>
    </r>
  </si>
  <si>
    <t>Karolis paemiau uz 2025/10</t>
  </si>
  <si>
    <t>1400eur</t>
  </si>
  <si>
    <t>tepalas is backos 500ml</t>
  </si>
  <si>
    <t>Padejau uz detales 11/10</t>
  </si>
  <si>
    <t>SESTADENIAI</t>
  </si>
  <si>
    <t xml:space="preserve">NUO </t>
  </si>
  <si>
    <t>IKI</t>
  </si>
  <si>
    <t>Masinu sk.</t>
  </si>
  <si>
    <r>
      <rPr>
        <rFont val="roboto, sans-serif"/>
        <color rgb="FF1155CC"/>
        <sz val="11.0"/>
        <u/>
      </rPr>
      <t>3 397 007 523</t>
    </r>
  </si>
  <si>
    <t>Uz draugelio ratu balansavima</t>
  </si>
  <si>
    <r>
      <rPr>
        <color rgb="FF1155CC"/>
        <u/>
      </rPr>
      <t>EMH137</t>
    </r>
  </si>
  <si>
    <t>Cash</t>
  </si>
  <si>
    <r>
      <rPr>
        <rFont val="Arial"/>
        <color rgb="FF1155CC"/>
        <sz val="11.0"/>
        <u/>
      </rPr>
      <t>NGK97506</t>
    </r>
    <r>
      <rPr>
        <rFont val="Arial"/>
        <color rgb="FF000000"/>
        <sz val="11.0"/>
      </rPr>
      <t xml:space="preserve"> 6vnt</t>
    </r>
  </si>
  <si>
    <r>
      <rPr>
        <rFont val="Arial"/>
        <color rgb="FF1155CC"/>
        <sz val="11.0"/>
        <u/>
      </rPr>
      <t>NGK48206</t>
    </r>
    <r>
      <rPr>
        <rFont val="Arial"/>
        <color rgb="FF000000"/>
        <sz val="11.0"/>
      </rPr>
      <t xml:space="preserve"> 6vnt</t>
    </r>
  </si>
  <si>
    <r>
      <rPr>
        <rFont val="roboto, sans-serif"/>
        <color rgb="FF1155CC"/>
        <sz val="11.0"/>
        <u/>
      </rPr>
      <t>EL458320</t>
    </r>
  </si>
  <si>
    <r>
      <rPr>
        <rFont val="roboto, sans-serif"/>
        <color rgb="FF1155CC"/>
        <sz val="11.0"/>
        <u/>
      </rPr>
      <t>EL299770</t>
    </r>
  </si>
  <si>
    <t>nuo arbatos likutis</t>
  </si>
  <si>
    <t>1 457 429 244</t>
  </si>
  <si>
    <t>1 457 433 300</t>
  </si>
  <si>
    <t>1 987 432 064</t>
  </si>
  <si>
    <t>1 987 432 464</t>
  </si>
  <si>
    <t>grazinta</t>
  </si>
  <si>
    <t>1 457 434 436</t>
  </si>
  <si>
    <t>F 026 402 005</t>
  </si>
  <si>
    <t>Senson</t>
  </si>
  <si>
    <r>
      <rPr>
        <rFont val="roboto, sans-serif"/>
        <color rgb="FF1155CC"/>
        <sz val="11.0"/>
        <u/>
      </rPr>
      <t>8100 X-CESS 5W40 5L</t>
    </r>
  </si>
  <si>
    <t>IC</t>
  </si>
  <si>
    <r>
      <rPr>
        <rFont val="roboto, sans-serif"/>
        <color rgb="FF1155CC"/>
        <sz val="11.0"/>
        <u/>
      </rPr>
      <t>8100 X-CESS 5W40 1L</t>
    </r>
  </si>
  <si>
    <t>daviau karoliui cash  2025-12-05</t>
  </si>
  <si>
    <t>E2978LC-2</t>
  </si>
  <si>
    <t>HU 816 X</t>
  </si>
  <si>
    <r>
      <rPr>
        <rFont val="roboto, sans-serif"/>
        <color rgb="FF1155CC"/>
        <sz val="11.0"/>
        <u/>
      </rPr>
      <t>1087.298.365</t>
    </r>
  </si>
  <si>
    <r>
      <rPr>
        <rFont val="roboto, sans-serif"/>
        <color rgb="FF1155CC"/>
        <sz val="11.0"/>
        <u/>
      </rPr>
      <t>LIM8536 MOLYGEN 5W40 5L</t>
    </r>
  </si>
  <si>
    <r>
      <rPr>
        <rFont val="roboto, sans-serif"/>
        <color rgb="FF1155CC"/>
        <sz val="11.0"/>
        <u/>
      </rPr>
      <t>LIM8576 5W40 1L</t>
    </r>
  </si>
  <si>
    <r>
      <rPr>
        <rFont val="roboto, sans-serif"/>
        <color rgb="FF1155CC"/>
        <sz val="11.0"/>
        <u/>
      </rPr>
      <t>LIM8576 5W40 1L</t>
    </r>
  </si>
  <si>
    <r>
      <rPr>
        <rFont val="roboto, sans-serif"/>
        <color rgb="FF1155CC"/>
        <sz val="11.0"/>
        <u/>
      </rPr>
      <t>TUPP1984</t>
    </r>
  </si>
  <si>
    <r>
      <rPr>
        <rFont val="roboto, sans-serif"/>
        <color rgb="FF1155CC"/>
        <sz val="11.0"/>
        <u/>
      </rPr>
      <t>LIM2183 75W90 1L</t>
    </r>
  </si>
  <si>
    <r>
      <rPr>
        <rFont val="roboto, sans-serif"/>
        <color rgb="FF1155CC"/>
        <sz val="11.0"/>
        <u/>
      </rPr>
      <t>LIM2183 75W90 1L</t>
    </r>
  </si>
  <si>
    <r>
      <rPr>
        <rFont val="roboto, sans-serif"/>
        <color rgb="FF1155CC"/>
        <sz val="11.0"/>
        <u/>
      </rPr>
      <t>RAV TRANSFER DTF-1 1L</t>
    </r>
  </si>
  <si>
    <t>padejau uz detales</t>
  </si>
  <si>
    <t>Martas skoloi uz sezona ir uz sest papildomai</t>
  </si>
  <si>
    <r>
      <rPr>
        <color rgb="FF1155CC"/>
        <u/>
      </rPr>
      <t>314 710 0025</t>
    </r>
  </si>
  <si>
    <r>
      <rPr>
        <color rgb="FF1155CC"/>
        <u/>
      </rPr>
      <t>314 710 0026</t>
    </r>
  </si>
  <si>
    <r>
      <rPr>
        <color rgb="FF1155CC"/>
        <u/>
      </rPr>
      <t>314 710 0026</t>
    </r>
  </si>
  <si>
    <t>Martas priskaiciavo uz sezona??</t>
  </si>
  <si>
    <t>Martas dave</t>
  </si>
  <si>
    <t>Atsiskaitem su Martu uz sezona ir mano skola</t>
  </si>
  <si>
    <t>varta bd g7</t>
  </si>
  <si>
    <r>
      <rPr>
        <rFont val="roboto, sans-serif"/>
        <color rgb="FF1155CC"/>
        <sz val="11.0"/>
        <u/>
      </rPr>
      <t>DAC DASHBOARD CLEAN 0.5L</t>
    </r>
  </si>
  <si>
    <t>padejau uz akuma...</t>
  </si>
  <si>
    <t>turejau paimimti 263eur uz gruodi cash, bet paemiau 150eur likutis uz akuma</t>
  </si>
  <si>
    <t xml:space="preserve">1vnt langu skyscio </t>
  </si>
  <si>
    <t>1vnt langu skyscio -25c</t>
  </si>
  <si>
    <r>
      <rPr>
        <rFont val="roboto, sans-serif"/>
        <color rgb="FF1155CC"/>
        <sz val="11.0"/>
        <u/>
      </rPr>
      <t>JDAQ0122</t>
    </r>
  </si>
  <si>
    <t>circlek 5045076406450133408</t>
  </si>
  <si>
    <t>circlek 5045076406450233687</t>
  </si>
  <si>
    <t xml:space="preserve">Mart turi duoti uz 01men </t>
  </si>
  <si>
    <t xml:space="preserve">Paemiau </t>
  </si>
  <si>
    <t>Mart skoloi</t>
  </si>
  <si>
    <t>Likuti uz 1men palieku uz detales (skola)</t>
  </si>
  <si>
    <r>
      <rPr>
        <b/>
        <color rgb="FF1155CC"/>
        <u/>
      </rPr>
      <t>DTF-1 BMW 1L</t>
    </r>
  </si>
  <si>
    <r>
      <rPr>
        <b/>
        <color rgb="FF1155CC"/>
        <u/>
      </rPr>
      <t>TITAN CHF 11S 1L</t>
    </r>
  </si>
  <si>
    <t>atvaziavau sunesti padangos ir padaryti graziniumus</t>
  </si>
  <si>
    <r>
      <rPr>
        <rFont val="roboto, sans-serif"/>
        <color rgb="FF1155CC"/>
        <sz val="11.0"/>
        <u/>
      </rPr>
      <t>A-C EXPERT-37C 5L</t>
    </r>
  </si>
  <si>
    <t>1vnt langu skyscio -21</t>
  </si>
  <si>
    <t>Atsiskaitem iki 2026/02/12 (uz viska kas virsui)</t>
  </si>
  <si>
    <t>circle k</t>
  </si>
  <si>
    <t>5045076406450313208</t>
  </si>
  <si>
    <t>Padejau uz skola</t>
  </si>
  <si>
    <t>35417 01</t>
  </si>
  <si>
    <t>uz 2vnt</t>
  </si>
  <si>
    <r>
      <rPr>
        <rFont val="roboto, sans-serif"/>
        <color rgb="FF000000"/>
        <sz val="11.0"/>
        <u/>
      </rPr>
      <t>C34056ABE</t>
    </r>
  </si>
  <si>
    <r>
      <rPr>
        <rFont val="roboto, sans-serif"/>
        <color rgb="FF000000"/>
        <sz val="11.0"/>
        <u/>
      </rPr>
      <t>C14053ABE-P</t>
    </r>
  </si>
  <si>
    <r>
      <rPr>
        <rFont val="roboto, sans-serif"/>
        <color rgb="FF1155CC"/>
        <sz val="11.0"/>
        <u/>
      </rPr>
      <t>TC2627</t>
    </r>
  </si>
  <si>
    <r>
      <rPr>
        <rFont val="roboto, sans-serif"/>
        <color rgb="FF1155CC"/>
        <sz val="11.0"/>
        <u/>
      </rPr>
      <t>J90314YMT</t>
    </r>
  </si>
  <si>
    <r>
      <rPr>
        <rFont val="roboto, sans-serif"/>
        <color rgb="FF1155CC"/>
        <sz val="11.0"/>
        <u/>
      </rPr>
      <t>J90535OEM</t>
    </r>
  </si>
  <si>
    <r>
      <rPr>
        <rFont val="roboto, sans-serif"/>
        <color rgb="FF1155CC"/>
        <sz val="11.0"/>
        <u/>
      </rPr>
      <t>TED50469</t>
    </r>
  </si>
  <si>
    <t>padejau uz skola</t>
  </si>
  <si>
    <t xml:space="preserve">Paemiau uz 2026/02men cash </t>
  </si>
  <si>
    <t>400eur (pilna suma martas man skoloi 403.97eur)</t>
  </si>
  <si>
    <t>Nepaemiau uz 2026.02men (likuti kuri nepaemiau atminusavau uz skola)</t>
  </si>
  <si>
    <r>
      <rPr>
        <rFont val="roboto, sans-serif"/>
        <color rgb="FF3C78D8"/>
        <sz val="11.0"/>
        <u/>
      </rPr>
      <t>C3B034ABE</t>
    </r>
  </si>
  <si>
    <r>
      <rPr>
        <rFont val="roboto, sans-serif"/>
        <color rgb="FF3C78D8"/>
        <sz val="11.0"/>
        <u/>
      </rPr>
      <t>C3B034ABE</t>
    </r>
  </si>
  <si>
    <r>
      <rPr>
        <rFont val="roboto, sans-serif"/>
        <color rgb="FF3C78D8"/>
        <sz val="11.0"/>
        <u/>
      </rPr>
      <t>FDB1773</t>
    </r>
  </si>
  <si>
    <t>Grazinta</t>
  </si>
  <si>
    <r>
      <rPr>
        <rFont val="roboto, sans-serif"/>
        <color rgb="FF3C78D8"/>
        <sz val="11.0"/>
        <u/>
      </rPr>
      <t>C4B028ABE</t>
    </r>
  </si>
  <si>
    <r>
      <rPr>
        <rFont val="roboto, sans-serif"/>
        <color rgb="FF3C78D8"/>
        <sz val="11.0"/>
        <u/>
      </rPr>
      <t>C4B028ABE</t>
    </r>
  </si>
  <si>
    <r>
      <rPr>
        <rFont val="roboto, sans-serif"/>
        <color rgb="FF3C78D8"/>
        <sz val="11.0"/>
        <u/>
      </rPr>
      <t>FDB1807</t>
    </r>
  </si>
  <si>
    <t>5045076406450217995</t>
  </si>
  <si>
    <t>Padejau uz detales (skola)</t>
  </si>
  <si>
    <t>0 250 404 003</t>
  </si>
  <si>
    <t>(kaina uz 4vnt)</t>
  </si>
  <si>
    <r>
      <rPr>
        <rFont val="roboto, sans-serif"/>
        <color rgb="FF1155CC"/>
        <sz val="11.0"/>
        <u/>
      </rPr>
      <t>8100 X-CLEAN+ 5W30 5L</t>
    </r>
  </si>
  <si>
    <r>
      <rPr>
        <rFont val="roboto, sans-serif"/>
        <color rgb="FF1155CC"/>
        <sz val="11.0"/>
        <u/>
      </rPr>
      <t>8100 X-CLEAN+ 5W30 1L</t>
    </r>
  </si>
  <si>
    <t>OX 361/4D</t>
  </si>
  <si>
    <t>KL 579D</t>
  </si>
  <si>
    <t>50 014 200</t>
  </si>
  <si>
    <r>
      <rPr>
        <rFont val="roboto, sans-serif"/>
        <color rgb="FF1155CC"/>
        <sz val="11.0"/>
        <u/>
      </rPr>
      <t>FE178022</t>
    </r>
  </si>
  <si>
    <t>TD1616W</t>
  </si>
  <si>
    <t>TD708W</t>
  </si>
  <si>
    <t>5045076406450127095</t>
  </si>
  <si>
    <t>circle</t>
  </si>
  <si>
    <t>5045076406450125891</t>
  </si>
  <si>
    <t>Martynas pervede</t>
  </si>
  <si>
    <t xml:space="preserve">Mart turi duoti cash </t>
  </si>
  <si>
    <t>Padejau uz circle k kuponus</t>
  </si>
  <si>
    <t>13.0470-2760.2 (ATE)</t>
  </si>
  <si>
    <t>150.3484.52 (ZIMMERMANN)</t>
  </si>
  <si>
    <t>MELGA balanso asis</t>
  </si>
  <si>
    <t>padejau uz detales (skola)</t>
  </si>
  <si>
    <t>50 013 664</t>
  </si>
  <si>
    <t>50 013 746</t>
  </si>
  <si>
    <r>
      <rPr>
        <rFont val="roboto, sans-serif"/>
        <color rgb="FF1155CC"/>
        <sz val="11.0"/>
        <u/>
      </rPr>
      <t>8100 X-CESS 5W40 5L</t>
    </r>
  </si>
  <si>
    <r>
      <rPr>
        <rFont val="roboto, sans-serif"/>
        <color rgb="FF1155CC"/>
        <sz val="11.0"/>
        <u/>
      </rPr>
      <t>8100 X-CESS 5W40 1L</t>
    </r>
  </si>
  <si>
    <r>
      <rPr>
        <rFont val="roboto, sans-serif"/>
        <color rgb="FF1155CC"/>
        <sz val="11.0"/>
        <u/>
      </rPr>
      <t>J44033CYMT</t>
    </r>
  </si>
  <si>
    <r>
      <rPr>
        <rFont val="roboto, sans-serif"/>
        <color rgb="FF1155CC"/>
        <sz val="11.0"/>
        <u/>
      </rPr>
      <t>J44033BYMT</t>
    </r>
  </si>
  <si>
    <r>
      <rPr>
        <rFont val="roboto, sans-serif"/>
        <color rgb="FF1155CC"/>
        <sz val="11.0"/>
        <u/>
      </rPr>
      <t>DAC WINDSCREEN SUMMER 4L</t>
    </r>
  </si>
  <si>
    <r>
      <rPr>
        <rFont val="roboto, sans-serif"/>
        <color rgb="FF1155CC"/>
        <sz val="11.0"/>
        <u/>
      </rPr>
      <t>DAC WINDSCREEN SUMMER 4L</t>
    </r>
  </si>
  <si>
    <r>
      <rPr>
        <rFont val="roboto, sans-serif"/>
        <color rgb="FF1155CC"/>
        <sz val="11.0"/>
        <u/>
      </rPr>
      <t>LIM8536 MOLYGEN 5W40 5L</t>
    </r>
  </si>
  <si>
    <r>
      <rPr>
        <rFont val="roboto, sans-serif"/>
        <color rgb="FF1155CC"/>
        <sz val="11.0"/>
        <u/>
      </rPr>
      <t>LIM8576 5W40 1L</t>
    </r>
  </si>
  <si>
    <r>
      <rPr>
        <rFont val="roboto, sans-serif"/>
        <color rgb="FF1155CC"/>
        <sz val="11.0"/>
        <u/>
      </rPr>
      <t>LIM8576 5W40 1L</t>
    </r>
  </si>
  <si>
    <t>HU 816 X (MANN-FILTER)</t>
  </si>
  <si>
    <t>E2978LB-2 (HENGST FILTER)</t>
  </si>
  <si>
    <t>artimojo laidotuvės</t>
  </si>
  <si>
    <t>P 06 040</t>
  </si>
  <si>
    <t>B 318</t>
  </si>
  <si>
    <r>
      <rPr>
        <rFont val="roboto, sans-serif"/>
        <color rgb="FF1155CC"/>
        <sz val="11.0"/>
        <u/>
      </rPr>
      <t>EL905010</t>
    </r>
  </si>
  <si>
    <t>L 318</t>
  </si>
  <si>
    <t>LX 1640</t>
  </si>
  <si>
    <r>
      <rPr>
        <rFont val="roboto, sans-serif"/>
        <color rgb="FF1155CC"/>
        <sz val="11.0"/>
        <u/>
      </rPr>
      <t>8100 X-CLEAN+ 5W30 5L</t>
    </r>
  </si>
  <si>
    <r>
      <rPr>
        <rFont val="roboto, sans-serif"/>
        <color rgb="FF1155CC"/>
        <sz val="11.0"/>
        <u/>
      </rPr>
      <t>8100 X-CLEAN+ 5W30 1L</t>
    </r>
  </si>
  <si>
    <t>https://ckltb2b.claim.cards/Wf3bjGaD9hs72k8D9zwrKhDw/cardInfo?i=conceptAGeneral&amp;l=lt_LT</t>
  </si>
  <si>
    <t>5045076406450192016</t>
  </si>
  <si>
    <t>80 ar bbz kiek ?</t>
  </si>
  <si>
    <t>65eur verte</t>
  </si>
  <si>
    <t>https://ckltb2b.claim.cards/FZngdu9L2ElbxbAwypjOjcXE/cardInfo?i=conceptAGeneral&amp;l=lt_LT</t>
  </si>
  <si>
    <t>michelin</t>
  </si>
  <si>
    <r>
      <rPr>
        <rFont val="roboto, sans-serif"/>
        <color rgb="FF1155CC"/>
        <sz val="11.0"/>
        <u/>
      </rPr>
      <t>W 610/3</t>
    </r>
  </si>
  <si>
    <r>
      <rPr>
        <rFont val="roboto, sans-serif"/>
        <color rgb="FF1155CC"/>
        <sz val="11.0"/>
        <u/>
      </rPr>
      <t>EL523500</t>
    </r>
  </si>
  <si>
    <r>
      <rPr>
        <rFont val="roboto, sans-serif"/>
        <color rgb="FF1155CC"/>
        <sz val="11.0"/>
        <u/>
      </rPr>
      <t>8100 X-CLEAN+ 5W30 5L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</si>
</sst>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-mm-dd"/>
    <numFmt numFmtId="165" formatCode="dd/mm"/>
    <numFmt numFmtId="166" formatCode="hh:mm"/>
    <numFmt numFmtId="167" formatCode="yyyy-mm"/>
    <numFmt numFmtId="168" formatCode="yyyy/mm/dd"/>
    <numFmt numFmtId="169" formatCode="#,##0&quot;€&quot;"/>
    <numFmt numFmtId="170" formatCode="yyyy-m"/>
    <numFmt numFmtId="171" formatCode="d/m"/>
    <numFmt numFmtId="172" formatCode="HH:mm:ss"/>
    <numFmt numFmtId="173" formatCode="[$€]#,##0.00"/>
    <numFmt numFmtId="174" formatCode="0.0"/>
    <numFmt numFmtId="175" formatCode="#,##0.00&quot;€&quot;"/>
    <numFmt numFmtId="176" formatCode="[h]:mm"/>
  </numFmts>
  <fonts count="336">
    <font>
      <sz val="10.0"/>
      <color rgb="FF000000"/>
      <name val="Arial"/>
    </font>
    <font/>
    <font>
      <sz val="9.0"/>
      <color rgb="FF000000"/>
      <name val="Tahoma"/>
    </font>
    <font>
      <sz val="10.0"/>
      <name val="Arial"/>
    </font>
    <font>
      <name val="Arial"/>
    </font>
    <font>
      <b/>
      <sz val="11.0"/>
    </font>
    <font>
      <sz val="10.0"/>
      <color rgb="FF000000"/>
      <name val="Sans-serif"/>
    </font>
    <font>
      <sz val="14.0"/>
    </font>
    <font>
      <b/>
      <sz val="14.0"/>
    </font>
    <font>
      <sz val="11.0"/>
      <color rgb="FF5E5E5E"/>
      <name val="&quot;Google Sans&quot;"/>
    </font>
    <font>
      <b/>
      <sz val="12.0"/>
      <color rgb="FF222222"/>
      <name val="Arial"/>
    </font>
    <font>
      <b/>
      <sz val="11.0"/>
      <color rgb="FF666666"/>
      <name val="Lato"/>
    </font>
    <font>
      <color rgb="FF1F1F1F"/>
      <name val="&quot;Google Sans&quot;"/>
    </font>
    <font>
      <sz val="0.0"/>
      <color rgb="FF222222"/>
      <name val="&quot;Google Sans&quot;"/>
    </font>
    <font>
      <sz val="11.0"/>
      <color rgb="FF000000"/>
      <name val="Calibri"/>
    </font>
    <font>
      <color rgb="FF222222"/>
      <name val="Arial"/>
    </font>
    <font>
      <b/>
      <color rgb="FF1F1F1F"/>
      <name val="&quot;Google Sans&quot;"/>
    </font>
    <font>
      <sz val="12.0"/>
      <color rgb="FF1A1A1A"/>
      <name val="&quot;Proxima Nova&quot;"/>
    </font>
    <font>
      <b/>
      <sz val="11.0"/>
      <color rgb="FF222222"/>
      <name val="Tahoma"/>
    </font>
    <font>
      <b/>
      <sz val="9.0"/>
      <color rgb="FF333333"/>
      <name val="Arial"/>
    </font>
    <font>
      <u/>
      <color rgb="FF0000FF"/>
    </font>
    <font>
      <sz val="11.0"/>
      <color rgb="FF000000"/>
      <name val="Arial"/>
    </font>
    <font>
      <sz val="11.0"/>
      <color rgb="FF000000"/>
      <name val="&quot;avenir next light&quot;"/>
    </font>
    <font>
      <u/>
      <color rgb="FF0000FF"/>
    </font>
    <font>
      <u/>
      <color rgb="FF0000FF"/>
    </font>
    <font>
      <u/>
      <sz val="11.0"/>
      <color rgb="FF333333"/>
      <name val="Roboto"/>
    </font>
    <font>
      <sz val="10.0"/>
      <color rgb="FF1F1F1F"/>
      <name val="Arial"/>
    </font>
    <font>
      <sz val="11.0"/>
      <color rgb="FF333333"/>
      <name val="Inherit"/>
    </font>
    <font>
      <sz val="10.0"/>
      <color rgb="FF333333"/>
      <name val="Arial"/>
    </font>
    <font>
      <sz val="11.0"/>
      <color rgb="FF080809"/>
      <name val="Arial"/>
    </font>
    <font>
      <sz val="10.0"/>
      <color rgb="FF000000"/>
    </font>
    <font>
      <sz val="10.0"/>
      <color rgb="FF000000"/>
      <name val="Inherit"/>
    </font>
    <font>
      <sz val="11.0"/>
      <color rgb="FF222222"/>
      <name val="&quot;Google Sans&quot;"/>
    </font>
    <font>
      <u/>
      <sz val="11.0"/>
      <color rgb="FF333333"/>
      <name val="Roboto"/>
    </font>
    <font>
      <i/>
      <sz val="11.0"/>
      <color rgb="FF3C4043"/>
      <name val="Roboto"/>
    </font>
    <font>
      <sz val="11.0"/>
      <color rgb="FF1F1F1F"/>
      <name val="&quot;Google Sans&quot;"/>
    </font>
    <font>
      <sz val="11.0"/>
      <name val="&quot;Open Sans&quot;"/>
    </font>
    <font>
      <sz val="11.0"/>
      <color rgb="FF000000"/>
      <name val="Inherit"/>
    </font>
    <font>
      <b/>
      <sz val="12.0"/>
    </font>
    <font>
      <sz val="11.0"/>
      <color rgb="FF222222"/>
      <name val="Verdana"/>
    </font>
    <font>
      <color rgb="FF5E5E5E"/>
      <name val="&quot;docs-Google Sans&quot;"/>
    </font>
    <font>
      <u/>
      <sz val="11.0"/>
      <color rgb="FF1F1F1F"/>
      <name val="&quot;Google Sans&quot;"/>
    </font>
    <font>
      <u/>
      <color rgb="FF0000FF"/>
    </font>
    <font>
      <b/>
      <sz val="11.0"/>
      <color rgb="FF1F1F1F"/>
      <name val="&quot;Google Sans&quot;"/>
    </font>
    <font>
      <b/>
      <sz val="9.0"/>
      <color rgb="FF000000"/>
      <name val="Tahoma"/>
    </font>
    <font>
      <sz val="12.0"/>
      <color rgb="FF111827"/>
      <name val="Arial"/>
    </font>
    <font>
      <sz val="11.0"/>
      <color rgb="FF050505"/>
      <name val="&quot;Segoe UI Historic&quot;"/>
    </font>
    <font>
      <sz val="9.0"/>
      <color rgb="FF222222"/>
      <name val="Tahoma"/>
    </font>
    <font>
      <u/>
      <color rgb="FF0000FF"/>
      <name val="Inter"/>
    </font>
    <font>
      <color rgb="FF04172F"/>
      <name val="Inter"/>
    </font>
    <font>
      <sz val="9.0"/>
      <color rgb="FF212529"/>
      <name val="&quot;Open Sans&quot;"/>
    </font>
    <font>
      <sz val="11.0"/>
      <color rgb="FF000000"/>
      <name val="Tahoma"/>
    </font>
    <font>
      <color rgb="FF5E5E5E"/>
      <name val="&quot;Google Sans&quot;"/>
    </font>
    <font>
      <sz val="10.0"/>
      <color rgb="FF222222"/>
      <name val="Arial"/>
    </font>
    <font>
      <u/>
      <sz val="10.0"/>
      <color rgb="FF0000FF"/>
      <name val="Arial"/>
    </font>
    <font>
      <strike/>
      <color rgb="FFFF0000"/>
    </font>
    <font>
      <b/>
      <sz val="11.0"/>
      <color rgb="FF000000"/>
      <name val="&quot;avenir next bold&quot;"/>
    </font>
    <font>
      <name val="Inter"/>
    </font>
    <font>
      <u/>
      <color rgb="FF0000FF"/>
    </font>
    <font>
      <u/>
      <color rgb="FF0000FF"/>
    </font>
    <font>
      <b/>
      <sz val="11.0"/>
      <color rgb="FF4D5157"/>
      <name val="&quot;avenir next bold&quot;"/>
    </font>
    <font>
      <b/>
      <u/>
      <sz val="11.0"/>
      <color rgb="FF1F65B5"/>
      <name val="Arial"/>
    </font>
    <font>
      <b/>
      <u/>
      <sz val="11.0"/>
      <color rgb="FF1F65B5"/>
      <name val="Roboto"/>
    </font>
    <font>
      <sz val="11.0"/>
      <color rgb="FF333333"/>
      <name val="Roboto"/>
    </font>
    <font>
      <b/>
      <sz val="9.0"/>
      <color rgb="FF000000"/>
      <name val="Verdana"/>
    </font>
    <font>
      <sz val="11.0"/>
      <color rgb="FF212529"/>
      <name val="GothamMedium"/>
    </font>
    <font>
      <sz val="9.0"/>
      <name val="Verdana"/>
    </font>
    <font>
      <sz val="11.0"/>
      <color rgb="FF1F1F1F"/>
      <name val="Google Sans"/>
    </font>
    <font>
      <sz val="11.0"/>
      <color rgb="FF333333"/>
      <name val="Arial"/>
    </font>
    <font>
      <sz val="11.0"/>
      <color rgb="FF212529"/>
      <name val="Arial"/>
    </font>
    <font>
      <u/>
      <color rgb="FF0000FF"/>
    </font>
    <font>
      <b/>
      <color rgb="FF222222"/>
      <name val="Arial"/>
    </font>
    <font>
      <sz val="11.0"/>
      <color rgb="FF080809"/>
      <name val="&quot;Segoe UI Historic&quot;"/>
    </font>
    <font>
      <b/>
      <color rgb="FF111827"/>
      <name val="Arial"/>
    </font>
    <font>
      <u/>
      <sz val="11.0"/>
      <color rgb="FF1F1F1F"/>
      <name val="&quot;Google Sans&quot;"/>
    </font>
    <font>
      <b/>
      <color rgb="FF111827"/>
      <name val="Ui-sans-serif"/>
    </font>
    <font>
      <b/>
      <color rgb="FF5E5E5E"/>
      <name val="&quot;Google Sans&quot;"/>
    </font>
    <font>
      <u/>
      <sz val="11.0"/>
      <color rgb="FF333333"/>
      <name val="Roboto"/>
    </font>
    <font>
      <u/>
      <sz val="11.0"/>
      <color rgb="FF333333"/>
      <name val="Roboto"/>
    </font>
    <font>
      <b/>
      <u/>
      <sz val="11.0"/>
      <color rgb="FF000000"/>
      <name val="Roboto"/>
    </font>
    <font>
      <strike/>
      <sz val="11.0"/>
      <color rgb="FF333333"/>
      <name val="Roboto"/>
    </font>
    <font>
      <b/>
      <strike/>
      <sz val="11.0"/>
      <color rgb="FF222222"/>
      <name val="Tahoma"/>
    </font>
    <font>
      <sz val="11.0"/>
      <color rgb="FF222222"/>
      <name val="Arial"/>
    </font>
    <font>
      <sz val="11.0"/>
      <name val="Arial"/>
    </font>
    <font>
      <u/>
      <sz val="11.0"/>
      <color rgb="FF333333"/>
      <name val="Roboto"/>
    </font>
    <font>
      <color rgb="FF000000"/>
    </font>
    <font>
      <u/>
      <sz val="11.0"/>
      <color rgb="FF333333"/>
      <name val="Roboto"/>
    </font>
    <font>
      <b/>
      <u/>
      <sz val="11.0"/>
      <color rgb="FF1F65B5"/>
      <name val="Roboto"/>
    </font>
    <font>
      <sz val="11.0"/>
      <color rgb="FF000000"/>
      <name val="&quot;Google Sans&quot;"/>
    </font>
    <font>
      <u/>
      <color rgb="FF0000FF"/>
    </font>
    <font>
      <strike/>
      <sz val="11.0"/>
      <color rgb="FF000000"/>
      <name val="Arial"/>
    </font>
    <font>
      <b/>
      <sz val="11.0"/>
      <color rgb="FF000000"/>
      <name val="Tahoma"/>
    </font>
    <font>
      <sz val="11.0"/>
      <color rgb="FF333333"/>
      <name val="&quot;Open Sans&quot;"/>
    </font>
    <font>
      <u/>
      <sz val="8.0"/>
      <color rgb="FF7E8694"/>
      <name val="Roboto"/>
    </font>
    <font>
      <sz val="8.0"/>
      <color rgb="FF7E8694"/>
      <name val="Arial"/>
    </font>
    <font>
      <color rgb="FF111827"/>
      <name val="Arial"/>
    </font>
    <font>
      <color rgb="FFFBBC04"/>
      <name val="&quot;Google Sans&quot;"/>
    </font>
    <font>
      <sz val="11.0"/>
      <color rgb="FF3C3A3A"/>
      <name val="Roboto"/>
    </font>
    <font>
      <b/>
      <sz val="11.0"/>
      <color rgb="FF000000"/>
      <name val="Arial"/>
    </font>
    <font>
      <u/>
      <sz val="11.0"/>
      <color rgb="FF080809"/>
      <name val="&quot;Segoe UI Historic&quot;"/>
    </font>
    <font>
      <b/>
      <sz val="12.0"/>
      <color rgb="FF000000"/>
      <name val="Arial"/>
    </font>
    <font>
      <u/>
      <color rgb="FF080809"/>
      <name val="Inherit"/>
    </font>
    <font>
      <sz val="12.0"/>
      <color rgb="FF000000"/>
      <name val="Arial"/>
    </font>
    <font>
      <b/>
      <sz val="12.0"/>
      <color rgb="FF242424"/>
      <name val="Arial"/>
    </font>
    <font>
      <u/>
      <color rgb="FF0000FF"/>
    </font>
    <font>
      <b/>
      <u/>
      <sz val="11.0"/>
      <color rgb="FF1F65B5"/>
      <name val="Roboto"/>
    </font>
    <font>
      <b/>
      <sz val="11.0"/>
      <color rgb="FF1F65B5"/>
      <name val="Arial"/>
    </font>
    <font>
      <u/>
      <sz val="11.0"/>
      <color rgb="FF1155CC"/>
      <name val="Arial"/>
    </font>
    <font>
      <b/>
      <sz val="11.0"/>
      <color rgb="FF1F65B5"/>
      <name val="Roboto"/>
    </font>
    <font>
      <b/>
      <u/>
      <sz val="11.0"/>
      <color rgb="FF1F65B5"/>
      <name val="Arial"/>
    </font>
    <font>
      <sz val="11.0"/>
      <color rgb="FF000000"/>
      <name val="&quot;Helvetica Neue&quot;"/>
    </font>
    <font>
      <sz val="11.0"/>
      <color rgb="FF050505"/>
      <name val="Arial"/>
    </font>
    <font>
      <b/>
      <sz val="11.0"/>
      <color rgb="FF000000"/>
      <name val="Inherit"/>
    </font>
    <font>
      <sz val="14.0"/>
      <color rgb="FF1B396B"/>
      <name val="Roboto"/>
    </font>
    <font>
      <sz val="9.0"/>
      <color rgb="FF000000"/>
      <name val="Inherit"/>
    </font>
    <font>
      <sz val="15.0"/>
      <color rgb="FF000000"/>
      <name val="Inherit"/>
    </font>
    <font>
      <sz val="9.0"/>
      <color rgb="FF808080"/>
      <name val="Verdana"/>
    </font>
    <font>
      <sz val="9.0"/>
      <color rgb="FF333333"/>
      <name val="Verdana"/>
    </font>
    <font>
      <sz val="11.0"/>
      <color rgb="FF555555"/>
      <name val="Roboto"/>
    </font>
    <font>
      <color rgb="FF222222"/>
      <name val="Roboto"/>
    </font>
    <font>
      <b/>
      <sz val="8.0"/>
      <color rgb="FF000000"/>
      <name val="Verdana"/>
    </font>
    <font>
      <sz val="11.0"/>
      <color rgb="FF222222"/>
      <name val="Roboto"/>
    </font>
    <font>
      <sz val="8.0"/>
      <color rgb="FF3D3D3D"/>
      <name val="Verdana"/>
    </font>
    <font>
      <b/>
      <sz val="8.0"/>
      <color rgb="FF808080"/>
      <name val="Verdana"/>
    </font>
    <font>
      <color rgb="FF1C1E21"/>
      <name val="Inherit"/>
    </font>
    <font>
      <b/>
      <sz val="15.0"/>
      <color rgb="FF000000"/>
      <name val="Inherit"/>
    </font>
    <font>
      <sz val="12.0"/>
      <color rgb="FF500050"/>
      <name val="&quot;Times New Roman&quot;"/>
    </font>
    <font>
      <sz val="9.0"/>
      <color rgb="FF212529"/>
      <name val="Arial"/>
    </font>
    <font>
      <sz val="9.0"/>
      <color rgb="FF222222"/>
      <name val="Roboto"/>
    </font>
    <font>
      <b/>
      <color rgb="FF202124"/>
      <name val="Roboto"/>
    </font>
    <font>
      <color rgb="FF05528D"/>
      <name val="Roboto"/>
    </font>
    <font>
      <sz val="12.0"/>
      <color rgb="FF000000"/>
      <name val="Inherit"/>
    </font>
    <font>
      <color rgb="FF000000"/>
      <name val="Roboto"/>
    </font>
    <font>
      <sz val="9.0"/>
      <color rgb="FF1C1E21"/>
      <name val="Arial"/>
    </font>
    <font>
      <sz val="11.0"/>
      <color rgb="FF000000"/>
    </font>
    <font>
      <sz val="11.0"/>
      <color rgb="FF000000"/>
      <name val="Sans-serif"/>
    </font>
    <font>
      <sz val="11.0"/>
      <color rgb="FF3C4043"/>
      <name val="Roboto"/>
    </font>
    <font>
      <sz val="12.0"/>
      <color rgb="FF4D5055"/>
      <name val="Arial"/>
    </font>
    <font>
      <sz val="12.0"/>
      <color rgb="FF000000"/>
      <name val="Helvetica"/>
    </font>
    <font>
      <sz val="12.0"/>
      <color rgb="FF3C4043"/>
      <name val="Arial"/>
    </font>
    <font>
      <sz val="10.0"/>
      <color rgb="FF000000"/>
      <name val="Verdana"/>
    </font>
    <font>
      <u/>
      <sz val="12.0"/>
      <color rgb="FF4D9BD7"/>
      <name val="&quot;Proxima Nova&quot;"/>
    </font>
    <font>
      <b/>
      <color rgb="FF333333"/>
      <name val="Arial"/>
    </font>
    <font>
      <sz val="11.0"/>
      <color rgb="FFFFFFFF"/>
      <name val="&quot;Helvetica Neue&quot;"/>
    </font>
    <font>
      <sz val="12.0"/>
      <color rgb="FF4D5055"/>
      <name val="&quot;Proxima Nova&quot;"/>
    </font>
    <font>
      <color rgb="FF606062"/>
      <name val="Arial"/>
    </font>
    <font>
      <sz val="8.0"/>
      <color rgb="FF000000"/>
      <name val="Verdana"/>
    </font>
    <font>
      <color rgb="FF1C1E21"/>
      <name val="Arial"/>
    </font>
    <font>
      <sz val="9.0"/>
      <color rgb="FF6D6D6D"/>
      <name val="Verdana"/>
    </font>
    <font>
      <u/>
      <color rgb="FF1155CC"/>
    </font>
    <font>
      <color rgb="FF000000"/>
      <name val="Arial"/>
    </font>
    <font>
      <color rgb="FF222222"/>
      <name val="Verdana"/>
    </font>
    <font>
      <sz val="9.0"/>
      <color rgb="FF000000"/>
      <name val="Verdana"/>
    </font>
    <font>
      <b/>
      <color rgb="FFED1B23"/>
      <name val="&quot;Open Sans&quot;"/>
    </font>
    <font>
      <b/>
      <color rgb="FF000000"/>
      <name val="Arial"/>
    </font>
    <font>
      <u/>
      <color rgb="FF000000"/>
      <name val="Tahoma"/>
    </font>
    <font>
      <color rgb="FF000000"/>
      <name val="Tahoma"/>
    </font>
    <font>
      <u/>
      <color rgb="FF000000"/>
      <name val="Arial"/>
    </font>
    <font>
      <color rgb="FF777777"/>
      <name val="Roboto"/>
    </font>
    <font>
      <sz val="10.0"/>
      <color rgb="FF202124"/>
      <name val="&quot;Google Sans&quot;"/>
    </font>
    <font>
      <sz val="11.0"/>
      <color rgb="FF121212"/>
      <name val="Verdana"/>
    </font>
    <font>
      <sz val="11.0"/>
      <color rgb="FF809DAC"/>
      <name val="Arial"/>
    </font>
    <font>
      <b/>
      <u/>
      <sz val="11.0"/>
      <color rgb="FF1075B3"/>
      <name val="Sans-serif"/>
    </font>
    <font>
      <sz val="9.0"/>
      <color rgb="FF333333"/>
      <name val="Roboto"/>
    </font>
    <font>
      <sz val="11.0"/>
      <color rgb="FF1C1E21"/>
      <name val="Inherit"/>
    </font>
    <font>
      <color rgb="FF3A4F59"/>
      <name val="Arial"/>
    </font>
    <font>
      <u/>
      <sz val="11.0"/>
      <color rgb="FF1A73E8"/>
      <name val="Roboto"/>
    </font>
    <font>
      <sz val="17.0"/>
      <color rgb="FF202124"/>
      <name val="&quot;Google Sans&quot;"/>
    </font>
    <font>
      <sz val="11.0"/>
      <color rgb="FF1A73E8"/>
      <name val="Roboto"/>
    </font>
    <font>
      <u/>
      <color rgb="FF222222"/>
      <name val="Arial"/>
    </font>
    <font>
      <u/>
      <sz val="11.0"/>
      <color rgb="FF000000"/>
      <name val="Arial"/>
    </font>
    <font>
      <color rgb="FF555454"/>
      <name val="Arial"/>
    </font>
    <font>
      <u/>
      <color rgb="FF1155CC"/>
      <name val="Arial"/>
    </font>
    <font>
      <color rgb="FF555555"/>
      <name val="Roboto"/>
    </font>
    <font>
      <sz val="10.0"/>
      <color rgb="FF323232"/>
      <name val="Arial"/>
    </font>
    <font>
      <sz val="9.0"/>
      <color rgb="FF000000"/>
      <name val="Montserrat"/>
    </font>
    <font>
      <u/>
      <color rgb="FF1155CC"/>
      <name val="Arial"/>
    </font>
    <font>
      <color rgb="FF555555"/>
      <name val="Arial"/>
    </font>
    <font>
      <color rgb="FF500050"/>
      <name val="Arial"/>
    </font>
    <font>
      <b/>
      <sz val="9.0"/>
      <color rgb="FF6D6D6D"/>
      <name val="Verdana"/>
    </font>
    <font>
      <u/>
    </font>
    <font>
      <sz val="8.0"/>
      <color rgb="FFAAAAAA"/>
      <name val="&quot;PT Sans&quot;"/>
    </font>
    <font>
      <b/>
      <color rgb="FF555555"/>
      <name val="Roboto"/>
    </font>
    <font>
      <sz val="11.0"/>
      <color rgb="FF222222"/>
      <name val="&quot;Segoe UI&quot;"/>
    </font>
    <font>
      <u/>
      <color rgb="FF000000"/>
    </font>
    <font>
      <sz val="11.0"/>
      <color rgb="FF333333"/>
      <name val="Ubuntu"/>
    </font>
    <font>
      <b/>
      <color rgb="FF151515"/>
      <name val="Graphik"/>
    </font>
    <font>
      <b/>
      <sz val="11.0"/>
      <color rgb="FF000000"/>
      <name val="&quot;SEB Sans Serif&quot;"/>
    </font>
    <font>
      <sz val="11.0"/>
      <color rgb="FF1F65B5"/>
      <name val="Arial"/>
    </font>
    <font>
      <b/>
      <color rgb="FF000000"/>
      <name val="&quot;Open Sans&quot;"/>
    </font>
    <font>
      <sz val="11.0"/>
      <color rgb="FF1F497D"/>
      <name val="Calibri"/>
    </font>
    <font>
      <sz val="11.0"/>
      <color rgb="FF15457B"/>
      <name val="Arial"/>
    </font>
    <font>
      <sz val="9.0"/>
      <color rgb="FF1F65B5"/>
      <name val="Arial"/>
    </font>
    <font>
      <sz val="9.0"/>
      <color rgb="FF15457B"/>
      <name val="Arial"/>
    </font>
    <font>
      <sz val="11.0"/>
      <color rgb="FF000000"/>
      <name val="&quot;Noto Sans&quot;"/>
    </font>
    <font>
      <color rgb="FF212529"/>
      <name val="Roboto"/>
    </font>
    <font>
      <sz val="11.0"/>
      <color rgb="FF000000"/>
      <name val="Roboto"/>
    </font>
    <font>
      <b/>
      <sz val="8.0"/>
      <color rgb="FF1B6EAE"/>
      <name val="&quot;Noto Sans&quot;"/>
    </font>
    <font>
      <u/>
      <sz val="9.0"/>
      <color rgb="FF6D6D6D"/>
      <name val="Verdana"/>
    </font>
    <font>
      <sz val="11.0"/>
      <color rgb="FF333333"/>
      <name val="&quot;helvetica neue&quot;"/>
    </font>
    <font>
      <sz val="13.0"/>
      <name val="Arial"/>
    </font>
    <font>
      <sz val="12.0"/>
      <color rgb="FF4D9BD7"/>
      <name val="&quot;Proxima Nova&quot;"/>
    </font>
    <font>
      <color rgb="FF1155CC"/>
      <name val="Arial"/>
    </font>
    <font>
      <b/>
      <u/>
      <color rgb="FF112F61"/>
      <name val="Verdana"/>
    </font>
    <font>
      <sz val="11.0"/>
      <color rgb="FF1C1E21"/>
      <name val="Arial"/>
    </font>
    <font>
      <name val="Inherit"/>
    </font>
    <font>
      <sz val="11.0"/>
      <color rgb="FF212529"/>
      <name val="Roboto"/>
    </font>
    <font>
      <color rgb="FF112F61"/>
    </font>
    <font>
      <sz val="11.0"/>
      <color rgb="FF7E7E7E"/>
      <name val="Calibri"/>
    </font>
    <font>
      <color rgb="FF65676B"/>
      <name val="Arial"/>
    </font>
    <font>
      <b/>
      <sz val="12.0"/>
      <color rgb="FF1B6EAE"/>
      <name val="&quot;Noto Sans&quot;"/>
    </font>
    <font>
      <b/>
      <sz val="8.0"/>
      <color rgb="FF00468E"/>
      <name val="Verdana"/>
    </font>
    <font>
      <sz val="11.0"/>
      <color rgb="FF15457B"/>
      <name val="Roboto"/>
    </font>
    <font>
      <color rgb="FF151515"/>
      <name val="Arial"/>
    </font>
    <font>
      <name val="Roboto"/>
    </font>
    <font>
      <b/>
      <sz val="11.0"/>
      <color rgb="FF666666"/>
      <name val="Arial"/>
    </font>
    <font>
      <sz val="9.0"/>
      <color rgb="FF7E8694"/>
      <name val="Inherit"/>
    </font>
    <font>
      <color rgb="FF050505"/>
    </font>
    <font>
      <sz val="11.0"/>
      <color rgb="FF1C1E21"/>
      <name val="&quot;Segoe UI Historic&quot;"/>
    </font>
    <font>
      <color rgb="FF5E5E5E"/>
      <name val="Arial"/>
    </font>
    <font>
      <sz val="11.0"/>
      <color rgb="FF5E5E5E"/>
      <name val="Arial"/>
    </font>
    <font>
      <sz val="9.0"/>
      <color rgb="FF222222"/>
      <name val="&quot;Google Sans&quot;"/>
    </font>
    <font>
      <sz val="12.0"/>
      <name val="Montserrat"/>
    </font>
    <font>
      <color rgb="FF222222"/>
      <name val="Barlow"/>
    </font>
    <font>
      <sz val="11.0"/>
      <name val="Roboto"/>
    </font>
    <font>
      <u/>
      <sz val="11.0"/>
      <color rgb="FF3C4043"/>
      <name val="Roboto"/>
    </font>
    <font>
      <u/>
      <sz val="12.0"/>
      <color rgb="FF4D9BD7"/>
      <name val="&quot;Proxima Nova&quot;"/>
    </font>
    <font>
      <sz val="11.0"/>
      <color rgb="FF666666"/>
      <name val="Arial"/>
    </font>
    <font>
      <sz val="11.0"/>
      <color rgb="FF222222"/>
      <name val="Calibri"/>
    </font>
    <font>
      <sz val="11.0"/>
      <color rgb="FFFFFFFF"/>
      <name val="Arial"/>
    </font>
    <font>
      <u/>
      <sz val="11.0"/>
      <color rgb="FF0000FF"/>
      <name val="Roboto"/>
    </font>
    <font>
      <sz val="9.0"/>
      <color rgb="FF222222"/>
      <name val="Verdana"/>
    </font>
    <font>
      <color rgb="FF888888"/>
      <name val="Arial"/>
    </font>
    <font>
      <color rgb="FF5E5E5E"/>
      <name val="Google Sans"/>
    </font>
    <font>
      <u/>
      <color rgb="FF0000FF"/>
      <name val="Arial"/>
    </font>
    <font>
      <b/>
      <color rgb="FF232323"/>
      <name val="Manrope"/>
    </font>
    <font>
      <color rgb="FF888888"/>
    </font>
    <font>
      <sz val="12.0"/>
      <color rgb="FF232323"/>
      <name val="Manrope"/>
    </font>
    <font>
      <color rgb="FF050505"/>
      <name val="Arial"/>
    </font>
    <font>
      <sz val="7.0"/>
      <color rgb="FF444444"/>
      <name val="Roboto"/>
    </font>
    <font>
      <sz val="9.0"/>
      <color rgb="FF721C24"/>
      <name val="Tahoma"/>
    </font>
    <font>
      <sz val="9.0"/>
      <color rgb="FF000000"/>
      <name val="Calibri"/>
    </font>
    <font>
      <u/>
      <color rgb="FF04172F"/>
      <name val="Inter"/>
    </font>
    <font>
      <u/>
      <color rgb="FF5E5E5E"/>
      <name val="&quot;Google Sans&quot;"/>
    </font>
    <font>
      <sz val="9.0"/>
      <color rgb="FF000000"/>
      <name val="Arial"/>
    </font>
    <font>
      <sz val="9.0"/>
      <color rgb="FF000000"/>
      <name val="&quot;VW Text Office&quot;"/>
    </font>
    <font>
      <b/>
    </font>
    <font>
      <b/>
      <sz val="12.0"/>
      <color rgb="FF666666"/>
      <name val="Arial"/>
    </font>
    <font>
      <color rgb="FF444444"/>
      <name val="Tahoma"/>
    </font>
    <font>
      <sz val="11.0"/>
      <color rgb="FFFFFFFF"/>
      <name val="&quot;Segoe UI Historic&quot;"/>
    </font>
    <font>
      <sz val="11.0"/>
      <color rgb="FF3C4043"/>
      <name val="Docs-Roboto"/>
    </font>
    <font>
      <u/>
      <sz val="11.0"/>
      <color rgb="FF1A73E8"/>
      <name val="Roboto"/>
    </font>
    <font>
      <color rgb="FF131313"/>
      <name val="Arial"/>
    </font>
    <font>
      <sz val="11.0"/>
      <color rgb="FF222222"/>
      <name val="Tahoma"/>
    </font>
    <font>
      <color rgb="FF444444"/>
      <name val="Roboto"/>
    </font>
    <font>
      <sz val="9.0"/>
      <color rgb="FF0F243E"/>
      <name val="Arial"/>
    </font>
    <font>
      <sz val="11.0"/>
      <color rgb="FF500050"/>
      <name val="Arial"/>
    </font>
    <font>
      <sz val="12.0"/>
      <color rgb="FF1A1A1A"/>
      <name val="Proxima Nova"/>
    </font>
    <font>
      <sz val="11.0"/>
      <color rgb="FF333333"/>
    </font>
    <font>
      <b/>
      <sz val="11.0"/>
      <color rgb="FF222222"/>
    </font>
    <font>
      <sz val="9.0"/>
      <color rgb="FF1F1F1F"/>
    </font>
    <font>
      <sz val="11.0"/>
      <color rgb="FF222222"/>
    </font>
    <font>
      <sz val="11.0"/>
      <color rgb="FF000000"/>
      <name val="&quot;SEB Sans Serif&quot;"/>
    </font>
    <font>
      <u/>
      <sz val="9.0"/>
      <color rgb="FF1F65B5"/>
    </font>
    <font>
      <u/>
      <sz val="9.0"/>
      <color rgb="FF15457B"/>
    </font>
    <font>
      <b/>
      <color rgb="FF222222"/>
      <name val="&quot;Segoe UI&quot;"/>
    </font>
    <font>
      <b/>
      <sz val="9.0"/>
      <color rgb="FF000000"/>
      <name val="Docs-Tahoma"/>
    </font>
    <font>
      <color rgb="FF313131"/>
      <name val="Verdana"/>
    </font>
    <font>
      <u/>
      <color rgb="FF1155CC"/>
      <name val="Arial"/>
    </font>
    <font>
      <u/>
      <sz val="12.0"/>
      <color rgb="FF0069FF"/>
      <name val="&quot;Proxima Nova&quot;"/>
    </font>
    <font>
      <sz val="12.0"/>
      <color rgb="FF0069FF"/>
      <name val="&quot;Proxima Nova&quot;"/>
    </font>
    <font>
      <u/>
      <color rgb="FF04172F"/>
      <name val="Inter"/>
    </font>
    <font>
      <sz val="12.0"/>
      <color rgb="FF212529"/>
      <name val="Roboto"/>
    </font>
    <font>
      <b/>
      <sz val="11.0"/>
      <color rgb="FF222222"/>
      <name val="Arial"/>
    </font>
    <font>
      <sz val="11.0"/>
      <color rgb="FF721C24"/>
      <name val="Tahoma"/>
    </font>
    <font>
      <sz val="12.0"/>
      <color rgb="FF222222"/>
      <name val="Arial"/>
    </font>
    <font>
      <sz val="12.0"/>
      <color rgb="FF111827"/>
      <name val="Ui-sans-serif"/>
    </font>
    <font>
      <u/>
      <sz val="11.0"/>
      <color rgb="FF3C4043"/>
      <name val="Roboto"/>
    </font>
    <font>
      <u/>
      <sz val="11.0"/>
      <color rgb="FF0000FF"/>
      <name val="Arial"/>
    </font>
    <font>
      <b/>
      <sz val="10.0"/>
      <color rgb="FF333333"/>
      <name val="Arial"/>
    </font>
    <font>
      <sz val="11.0"/>
      <color rgb="FF666666"/>
      <name val="Lato"/>
    </font>
    <font>
      <b/>
      <name val="Arial"/>
    </font>
    <font>
      <u/>
      <sz val="9.0"/>
      <color rgb="FF5F5F5F"/>
      <name val="Arial"/>
    </font>
    <font>
      <sz val="9.0"/>
      <color rgb="FF5F5F5F"/>
      <name val="Arial"/>
    </font>
    <font>
      <sz val="8.0"/>
      <color rgb="FF5F5F5F"/>
      <name val="Arial"/>
    </font>
    <font>
      <color rgb="FF222222"/>
      <name val="&quot;Google Sans&quot;"/>
    </font>
    <font>
      <u/>
      <sz val="11.0"/>
      <color rgb="FF4285F4"/>
      <name val="Roboto"/>
    </font>
    <font>
      <sz val="11.0"/>
      <color rgb="FF666A73"/>
      <name val="&quot;Proxima Nova&quot;"/>
    </font>
    <font>
      <sz val="11.0"/>
      <color rgb="FF212121"/>
      <name val="Roboto"/>
    </font>
    <font>
      <sz val="10.0"/>
      <color rgb="FF3C4043"/>
      <name val="Arial"/>
    </font>
    <font>
      <sz val="10.0"/>
    </font>
    <font>
      <sz val="9.0"/>
      <color rgb="FF1F1F1F"/>
      <name val="&quot;Google Sans&quot;"/>
    </font>
    <font>
      <sz val="11.0"/>
      <color rgb="FF3C4043"/>
      <name val="Arial"/>
    </font>
    <font>
      <sz val="11.0"/>
      <color rgb="FF1F1F1F"/>
      <name val="Arial"/>
    </font>
    <font>
      <sz val="10.0"/>
      <color rgb="FF1F1F1F"/>
      <name val="&quot;Google Sans&quot;"/>
    </font>
    <font>
      <sz val="10.0"/>
      <color rgb="FF444746"/>
      <name val="Arial"/>
    </font>
    <font>
      <u/>
    </font>
    <font>
      <u/>
      <sz val="11.0"/>
      <color rgb="FF0000FF"/>
    </font>
    <font>
      <u/>
      <sz val="11.0"/>
      <color rgb="FF1155CC"/>
    </font>
    <font>
      <u/>
      <color rgb="FF000000"/>
    </font>
    <font>
      <b/>
      <sz val="13.0"/>
    </font>
    <font>
      <sz val="14.0"/>
      <color rgb="FF353B42"/>
      <name val="LidlFontPro"/>
    </font>
    <font>
      <b/>
      <sz val="15.0"/>
      <color rgb="FF000000"/>
      <name val="Robotto"/>
    </font>
    <font>
      <b/>
      <sz val="11.0"/>
      <color rgb="FF000000"/>
      <name val="Robotto"/>
    </font>
    <font>
      <sz val="11.0"/>
      <color rgb="FF000000"/>
      <name val="Robotto"/>
    </font>
    <font>
      <sz val="9.0"/>
      <color rgb="FF000000"/>
      <name val="Robotto"/>
    </font>
    <font>
      <strike/>
    </font>
    <font>
      <sz val="17.0"/>
      <color rgb="FF1F1F1F"/>
      <name val="&quot;Google Sans&quot;"/>
    </font>
    <font>
      <b/>
      <sz val="14.0"/>
      <color rgb="FFFF0000"/>
    </font>
    <font>
      <u/>
      <color rgb="FF0000FF"/>
    </font>
    <font>
      <sz val="11.0"/>
      <color rgb="FF000000"/>
      <name val="&quot;Proxima Nova&quot;"/>
    </font>
    <font>
      <b/>
      <sz val="15.0"/>
    </font>
    <font>
      <b/>
      <color rgb="FFFF0000"/>
    </font>
    <font>
      <color rgb="FFFF0000"/>
    </font>
    <font>
      <u/>
      <sz val="11.0"/>
      <color rgb="FF0000FF"/>
      <name val="Arial"/>
    </font>
    <font>
      <b/>
      <u/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name val="Arial"/>
    </font>
    <font>
      <b/>
      <sz val="10.0"/>
      <color rgb="FF000000"/>
      <name val="Arial"/>
    </font>
    <font>
      <b/>
      <color rgb="FF000000"/>
    </font>
    <font>
      <u/>
      <sz val="11.0"/>
      <color rgb="FF333333"/>
      <name val="Roboto"/>
    </font>
    <font>
      <sz val="9.0"/>
    </font>
    <font>
      <u/>
      <sz val="11.0"/>
      <color rgb="FF1155CC"/>
      <name val="Roboto"/>
    </font>
    <font>
      <b/>
      <i/>
      <sz val="10.0"/>
      <color rgb="FF000000"/>
    </font>
    <font>
      <u/>
      <sz val="9.0"/>
      <color rgb="FF333333"/>
      <name val="Roboto"/>
    </font>
    <font>
      <u/>
      <sz val="11.0"/>
      <color rgb="FF333333"/>
      <name val="Roboto"/>
    </font>
    <font>
      <sz val="8.0"/>
      <color rgb="FF000000"/>
    </font>
    <font>
      <u/>
      <sz val="11.0"/>
      <color rgb="FF000000"/>
      <name val="Roboto"/>
    </font>
    <font>
      <u/>
      <sz val="11.0"/>
      <color rgb="FF3C78D8"/>
      <name val="Roboto"/>
    </font>
    <font>
      <b/>
      <sz val="11.0"/>
      <color rgb="FF3C78D8"/>
      <name val="Tahoma"/>
    </font>
    <font>
      <u/>
      <sz val="11.0"/>
      <color rgb="FF333333"/>
      <name val="Roboto"/>
    </font>
    <font>
      <sz val="8.0"/>
    </font>
    <font>
      <color rgb="FF00FF00"/>
    </font>
    <font>
      <u/>
      <sz val="11.0"/>
      <color rgb="FF333333"/>
      <name val="Roboto"/>
    </font>
  </fonts>
  <fills count="4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BE8"/>
        <bgColor rgb="FFFFFBE8"/>
      </patternFill>
    </fill>
    <fill>
      <patternFill patternType="solid">
        <fgColor rgb="FFC9DAF8"/>
        <bgColor rgb="FFC9DAF8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FCFCFD"/>
        <bgColor rgb="FFFCFCFD"/>
      </patternFill>
    </fill>
    <fill>
      <patternFill patternType="solid">
        <fgColor rgb="FFFFF7D1"/>
        <bgColor rgb="FFFFF7D1"/>
      </patternFill>
    </fill>
    <fill>
      <patternFill patternType="solid">
        <fgColor rgb="FFF0F0F0"/>
        <bgColor rgb="FFF0F0F0"/>
      </patternFill>
    </fill>
    <fill>
      <patternFill patternType="solid">
        <fgColor rgb="FFEBFAEB"/>
        <bgColor rgb="FFEBFAEB"/>
      </patternFill>
    </fill>
    <fill>
      <patternFill patternType="solid">
        <fgColor rgb="FFD6F5D6"/>
        <bgColor rgb="FFD6F5D6"/>
      </patternFill>
    </fill>
    <fill>
      <patternFill patternType="solid">
        <fgColor rgb="FFF0F4F9"/>
        <bgColor rgb="FFF0F4F9"/>
      </patternFill>
    </fill>
    <fill>
      <patternFill patternType="solid">
        <fgColor rgb="FFF8F8FA"/>
        <bgColor rgb="FFF8F8FA"/>
      </patternFill>
    </fill>
    <fill>
      <patternFill patternType="solid">
        <fgColor rgb="FFFFF2F4"/>
        <bgColor rgb="FFFFF2F4"/>
      </patternFill>
    </fill>
    <fill>
      <patternFill patternType="solid">
        <fgColor rgb="FFF9CB9C"/>
        <bgColor rgb="FFF9CB9C"/>
      </patternFill>
    </fill>
    <fill>
      <patternFill patternType="solid">
        <fgColor rgb="FFFEFEFE"/>
        <bgColor rgb="FFFEFEFE"/>
      </patternFill>
    </fill>
    <fill>
      <patternFill patternType="solid">
        <fgColor rgb="FFFAFAFA"/>
        <bgColor rgb="FFFAFAFA"/>
      </patternFill>
    </fill>
    <fill>
      <patternFill patternType="solid">
        <fgColor rgb="FFF0F2F5"/>
        <bgColor rgb="FFF0F2F5"/>
      </patternFill>
    </fill>
    <fill>
      <patternFill patternType="solid">
        <fgColor rgb="FF9FC5E8"/>
        <bgColor rgb="FF9FC5E8"/>
      </patternFill>
    </fill>
    <fill>
      <patternFill patternType="solid">
        <fgColor rgb="FFE4E6EB"/>
        <bgColor rgb="FFE4E6EB"/>
      </patternFill>
    </fill>
    <fill>
      <patternFill patternType="solid">
        <fgColor rgb="FFF8F8F8"/>
        <bgColor rgb="FFF8F8F8"/>
      </patternFill>
    </fill>
    <fill>
      <patternFill patternType="solid">
        <fgColor rgb="FFDBDBDB"/>
        <bgColor rgb="FFDBDBDB"/>
      </patternFill>
    </fill>
    <fill>
      <patternFill patternType="solid">
        <fgColor rgb="FF93C47D"/>
        <bgColor rgb="FF93C47D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FE4E8"/>
        <bgColor rgb="FFFFE4E8"/>
      </patternFill>
    </fill>
    <fill>
      <patternFill patternType="solid">
        <fgColor rgb="FFF6F6F6"/>
        <bgColor rgb="FFF6F6F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DDDDDD"/>
      </top>
    </border>
    <border>
      <left style="thin">
        <color rgb="FFD8D8D8"/>
      </left>
      <right style="thin">
        <color rgb="FFD8D8D8"/>
      </right>
      <top style="thin">
        <color rgb="FFD8D8D8"/>
      </top>
    </border>
    <border>
      <top style="thin">
        <color rgb="FFE0E0E0"/>
      </top>
      <bottom style="thin">
        <color rgb="FFE0E0E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hair">
        <color rgb="FF777777"/>
      </left>
      <right style="hair">
        <color rgb="FF777777"/>
      </right>
      <top style="hair">
        <color rgb="FF777777"/>
      </top>
      <bottom style="hair">
        <color rgb="FF777777"/>
      </bottom>
    </border>
    <border>
      <top style="thin">
        <color rgb="FFE0E0E0"/>
      </top>
    </border>
    <border>
      <top style="thin">
        <color rgb="FFDEE2E6"/>
      </top>
    </border>
    <border>
      <top style="thin">
        <color rgb="FFDEE2E6"/>
      </top>
      <bottom style="thin">
        <color rgb="FFECECEC"/>
      </bottom>
    </border>
    <border>
      <right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4" xfId="0" applyFont="1" applyNumberFormat="1"/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3" fontId="1" numFmtId="0" xfId="0" applyFont="1"/>
    <xf borderId="0" fillId="3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3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vertical="bottom"/>
    </xf>
    <xf borderId="0" fillId="4" fontId="1" numFmtId="0" xfId="0" applyFont="1"/>
    <xf borderId="0" fillId="3" fontId="5" numFmtId="0" xfId="0" applyAlignment="1" applyFont="1">
      <alignment readingOrder="0"/>
    </xf>
    <xf borderId="0" fillId="5" fontId="1" numFmtId="0" xfId="0" applyFill="1" applyFont="1"/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readingOrder="0"/>
    </xf>
    <xf borderId="0" fillId="3" fontId="1" numFmtId="0" xfId="0" applyAlignment="1" applyFont="1">
      <alignment horizontal="left" readingOrder="0"/>
    </xf>
    <xf borderId="0" fillId="3" fontId="6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0" fillId="3" fontId="4" numFmtId="0" xfId="0" applyAlignment="1" applyFont="1">
      <alignment vertical="bottom"/>
    </xf>
    <xf borderId="1" fillId="7" fontId="7" numFmtId="0" xfId="0" applyAlignment="1" applyBorder="1" applyFill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9" numFmtId="0" xfId="0" applyAlignment="1" applyFont="1">
      <alignment readingOrder="0" vertical="top"/>
    </xf>
    <xf borderId="0" fillId="8" fontId="4" numFmtId="0" xfId="0" applyAlignment="1" applyFont="1">
      <alignment readingOrder="0" vertical="bottom"/>
    </xf>
    <xf borderId="0" fillId="3" fontId="10" numFmtId="0" xfId="0" applyAlignment="1" applyFont="1">
      <alignment readingOrder="0"/>
    </xf>
    <xf borderId="0" fillId="8" fontId="2" numFmtId="0" xfId="0" applyAlignment="1" applyFont="1">
      <alignment readingOrder="0" shrinkToFit="0" vertical="bottom" wrapText="0"/>
    </xf>
    <xf borderId="0" fillId="3" fontId="10" numFmtId="0" xfId="0" applyFont="1"/>
    <xf borderId="0" fillId="8" fontId="1" numFmtId="0" xfId="0" applyFont="1"/>
    <xf borderId="0" fillId="3" fontId="4" numFmtId="0" xfId="0" applyAlignment="1" applyFont="1">
      <alignment readingOrder="0" vertical="bottom"/>
    </xf>
    <xf borderId="0" fillId="8" fontId="1" numFmtId="0" xfId="0" applyAlignment="1" applyFont="1">
      <alignment horizontal="left" readingOrder="0"/>
    </xf>
    <xf borderId="0" fillId="8" fontId="1" numFmtId="0" xfId="0" applyFont="1"/>
    <xf borderId="0" fillId="3" fontId="11" numFmtId="0" xfId="0" applyAlignment="1" applyFont="1">
      <alignment horizontal="left" readingOrder="0" vertical="top"/>
    </xf>
    <xf borderId="0" fillId="8" fontId="4" numFmtId="0" xfId="0" applyAlignment="1" applyFont="1">
      <alignment vertical="bottom"/>
    </xf>
    <xf borderId="0" fillId="3" fontId="1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8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8" fontId="15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8" fontId="14" numFmtId="0" xfId="0" applyAlignment="1" applyFont="1">
      <alignment readingOrder="0" shrinkToFit="0" vertical="bottom" wrapText="0"/>
    </xf>
    <xf borderId="0" fillId="8" fontId="15" numFmtId="0" xfId="0" applyAlignment="1" applyFont="1">
      <alignment readingOrder="0" vertical="bottom"/>
    </xf>
    <xf borderId="0" fillId="8" fontId="15" numFmtId="0" xfId="0" applyAlignment="1" applyFont="1">
      <alignment readingOrder="0"/>
    </xf>
    <xf borderId="0" fillId="8" fontId="16" numFmtId="0" xfId="0" applyAlignment="1" applyFont="1">
      <alignment horizontal="left" readingOrder="0" shrinkToFit="0" vertical="top" wrapText="0"/>
    </xf>
    <xf borderId="0" fillId="8" fontId="17" numFmtId="0" xfId="0" applyAlignment="1" applyFont="1">
      <alignment readingOrder="0"/>
    </xf>
    <xf borderId="0" fillId="9" fontId="18" numFmtId="0" xfId="0" applyAlignment="1" applyFill="1" applyFont="1">
      <alignment horizontal="left" readingOrder="0"/>
    </xf>
    <xf borderId="0" fillId="3" fontId="18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8" fontId="1" numFmtId="164" xfId="0" applyAlignment="1" applyFont="1" applyNumberFormat="1">
      <alignment readingOrder="0"/>
    </xf>
    <xf borderId="0" fillId="8" fontId="19" numFmtId="0" xfId="0" applyAlignment="1" applyFont="1">
      <alignment horizontal="left" readingOrder="0"/>
    </xf>
    <xf borderId="0" fillId="8" fontId="1" numFmtId="0" xfId="0" applyAlignment="1" applyFont="1">
      <alignment horizontal="left"/>
    </xf>
    <xf borderId="0" fillId="8" fontId="1" numFmtId="0" xfId="0" applyAlignment="1" applyFont="1">
      <alignment horizontal="left"/>
    </xf>
    <xf borderId="0" fillId="8" fontId="9" numFmtId="0" xfId="0" applyAlignment="1" applyFont="1">
      <alignment horizontal="left" readingOrder="0" vertical="top"/>
    </xf>
    <xf borderId="0" fillId="3" fontId="2" numFmtId="0" xfId="0" applyAlignment="1" applyFont="1">
      <alignment horizontal="left" readingOrder="0" shrinkToFit="0" vertical="bottom" wrapText="0"/>
    </xf>
    <xf borderId="0" fillId="8" fontId="20" numFmtId="0" xfId="0" applyAlignment="1" applyFont="1">
      <alignment horizontal="left" readingOrder="0"/>
    </xf>
    <xf borderId="0" fillId="8" fontId="1" numFmtId="0" xfId="0" applyAlignment="1" applyFont="1">
      <alignment horizontal="left"/>
    </xf>
    <xf borderId="2" fillId="8" fontId="21" numFmtId="0" xfId="0" applyAlignment="1" applyBorder="1" applyFont="1">
      <alignment horizontal="left" readingOrder="0"/>
    </xf>
    <xf borderId="0" fillId="8" fontId="22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10" fontId="25" numFmtId="0" xfId="0" applyAlignment="1" applyFill="1" applyFont="1">
      <alignment horizontal="left" readingOrder="0"/>
    </xf>
    <xf borderId="0" fillId="8" fontId="26" numFmtId="0" xfId="0" applyAlignment="1" applyFont="1">
      <alignment horizontal="left" readingOrder="0"/>
    </xf>
    <xf borderId="0" fillId="8" fontId="27" numFmtId="0" xfId="0" applyAlignment="1" applyFont="1">
      <alignment horizontal="left" readingOrder="0"/>
    </xf>
    <xf borderId="0" fillId="8" fontId="1" numFmtId="0" xfId="0" applyAlignment="1" applyFont="1">
      <alignment horizontal="left" readingOrder="0"/>
    </xf>
    <xf borderId="0" fillId="8" fontId="28" numFmtId="0" xfId="0" applyAlignment="1" applyFont="1">
      <alignment horizontal="left" readingOrder="0"/>
    </xf>
    <xf borderId="3" fillId="8" fontId="3" numFmtId="0" xfId="0" applyAlignment="1" applyBorder="1" applyFont="1">
      <alignment horizontal="left" readingOrder="0" vertical="top"/>
    </xf>
    <xf borderId="0" fillId="8" fontId="29" numFmtId="0" xfId="0" applyAlignment="1" applyFont="1">
      <alignment readingOrder="0"/>
    </xf>
    <xf borderId="0" fillId="6" fontId="1" numFmtId="0" xfId="0" applyFont="1"/>
    <xf borderId="0" fillId="8" fontId="1" numFmtId="0" xfId="0" applyAlignment="1" applyFont="1">
      <alignment readingOrder="0"/>
    </xf>
    <xf borderId="0" fillId="8" fontId="18" numFmtId="0" xfId="0" applyAlignment="1" applyFont="1">
      <alignment horizontal="left" readingOrder="0"/>
    </xf>
    <xf borderId="0" fillId="0" fontId="1" numFmtId="166" xfId="0" applyFont="1" applyNumberFormat="1"/>
    <xf borderId="0" fillId="0" fontId="30" numFmtId="0" xfId="0" applyAlignment="1" applyFont="1">
      <alignment readingOrder="0"/>
    </xf>
    <xf borderId="0" fillId="3" fontId="31" numFmtId="0" xfId="0" applyAlignment="1" applyFont="1">
      <alignment horizontal="left" readingOrder="0"/>
    </xf>
    <xf borderId="0" fillId="8" fontId="1" numFmtId="0" xfId="0" applyAlignment="1" applyFont="1">
      <alignment readingOrder="0"/>
    </xf>
    <xf borderId="0" fillId="8" fontId="32" numFmtId="0" xfId="0" applyAlignment="1" applyFont="1">
      <alignment readingOrder="0"/>
    </xf>
    <xf borderId="0" fillId="8" fontId="33" numFmtId="0" xfId="0" applyAlignment="1" applyFont="1">
      <alignment horizontal="left" readingOrder="0"/>
    </xf>
    <xf borderId="0" fillId="8" fontId="34" numFmtId="0" xfId="0" applyAlignment="1" applyFont="1">
      <alignment readingOrder="0"/>
    </xf>
    <xf borderId="0" fillId="8" fontId="35" numFmtId="0" xfId="0" applyAlignment="1" applyFont="1">
      <alignment readingOrder="0"/>
    </xf>
    <xf borderId="0" fillId="8" fontId="36" numFmtId="0" xfId="0" applyAlignment="1" applyFont="1">
      <alignment readingOrder="0" vertical="top"/>
    </xf>
    <xf borderId="3" fillId="8" fontId="36" numFmtId="0" xfId="0" applyAlignment="1" applyBorder="1" applyFont="1">
      <alignment readingOrder="0" vertical="top"/>
    </xf>
    <xf borderId="0" fillId="8" fontId="21" numFmtId="0" xfId="0" applyAlignment="1" applyFont="1">
      <alignment horizontal="left" readingOrder="0"/>
    </xf>
    <xf borderId="0" fillId="8" fontId="37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0" fillId="0" fontId="38" numFmtId="0" xfId="0" applyAlignment="1" applyFont="1">
      <alignment readingOrder="0"/>
    </xf>
    <xf borderId="0" fillId="8" fontId="1" numFmtId="0" xfId="0" applyFont="1"/>
    <xf borderId="0" fillId="3" fontId="39" numFmtId="0" xfId="0" applyAlignment="1" applyFont="1">
      <alignment readingOrder="0"/>
    </xf>
    <xf borderId="0" fillId="8" fontId="27" numFmtId="0" xfId="0" applyAlignment="1" applyFont="1">
      <alignment horizontal="center" readingOrder="0"/>
    </xf>
    <xf borderId="0" fillId="8" fontId="37" numFmtId="0" xfId="0" applyAlignment="1" applyFont="1">
      <alignment horizontal="center" readingOrder="0"/>
    </xf>
    <xf borderId="0" fillId="8" fontId="21" numFmtId="0" xfId="0" applyAlignment="1" applyFont="1">
      <alignment horizontal="left" readingOrder="0"/>
    </xf>
    <xf borderId="0" fillId="8" fontId="35" numFmtId="0" xfId="0" applyAlignment="1" applyFont="1">
      <alignment readingOrder="0"/>
    </xf>
    <xf borderId="0" fillId="8" fontId="40" numFmtId="0" xfId="0" applyAlignment="1" applyFont="1">
      <alignment horizontal="left" readingOrder="0"/>
    </xf>
    <xf borderId="0" fillId="8" fontId="15" numFmtId="0" xfId="0" applyAlignment="1" applyFont="1">
      <alignment readingOrder="0"/>
    </xf>
    <xf borderId="0" fillId="3" fontId="11" numFmtId="0" xfId="0" applyAlignment="1" applyFont="1">
      <alignment readingOrder="0"/>
    </xf>
    <xf borderId="0" fillId="8" fontId="35" numFmtId="0" xfId="0" applyAlignment="1" applyFont="1">
      <alignment readingOrder="0"/>
    </xf>
    <xf borderId="0" fillId="8" fontId="41" numFmtId="0" xfId="0" applyAlignment="1" applyFont="1">
      <alignment readingOrder="0"/>
    </xf>
    <xf borderId="0" fillId="8" fontId="42" numFmtId="0" xfId="0" applyAlignment="1" applyFont="1">
      <alignment readingOrder="0"/>
    </xf>
    <xf borderId="0" fillId="8" fontId="43" numFmtId="0" xfId="0" applyAlignment="1" applyFont="1">
      <alignment readingOrder="0" shrinkToFit="0" wrapText="0"/>
    </xf>
    <xf borderId="0" fillId="8" fontId="4" numFmtId="0" xfId="0" applyAlignment="1" applyFont="1">
      <alignment vertical="bottom"/>
    </xf>
    <xf borderId="0" fillId="8" fontId="44" numFmtId="0" xfId="0" applyAlignment="1" applyFont="1">
      <alignment vertical="bottom"/>
    </xf>
    <xf borderId="0" fillId="8" fontId="13" numFmtId="0" xfId="0" applyAlignment="1" applyFont="1">
      <alignment vertical="bottom"/>
    </xf>
    <xf borderId="0" fillId="8" fontId="44" numFmtId="0" xfId="0" applyAlignment="1" applyFont="1">
      <alignment readingOrder="0" shrinkToFit="0" vertical="bottom" wrapText="0"/>
    </xf>
    <xf borderId="0" fillId="8" fontId="45" numFmtId="0" xfId="0" applyAlignment="1" applyFont="1">
      <alignment horizontal="left" readingOrder="0"/>
    </xf>
    <xf borderId="0" fillId="3" fontId="1" numFmtId="164" xfId="0" applyFont="1" applyNumberFormat="1"/>
    <xf borderId="0" fillId="3" fontId="46" numFmtId="0" xfId="0" applyAlignment="1" applyFont="1">
      <alignment horizontal="left" readingOrder="0"/>
    </xf>
    <xf borderId="0" fillId="8" fontId="47" numFmtId="0" xfId="0" applyAlignment="1" applyFont="1">
      <alignment horizontal="left" readingOrder="0"/>
    </xf>
    <xf borderId="0" fillId="3" fontId="1" numFmtId="164" xfId="0" applyAlignment="1" applyFont="1" applyNumberFormat="1">
      <alignment readingOrder="0"/>
    </xf>
    <xf borderId="4" fillId="8" fontId="48" numFmtId="0" xfId="0" applyAlignment="1" applyBorder="1" applyFont="1">
      <alignment horizontal="left" readingOrder="0" shrinkToFit="0" wrapText="0"/>
    </xf>
    <xf borderId="4" fillId="8" fontId="49" numFmtId="0" xfId="0" applyAlignment="1" applyBorder="1" applyFont="1">
      <alignment horizontal="left" readingOrder="0" shrinkToFit="0" wrapText="0"/>
    </xf>
    <xf borderId="0" fillId="8" fontId="50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  <xf borderId="0" fillId="8" fontId="1" numFmtId="168" xfId="0" applyFont="1" applyNumberFormat="1"/>
    <xf borderId="0" fillId="8" fontId="1" numFmtId="0" xfId="0" applyAlignment="1" applyFont="1">
      <alignment readingOrder="0"/>
    </xf>
    <xf borderId="0" fillId="8" fontId="51" numFmtId="0" xfId="0" applyAlignment="1" applyFont="1">
      <alignment horizontal="left" readingOrder="0"/>
    </xf>
    <xf borderId="0" fillId="11" fontId="1" numFmtId="0" xfId="0" applyFill="1" applyFont="1"/>
    <xf borderId="0" fillId="11" fontId="1" numFmtId="0" xfId="0" applyAlignment="1" applyFont="1">
      <alignment readingOrder="0"/>
    </xf>
    <xf borderId="0" fillId="8" fontId="52" numFmtId="0" xfId="0" applyAlignment="1" applyFont="1">
      <alignment horizontal="left" readingOrder="0" shrinkToFit="0" vertical="top" wrapText="0"/>
    </xf>
    <xf borderId="0" fillId="8" fontId="53" numFmtId="0" xfId="0" applyAlignment="1" applyFont="1">
      <alignment horizontal="left" readingOrder="0" shrinkToFit="0" wrapText="0"/>
    </xf>
    <xf borderId="0" fillId="8" fontId="3" numFmtId="0" xfId="0" applyAlignment="1" applyFont="1">
      <alignment readingOrder="0"/>
    </xf>
    <xf borderId="0" fillId="8" fontId="54" numFmtId="0" xfId="0" applyAlignment="1" applyFont="1">
      <alignment readingOrder="0"/>
    </xf>
    <xf borderId="0" fillId="8" fontId="0" numFmtId="0" xfId="0" applyAlignment="1" applyFont="1">
      <alignment horizontal="left" readingOrder="0"/>
    </xf>
    <xf borderId="0" fillId="8" fontId="18" numFmtId="0" xfId="0" applyAlignment="1" applyFont="1">
      <alignment horizontal="left" readingOrder="0" shrinkToFit="0" wrapText="0"/>
    </xf>
    <xf borderId="0" fillId="11" fontId="1" numFmtId="0" xfId="0" applyFont="1"/>
    <xf borderId="0" fillId="0" fontId="55" numFmtId="0" xfId="0" applyFont="1"/>
    <xf borderId="0" fillId="0" fontId="55" numFmtId="0" xfId="0" applyAlignment="1" applyFont="1">
      <alignment readingOrder="0"/>
    </xf>
    <xf borderId="0" fillId="8" fontId="1" numFmtId="165" xfId="0" applyAlignment="1" applyFont="1" applyNumberFormat="1">
      <alignment readingOrder="0"/>
    </xf>
    <xf borderId="0" fillId="12" fontId="56" numFmtId="0" xfId="0" applyAlignment="1" applyFill="1" applyFont="1">
      <alignment horizontal="left" readingOrder="0"/>
    </xf>
    <xf borderId="0" fillId="13" fontId="1" numFmtId="0" xfId="0" applyFill="1" applyFont="1"/>
    <xf borderId="4" fillId="0" fontId="57" numFmtId="0" xfId="0" applyAlignment="1" applyBorder="1" applyFont="1">
      <alignment horizontal="left" readingOrder="0" shrinkToFit="0" wrapText="0"/>
    </xf>
    <xf borderId="4" fillId="3" fontId="49" numFmtId="0" xfId="0" applyAlignment="1" applyBorder="1" applyFont="1">
      <alignment horizontal="left" readingOrder="0" shrinkToFit="0" wrapText="0"/>
    </xf>
    <xf borderId="0" fillId="0" fontId="57" numFmtId="0" xfId="0" applyAlignment="1" applyFont="1">
      <alignment horizontal="left" readingOrder="0" shrinkToFit="0" wrapText="0"/>
    </xf>
    <xf borderId="0" fillId="3" fontId="49" numFmtId="0" xfId="0" applyAlignment="1" applyFont="1">
      <alignment horizontal="left" readingOrder="0" shrinkToFit="0" wrapText="0"/>
    </xf>
    <xf borderId="0" fillId="3" fontId="49" numFmtId="164" xfId="0" applyAlignment="1" applyFont="1" applyNumberFormat="1">
      <alignment horizontal="left" readingOrder="0" shrinkToFit="0" wrapText="0"/>
    </xf>
    <xf borderId="0" fillId="3" fontId="15" numFmtId="0" xfId="0" applyAlignment="1" applyFont="1">
      <alignment readingOrder="0"/>
    </xf>
    <xf borderId="0" fillId="3" fontId="52" numFmtId="0" xfId="0" applyAlignment="1" applyFont="1">
      <alignment horizontal="left" readingOrder="0" shrinkToFit="0" vertical="top" wrapText="0"/>
    </xf>
    <xf borderId="0" fillId="8" fontId="58" numFmtId="0" xfId="0" applyFont="1"/>
    <xf borderId="0" fillId="0" fontId="44" numFmtId="0" xfId="0" applyAlignment="1" applyFont="1">
      <alignment readingOrder="0" shrinkToFit="0" vertical="bottom" wrapText="0"/>
    </xf>
    <xf borderId="0" fillId="0" fontId="44" numFmtId="164" xfId="0" applyAlignment="1" applyFont="1" applyNumberFormat="1">
      <alignment readingOrder="0" shrinkToFit="0" vertical="bottom" wrapText="0"/>
    </xf>
    <xf borderId="0" fillId="8" fontId="44" numFmtId="0" xfId="0" applyAlignment="1" applyFont="1">
      <alignment horizontal="left" readingOrder="0"/>
    </xf>
    <xf borderId="0" fillId="0" fontId="59" numFmtId="0" xfId="0" applyAlignment="1" applyFont="1">
      <alignment readingOrder="0"/>
    </xf>
    <xf borderId="0" fillId="3" fontId="60" numFmtId="0" xfId="0" applyAlignment="1" applyFont="1">
      <alignment horizontal="left" readingOrder="0"/>
    </xf>
    <xf borderId="0" fillId="14" fontId="60" numFmtId="0" xfId="0" applyAlignment="1" applyFill="1" applyFont="1">
      <alignment horizontal="left" readingOrder="0"/>
    </xf>
    <xf borderId="0" fillId="9" fontId="18" numFmtId="0" xfId="0" applyAlignment="1" applyFont="1">
      <alignment horizontal="left" readingOrder="0" shrinkToFit="0" wrapText="0"/>
    </xf>
    <xf borderId="0" fillId="3" fontId="61" numFmtId="0" xfId="0" applyAlignment="1" applyFont="1">
      <alignment readingOrder="0"/>
    </xf>
    <xf borderId="0" fillId="3" fontId="62" numFmtId="0" xfId="0" applyAlignment="1" applyFont="1">
      <alignment readingOrder="0"/>
    </xf>
    <xf borderId="0" fillId="15" fontId="63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18" numFmtId="0" xfId="0" applyAlignment="1" applyFont="1">
      <alignment horizontal="left" readingOrder="0" shrinkToFit="0" wrapText="0"/>
    </xf>
    <xf borderId="0" fillId="8" fontId="1" numFmtId="0" xfId="0" applyAlignment="1" applyFont="1">
      <alignment horizontal="right" readingOrder="0"/>
    </xf>
    <xf borderId="0" fillId="3" fontId="51" numFmtId="0" xfId="0" applyAlignment="1" applyFont="1">
      <alignment horizontal="left" readingOrder="0" shrinkToFit="0" wrapText="0"/>
    </xf>
    <xf borderId="0" fillId="8" fontId="64" numFmtId="0" xfId="0" applyAlignment="1" applyFont="1">
      <alignment readingOrder="0"/>
    </xf>
    <xf borderId="0" fillId="8" fontId="51" numFmtId="0" xfId="0" applyAlignment="1" applyFont="1">
      <alignment horizontal="left" readingOrder="0" shrinkToFit="0" wrapText="0"/>
    </xf>
    <xf borderId="0" fillId="3" fontId="65" numFmtId="0" xfId="0" applyAlignment="1" applyFont="1">
      <alignment horizontal="center" readingOrder="0"/>
    </xf>
    <xf borderId="5" fillId="8" fontId="66" numFmtId="0" xfId="0" applyAlignment="1" applyBorder="1" applyFont="1">
      <alignment readingOrder="0"/>
    </xf>
    <xf borderId="0" fillId="3" fontId="67" numFmtId="0" xfId="0" applyAlignment="1" applyFont="1">
      <alignment vertical="bottom"/>
    </xf>
    <xf borderId="0" fillId="15" fontId="68" numFmtId="0" xfId="0" applyAlignment="1" applyFont="1">
      <alignment horizontal="left" readingOrder="0"/>
    </xf>
    <xf borderId="0" fillId="8" fontId="60" numFmtId="0" xfId="0" applyAlignment="1" applyFont="1">
      <alignment horizontal="left" readingOrder="0"/>
    </xf>
    <xf borderId="0" fillId="2" fontId="1" numFmtId="0" xfId="0" applyFont="1"/>
    <xf borderId="0" fillId="3" fontId="69" numFmtId="0" xfId="0" applyAlignment="1" applyFont="1">
      <alignment horizontal="center" readingOrder="0"/>
    </xf>
    <xf borderId="0" fillId="0" fontId="70" numFmtId="0" xfId="0" applyFont="1"/>
    <xf borderId="0" fillId="3" fontId="21" numFmtId="0" xfId="0" applyAlignment="1" applyFont="1">
      <alignment readingOrder="0"/>
    </xf>
    <xf borderId="0" fillId="8" fontId="21" numFmtId="0" xfId="0" applyAlignment="1" applyFont="1">
      <alignment horizontal="left" readingOrder="0" shrinkToFit="0" wrapText="0"/>
    </xf>
    <xf borderId="0" fillId="8" fontId="68" numFmtId="0" xfId="0" applyAlignment="1" applyFont="1">
      <alignment readingOrder="0"/>
    </xf>
    <xf borderId="0" fillId="8" fontId="63" numFmtId="0" xfId="0" applyAlignment="1" applyFont="1">
      <alignment horizontal="left" readingOrder="0"/>
    </xf>
    <xf borderId="0" fillId="8" fontId="71" numFmtId="0" xfId="0" applyAlignment="1" applyFont="1">
      <alignment readingOrder="0"/>
    </xf>
    <xf borderId="0" fillId="0" fontId="1" numFmtId="0" xfId="0" applyAlignment="1" applyFont="1">
      <alignment readingOrder="0"/>
    </xf>
    <xf borderId="0" fillId="16" fontId="72" numFmtId="0" xfId="0" applyAlignment="1" applyFill="1" applyFont="1">
      <alignment readingOrder="0"/>
    </xf>
    <xf borderId="0" fillId="3" fontId="4" numFmtId="0" xfId="0" applyAlignment="1" applyFont="1">
      <alignment horizontal="right" vertical="bottom"/>
    </xf>
    <xf borderId="0" fillId="8" fontId="7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17" fontId="14" numFmtId="0" xfId="0" applyAlignment="1" applyFill="1" applyFont="1">
      <alignment horizontal="right" readingOrder="0" shrinkToFit="0" vertical="bottom" wrapText="0"/>
    </xf>
    <xf borderId="0" fillId="18" fontId="14" numFmtId="0" xfId="0" applyAlignment="1" applyFill="1" applyFont="1">
      <alignment horizontal="right" readingOrder="0" shrinkToFit="0" vertical="bottom" wrapText="0"/>
    </xf>
    <xf borderId="0" fillId="8" fontId="56" numFmtId="0" xfId="0" applyAlignment="1" applyFont="1">
      <alignment horizontal="left" readingOrder="0"/>
    </xf>
    <xf borderId="0" fillId="19" fontId="35" numFmtId="0" xfId="0" applyAlignment="1" applyFill="1" applyFont="1">
      <alignment readingOrder="0"/>
    </xf>
    <xf borderId="0" fillId="19" fontId="74" numFmtId="0" xfId="0" applyAlignment="1" applyFont="1">
      <alignment readingOrder="0"/>
    </xf>
    <xf borderId="0" fillId="8" fontId="75" numFmtId="0" xfId="0" applyAlignment="1" applyFont="1">
      <alignment horizontal="left" readingOrder="0"/>
    </xf>
    <xf borderId="0" fillId="11" fontId="1" numFmtId="164" xfId="0" applyFont="1" applyNumberFormat="1"/>
    <xf borderId="0" fillId="8" fontId="76" numFmtId="0" xfId="0" applyAlignment="1" applyFont="1">
      <alignment horizontal="left" readingOrder="0" shrinkToFit="0" vertical="top" wrapText="0"/>
    </xf>
    <xf borderId="0" fillId="3" fontId="63" numFmtId="0" xfId="0" applyAlignment="1" applyFont="1">
      <alignment horizontal="left" readingOrder="0"/>
    </xf>
    <xf borderId="0" fillId="3" fontId="35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0" fontId="77" numFmtId="0" xfId="0" applyAlignment="1" applyFill="1" applyFont="1">
      <alignment horizontal="left" readingOrder="0"/>
    </xf>
    <xf borderId="0" fillId="15" fontId="78" numFmtId="0" xfId="0" applyAlignment="1" applyFont="1">
      <alignment horizontal="left" readingOrder="0"/>
    </xf>
    <xf borderId="0" fillId="3" fontId="79" numFmtId="0" xfId="0" applyAlignment="1" applyFont="1">
      <alignment readingOrder="0"/>
    </xf>
    <xf borderId="0" fillId="8" fontId="80" numFmtId="0" xfId="0" applyAlignment="1" applyFont="1">
      <alignment horizontal="left" readingOrder="0"/>
    </xf>
    <xf borderId="0" fillId="8" fontId="81" numFmtId="0" xfId="0" applyAlignment="1" applyFont="1">
      <alignment horizontal="left" readingOrder="0" shrinkToFit="0" wrapText="0"/>
    </xf>
    <xf borderId="0" fillId="8" fontId="68" numFmtId="164" xfId="0" applyAlignment="1" applyFont="1" applyNumberFormat="1">
      <alignment horizontal="left" readingOrder="0"/>
    </xf>
    <xf borderId="0" fillId="8" fontId="1" numFmtId="168" xfId="0" applyAlignment="1" applyFont="1" applyNumberFormat="1">
      <alignment readingOrder="0"/>
    </xf>
    <xf borderId="0" fillId="8" fontId="82" numFmtId="0" xfId="0" applyAlignment="1" applyFont="1">
      <alignment horizontal="left" readingOrder="0" shrinkToFit="0" wrapText="0"/>
    </xf>
    <xf borderId="0" fillId="21" fontId="83" numFmtId="0" xfId="0" applyAlignment="1" applyFill="1" applyFont="1">
      <alignment horizontal="left" readingOrder="0"/>
    </xf>
    <xf borderId="0" fillId="3" fontId="84" numFmtId="0" xfId="0" applyAlignment="1" applyFont="1">
      <alignment horizontal="left" readingOrder="0"/>
    </xf>
    <xf borderId="0" fillId="4" fontId="85" numFmtId="0" xfId="0" applyAlignment="1" applyFont="1">
      <alignment readingOrder="0"/>
    </xf>
    <xf borderId="0" fillId="3" fontId="82" numFmtId="0" xfId="0" applyAlignment="1" applyFont="1">
      <alignment horizontal="left" readingOrder="0" shrinkToFit="0" wrapText="0"/>
    </xf>
    <xf borderId="0" fillId="9" fontId="82" numFmtId="0" xfId="0" applyAlignment="1" applyFont="1">
      <alignment horizontal="left" readingOrder="0" shrinkToFit="0" wrapText="0"/>
    </xf>
    <xf borderId="0" fillId="22" fontId="82" numFmtId="0" xfId="0" applyAlignment="1" applyFill="1" applyFont="1">
      <alignment horizontal="left" readingOrder="0" shrinkToFit="0" wrapText="0"/>
    </xf>
    <xf borderId="0" fillId="10" fontId="86" numFmtId="0" xfId="0" applyAlignment="1" applyFont="1">
      <alignment horizontal="left" readingOrder="0"/>
    </xf>
    <xf borderId="0" fillId="8" fontId="87" numFmtId="0" xfId="0" applyAlignment="1" applyFont="1">
      <alignment readingOrder="0"/>
    </xf>
    <xf borderId="0" fillId="3" fontId="88" numFmtId="0" xfId="0" applyAlignment="1" applyFont="1">
      <alignment readingOrder="0"/>
    </xf>
    <xf borderId="0" fillId="9" fontId="21" numFmtId="0" xfId="0" applyAlignment="1" applyFont="1">
      <alignment horizontal="left" readingOrder="0" shrinkToFit="0" wrapText="0"/>
    </xf>
    <xf borderId="0" fillId="3" fontId="21" numFmtId="0" xfId="0" applyAlignment="1" applyFont="1">
      <alignment horizontal="left" readingOrder="0" shrinkToFit="0" wrapText="0"/>
    </xf>
    <xf borderId="0" fillId="8" fontId="89" numFmtId="0" xfId="0" applyAlignment="1" applyFont="1">
      <alignment readingOrder="0"/>
    </xf>
    <xf borderId="0" fillId="8" fontId="1" numFmtId="164" xfId="0" applyFont="1" applyNumberFormat="1"/>
    <xf borderId="0" fillId="8" fontId="90" numFmtId="0" xfId="0" applyAlignment="1" applyFont="1">
      <alignment readingOrder="0"/>
    </xf>
    <xf borderId="0" fillId="8" fontId="21" numFmtId="0" xfId="0" applyAlignment="1" applyFont="1">
      <alignment horizontal="left" readingOrder="0"/>
    </xf>
    <xf borderId="0" fillId="8" fontId="91" numFmtId="0" xfId="0" applyAlignment="1" applyFont="1">
      <alignment horizontal="left" readingOrder="0" shrinkToFit="0" wrapText="0"/>
    </xf>
    <xf borderId="0" fillId="8" fontId="92" numFmtId="0" xfId="0" applyAlignment="1" applyFont="1">
      <alignment readingOrder="0" vertical="top"/>
    </xf>
    <xf borderId="3" fillId="8" fontId="92" numFmtId="0" xfId="0" applyAlignment="1" applyBorder="1" applyFont="1">
      <alignment readingOrder="0" vertical="top"/>
    </xf>
    <xf borderId="0" fillId="8" fontId="67" numFmtId="0" xfId="0" applyAlignment="1" applyFont="1">
      <alignment vertical="bottom"/>
    </xf>
    <xf borderId="0" fillId="8" fontId="67" numFmtId="0" xfId="0" applyAlignment="1" applyFont="1">
      <alignment readingOrder="0" vertical="bottom"/>
    </xf>
    <xf borderId="0" fillId="3" fontId="93" numFmtId="0" xfId="0" applyAlignment="1" applyFont="1">
      <alignment readingOrder="0"/>
    </xf>
    <xf borderId="0" fillId="8" fontId="94" numFmtId="0" xfId="0" applyAlignment="1" applyFont="1">
      <alignment readingOrder="0"/>
    </xf>
    <xf borderId="0" fillId="23" fontId="22" numFmtId="0" xfId="0" applyAlignment="1" applyFill="1" applyFont="1">
      <alignment horizontal="left" readingOrder="0"/>
    </xf>
    <xf borderId="0" fillId="3" fontId="94" numFmtId="0" xfId="0" applyAlignment="1" applyFont="1">
      <alignment readingOrder="0"/>
    </xf>
    <xf borderId="0" fillId="24" fontId="22" numFmtId="0" xfId="0" applyAlignment="1" applyFill="1" applyFont="1">
      <alignment horizontal="left" readingOrder="0"/>
    </xf>
    <xf borderId="0" fillId="8" fontId="95" numFmtId="0" xfId="0" applyAlignment="1" applyFont="1">
      <alignment horizontal="left" readingOrder="0"/>
    </xf>
    <xf borderId="0" fillId="4" fontId="1" numFmtId="164" xfId="0" applyFont="1" applyNumberFormat="1"/>
    <xf borderId="0" fillId="3" fontId="9" numFmtId="0" xfId="0" applyAlignment="1" applyFont="1">
      <alignment readingOrder="0" vertical="top"/>
    </xf>
    <xf borderId="0" fillId="19" fontId="67" numFmtId="0" xfId="0" applyAlignment="1" applyFont="1">
      <alignment readingOrder="0" vertical="bottom"/>
    </xf>
    <xf borderId="0" fillId="19" fontId="67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96" numFmtId="0" xfId="0" applyAlignment="1" applyFont="1">
      <alignment shrinkToFit="0" vertical="bottom" wrapText="0"/>
    </xf>
    <xf borderId="0" fillId="3" fontId="92" numFmtId="0" xfId="0" applyAlignment="1" applyFont="1">
      <alignment readingOrder="0"/>
    </xf>
    <xf borderId="3" fillId="3" fontId="92" numFmtId="0" xfId="0" applyAlignment="1" applyBorder="1" applyFont="1">
      <alignment readingOrder="0" vertical="top"/>
    </xf>
    <xf borderId="0" fillId="13" fontId="1" numFmtId="0" xfId="0" applyAlignment="1" applyFont="1">
      <alignment readingOrder="0"/>
    </xf>
    <xf borderId="0" fillId="13" fontId="97" numFmtId="0" xfId="0" applyAlignment="1" applyFont="1">
      <alignment readingOrder="0"/>
    </xf>
    <xf borderId="0" fillId="13" fontId="1" numFmtId="0" xfId="0" applyFont="1"/>
    <xf borderId="0" fillId="16" fontId="29" numFmtId="0" xfId="0" applyAlignment="1" applyFont="1">
      <alignment readingOrder="0"/>
    </xf>
    <xf borderId="0" fillId="8" fontId="98" numFmtId="0" xfId="0" applyAlignment="1" applyFont="1">
      <alignment horizontal="left" readingOrder="0"/>
    </xf>
    <xf borderId="0" fillId="16" fontId="99" numFmtId="0" xfId="0" applyAlignment="1" applyFont="1">
      <alignment readingOrder="0"/>
    </xf>
    <xf borderId="0" fillId="3" fontId="100" numFmtId="0" xfId="0" applyAlignment="1" applyFont="1">
      <alignment horizontal="left" readingOrder="0"/>
    </xf>
    <xf borderId="0" fillId="3" fontId="98" numFmtId="0" xfId="0" applyAlignment="1" applyFont="1">
      <alignment readingOrder="0"/>
    </xf>
    <xf borderId="0" fillId="16" fontId="101" numFmtId="0" xfId="0" applyAlignment="1" applyFont="1">
      <alignment readingOrder="0" shrinkToFit="0" wrapText="1"/>
    </xf>
    <xf borderId="0" fillId="8" fontId="102" numFmtId="0" xfId="0" applyAlignment="1" applyFont="1">
      <alignment horizontal="left" readingOrder="0"/>
    </xf>
    <xf borderId="0" fillId="3" fontId="103" numFmtId="0" xfId="0" applyAlignment="1" applyFont="1">
      <alignment horizontal="left" readingOrder="0"/>
    </xf>
    <xf borderId="0" fillId="3" fontId="51" numFmtId="0" xfId="0" applyAlignment="1" applyFont="1">
      <alignment vertical="bottom"/>
    </xf>
    <xf borderId="0" fillId="15" fontId="63" numFmtId="0" xfId="0" applyAlignment="1" applyFont="1">
      <alignment vertical="bottom"/>
    </xf>
    <xf borderId="0" fillId="4" fontId="1" numFmtId="165" xfId="0" applyFont="1" applyNumberFormat="1"/>
    <xf borderId="0" fillId="4" fontId="104" numFmtId="0" xfId="0" applyFont="1"/>
    <xf borderId="0" fillId="4" fontId="105" numFmtId="0" xfId="0" applyAlignment="1" applyFont="1">
      <alignment vertical="bottom"/>
    </xf>
    <xf borderId="0" fillId="4" fontId="106" numFmtId="0" xfId="0" applyAlignment="1" applyFont="1">
      <alignment vertical="bottom"/>
    </xf>
    <xf borderId="0" fillId="4" fontId="107" numFmtId="0" xfId="0" applyAlignment="1" applyFont="1">
      <alignment vertical="bottom"/>
    </xf>
    <xf borderId="0" fillId="4" fontId="108" numFmtId="0" xfId="0" applyAlignment="1" applyFont="1">
      <alignment vertical="bottom"/>
    </xf>
    <xf borderId="0" fillId="4" fontId="109" numFmtId="0" xfId="0" applyAlignment="1" applyFont="1">
      <alignment vertical="bottom"/>
    </xf>
    <xf borderId="1" fillId="0" fontId="8" numFmtId="0" xfId="0" applyAlignment="1" applyBorder="1" applyFont="1">
      <alignment horizontal="center" readingOrder="0"/>
    </xf>
    <xf borderId="0" fillId="8" fontId="110" numFmtId="0" xfId="0" applyAlignment="1" applyFont="1">
      <alignment horizontal="left" readingOrder="0"/>
    </xf>
    <xf borderId="0" fillId="8" fontId="37" numFmtId="0" xfId="0" applyAlignment="1" applyFont="1">
      <alignment horizontal="left" readingOrder="0" shrinkToFit="0" wrapText="1"/>
    </xf>
    <xf borderId="0" fillId="0" fontId="37" numFmtId="0" xfId="0" applyAlignment="1" applyFont="1">
      <alignment horizontal="left" readingOrder="0" shrinkToFit="0" wrapText="1"/>
    </xf>
    <xf borderId="0" fillId="25" fontId="111" numFmtId="0" xfId="0" applyAlignment="1" applyFill="1" applyFont="1">
      <alignment horizontal="left" readingOrder="0"/>
    </xf>
    <xf borderId="0" fillId="8" fontId="112" numFmtId="0" xfId="0" applyAlignment="1" applyFont="1">
      <alignment horizontal="center" readingOrder="0" shrinkToFit="0" wrapText="0"/>
    </xf>
    <xf borderId="0" fillId="0" fontId="37" numFmtId="0" xfId="0" applyAlignment="1" applyFont="1">
      <alignment horizontal="left" shrinkToFit="0" wrapText="1"/>
    </xf>
    <xf borderId="0" fillId="8" fontId="37" numFmtId="0" xfId="0" applyAlignment="1" applyFont="1">
      <alignment horizontal="center" readingOrder="0" shrinkToFit="0" wrapText="0"/>
    </xf>
    <xf borderId="0" fillId="8" fontId="1" numFmtId="169" xfId="0" applyAlignment="1" applyFont="1" applyNumberFormat="1">
      <alignment readingOrder="0"/>
    </xf>
    <xf borderId="0" fillId="3" fontId="113" numFmtId="0" xfId="0" applyAlignment="1" applyFont="1">
      <alignment readingOrder="0"/>
    </xf>
    <xf borderId="0" fillId="8" fontId="114" numFmtId="0" xfId="0" applyAlignment="1" applyFont="1">
      <alignment horizontal="center" readingOrder="0" shrinkToFit="0" wrapText="0"/>
    </xf>
    <xf borderId="0" fillId="8" fontId="115" numFmtId="0" xfId="0" applyAlignment="1" applyFont="1">
      <alignment horizontal="center" readingOrder="0" shrinkToFit="0" wrapText="0"/>
    </xf>
    <xf borderId="0" fillId="8" fontId="116" numFmtId="0" xfId="0" applyAlignment="1" applyFont="1">
      <alignment horizontal="left" readingOrder="0"/>
    </xf>
    <xf borderId="0" fillId="3" fontId="117" numFmtId="0" xfId="0" applyAlignment="1" applyFont="1">
      <alignment readingOrder="0"/>
    </xf>
    <xf borderId="0" fillId="8" fontId="118" numFmtId="0" xfId="0" applyAlignment="1" applyFont="1">
      <alignment readingOrder="0" vertical="top"/>
    </xf>
    <xf borderId="0" fillId="8" fontId="118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14" numFmtId="0" xfId="0" applyAlignment="1" applyFont="1">
      <alignment shrinkToFit="0" vertical="bottom" wrapText="0"/>
    </xf>
    <xf borderId="0" fillId="8" fontId="83" numFmtId="0" xfId="0" applyAlignment="1" applyFont="1">
      <alignment readingOrder="0"/>
    </xf>
    <xf borderId="0" fillId="8" fontId="119" numFmtId="0" xfId="0" applyAlignment="1" applyFont="1">
      <alignment readingOrder="0" vertical="bottom"/>
    </xf>
    <xf borderId="0" fillId="8" fontId="120" numFmtId="0" xfId="0" applyAlignment="1" applyFont="1">
      <alignment readingOrder="0"/>
    </xf>
    <xf borderId="0" fillId="8" fontId="121" numFmtId="0" xfId="0" applyAlignment="1" applyFont="1">
      <alignment readingOrder="0"/>
    </xf>
    <xf borderId="0" fillId="8" fontId="122" numFmtId="0" xfId="0" applyAlignment="1" applyFont="1">
      <alignment readingOrder="0"/>
    </xf>
    <xf borderId="0" fillId="0" fontId="112" numFmtId="0" xfId="0" applyAlignment="1" applyFont="1">
      <alignment horizontal="center" readingOrder="0" shrinkToFit="0" wrapText="0"/>
    </xf>
    <xf borderId="0" fillId="8" fontId="123" numFmtId="0" xfId="0" applyAlignment="1" applyFont="1">
      <alignment horizontal="left" readingOrder="0"/>
    </xf>
    <xf borderId="0" fillId="0" fontId="114" numFmtId="0" xfId="0" applyAlignment="1" applyFont="1">
      <alignment horizontal="center" readingOrder="0" shrinkToFit="0" wrapText="0"/>
    </xf>
    <xf borderId="0" fillId="0" fontId="124" numFmtId="0" xfId="0" applyAlignment="1" applyFont="1">
      <alignment horizontal="center" readingOrder="0" shrinkToFit="0" wrapText="0"/>
    </xf>
    <xf borderId="0" fillId="3" fontId="125" numFmtId="0" xfId="0" applyAlignment="1" applyFont="1">
      <alignment horizontal="center" shrinkToFit="0" wrapText="0"/>
    </xf>
    <xf borderId="0" fillId="0" fontId="4" numFmtId="164" xfId="0" applyAlignment="1" applyFont="1" applyNumberFormat="1">
      <alignment horizontal="right" readingOrder="0" vertical="bottom"/>
    </xf>
    <xf borderId="0" fillId="8" fontId="4" numFmtId="0" xfId="0" applyAlignment="1" applyFont="1">
      <alignment readingOrder="0" vertical="bottom"/>
    </xf>
    <xf borderId="0" fillId="8" fontId="4" numFmtId="0" xfId="0" applyAlignment="1" applyFont="1">
      <alignment horizontal="right" readingOrder="0" vertical="bottom"/>
    </xf>
    <xf borderId="0" fillId="8" fontId="126" numFmtId="0" xfId="0" applyAlignment="1" applyFont="1">
      <alignment readingOrder="0"/>
    </xf>
    <xf borderId="0" fillId="8" fontId="127" numFmtId="0" xfId="0" applyAlignment="1" applyFont="1">
      <alignment horizontal="left" readingOrder="0"/>
    </xf>
    <xf borderId="0" fillId="8" fontId="128" numFmtId="0" xfId="0" applyAlignment="1" applyFont="1">
      <alignment readingOrder="0"/>
    </xf>
    <xf borderId="0" fillId="8" fontId="117" numFmtId="0" xfId="0" applyAlignment="1" applyFont="1">
      <alignment readingOrder="0"/>
    </xf>
    <xf borderId="0" fillId="8" fontId="129" numFmtId="0" xfId="0" applyAlignment="1" applyFont="1">
      <alignment horizontal="left" readingOrder="0" shrinkToFit="0" vertical="top" wrapText="0"/>
    </xf>
    <xf borderId="0" fillId="8" fontId="130" numFmtId="0" xfId="0" applyAlignment="1" applyFont="1">
      <alignment readingOrder="0" shrinkToFit="0" wrapText="0"/>
    </xf>
    <xf borderId="0" fillId="8" fontId="131" numFmtId="0" xfId="0" applyAlignment="1" applyFont="1">
      <alignment horizontal="center" readingOrder="0" shrinkToFit="0" wrapText="0"/>
    </xf>
    <xf borderId="0" fillId="8" fontId="119" numFmtId="0" xfId="0" applyAlignment="1" applyFont="1">
      <alignment readingOrder="0"/>
    </xf>
    <xf borderId="0" fillId="8" fontId="132" numFmtId="0" xfId="0" applyAlignment="1" applyFont="1">
      <alignment readingOrder="0"/>
    </xf>
    <xf borderId="0" fillId="8" fontId="133" numFmtId="0" xfId="0" applyAlignment="1" applyFont="1">
      <alignment horizontal="left" readingOrder="0"/>
    </xf>
    <xf borderId="0" fillId="3" fontId="116" numFmtId="0" xfId="0" applyAlignment="1" applyFont="1">
      <alignment horizontal="left"/>
    </xf>
    <xf borderId="0" fillId="8" fontId="134" numFmtId="0" xfId="0" applyAlignment="1" applyFont="1">
      <alignment readingOrder="0"/>
    </xf>
    <xf borderId="0" fillId="8" fontId="135" numFmtId="0" xfId="0" applyAlignment="1" applyFont="1">
      <alignment readingOrder="0"/>
    </xf>
    <xf borderId="0" fillId="8" fontId="136" numFmtId="0" xfId="0" applyAlignment="1" applyFont="1">
      <alignment readingOrder="0"/>
    </xf>
    <xf borderId="0" fillId="8" fontId="92" numFmtId="0" xfId="0" applyAlignment="1" applyFont="1">
      <alignment readingOrder="0"/>
    </xf>
    <xf borderId="0" fillId="8" fontId="124" numFmtId="0" xfId="0" applyAlignment="1" applyFont="1">
      <alignment horizontal="center" readingOrder="0" shrinkToFit="0" wrapText="0"/>
    </xf>
    <xf borderId="0" fillId="8" fontId="137" numFmtId="0" xfId="0" applyAlignment="1" applyFont="1">
      <alignment readingOrder="0"/>
    </xf>
    <xf borderId="0" fillId="8" fontId="138" numFmtId="0" xfId="0" applyAlignment="1" applyFont="1">
      <alignment horizontal="left" readingOrder="0"/>
    </xf>
    <xf borderId="0" fillId="8" fontId="139" numFmtId="0" xfId="0" applyAlignment="1" applyFont="1">
      <alignment readingOrder="0"/>
    </xf>
    <xf borderId="0" fillId="8" fontId="140" numFmtId="0" xfId="0" applyAlignment="1" applyFont="1">
      <alignment horizontal="left" readingOrder="0"/>
    </xf>
    <xf borderId="0" fillId="8" fontId="30" numFmtId="0" xfId="0" applyAlignment="1" applyFont="1">
      <alignment readingOrder="0"/>
    </xf>
    <xf borderId="0" fillId="8" fontId="141" numFmtId="0" xfId="0" applyAlignment="1" applyFont="1">
      <alignment readingOrder="0"/>
    </xf>
    <xf borderId="0" fillId="3" fontId="118" numFmtId="0" xfId="0" applyAlignment="1" applyFont="1">
      <alignment readingOrder="0"/>
    </xf>
    <xf borderId="0" fillId="8" fontId="123" numFmtId="0" xfId="0" applyAlignment="1" applyFont="1">
      <alignment readingOrder="0"/>
    </xf>
    <xf borderId="0" fillId="8" fontId="142" numFmtId="0" xfId="0" applyAlignment="1" applyFont="1">
      <alignment readingOrder="0"/>
    </xf>
    <xf borderId="0" fillId="8" fontId="14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8" fontId="144" numFmtId="0" xfId="0" applyAlignment="1" applyFont="1">
      <alignment readingOrder="0"/>
    </xf>
    <xf borderId="0" fillId="8" fontId="68" numFmtId="0" xfId="0" applyAlignment="1" applyFont="1">
      <alignment readingOrder="0" vertical="top"/>
    </xf>
    <xf borderId="0" fillId="8" fontId="145" numFmtId="0" xfId="0" applyAlignment="1" applyFont="1">
      <alignment horizontal="left" readingOrder="0"/>
    </xf>
    <xf borderId="0" fillId="8" fontId="146" numFmtId="0" xfId="0" applyAlignment="1" applyFont="1">
      <alignment readingOrder="0"/>
    </xf>
    <xf borderId="0" fillId="8" fontId="147" numFmtId="0" xfId="0" applyAlignment="1" applyFont="1">
      <alignment horizontal="left" readingOrder="0" shrinkToFit="0" wrapText="0"/>
    </xf>
    <xf borderId="0" fillId="8" fontId="116" numFmtId="0" xfId="0" applyAlignment="1" applyFont="1">
      <alignment horizontal="left"/>
    </xf>
    <xf borderId="0" fillId="8" fontId="148" numFmtId="0" xfId="0" applyAlignment="1" applyFont="1">
      <alignment readingOrder="0"/>
    </xf>
    <xf borderId="0" fillId="8" fontId="149" numFmtId="0" xfId="0" applyAlignment="1" applyFont="1">
      <alignment readingOrder="0"/>
    </xf>
    <xf borderId="0" fillId="0" fontId="117" numFmtId="0" xfId="0" applyAlignment="1" applyFont="1">
      <alignment readingOrder="0"/>
    </xf>
    <xf borderId="0" fillId="0" fontId="116" numFmtId="0" xfId="0" applyAlignment="1" applyFont="1">
      <alignment horizontal="left" readingOrder="0"/>
    </xf>
    <xf borderId="0" fillId="8" fontId="150" numFmtId="0" xfId="0" applyAlignment="1" applyFont="1">
      <alignment readingOrder="0"/>
    </xf>
    <xf borderId="0" fillId="8" fontId="151" numFmtId="0" xfId="0" applyAlignment="1" applyFont="1">
      <alignment readingOrder="0"/>
    </xf>
    <xf borderId="0" fillId="3" fontId="123" numFmtId="0" xfId="0" applyAlignment="1" applyFont="1">
      <alignment horizontal="left" readingOrder="0"/>
    </xf>
    <xf borderId="0" fillId="8" fontId="152" numFmtId="0" xfId="0" applyAlignment="1" applyFont="1">
      <alignment readingOrder="0"/>
    </xf>
    <xf borderId="0" fillId="8" fontId="117" numFmtId="0" xfId="0" applyFont="1"/>
    <xf borderId="0" fillId="8" fontId="153" numFmtId="0" xfId="0" applyAlignment="1" applyFont="1">
      <alignment readingOrder="0"/>
    </xf>
    <xf borderId="0" fillId="8" fontId="21" numFmtId="0" xfId="0" applyAlignment="1" applyFont="1">
      <alignment readingOrder="0"/>
    </xf>
    <xf borderId="0" fillId="8" fontId="152" numFmtId="0" xfId="0" applyAlignment="1" applyFont="1">
      <alignment horizontal="left" readingOrder="0"/>
    </xf>
    <xf borderId="0" fillId="8" fontId="152" numFmtId="0" xfId="0" applyAlignment="1" applyFont="1">
      <alignment horizontal="left" readingOrder="0"/>
    </xf>
    <xf borderId="0" fillId="3" fontId="116" numFmtId="0" xfId="0" applyAlignment="1" applyFont="1">
      <alignment horizontal="left" readingOrder="0"/>
    </xf>
    <xf borderId="0" fillId="8" fontId="110" numFmtId="0" xfId="0" applyAlignment="1" applyFont="1">
      <alignment horizontal="left"/>
    </xf>
    <xf borderId="0" fillId="8" fontId="150" numFmtId="0" xfId="0" applyAlignment="1" applyFont="1">
      <alignment readingOrder="0"/>
    </xf>
    <xf borderId="0" fillId="8" fontId="150" numFmtId="0" xfId="0" applyAlignment="1" applyFont="1">
      <alignment readingOrder="0"/>
    </xf>
    <xf borderId="0" fillId="8" fontId="154" numFmtId="0" xfId="0" applyAlignment="1" applyFont="1">
      <alignment readingOrder="0"/>
    </xf>
    <xf borderId="0" fillId="8" fontId="152" numFmtId="0" xfId="0" applyAlignment="1" applyFont="1">
      <alignment readingOrder="0"/>
    </xf>
    <xf borderId="0" fillId="3" fontId="68" numFmtId="0" xfId="0" applyAlignment="1" applyFont="1">
      <alignment readingOrder="0"/>
    </xf>
    <xf borderId="6" fillId="8" fontId="155" numFmtId="0" xfId="0" applyAlignment="1" applyBorder="1" applyFont="1">
      <alignment horizontal="left" readingOrder="0"/>
    </xf>
    <xf borderId="6" fillId="8" fontId="156" numFmtId="0" xfId="0" applyAlignment="1" applyBorder="1" applyFont="1">
      <alignment horizontal="left" readingOrder="0"/>
    </xf>
    <xf borderId="6" fillId="8" fontId="157" numFmtId="0" xfId="0" applyAlignment="1" applyBorder="1" applyFont="1">
      <alignment horizontal="left" readingOrder="0"/>
    </xf>
    <xf borderId="0" fillId="8" fontId="15" numFmtId="0" xfId="0" applyAlignment="1" applyFont="1">
      <alignment readingOrder="0"/>
    </xf>
    <xf borderId="0" fillId="8" fontId="152" numFmtId="0" xfId="0" applyAlignment="1" applyFont="1">
      <alignment readingOrder="0"/>
    </xf>
    <xf borderId="0" fillId="8" fontId="158" numFmtId="0" xfId="0" applyAlignment="1" applyFont="1">
      <alignment readingOrder="0"/>
    </xf>
    <xf borderId="0" fillId="8" fontId="159" numFmtId="0" xfId="0" applyAlignment="1" applyFont="1">
      <alignment readingOrder="0"/>
    </xf>
    <xf borderId="0" fillId="8" fontId="160" numFmtId="0" xfId="0" applyAlignment="1" applyFont="1">
      <alignment readingOrder="0"/>
    </xf>
    <xf borderId="0" fillId="8" fontId="148" numFmtId="0" xfId="0" applyAlignment="1" applyFont="1">
      <alignment readingOrder="0"/>
    </xf>
    <xf borderId="0" fillId="8" fontId="150" numFmtId="0" xfId="0" applyAlignment="1" applyFont="1">
      <alignment horizontal="left" readingOrder="0"/>
    </xf>
    <xf borderId="0" fillId="8" fontId="150" numFmtId="0" xfId="0" applyAlignment="1" applyFont="1">
      <alignment readingOrder="0"/>
    </xf>
    <xf borderId="0" fillId="8" fontId="146" numFmtId="0" xfId="0" applyAlignment="1" applyFont="1">
      <alignment horizontal="left" readingOrder="0"/>
    </xf>
    <xf borderId="0" fillId="8" fontId="15" numFmtId="0" xfId="0" applyAlignment="1" applyFont="1">
      <alignment readingOrder="0" vertical="bottom"/>
    </xf>
    <xf borderId="0" fillId="8" fontId="161" numFmtId="0" xfId="0" applyAlignment="1" applyFont="1">
      <alignment horizontal="left" readingOrder="0"/>
    </xf>
    <xf borderId="0" fillId="8" fontId="161" numFmtId="0" xfId="0" applyAlignment="1" applyFont="1">
      <alignment readingOrder="0" shrinkToFit="0" wrapText="0"/>
    </xf>
    <xf borderId="0" fillId="8" fontId="161" numFmtId="0" xfId="0" applyAlignment="1" applyFont="1">
      <alignment readingOrder="0"/>
    </xf>
    <xf borderId="0" fillId="8" fontId="82" numFmtId="0" xfId="0" applyAlignment="1" applyFont="1">
      <alignment readingOrder="0"/>
    </xf>
    <xf borderId="0" fillId="3" fontId="162" numFmtId="0" xfId="0" applyAlignment="1" applyFont="1">
      <alignment horizontal="left" readingOrder="0"/>
    </xf>
    <xf borderId="0" fillId="8" fontId="163" numFmtId="0" xfId="0" applyAlignment="1" applyFont="1">
      <alignment readingOrder="0"/>
    </xf>
    <xf borderId="0" fillId="8" fontId="21" numFmtId="0" xfId="0" applyAlignment="1" applyFont="1">
      <alignment horizontal="left" readingOrder="0" vertical="top"/>
    </xf>
    <xf borderId="0" fillId="8" fontId="164" numFmtId="0" xfId="0" applyAlignment="1" applyFont="1">
      <alignment readingOrder="0"/>
    </xf>
    <xf borderId="0" fillId="26" fontId="1" numFmtId="0" xfId="0" applyAlignment="1" applyFill="1" applyFont="1">
      <alignment readingOrder="0"/>
    </xf>
    <xf borderId="0" fillId="26" fontId="1" numFmtId="0" xfId="0" applyFont="1"/>
    <xf borderId="0" fillId="8" fontId="116" numFmtId="0" xfId="0" applyAlignment="1" applyFont="1">
      <alignment horizontal="right" readingOrder="0"/>
    </xf>
    <xf borderId="0" fillId="8" fontId="31" numFmtId="0" xfId="0" applyAlignment="1" applyFont="1">
      <alignment horizontal="center" readingOrder="0" shrinkToFit="0" wrapText="0"/>
    </xf>
    <xf borderId="0" fillId="0" fontId="148" numFmtId="0" xfId="0" applyAlignment="1" applyFont="1">
      <alignment readingOrder="0"/>
    </xf>
    <xf borderId="0" fillId="8" fontId="165" numFmtId="0" xfId="0" applyAlignment="1" applyFont="1">
      <alignment readingOrder="0"/>
    </xf>
    <xf borderId="0" fillId="8" fontId="166" numFmtId="0" xfId="0" applyAlignment="1" applyFont="1">
      <alignment readingOrder="0"/>
    </xf>
    <xf borderId="0" fillId="0" fontId="167" numFmtId="0" xfId="0" applyAlignment="1" applyFont="1">
      <alignment readingOrder="0"/>
    </xf>
    <xf borderId="0" fillId="8" fontId="168" numFmtId="0" xfId="0" applyAlignment="1" applyFont="1">
      <alignment readingOrder="0"/>
    </xf>
    <xf borderId="0" fillId="3" fontId="117" numFmtId="0" xfId="0" applyFont="1"/>
    <xf borderId="0" fillId="8" fontId="169" numFmtId="0" xfId="0" applyAlignment="1" applyFont="1">
      <alignment readingOrder="0"/>
    </xf>
    <xf borderId="0" fillId="8" fontId="170" numFmtId="0" xfId="0" applyAlignment="1" applyFont="1">
      <alignment horizontal="left" readingOrder="0"/>
    </xf>
    <xf borderId="0" fillId="8" fontId="4" numFmtId="0" xfId="0" applyAlignment="1" applyFont="1">
      <alignment readingOrder="0"/>
    </xf>
    <xf borderId="0" fillId="0" fontId="4" numFmtId="0" xfId="0" applyAlignment="1" applyFont="1">
      <alignment readingOrder="0"/>
    </xf>
    <xf borderId="7" fillId="8" fontId="119" numFmtId="0" xfId="0" applyAlignment="1" applyBorder="1" applyFont="1">
      <alignment horizontal="left" readingOrder="0"/>
    </xf>
    <xf borderId="0" fillId="8" fontId="171" numFmtId="0" xfId="0" applyAlignment="1" applyFont="1">
      <alignment readingOrder="0"/>
    </xf>
    <xf borderId="0" fillId="8" fontId="172" numFmtId="0" xfId="0" applyAlignment="1" applyFont="1">
      <alignment readingOrder="0"/>
    </xf>
    <xf borderId="0" fillId="8" fontId="146" numFmtId="0" xfId="0" applyAlignment="1" applyFont="1">
      <alignment horizontal="left" readingOrder="0" vertical="top"/>
    </xf>
    <xf borderId="0" fillId="8" fontId="0" numFmtId="0" xfId="0" applyAlignment="1" applyFont="1">
      <alignment readingOrder="0"/>
    </xf>
    <xf borderId="0" fillId="8" fontId="68" numFmtId="0" xfId="0" applyAlignment="1" applyFont="1">
      <alignment readingOrder="0"/>
    </xf>
    <xf borderId="0" fillId="8" fontId="173" numFmtId="0" xfId="0" applyAlignment="1" applyFont="1">
      <alignment horizontal="left" readingOrder="0" shrinkToFit="0" vertical="top" wrapText="0"/>
    </xf>
    <xf borderId="0" fillId="8" fontId="174" numFmtId="0" xfId="0" applyAlignment="1" applyFont="1">
      <alignment readingOrder="0"/>
    </xf>
    <xf borderId="0" fillId="8" fontId="175" numFmtId="0" xfId="0" applyAlignment="1" applyFont="1">
      <alignment readingOrder="0" shrinkToFit="0" wrapText="0"/>
    </xf>
    <xf borderId="0" fillId="8" fontId="176" numFmtId="0" xfId="0" applyAlignment="1" applyFont="1">
      <alignment readingOrder="0"/>
    </xf>
    <xf borderId="0" fillId="8" fontId="111" numFmtId="0" xfId="0" applyAlignment="1" applyFont="1">
      <alignment readingOrder="0"/>
    </xf>
    <xf borderId="0" fillId="8" fontId="148" numFmtId="0" xfId="0" applyAlignment="1" applyFont="1">
      <alignment horizontal="left" readingOrder="0"/>
    </xf>
    <xf borderId="0" fillId="8" fontId="177" numFmtId="0" xfId="0" applyAlignment="1" applyFont="1">
      <alignment readingOrder="0" shrinkToFit="0" wrapText="0"/>
    </xf>
    <xf borderId="0" fillId="8" fontId="178" numFmtId="0" xfId="0" applyAlignment="1" applyFont="1">
      <alignment readingOrder="0"/>
    </xf>
    <xf borderId="0" fillId="8" fontId="179" numFmtId="0" xfId="0" applyAlignment="1" applyFont="1">
      <alignment readingOrder="0"/>
    </xf>
    <xf borderId="0" fillId="8" fontId="180" numFmtId="0" xfId="0" applyAlignment="1" applyFont="1">
      <alignment readingOrder="0"/>
    </xf>
    <xf borderId="0" fillId="8" fontId="85" numFmtId="0" xfId="0" applyAlignment="1" applyFont="1">
      <alignment readingOrder="0"/>
    </xf>
    <xf borderId="0" fillId="8" fontId="152" numFmtId="0" xfId="0" applyAlignment="1" applyFont="1">
      <alignment horizontal="left" readingOrder="0"/>
    </xf>
    <xf borderId="0" fillId="8" fontId="148" numFmtId="0" xfId="0" applyAlignment="1" applyFont="1">
      <alignment horizontal="left" readingOrder="0"/>
    </xf>
    <xf borderId="0" fillId="8" fontId="150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8" fontId="116" numFmtId="0" xfId="0" applyAlignment="1" applyFont="1">
      <alignment horizontal="right" vertical="bottom"/>
    </xf>
    <xf borderId="0" fillId="8" fontId="116" numFmtId="0" xfId="0" applyAlignment="1" applyFont="1">
      <alignment readingOrder="0" vertical="bottom"/>
    </xf>
    <xf borderId="0" fillId="8" fontId="116" numFmtId="0" xfId="0" applyAlignment="1" applyFont="1">
      <alignment vertical="bottom"/>
    </xf>
    <xf borderId="0" fillId="8" fontId="181" numFmtId="0" xfId="0" applyAlignment="1" applyFont="1">
      <alignment horizontal="left" readingOrder="0"/>
    </xf>
    <xf borderId="0" fillId="8" fontId="132" numFmtId="0" xfId="0" applyAlignment="1" applyFont="1">
      <alignment readingOrder="0"/>
    </xf>
    <xf borderId="0" fillId="8" fontId="182" numFmtId="0" xfId="0" applyAlignment="1" applyFont="1">
      <alignment horizontal="left" readingOrder="0" shrinkToFit="0" vertical="top" wrapText="0"/>
    </xf>
    <xf borderId="0" fillId="8" fontId="183" numFmtId="0" xfId="0" applyAlignment="1" applyFont="1">
      <alignment readingOrder="0"/>
    </xf>
    <xf borderId="0" fillId="8" fontId="85" numFmtId="0" xfId="0" applyFont="1"/>
    <xf borderId="0" fillId="8" fontId="184" numFmtId="0" xfId="0" applyFont="1"/>
    <xf borderId="0" fillId="8" fontId="85" numFmtId="0" xfId="0" applyAlignment="1" applyFont="1">
      <alignment readingOrder="0"/>
    </xf>
    <xf borderId="0" fillId="8" fontId="185" numFmtId="0" xfId="0" applyAlignment="1" applyFont="1">
      <alignment readingOrder="0"/>
    </xf>
    <xf borderId="0" fillId="8" fontId="116" numFmtId="0" xfId="0" applyAlignment="1" applyFont="1">
      <alignment horizontal="left" readingOrder="0"/>
    </xf>
    <xf borderId="0" fillId="8" fontId="186" numFmtId="0" xfId="0" applyAlignment="1" applyFont="1">
      <alignment readingOrder="0"/>
    </xf>
    <xf borderId="0" fillId="8" fontId="187" numFmtId="0" xfId="0" applyAlignment="1" applyFont="1">
      <alignment horizontal="left" readingOrder="0"/>
    </xf>
    <xf borderId="0" fillId="8" fontId="132" numFmtId="0" xfId="0" applyAlignment="1" applyFont="1">
      <alignment readingOrder="0" shrinkToFit="0" wrapText="0"/>
    </xf>
    <xf borderId="0" fillId="8" fontId="98" numFmtId="0" xfId="0" applyAlignment="1" applyFont="1">
      <alignment readingOrder="0"/>
    </xf>
    <xf borderId="0" fillId="8" fontId="21" numFmtId="0" xfId="0" applyAlignment="1" applyFont="1">
      <alignment readingOrder="0"/>
    </xf>
    <xf borderId="0" fillId="8" fontId="71" numFmtId="0" xfId="0" applyAlignment="1" applyFont="1">
      <alignment readingOrder="0"/>
    </xf>
    <xf borderId="0" fillId="8" fontId="188" numFmtId="0" xfId="0" applyAlignment="1" applyFont="1">
      <alignment readingOrder="0"/>
    </xf>
    <xf borderId="0" fillId="8" fontId="106" numFmtId="0" xfId="0" applyAlignment="1" applyFont="1">
      <alignment horizontal="left" readingOrder="0"/>
    </xf>
    <xf borderId="0" fillId="8" fontId="189" numFmtId="0" xfId="0" applyAlignment="1" applyFont="1">
      <alignment readingOrder="0"/>
    </xf>
    <xf borderId="0" fillId="8" fontId="190" numFmtId="0" xfId="0" applyAlignment="1" applyFont="1">
      <alignment readingOrder="0"/>
    </xf>
    <xf borderId="0" fillId="11" fontId="118" numFmtId="0" xfId="0" applyAlignment="1" applyFont="1">
      <alignment readingOrder="0" vertical="top"/>
    </xf>
    <xf borderId="0" fillId="8" fontId="185" numFmtId="0" xfId="0" applyAlignment="1" applyFont="1">
      <alignment horizontal="left" readingOrder="0"/>
    </xf>
    <xf borderId="0" fillId="8" fontId="153" numFmtId="0" xfId="0" applyAlignment="1" applyFont="1">
      <alignment readingOrder="0"/>
    </xf>
    <xf borderId="0" fillId="8" fontId="21" numFmtId="0" xfId="0" applyAlignment="1" applyFont="1">
      <alignment readingOrder="0"/>
    </xf>
    <xf borderId="0" fillId="8" fontId="191" numFmtId="0" xfId="0" applyAlignment="1" applyFont="1">
      <alignment horizontal="left" readingOrder="0"/>
    </xf>
    <xf borderId="0" fillId="8" fontId="123" numFmtId="0" xfId="0" applyAlignment="1" applyFont="1">
      <alignment readingOrder="0" vertical="bottom"/>
    </xf>
    <xf borderId="0" fillId="8" fontId="173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0" fillId="8" fontId="192" numFmtId="0" xfId="0" applyAlignment="1" applyFont="1">
      <alignment readingOrder="0"/>
    </xf>
    <xf borderId="0" fillId="8" fontId="193" numFmtId="0" xfId="0" applyAlignment="1" applyFont="1">
      <alignment readingOrder="0"/>
    </xf>
    <xf borderId="0" fillId="11" fontId="152" numFmtId="0" xfId="0" applyAlignment="1" applyFont="1">
      <alignment readingOrder="0"/>
    </xf>
    <xf borderId="0" fillId="11" fontId="21" numFmtId="0" xfId="0" applyAlignment="1" applyFont="1">
      <alignment readingOrder="0"/>
    </xf>
    <xf borderId="0" fillId="11" fontId="1" numFmtId="164" xfId="0" applyAlignment="1" applyFont="1" applyNumberFormat="1">
      <alignment readingOrder="0"/>
    </xf>
    <xf borderId="0" fillId="11" fontId="191" numFmtId="0" xfId="0" applyAlignment="1" applyFont="1">
      <alignment readingOrder="0"/>
    </xf>
    <xf borderId="0" fillId="11" fontId="188" numFmtId="0" xfId="0" applyAlignment="1" applyFont="1">
      <alignment readingOrder="0"/>
    </xf>
    <xf borderId="0" fillId="8" fontId="27" numFmtId="0" xfId="0" applyAlignment="1" applyFont="1">
      <alignment horizontal="left" readingOrder="0"/>
    </xf>
    <xf borderId="0" fillId="8" fontId="68" numFmtId="0" xfId="0" applyAlignment="1" applyFont="1">
      <alignment horizontal="left" readingOrder="0"/>
    </xf>
    <xf borderId="0" fillId="8" fontId="194" numFmtId="0" xfId="0" applyAlignment="1" applyFont="1">
      <alignment readingOrder="0"/>
    </xf>
    <xf borderId="0" fillId="8" fontId="195" numFmtId="0" xfId="0" applyAlignment="1" applyFont="1">
      <alignment horizontal="left" readingOrder="0"/>
    </xf>
    <xf borderId="0" fillId="8" fontId="196" numFmtId="0" xfId="0" applyAlignment="1" applyFont="1">
      <alignment horizontal="left" readingOrder="0"/>
    </xf>
    <xf borderId="0" fillId="8" fontId="112" numFmtId="0" xfId="0" applyAlignment="1" applyFont="1">
      <alignment horizontal="left" readingOrder="0"/>
    </xf>
    <xf borderId="0" fillId="8" fontId="197" numFmtId="0" xfId="0" applyAlignment="1" applyFont="1">
      <alignment readingOrder="0"/>
    </xf>
    <xf borderId="0" fillId="8" fontId="198" numFmtId="0" xfId="0" applyAlignment="1" applyFont="1">
      <alignment readingOrder="0"/>
    </xf>
    <xf borderId="0" fillId="8" fontId="199" numFmtId="0" xfId="0" applyFont="1"/>
    <xf borderId="0" fillId="8" fontId="200" numFmtId="0" xfId="0" applyAlignment="1" applyFont="1">
      <alignment horizontal="center" readingOrder="0"/>
    </xf>
    <xf borderId="0" fillId="8" fontId="201" numFmtId="0" xfId="0" applyAlignment="1" applyFont="1">
      <alignment readingOrder="0"/>
    </xf>
    <xf borderId="0" fillId="8" fontId="156" numFmtId="0" xfId="0" applyAlignment="1" applyFont="1">
      <alignment readingOrder="0"/>
    </xf>
    <xf borderId="0" fillId="8" fontId="202" numFmtId="0" xfId="0" applyAlignment="1" applyFont="1">
      <alignment readingOrder="0"/>
    </xf>
    <xf borderId="0" fillId="8" fontId="85" numFmtId="0" xfId="0" applyFont="1"/>
    <xf borderId="0" fillId="0" fontId="1" numFmtId="170" xfId="0" applyAlignment="1" applyFont="1" applyNumberFormat="1">
      <alignment readingOrder="0"/>
    </xf>
    <xf borderId="0" fillId="3" fontId="203" numFmtId="0" xfId="0" applyAlignment="1" applyFont="1">
      <alignment readingOrder="0"/>
    </xf>
    <xf borderId="0" fillId="8" fontId="204" numFmtId="0" xfId="0" applyAlignment="1" applyFont="1">
      <alignment readingOrder="0"/>
    </xf>
    <xf borderId="0" fillId="8" fontId="205" numFmtId="0" xfId="0" applyAlignment="1" applyFont="1">
      <alignment readingOrder="0"/>
    </xf>
    <xf borderId="0" fillId="8" fontId="204" numFmtId="0" xfId="0" applyAlignment="1" applyFont="1">
      <alignment horizontal="left" readingOrder="0"/>
    </xf>
    <xf borderId="0" fillId="8" fontId="195" numFmtId="0" xfId="0" applyAlignment="1" applyFont="1">
      <alignment horizontal="left" readingOrder="0" vertical="top"/>
    </xf>
    <xf borderId="0" fillId="8" fontId="206" numFmtId="0" xfId="0" applyAlignment="1" applyFont="1">
      <alignment horizontal="left"/>
    </xf>
    <xf borderId="0" fillId="8" fontId="117" numFmtId="0" xfId="0" applyAlignment="1" applyFont="1">
      <alignment horizontal="left" readingOrder="0"/>
    </xf>
    <xf borderId="0" fillId="8" fontId="63" numFmtId="0" xfId="0" applyAlignment="1" applyFont="1">
      <alignment horizontal="left" readingOrder="0"/>
    </xf>
    <xf borderId="0" fillId="8" fontId="148" numFmtId="0" xfId="0" applyAlignment="1" applyFont="1">
      <alignment readingOrder="0"/>
    </xf>
    <xf borderId="0" fillId="8" fontId="207" numFmtId="0" xfId="0" applyFont="1"/>
    <xf borderId="0" fillId="8" fontId="85" numFmtId="0" xfId="0" applyAlignment="1" applyFont="1">
      <alignment readingOrder="0"/>
    </xf>
    <xf borderId="0" fillId="8" fontId="208" numFmtId="0" xfId="0" applyAlignment="1" applyFont="1">
      <alignment readingOrder="0"/>
    </xf>
    <xf borderId="0" fillId="8" fontId="209" numFmtId="0" xfId="0" applyAlignment="1" applyFont="1">
      <alignment readingOrder="0"/>
    </xf>
    <xf borderId="0" fillId="2" fontId="1" numFmtId="0" xfId="0" applyFont="1"/>
    <xf borderId="0" fillId="11" fontId="121" numFmtId="0" xfId="0" applyAlignment="1" applyFont="1">
      <alignment readingOrder="0"/>
    </xf>
    <xf borderId="0" fillId="8" fontId="46" numFmtId="0" xfId="0" applyAlignment="1" applyFont="1">
      <alignment readingOrder="0"/>
    </xf>
    <xf borderId="0" fillId="3" fontId="148" numFmtId="0" xfId="0" applyAlignment="1" applyFont="1">
      <alignment readingOrder="0"/>
    </xf>
    <xf borderId="0" fillId="8" fontId="209" numFmtId="0" xfId="0" applyAlignment="1" applyFont="1">
      <alignment horizontal="left" readingOrder="0"/>
    </xf>
    <xf borderId="0" fillId="8" fontId="210" numFmtId="0" xfId="0" applyAlignment="1" applyFont="1">
      <alignment readingOrder="0"/>
    </xf>
    <xf borderId="0" fillId="8" fontId="111" numFmtId="0" xfId="0" applyAlignment="1" applyFont="1">
      <alignment horizontal="left" readingOrder="0"/>
    </xf>
    <xf borderId="0" fillId="8" fontId="211" numFmtId="0" xfId="0" applyAlignment="1" applyFont="1">
      <alignment readingOrder="0"/>
    </xf>
    <xf borderId="0" fillId="8" fontId="146" numFmtId="0" xfId="0" applyAlignment="1" applyFont="1">
      <alignment horizontal="left" readingOrder="0"/>
    </xf>
    <xf borderId="0" fillId="8" fontId="146" numFmtId="0" xfId="0" applyFont="1"/>
    <xf borderId="0" fillId="8" fontId="206" numFmtId="0" xfId="0" applyAlignment="1" applyFont="1">
      <alignment horizontal="left" readingOrder="0"/>
    </xf>
    <xf borderId="0" fillId="3" fontId="121" numFmtId="0" xfId="0" applyAlignment="1" applyFont="1">
      <alignment readingOrder="0"/>
    </xf>
    <xf borderId="0" fillId="8" fontId="178" numFmtId="0" xfId="0" applyAlignment="1" applyFont="1">
      <alignment horizontal="left" readingOrder="0"/>
    </xf>
    <xf borderId="0" fillId="8" fontId="82" numFmtId="0" xfId="0" applyAlignment="1" applyFont="1">
      <alignment readingOrder="0"/>
    </xf>
    <xf borderId="0" fillId="8" fontId="121" numFmtId="0" xfId="0" applyAlignment="1" applyFont="1">
      <alignment horizontal="left" readingOrder="0"/>
    </xf>
    <xf borderId="0" fillId="8" fontId="19" numFmtId="0" xfId="0" applyAlignment="1" applyFont="1">
      <alignment readingOrder="0"/>
    </xf>
    <xf borderId="0" fillId="3" fontId="206" numFmtId="0" xfId="0" applyAlignment="1" applyFont="1">
      <alignment horizontal="left" readingOrder="0"/>
    </xf>
    <xf borderId="0" fillId="8" fontId="1" numFmtId="167" xfId="0" applyAlignment="1" applyFont="1" applyNumberFormat="1">
      <alignment readingOrder="0"/>
    </xf>
    <xf borderId="0" fillId="8" fontId="191" numFmtId="0" xfId="0" applyAlignment="1" applyFont="1">
      <alignment readingOrder="0"/>
    </xf>
    <xf borderId="0" fillId="8" fontId="212" numFmtId="0" xfId="0" applyAlignment="1" applyFont="1">
      <alignment horizontal="left" readingOrder="0"/>
    </xf>
    <xf borderId="0" fillId="8" fontId="213" numFmtId="0" xfId="0" applyAlignment="1" applyFont="1">
      <alignment readingOrder="0"/>
    </xf>
    <xf borderId="0" fillId="8" fontId="214" numFmtId="0" xfId="0" applyAlignment="1" applyFont="1">
      <alignment readingOrder="0" shrinkToFit="0" wrapText="0"/>
    </xf>
    <xf borderId="0" fillId="8" fontId="9" numFmtId="0" xfId="0" applyAlignment="1" applyFont="1">
      <alignment readingOrder="0"/>
    </xf>
    <xf borderId="0" fillId="3" fontId="17" numFmtId="0" xfId="0" applyAlignment="1" applyFont="1">
      <alignment readingOrder="0"/>
    </xf>
    <xf borderId="0" fillId="3" fontId="215" numFmtId="0" xfId="0" applyAlignment="1" applyFont="1">
      <alignment readingOrder="0"/>
    </xf>
    <xf borderId="0" fillId="8" fontId="11" numFmtId="0" xfId="0" applyAlignment="1" applyFont="1">
      <alignment readingOrder="0"/>
    </xf>
    <xf borderId="0" fillId="8" fontId="216" numFmtId="0" xfId="0" applyAlignment="1" applyFont="1">
      <alignment readingOrder="0"/>
    </xf>
    <xf borderId="0" fillId="8" fontId="1" numFmtId="0" xfId="0" applyFont="1"/>
    <xf borderId="0" fillId="8" fontId="217" numFmtId="0" xfId="0" applyFont="1"/>
    <xf borderId="0" fillId="8" fontId="205" numFmtId="0" xfId="0" applyAlignment="1" applyFont="1">
      <alignment horizontal="left" readingOrder="0" shrinkToFit="0" wrapText="1"/>
    </xf>
    <xf borderId="0" fillId="0" fontId="218" numFmtId="0" xfId="0" applyAlignment="1" applyFont="1">
      <alignment shrinkToFit="0" wrapText="1"/>
    </xf>
    <xf borderId="0" fillId="8" fontId="219" numFmtId="0" xfId="0" applyAlignment="1" applyFont="1">
      <alignment horizontal="left" readingOrder="0" shrinkToFit="0" vertical="top" wrapText="0"/>
    </xf>
    <xf borderId="0" fillId="3" fontId="32" numFmtId="0" xfId="0" applyAlignment="1" applyFont="1">
      <alignment horizontal="right" shrinkToFit="0" vertical="top" wrapText="0"/>
    </xf>
    <xf borderId="0" fillId="8" fontId="220" numFmtId="0" xfId="0" applyAlignment="1" applyFont="1">
      <alignment readingOrder="0" vertical="top"/>
    </xf>
    <xf borderId="0" fillId="8" fontId="1" numFmtId="4" xfId="0" applyAlignment="1" applyFont="1" applyNumberFormat="1">
      <alignment readingOrder="0"/>
    </xf>
    <xf borderId="0" fillId="3" fontId="82" numFmtId="0" xfId="0" applyAlignment="1" applyFont="1">
      <alignment readingOrder="0"/>
    </xf>
    <xf borderId="0" fillId="3" fontId="221" numFmtId="0" xfId="0" applyAlignment="1" applyFont="1">
      <alignment readingOrder="0"/>
    </xf>
    <xf borderId="0" fillId="8" fontId="46" numFmtId="0" xfId="0" applyAlignment="1" applyFont="1">
      <alignment horizontal="left" readingOrder="0"/>
    </xf>
    <xf borderId="0" fillId="8" fontId="222" numFmtId="0" xfId="0" applyAlignment="1" applyFont="1">
      <alignment readingOrder="0"/>
    </xf>
    <xf borderId="0" fillId="8" fontId="215" numFmtId="0" xfId="0" applyAlignment="1" applyFont="1">
      <alignment readingOrder="0"/>
    </xf>
    <xf borderId="0" fillId="3" fontId="219" numFmtId="0" xfId="0" applyAlignment="1" applyFont="1">
      <alignment horizontal="left" readingOrder="0" shrinkToFit="0" vertical="top" wrapText="0"/>
    </xf>
    <xf borderId="0" fillId="8" fontId="223" numFmtId="0" xfId="0" applyAlignment="1" applyFont="1">
      <alignment readingOrder="0"/>
    </xf>
    <xf borderId="0" fillId="27" fontId="111" numFmtId="0" xfId="0" applyAlignment="1" applyFill="1" applyFont="1">
      <alignment horizontal="left" readingOrder="0"/>
    </xf>
    <xf borderId="0" fillId="8" fontId="224" numFmtId="0" xfId="0" applyAlignment="1" applyFont="1">
      <alignment readingOrder="0"/>
    </xf>
    <xf borderId="0" fillId="8" fontId="102" numFmtId="0" xfId="0" applyAlignment="1" applyFont="1">
      <alignment readingOrder="0" shrinkToFit="0" wrapText="0"/>
    </xf>
    <xf borderId="0" fillId="0" fontId="152" numFmtId="0" xfId="0" applyAlignment="1" applyFont="1">
      <alignment horizontal="left" readingOrder="0"/>
    </xf>
    <xf borderId="0" fillId="3" fontId="50" numFmtId="0" xfId="0" applyAlignment="1" applyFont="1">
      <alignment horizontal="left" readingOrder="0"/>
    </xf>
    <xf borderId="0" fillId="8" fontId="225" numFmtId="0" xfId="0" applyAlignment="1" applyFont="1">
      <alignment readingOrder="0"/>
    </xf>
    <xf borderId="0" fillId="8" fontId="226" numFmtId="0" xfId="0" applyAlignment="1" applyFont="1">
      <alignment readingOrder="0"/>
    </xf>
    <xf borderId="0" fillId="8" fontId="227" numFmtId="0" xfId="0" applyAlignment="1" applyFont="1">
      <alignment readingOrder="0"/>
    </xf>
    <xf borderId="0" fillId="8" fontId="136" numFmtId="0" xfId="0" applyAlignment="1" applyFont="1">
      <alignment readingOrder="0"/>
    </xf>
    <xf borderId="0" fillId="0" fontId="152" numFmtId="0" xfId="0" applyAlignment="1" applyFont="1">
      <alignment readingOrder="0"/>
    </xf>
    <xf borderId="0" fillId="27" fontId="46" numFmtId="0" xfId="0" applyAlignment="1" applyFont="1">
      <alignment horizontal="left" readingOrder="0"/>
    </xf>
    <xf borderId="0" fillId="6" fontId="111" numFmtId="0" xfId="0" applyAlignment="1" applyFont="1">
      <alignment horizontal="left" readingOrder="0"/>
    </xf>
    <xf borderId="0" fillId="3" fontId="111" numFmtId="0" xfId="0" applyAlignment="1" applyFont="1">
      <alignment horizontal="left" readingOrder="0"/>
    </xf>
    <xf borderId="0" fillId="8" fontId="228" numFmtId="0" xfId="0" applyAlignment="1" applyFont="1">
      <alignment readingOrder="0"/>
    </xf>
    <xf borderId="0" fillId="8" fontId="229" numFmtId="0" xfId="0" applyAlignment="1" applyFont="1">
      <alignment horizontal="left" readingOrder="0"/>
    </xf>
    <xf borderId="0" fillId="8" fontId="4" numFmtId="0" xfId="0" applyAlignment="1" applyFont="1">
      <alignment vertical="bottom"/>
    </xf>
    <xf borderId="0" fillId="8" fontId="230" numFmtId="0" xfId="0" applyAlignment="1" applyFont="1">
      <alignment readingOrder="0"/>
    </xf>
    <xf borderId="0" fillId="8" fontId="179" numFmtId="0" xfId="0" applyAlignment="1" applyFont="1">
      <alignment horizontal="center" readingOrder="0" vertical="top"/>
    </xf>
    <xf borderId="0" fillId="3" fontId="136" numFmtId="0" xfId="0" applyAlignment="1" applyFont="1">
      <alignment readingOrder="0"/>
    </xf>
    <xf borderId="0" fillId="8" fontId="49" numFmtId="0" xfId="0" applyAlignment="1" applyFont="1">
      <alignment horizontal="left" readingOrder="0" shrinkToFit="0" wrapText="0"/>
    </xf>
    <xf borderId="5" fillId="8" fontId="148" numFmtId="0" xfId="0" applyAlignment="1" applyBorder="1" applyFont="1">
      <alignment readingOrder="0"/>
    </xf>
    <xf borderId="0" fillId="8" fontId="231" numFmtId="0" xfId="0" applyAlignment="1" applyFont="1">
      <alignment readingOrder="0"/>
    </xf>
    <xf borderId="0" fillId="8" fontId="150" numFmtId="0" xfId="0" applyAlignment="1" applyFont="1">
      <alignment readingOrder="0"/>
    </xf>
    <xf borderId="0" fillId="8" fontId="232" numFmtId="0" xfId="0" applyAlignment="1" applyFont="1">
      <alignment readingOrder="0"/>
    </xf>
    <xf borderId="8" fillId="8" fontId="148" numFmtId="0" xfId="0" applyAlignment="1" applyBorder="1" applyFont="1">
      <alignment readingOrder="0"/>
    </xf>
    <xf borderId="0" fillId="3" fontId="23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150" numFmtId="0" xfId="0" applyAlignment="1" applyFont="1">
      <alignment vertical="bottom"/>
    </xf>
    <xf borderId="0" fillId="0" fontId="234" numFmtId="0" xfId="0" applyAlignment="1" applyFont="1">
      <alignment shrinkToFit="0" vertical="bottom" wrapText="0"/>
    </xf>
    <xf borderId="0" fillId="3" fontId="40" numFmtId="0" xfId="0" applyAlignment="1" applyFont="1">
      <alignment horizontal="left" readingOrder="0"/>
    </xf>
    <xf borderId="0" fillId="0" fontId="4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0"/>
    </xf>
    <xf borderId="0" fillId="0" fontId="154" numFmtId="0" xfId="0" applyAlignment="1" applyFont="1">
      <alignment readingOrder="0"/>
    </xf>
    <xf borderId="0" fillId="8" fontId="235" numFmtId="0" xfId="0" applyAlignment="1" applyFont="1">
      <alignment readingOrder="0"/>
    </xf>
    <xf borderId="0" fillId="8" fontId="236" numFmtId="0" xfId="0" applyAlignment="1" applyFont="1">
      <alignment readingOrder="0"/>
    </xf>
    <xf borderId="0" fillId="8" fontId="4" numFmtId="0" xfId="0" applyFont="1"/>
    <xf borderId="0" fillId="8" fontId="19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8" fontId="237" numFmtId="0" xfId="0" applyAlignment="1" applyFont="1">
      <alignment readingOrder="0"/>
    </xf>
    <xf borderId="0" fillId="8" fontId="238" numFmtId="0" xfId="0" applyAlignment="1" applyFont="1">
      <alignment horizontal="left" readingOrder="0"/>
    </xf>
    <xf borderId="0" fillId="3" fontId="144" numFmtId="0" xfId="0" applyAlignment="1" applyFont="1">
      <alignment readingOrder="0"/>
    </xf>
    <xf borderId="0" fillId="11" fontId="178" numFmtId="0" xfId="0" applyAlignment="1" applyFont="1">
      <alignment readingOrder="0"/>
    </xf>
    <xf borderId="0" fillId="8" fontId="239" numFmtId="0" xfId="0" applyAlignment="1" applyFont="1">
      <alignment readingOrder="0" shrinkToFit="0" wrapText="0"/>
    </xf>
    <xf borderId="0" fillId="3" fontId="178" numFmtId="0" xfId="0" applyAlignment="1" applyFont="1">
      <alignment readingOrder="0"/>
    </xf>
    <xf borderId="0" fillId="3" fontId="1" numFmtId="0" xfId="0" applyAlignment="1" applyFont="1">
      <alignment readingOrder="0"/>
    </xf>
    <xf borderId="0" fillId="28" fontId="239" numFmtId="0" xfId="0" applyAlignment="1" applyFill="1" applyFont="1">
      <alignment readingOrder="0" shrinkToFit="0" wrapText="0"/>
    </xf>
    <xf borderId="0" fillId="8" fontId="240" numFmtId="0" xfId="0" applyAlignment="1" applyFont="1">
      <alignment horizontal="left" readingOrder="0"/>
    </xf>
    <xf borderId="9" fillId="8" fontId="47" numFmtId="0" xfId="0" applyAlignment="1" applyBorder="1" applyFont="1">
      <alignment horizontal="left" readingOrder="0"/>
    </xf>
    <xf borderId="0" fillId="8" fontId="241" numFmtId="0" xfId="0" applyAlignment="1" applyFont="1">
      <alignment readingOrder="0"/>
    </xf>
    <xf borderId="0" fillId="0" fontId="148" numFmtId="0" xfId="0" applyAlignment="1" applyFont="1">
      <alignment horizontal="left" readingOrder="0"/>
    </xf>
    <xf borderId="0" fillId="3" fontId="92" numFmtId="164" xfId="0" applyAlignment="1" applyFont="1" applyNumberFormat="1">
      <alignment readingOrder="0"/>
    </xf>
    <xf borderId="4" fillId="8" fontId="242" numFmtId="0" xfId="0" applyAlignment="1" applyBorder="1" applyFont="1">
      <alignment horizontal="left" readingOrder="0" shrinkToFit="0" wrapText="0"/>
    </xf>
    <xf borderId="0" fillId="8" fontId="156" numFmtId="0" xfId="0" applyAlignment="1" applyFont="1">
      <alignment readingOrder="0"/>
    </xf>
    <xf borderId="0" fillId="8" fontId="243" numFmtId="0" xfId="0" applyAlignment="1" applyFont="1">
      <alignment horizontal="left" readingOrder="0" shrinkToFit="0" vertical="top" wrapText="0"/>
    </xf>
    <xf borderId="0" fillId="8" fontId="244" numFmtId="0" xfId="0" applyAlignment="1" applyFont="1">
      <alignment readingOrder="0"/>
    </xf>
    <xf borderId="0" fillId="8" fontId="245" numFmtId="0" xfId="0" applyAlignment="1" applyFont="1">
      <alignment readingOrder="0"/>
    </xf>
    <xf borderId="0" fillId="16" fontId="111" numFmtId="0" xfId="0" applyAlignment="1" applyFont="1">
      <alignment horizontal="left" readingOrder="0"/>
    </xf>
    <xf borderId="0" fillId="8" fontId="246" numFmtId="0" xfId="0" applyAlignment="1" applyFont="1">
      <alignment readingOrder="0"/>
    </xf>
    <xf borderId="0" fillId="16" fontId="46" numFmtId="0" xfId="0" applyAlignment="1" applyFont="1">
      <alignment readingOrder="0"/>
    </xf>
    <xf borderId="0" fillId="29" fontId="247" numFmtId="0" xfId="0" applyAlignment="1" applyFill="1" applyFont="1">
      <alignment horizontal="left" readingOrder="0"/>
    </xf>
    <xf borderId="10" fillId="8" fontId="248" numFmtId="0" xfId="0" applyAlignment="1" applyBorder="1" applyFont="1">
      <alignment horizontal="left" readingOrder="0" vertical="top"/>
    </xf>
    <xf borderId="0" fillId="8" fontId="15" numFmtId="0" xfId="0" applyAlignment="1" applyFont="1">
      <alignment horizontal="left" readingOrder="0"/>
    </xf>
    <xf borderId="0" fillId="8" fontId="2" numFmtId="0" xfId="0" applyAlignment="1" applyFont="1">
      <alignment horizontal="left" readingOrder="0" shrinkToFit="0" vertical="bottom" wrapText="0"/>
    </xf>
    <xf borderId="0" fillId="8" fontId="249" numFmtId="0" xfId="0" applyAlignment="1" applyFont="1">
      <alignment horizontal="left" readingOrder="0"/>
    </xf>
    <xf borderId="0" fillId="30" fontId="1" numFmtId="0" xfId="0" applyAlignment="1" applyFill="1" applyFont="1">
      <alignment readingOrder="0"/>
    </xf>
    <xf borderId="0" fillId="8" fontId="15" numFmtId="0" xfId="0" applyAlignment="1" applyFont="1">
      <alignment readingOrder="0"/>
    </xf>
    <xf borderId="0" fillId="8" fontId="124" numFmtId="0" xfId="0" applyAlignment="1" applyFont="1">
      <alignment horizontal="left" readingOrder="0" shrinkToFit="0" wrapText="1"/>
    </xf>
    <xf borderId="0" fillId="8" fontId="35" numFmtId="0" xfId="0" applyAlignment="1" applyFont="1">
      <alignment readingOrder="0" shrinkToFit="0" wrapText="0"/>
    </xf>
    <xf borderId="0" fillId="11" fontId="2" numFmtId="0" xfId="0" applyAlignment="1" applyFont="1">
      <alignment horizontal="left" readingOrder="0" shrinkToFit="0" vertical="bottom" wrapText="0"/>
    </xf>
    <xf borderId="0" fillId="11" fontId="44" numFmtId="0" xfId="0" applyAlignment="1" applyFont="1">
      <alignment readingOrder="0" shrinkToFit="0" vertical="bottom" wrapText="0"/>
    </xf>
    <xf borderId="0" fillId="11" fontId="9" numFmtId="0" xfId="0" applyAlignment="1" applyFont="1">
      <alignment readingOrder="0" vertical="top"/>
    </xf>
    <xf borderId="0" fillId="11" fontId="2" numFmtId="0" xfId="0" applyAlignment="1" applyFont="1">
      <alignment readingOrder="0" shrinkToFit="0" vertical="bottom" wrapText="0"/>
    </xf>
    <xf borderId="0" fillId="3" fontId="44" numFmtId="0" xfId="0" applyAlignment="1" applyFont="1">
      <alignment readingOrder="0" shrinkToFit="0" vertical="bottom" wrapText="0"/>
    </xf>
    <xf borderId="0" fillId="8" fontId="250" numFmtId="0" xfId="0" applyAlignment="1" applyFont="1">
      <alignment horizontal="left" readingOrder="0"/>
    </xf>
    <xf borderId="0" fillId="8" fontId="136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8" fontId="251" numFmtId="0" xfId="0" applyAlignment="1" applyFont="1">
      <alignment readingOrder="0"/>
    </xf>
    <xf borderId="0" fillId="8" fontId="252" numFmtId="0" xfId="0" applyAlignment="1" applyFont="1">
      <alignment readingOrder="0"/>
    </xf>
    <xf borderId="0" fillId="8" fontId="15" numFmtId="0" xfId="0" applyAlignment="1" applyFont="1">
      <alignment horizontal="left" readingOrder="0"/>
    </xf>
    <xf borderId="0" fillId="8" fontId="253" numFmtId="0" xfId="0" applyAlignment="1" applyFont="1">
      <alignment horizontal="left" readingOrder="0"/>
    </xf>
    <xf borderId="0" fillId="8" fontId="254" numFmtId="0" xfId="0" applyAlignment="1" applyFont="1">
      <alignment readingOrder="0"/>
    </xf>
    <xf borderId="0" fillId="8" fontId="255" numFmtId="0" xfId="0" applyAlignment="1" applyFont="1">
      <alignment readingOrder="0"/>
    </xf>
    <xf borderId="0" fillId="8" fontId="150" numFmtId="0" xfId="0" applyAlignment="1" applyFont="1">
      <alignment readingOrder="0"/>
    </xf>
    <xf borderId="0" fillId="3" fontId="150" numFmtId="0" xfId="0" applyAlignment="1" applyFont="1">
      <alignment readingOrder="0"/>
    </xf>
    <xf borderId="0" fillId="8" fontId="256" numFmtId="0" xfId="0" applyAlignment="1" applyFont="1">
      <alignment readingOrder="0"/>
    </xf>
    <xf borderId="0" fillId="2" fontId="12" numFmtId="0" xfId="0" applyAlignment="1" applyFont="1">
      <alignment readingOrder="0"/>
    </xf>
    <xf borderId="4" fillId="8" fontId="49" numFmtId="0" xfId="0" applyAlignment="1" applyBorder="1" applyFont="1">
      <alignment horizontal="left" readingOrder="0" shrinkToFit="0" wrapText="0"/>
    </xf>
    <xf borderId="0" fillId="8" fontId="257" numFmtId="0" xfId="0" applyAlignment="1" applyFont="1">
      <alignment readingOrder="0" vertical="bottom"/>
    </xf>
    <xf borderId="3" fillId="3" fontId="92" numFmtId="0" xfId="0" applyAlignment="1" applyBorder="1" applyFont="1">
      <alignment readingOrder="0" vertical="top"/>
    </xf>
    <xf borderId="0" fillId="31" fontId="21" numFmtId="0" xfId="0" applyAlignment="1" applyFill="1" applyFont="1">
      <alignment readingOrder="0"/>
    </xf>
    <xf borderId="0" fillId="8" fontId="258" numFmtId="0" xfId="0" applyAlignment="1" applyFont="1">
      <alignment readingOrder="0"/>
    </xf>
    <xf borderId="0" fillId="8" fontId="259" numFmtId="0" xfId="0" applyAlignment="1" applyFont="1">
      <alignment horizontal="left" readingOrder="0"/>
    </xf>
    <xf borderId="0" fillId="8" fontId="260" numFmtId="0" xfId="0" applyAlignment="1" applyFont="1">
      <alignment readingOrder="0"/>
    </xf>
    <xf borderId="0" fillId="8" fontId="261" numFmtId="0" xfId="0" applyAlignment="1" applyFont="1">
      <alignment readingOrder="0"/>
    </xf>
    <xf borderId="0" fillId="8" fontId="262" numFmtId="0" xfId="0" applyAlignment="1" applyFont="1">
      <alignment horizontal="left" readingOrder="0"/>
    </xf>
    <xf borderId="0" fillId="8" fontId="82" numFmtId="0" xfId="0" applyAlignment="1" applyFont="1">
      <alignment horizontal="left" readingOrder="0" vertical="bottom"/>
    </xf>
    <xf borderId="0" fillId="8" fontId="261" numFmtId="0" xfId="0" applyAlignment="1" applyFont="1">
      <alignment horizontal="left" readingOrder="0"/>
    </xf>
    <xf borderId="0" fillId="0" fontId="85" numFmtId="0" xfId="0" applyAlignment="1" applyFont="1">
      <alignment readingOrder="0"/>
    </xf>
    <xf borderId="0" fillId="8" fontId="263" numFmtId="0" xfId="0" applyAlignment="1" applyFont="1">
      <alignment readingOrder="0"/>
    </xf>
    <xf borderId="0" fillId="8" fontId="264" numFmtId="0" xfId="0" applyAlignment="1" applyFont="1">
      <alignment readingOrder="0"/>
    </xf>
    <xf borderId="0" fillId="3" fontId="265" numFmtId="0" xfId="0" applyAlignment="1" applyFont="1">
      <alignment readingOrder="0"/>
    </xf>
    <xf borderId="0" fillId="2" fontId="15" numFmtId="0" xfId="0" applyAlignment="1" applyFont="1">
      <alignment readingOrder="0"/>
    </xf>
    <xf borderId="0" fillId="8" fontId="266" numFmtId="0" xfId="0" applyAlignment="1" applyFont="1">
      <alignment horizontal="left" readingOrder="0"/>
    </xf>
    <xf borderId="0" fillId="0" fontId="267" numFmtId="0" xfId="0" applyAlignment="1" applyFont="1">
      <alignment horizontal="left" readingOrder="0"/>
    </xf>
    <xf borderId="0" fillId="8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8" fontId="44" numFmtId="164" xfId="0" applyAlignment="1" applyFont="1" applyNumberFormat="1">
      <alignment readingOrder="0" shrinkToFit="0" vertical="bottom" wrapText="0"/>
    </xf>
    <xf borderId="0" fillId="8" fontId="4" numFmtId="164" xfId="0" applyAlignment="1" applyFont="1" applyNumberFormat="1">
      <alignment readingOrder="0" vertical="bottom"/>
    </xf>
    <xf borderId="0" fillId="8" fontId="268" numFmtId="0" xfId="0" applyAlignment="1" applyFont="1">
      <alignment vertical="bottom"/>
    </xf>
    <xf borderId="0" fillId="8" fontId="269" numFmtId="0" xfId="0" applyAlignment="1" applyFont="1">
      <alignment readingOrder="0"/>
    </xf>
    <xf borderId="0" fillId="8" fontId="270" numFmtId="0" xfId="0" applyAlignment="1" applyFont="1">
      <alignment readingOrder="0"/>
    </xf>
    <xf borderId="0" fillId="3" fontId="271" numFmtId="0" xfId="0" applyAlignment="1" applyFont="1">
      <alignment readingOrder="0" shrinkToFit="0" wrapText="0"/>
    </xf>
    <xf borderId="0" fillId="8" fontId="272" numFmtId="0" xfId="0" applyAlignment="1" applyFont="1">
      <alignment readingOrder="0"/>
    </xf>
    <xf borderId="0" fillId="3" fontId="273" numFmtId="0" xfId="0" applyAlignment="1" applyFont="1">
      <alignment readingOrder="0"/>
    </xf>
    <xf borderId="0" fillId="8" fontId="274" numFmtId="0" xfId="0" applyAlignment="1" applyFont="1">
      <alignment horizontal="left" readingOrder="0"/>
    </xf>
    <xf borderId="0" fillId="8" fontId="12" numFmtId="0" xfId="0" applyAlignment="1" applyFont="1">
      <alignment horizontal="left" readingOrder="0" shrinkToFit="0" vertical="top" wrapText="0"/>
    </xf>
    <xf borderId="0" fillId="2" fontId="275" numFmtId="0" xfId="0" applyAlignment="1" applyFont="1">
      <alignment readingOrder="0"/>
    </xf>
    <xf borderId="0" fillId="8" fontId="276" numFmtId="0" xfId="0" applyAlignment="1" applyFont="1">
      <alignment horizontal="left" readingOrder="0"/>
    </xf>
    <xf borderId="0" fillId="8" fontId="277" numFmtId="0" xfId="0" applyAlignment="1" applyFont="1">
      <alignment readingOrder="0"/>
    </xf>
    <xf borderId="0" fillId="8" fontId="1" numFmtId="170" xfId="0" applyAlignment="1" applyFont="1" applyNumberFormat="1">
      <alignment readingOrder="0"/>
    </xf>
    <xf borderId="0" fillId="8" fontId="82" numFmtId="0" xfId="0" applyAlignment="1" applyFont="1">
      <alignment readingOrder="0"/>
    </xf>
    <xf borderId="0" fillId="8" fontId="72" numFmtId="0" xfId="0" applyAlignment="1" applyFont="1">
      <alignment readingOrder="0"/>
    </xf>
    <xf borderId="0" fillId="8" fontId="278" numFmtId="0" xfId="0" applyAlignment="1" applyFont="1">
      <alignment horizontal="left" readingOrder="0"/>
    </xf>
    <xf borderId="0" fillId="8" fontId="279" numFmtId="0" xfId="0" applyAlignment="1" applyFont="1">
      <alignment readingOrder="0"/>
    </xf>
    <xf borderId="0" fillId="8" fontId="68" numFmtId="0" xfId="0" applyAlignment="1" applyFont="1">
      <alignment horizontal="left" readingOrder="0"/>
    </xf>
    <xf borderId="5" fillId="8" fontId="66" numFmtId="0" xfId="0" applyAlignment="1" applyBorder="1" applyFont="1">
      <alignment readingOrder="0"/>
    </xf>
    <xf borderId="0" fillId="8" fontId="280" numFmtId="0" xfId="0" applyAlignment="1" applyFont="1">
      <alignment readingOrder="0"/>
    </xf>
    <xf borderId="0" fillId="8" fontId="281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233" numFmtId="0" xfId="0" applyAlignment="1" applyFont="1">
      <alignment vertical="top"/>
    </xf>
    <xf borderId="0" fillId="3" fontId="244" numFmtId="0" xfId="0" applyAlignment="1" applyFont="1">
      <alignment horizontal="left" readingOrder="0" shrinkToFit="0" wrapText="0"/>
    </xf>
    <xf borderId="0" fillId="32" fontId="1" numFmtId="0" xfId="0" applyAlignment="1" applyFill="1" applyFont="1">
      <alignment readingOrder="0"/>
    </xf>
    <xf borderId="0" fillId="3" fontId="46" numFmtId="0" xfId="0" applyAlignment="1" applyFont="1">
      <alignment readingOrder="0"/>
    </xf>
    <xf borderId="0" fillId="0" fontId="282" numFmtId="0" xfId="0" applyAlignment="1" applyFont="1">
      <alignment horizontal="left" readingOrder="0"/>
    </xf>
    <xf borderId="0" fillId="0" fontId="283" numFmtId="0" xfId="0" applyAlignment="1" applyFont="1">
      <alignment horizontal="left" readingOrder="0"/>
    </xf>
    <xf borderId="0" fillId="3" fontId="284" numFmtId="0" xfId="0" applyAlignment="1" applyFont="1">
      <alignment horizontal="left" readingOrder="0"/>
    </xf>
    <xf borderId="0" fillId="33" fontId="281" numFmtId="0" xfId="0" applyAlignment="1" applyFill="1" applyFont="1">
      <alignment horizontal="center" readingOrder="0" shrinkToFit="0" vertical="bottom" wrapText="1"/>
    </xf>
    <xf borderId="0" fillId="33" fontId="281" numFmtId="0" xfId="0" applyAlignment="1" applyFont="1">
      <alignment horizontal="center" shrinkToFit="0" vertical="bottom" wrapText="1"/>
    </xf>
    <xf borderId="0" fillId="33" fontId="281" numFmtId="0" xfId="0" applyAlignment="1" applyFont="1">
      <alignment horizontal="center" shrinkToFit="0" vertical="bottom" wrapText="0"/>
    </xf>
    <xf borderId="0" fillId="34" fontId="1" numFmtId="0" xfId="0" applyFill="1" applyFont="1"/>
    <xf borderId="0" fillId="34" fontId="1" numFmtId="0" xfId="0" applyAlignment="1" applyFont="1">
      <alignment readingOrder="0"/>
    </xf>
    <xf borderId="0" fillId="34" fontId="1" numFmtId="0" xfId="0" applyAlignment="1" applyFont="1">
      <alignment readingOrder="0" shrinkToFit="0" wrapText="0"/>
    </xf>
    <xf borderId="0" fillId="35" fontId="1" numFmtId="167" xfId="0" applyAlignment="1" applyFill="1" applyFont="1" applyNumberFormat="1">
      <alignment readingOrder="0"/>
    </xf>
    <xf borderId="0" fillId="35" fontId="1" numFmtId="0" xfId="0" applyFont="1"/>
    <xf borderId="0" fillId="35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6" fontId="15" numFmtId="0" xfId="0" applyAlignment="1" applyFont="1">
      <alignment readingOrder="0"/>
    </xf>
    <xf borderId="0" fillId="6" fontId="1" numFmtId="0" xfId="0" applyAlignment="1" applyFont="1">
      <alignment readingOrder="0" shrinkToFit="0" wrapText="0"/>
    </xf>
    <xf borderId="0" fillId="34" fontId="1" numFmtId="167" xfId="0" applyAlignment="1" applyFont="1" applyNumberFormat="1">
      <alignment readingOrder="0"/>
    </xf>
    <xf borderId="0" fillId="34" fontId="1" numFmtId="0" xfId="0" applyAlignment="1" applyFont="1">
      <alignment shrinkToFit="0" wrapText="0"/>
    </xf>
    <xf borderId="0" fillId="3" fontId="1" numFmtId="0" xfId="0" applyAlignment="1" applyFont="1">
      <alignment readingOrder="0" shrinkToFit="0" wrapText="0"/>
    </xf>
    <xf borderId="0" fillId="3" fontId="150" numFmtId="0" xfId="0" applyAlignment="1" applyFont="1">
      <alignment horizontal="left" readingOrder="0" shrinkToFit="0" vertical="bottom" wrapText="0"/>
    </xf>
    <xf borderId="0" fillId="3" fontId="285" numFmtId="0" xfId="0" applyAlignment="1" applyFont="1">
      <alignment readingOrder="0"/>
    </xf>
    <xf borderId="0" fillId="5" fontId="1" numFmtId="167" xfId="0" applyAlignment="1" applyFont="1" applyNumberFormat="1">
      <alignment readingOrder="0"/>
    </xf>
    <xf borderId="0" fillId="5" fontId="285" numFmtId="0" xfId="0" applyFont="1"/>
    <xf borderId="0" fillId="5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4" fontId="1" numFmtId="0" xfId="0" applyFont="1"/>
    <xf borderId="0" fillId="4" fontId="1" numFmtId="0" xfId="0" applyAlignment="1" applyFont="1">
      <alignment shrinkToFit="0" wrapText="0"/>
    </xf>
    <xf borderId="0" fillId="24" fontId="83" numFmtId="0" xfId="0" applyAlignment="1" applyFont="1">
      <alignment horizontal="left" shrinkToFit="0" vertical="top" wrapText="0"/>
    </xf>
    <xf borderId="0" fillId="24" fontId="83" numFmtId="0" xfId="0" applyAlignment="1" applyFont="1">
      <alignment horizontal="left" vertical="bottom"/>
    </xf>
    <xf borderId="0" fillId="24" fontId="83" numFmtId="0" xfId="0" applyAlignment="1" applyFont="1">
      <alignment horizontal="left" vertical="top"/>
    </xf>
    <xf borderId="0" fillId="24" fontId="4" numFmtId="0" xfId="0" applyAlignment="1" applyFont="1">
      <alignment vertical="bottom"/>
    </xf>
    <xf borderId="0" fillId="0" fontId="4" numFmtId="14" xfId="0" applyAlignment="1" applyFont="1" applyNumberFormat="1">
      <alignment horizontal="right" vertical="bottom"/>
    </xf>
    <xf borderId="0" fillId="33" fontId="281" numFmtId="0" xfId="0" applyFont="1"/>
    <xf borderId="0" fillId="0" fontId="4" numFmtId="14" xfId="0" applyAlignment="1" applyFont="1" applyNumberFormat="1">
      <alignment vertical="bottom"/>
    </xf>
    <xf borderId="0" fillId="34" fontId="4" numFmtId="0" xfId="0" applyAlignment="1" applyFont="1">
      <alignment vertical="bottom"/>
    </xf>
    <xf borderId="0" fillId="0" fontId="150" numFmtId="0" xfId="0" applyAlignment="1" applyFont="1">
      <alignment horizontal="left" readingOrder="0"/>
    </xf>
    <xf borderId="0" fillId="2" fontId="4" numFmtId="0" xfId="0" applyAlignment="1" applyFont="1">
      <alignment readingOrder="0" vertical="bottom"/>
    </xf>
    <xf borderId="0" fillId="7" fontId="4" numFmtId="170" xfId="0" applyAlignment="1" applyFont="1" applyNumberFormat="1">
      <alignment readingOrder="0" vertical="bottom"/>
    </xf>
    <xf borderId="0" fillId="7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35" fontId="4" numFmtId="0" xfId="0" applyAlignment="1" applyFont="1">
      <alignment readingOrder="0" vertical="bottom"/>
    </xf>
    <xf borderId="0" fillId="35" fontId="4" numFmtId="0" xfId="0" applyAlignment="1" applyFont="1">
      <alignment vertical="bottom"/>
    </xf>
    <xf borderId="0" fillId="6" fontId="4" numFmtId="0" xfId="0" applyAlignment="1" applyFont="1">
      <alignment readingOrder="0" vertical="bottom"/>
    </xf>
    <xf borderId="0" fillId="34" fontId="4" numFmtId="164" xfId="0" applyAlignment="1" applyFont="1" applyNumberFormat="1">
      <alignment readingOrder="0" vertical="bottom"/>
    </xf>
    <xf borderId="0" fillId="0" fontId="14" numFmtId="0" xfId="0" applyAlignment="1" applyFont="1">
      <alignment shrinkToFit="0" vertical="bottom" wrapText="0"/>
    </xf>
    <xf borderId="0" fillId="3" fontId="14" numFmtId="0" xfId="0" applyAlignment="1" applyFont="1">
      <alignment shrinkToFit="0" vertical="bottom" wrapText="0"/>
    </xf>
    <xf borderId="0" fillId="3" fontId="286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4" fontId="4" numFmtId="167" xfId="0" applyAlignment="1" applyFont="1" applyNumberFormat="1">
      <alignment readingOrder="0" vertical="bottom"/>
    </xf>
    <xf borderId="0" fillId="3" fontId="15" numFmtId="0" xfId="0" applyAlignment="1" applyFont="1">
      <alignment horizontal="left" readingOrder="0"/>
    </xf>
    <xf borderId="0" fillId="4" fontId="1" numFmtId="0" xfId="0" applyAlignment="1" applyFont="1">
      <alignment readingOrder="0" shrinkToFit="0" wrapText="0"/>
    </xf>
    <xf borderId="0" fillId="3" fontId="15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3" fontId="83" numFmtId="0" xfId="0" applyAlignment="1" applyFont="1">
      <alignment readingOrder="0"/>
    </xf>
    <xf borderId="0" fillId="3" fontId="15" numFmtId="0" xfId="0" applyAlignment="1" applyFont="1">
      <alignment vertical="bottom"/>
    </xf>
    <xf borderId="0" fillId="3" fontId="14" numFmtId="0" xfId="0" applyAlignment="1" applyFont="1">
      <alignment readingOrder="0" shrinkToFit="0" vertical="bottom" wrapText="0"/>
    </xf>
    <xf borderId="0" fillId="3" fontId="150" numFmtId="0" xfId="0" applyAlignment="1" applyFont="1">
      <alignment horizontal="left" readingOrder="0"/>
    </xf>
    <xf borderId="0" fillId="3" fontId="34" numFmtId="0" xfId="0" applyAlignment="1" applyFont="1">
      <alignment readingOrder="0"/>
    </xf>
    <xf borderId="0" fillId="3" fontId="281" numFmtId="0" xfId="0" applyAlignment="1" applyFont="1">
      <alignment horizontal="center" shrinkToFit="0" vertical="bottom" wrapText="1"/>
    </xf>
    <xf borderId="0" fillId="5" fontId="1" numFmtId="0" xfId="0" applyAlignment="1" applyFont="1">
      <alignment readingOrder="0"/>
    </xf>
    <xf borderId="0" fillId="36" fontId="1" numFmtId="0" xfId="0" applyAlignment="1" applyFill="1" applyFont="1">
      <alignment readingOrder="0"/>
    </xf>
    <xf borderId="0" fillId="36" fontId="1" numFmtId="164" xfId="0" applyAlignment="1" applyFont="1" applyNumberFormat="1">
      <alignment readingOrder="0"/>
    </xf>
    <xf borderId="0" fillId="36" fontId="1" numFmtId="0" xfId="0" applyFont="1"/>
    <xf borderId="0" fillId="35" fontId="1" numFmtId="0" xfId="0" applyAlignment="1" applyFont="1">
      <alignment readingOrder="0"/>
    </xf>
    <xf borderId="0" fillId="3" fontId="173" numFmtId="0" xfId="0" applyAlignment="1" applyFont="1">
      <alignment readingOrder="0"/>
    </xf>
    <xf borderId="0" fillId="34" fontId="1" numFmtId="164" xfId="0" applyAlignment="1" applyFont="1" applyNumberFormat="1">
      <alignment readingOrder="0"/>
    </xf>
    <xf borderId="0" fillId="34" fontId="1" numFmtId="0" xfId="0" applyFont="1"/>
    <xf borderId="0" fillId="3" fontId="1" numFmtId="0" xfId="0" applyAlignment="1" applyFont="1">
      <alignment readingOrder="0"/>
    </xf>
    <xf borderId="0" fillId="4" fontId="136" numFmtId="0" xfId="0" applyAlignment="1" applyFont="1">
      <alignment readingOrder="0"/>
    </xf>
    <xf borderId="0" fillId="4" fontId="224" numFmtId="0" xfId="0" applyAlignment="1" applyFont="1">
      <alignment readingOrder="0"/>
    </xf>
    <xf borderId="0" fillId="3" fontId="102" numFmtId="0" xfId="0" applyAlignment="1" applyFont="1">
      <alignment readingOrder="0"/>
    </xf>
    <xf borderId="0" fillId="3" fontId="287" numFmtId="0" xfId="0" applyAlignment="1" applyFont="1">
      <alignment readingOrder="0"/>
    </xf>
    <xf borderId="0" fillId="0" fontId="257" numFmtId="0" xfId="0" applyAlignment="1" applyFont="1">
      <alignment readingOrder="0"/>
    </xf>
    <xf borderId="11" fillId="0" fontId="4" numFmtId="0" xfId="0" applyAlignment="1" applyBorder="1" applyFont="1">
      <alignment shrinkToFit="0" vertical="bottom" wrapText="0"/>
    </xf>
    <xf borderId="0" fillId="3" fontId="21" numFmtId="0" xfId="0" applyAlignment="1" applyFont="1">
      <alignment readingOrder="0"/>
    </xf>
    <xf borderId="0" fillId="3" fontId="21" numFmtId="0" xfId="0" applyFont="1"/>
    <xf borderId="0" fillId="3" fontId="288" numFmtId="0" xfId="0" applyAlignment="1" applyFont="1">
      <alignment readingOrder="0"/>
    </xf>
    <xf borderId="0" fillId="3" fontId="224" numFmtId="0" xfId="0" applyAlignment="1" applyFont="1">
      <alignment readingOrder="0"/>
    </xf>
    <xf borderId="0" fillId="3" fontId="21" numFmtId="0" xfId="0" applyFont="1"/>
    <xf borderId="0" fillId="3" fontId="250" numFmtId="0" xfId="0" applyAlignment="1" applyFont="1">
      <alignment horizontal="left" readingOrder="0"/>
    </xf>
    <xf borderId="0" fillId="3" fontId="136" numFmtId="0" xfId="0" applyAlignment="1" applyFont="1">
      <alignment readingOrder="0"/>
    </xf>
    <xf borderId="0" fillId="3" fontId="136" numFmtId="0" xfId="0" applyAlignment="1" applyFont="1">
      <alignment readingOrder="0"/>
    </xf>
    <xf borderId="0" fillId="0" fontId="289" numFmtId="0" xfId="0" applyAlignment="1" applyFont="1">
      <alignment readingOrder="0"/>
    </xf>
    <xf borderId="0" fillId="0" fontId="1" numFmtId="0" xfId="0" applyFont="1"/>
    <xf borderId="0" fillId="3" fontId="289" numFmtId="0" xfId="0" applyAlignment="1" applyFont="1">
      <alignment readingOrder="0"/>
    </xf>
    <xf borderId="0" fillId="0" fontId="35" numFmtId="0" xfId="0" applyAlignment="1" applyFont="1">
      <alignment readingOrder="0"/>
    </xf>
    <xf borderId="0" fillId="4" fontId="85" numFmtId="0" xfId="0" applyAlignment="1" applyFont="1">
      <alignment readingOrder="0"/>
    </xf>
    <xf borderId="0" fillId="3" fontId="71" numFmtId="0" xfId="0" applyAlignment="1" applyFont="1">
      <alignment horizontal="left" readingOrder="0" shrinkToFit="0" wrapText="0"/>
    </xf>
    <xf borderId="0" fillId="3" fontId="168" numFmtId="0" xfId="0" applyAlignment="1" applyFont="1">
      <alignment readingOrder="0"/>
    </xf>
    <xf borderId="0" fillId="3" fontId="32" numFmtId="0" xfId="0" applyAlignment="1" applyFont="1">
      <alignment readingOrder="0"/>
    </xf>
    <xf borderId="0" fillId="6" fontId="136" numFmtId="0" xfId="0" applyAlignment="1" applyFont="1">
      <alignment readingOrder="0"/>
    </xf>
    <xf borderId="0" fillId="6" fontId="250" numFmtId="0" xfId="0" applyAlignment="1" applyFont="1">
      <alignment horizontal="left" readingOrder="0"/>
    </xf>
    <xf borderId="0" fillId="6" fontId="1" numFmtId="0" xfId="0" applyFont="1"/>
    <xf borderId="0" fillId="6" fontId="15" numFmtId="0" xfId="0" applyAlignment="1" applyFont="1">
      <alignment readingOrder="0"/>
    </xf>
    <xf borderId="0" fillId="13" fontId="4" numFmtId="0" xfId="0" applyAlignment="1" applyFont="1">
      <alignment readingOrder="0" vertical="bottom"/>
    </xf>
    <xf borderId="0" fillId="37" fontId="4" numFmtId="0" xfId="0" applyAlignment="1" applyFill="1" applyFont="1">
      <alignment readingOrder="0" vertical="bottom"/>
    </xf>
    <xf borderId="0" fillId="8" fontId="1" numFmtId="164" xfId="0" applyAlignment="1" applyFont="1" applyNumberFormat="1">
      <alignment horizontal="center" readingOrder="0" vertical="bottom"/>
    </xf>
    <xf borderId="0" fillId="8" fontId="1" numFmtId="166" xfId="0" applyAlignment="1" applyFont="1" applyNumberFormat="1">
      <alignment horizontal="center" readingOrder="0" vertical="bottom"/>
    </xf>
    <xf borderId="0" fillId="8" fontId="1" numFmtId="0" xfId="0" applyAlignment="1" applyFont="1">
      <alignment horizontal="center" readingOrder="0"/>
    </xf>
    <xf borderId="0" fillId="8" fontId="290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8" fontId="1" numFmtId="170" xfId="0" applyAlignment="1" applyFont="1" applyNumberFormat="1">
      <alignment horizontal="center" readingOrder="0" vertical="bottom"/>
    </xf>
    <xf borderId="0" fillId="8" fontId="1" numFmtId="0" xfId="0" applyAlignment="1" applyFont="1">
      <alignment horizontal="center" readingOrder="0" vertical="bottom"/>
    </xf>
    <xf borderId="0" fillId="8" fontId="1" numFmtId="0" xfId="0" applyAlignment="1" applyFont="1">
      <alignment horizontal="center" vertical="bottom"/>
    </xf>
    <xf borderId="0" fillId="8" fontId="1" numFmtId="164" xfId="0" applyAlignment="1" applyFont="1" applyNumberFormat="1">
      <alignment horizontal="center" readingOrder="0"/>
    </xf>
    <xf borderId="0" fillId="8" fontId="1" numFmtId="166" xfId="0" applyAlignment="1" applyFont="1" applyNumberFormat="1">
      <alignment horizontal="center" readingOrder="0"/>
    </xf>
    <xf borderId="0" fillId="8" fontId="1" numFmtId="0" xfId="0" applyAlignment="1" applyFont="1">
      <alignment horizontal="center"/>
    </xf>
    <xf borderId="0" fillId="8" fontId="290" numFmtId="0" xfId="0" applyFont="1"/>
    <xf borderId="0" fillId="8" fontId="136" numFmtId="0" xfId="0" applyAlignment="1" applyFont="1">
      <alignment horizontal="center" readingOrder="0"/>
    </xf>
    <xf borderId="0" fillId="8" fontId="291" numFmtId="0" xfId="0" applyAlignment="1" applyFont="1">
      <alignment horizontal="center" readingOrder="0"/>
    </xf>
    <xf borderId="0" fillId="0" fontId="246" numFmtId="0" xfId="0" applyFont="1"/>
    <xf borderId="0" fillId="5" fontId="1" numFmtId="0" xfId="0" applyAlignment="1" applyFont="1">
      <alignment horizontal="center"/>
    </xf>
    <xf borderId="0" fillId="8" fontId="289" numFmtId="0" xfId="0" applyAlignment="1" applyFont="1">
      <alignment horizontal="center" readingOrder="0"/>
    </xf>
    <xf borderId="0" fillId="8" fontId="289" numFmtId="164" xfId="0" applyAlignment="1" applyFont="1" applyNumberFormat="1">
      <alignment readingOrder="0"/>
    </xf>
    <xf borderId="0" fillId="8" fontId="1" numFmtId="166" xfId="0" applyAlignment="1" applyFont="1" applyNumberFormat="1">
      <alignment readingOrder="0"/>
    </xf>
    <xf borderId="0" fillId="8" fontId="289" numFmtId="0" xfId="0" applyAlignment="1" applyFont="1">
      <alignment readingOrder="0"/>
    </xf>
    <xf borderId="0" fillId="8" fontId="3" numFmtId="164" xfId="0" applyAlignment="1" applyFont="1" applyNumberFormat="1">
      <alignment readingOrder="0"/>
    </xf>
    <xf borderId="0" fillId="8" fontId="3" numFmtId="166" xfId="0" applyAlignment="1" applyFont="1" applyNumberFormat="1">
      <alignment readingOrder="0"/>
    </xf>
    <xf borderId="0" fillId="3" fontId="291" numFmtId="0" xfId="0" applyAlignment="1" applyFont="1">
      <alignment readingOrder="0"/>
    </xf>
    <xf borderId="0" fillId="8" fontId="3" numFmtId="0" xfId="0" applyFont="1"/>
    <xf borderId="0" fillId="8" fontId="3" numFmtId="0" xfId="0" applyAlignment="1" applyFont="1">
      <alignment horizontal="center" readingOrder="0"/>
    </xf>
    <xf borderId="0" fillId="8" fontId="85" numFmtId="0" xfId="0" applyAlignment="1" applyFont="1">
      <alignment horizontal="center"/>
    </xf>
    <xf borderId="0" fillId="3" fontId="85" numFmtId="0" xfId="0" applyFont="1"/>
    <xf borderId="0" fillId="0" fontId="3" numFmtId="0" xfId="0" applyFont="1"/>
    <xf borderId="0" fillId="3" fontId="26" numFmtId="0" xfId="0" applyAlignment="1" applyFont="1">
      <alignment readingOrder="0"/>
    </xf>
    <xf borderId="0" fillId="8" fontId="292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8" fontId="26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8" fontId="5" numFmtId="0" xfId="0" applyAlignment="1" applyFont="1">
      <alignment horizontal="right" readingOrder="0"/>
    </xf>
    <xf borderId="0" fillId="8" fontId="26" numFmtId="0" xfId="0" applyAlignment="1" applyFont="1">
      <alignment readingOrder="0"/>
    </xf>
    <xf borderId="0" fillId="8" fontId="1" numFmtId="164" xfId="0" applyAlignment="1" applyFont="1" applyNumberFormat="1">
      <alignment horizontal="right" readingOrder="0"/>
    </xf>
    <xf borderId="0" fillId="8" fontId="293" numFmtId="0" xfId="0" applyAlignment="1" applyFont="1">
      <alignment readingOrder="0"/>
    </xf>
    <xf borderId="0" fillId="8" fontId="1" numFmtId="20" xfId="0" applyAlignment="1" applyFont="1" applyNumberFormat="1">
      <alignment readingOrder="0"/>
    </xf>
    <xf borderId="0" fillId="34" fontId="5" numFmtId="0" xfId="0" applyAlignment="1" applyFont="1">
      <alignment horizontal="right" readingOrder="0"/>
    </xf>
    <xf borderId="0" fillId="34" fontId="5" numFmtId="0" xfId="0" applyAlignment="1" applyFont="1">
      <alignment readingOrder="0"/>
    </xf>
    <xf borderId="0" fillId="8" fontId="35" numFmtId="166" xfId="0" applyAlignment="1" applyFont="1" applyNumberFormat="1">
      <alignment readingOrder="0"/>
    </xf>
    <xf borderId="0" fillId="5" fontId="38" numFmtId="0" xfId="0" applyAlignment="1" applyFont="1">
      <alignment readingOrder="0"/>
    </xf>
    <xf borderId="0" fillId="11" fontId="35" numFmtId="0" xfId="0" applyAlignment="1" applyFont="1">
      <alignment readingOrder="0"/>
    </xf>
    <xf borderId="0" fillId="8" fontId="1" numFmtId="165" xfId="0" applyFont="1" applyNumberFormat="1"/>
    <xf borderId="0" fillId="8" fontId="1" numFmtId="166" xfId="0" applyFont="1" applyNumberFormat="1"/>
    <xf borderId="0" fillId="8" fontId="294" numFmtId="0" xfId="0" applyAlignment="1" applyFont="1">
      <alignment readingOrder="0"/>
    </xf>
    <xf borderId="0" fillId="13" fontId="1" numFmtId="165" xfId="0" applyAlignment="1" applyFont="1" applyNumberFormat="1">
      <alignment readingOrder="0"/>
    </xf>
    <xf borderId="0" fillId="8" fontId="0" numFmtId="0" xfId="0" applyAlignment="1" applyFont="1">
      <alignment horizontal="right" readingOrder="0" shrinkToFit="0" vertical="bottom" wrapText="0"/>
    </xf>
    <xf borderId="0" fillId="8" fontId="0" numFmtId="166" xfId="0" applyAlignment="1" applyFont="1" applyNumberFormat="1">
      <alignment horizontal="left" readingOrder="0" shrinkToFit="0" vertical="bottom" wrapText="0"/>
    </xf>
    <xf borderId="0" fillId="8" fontId="26" numFmtId="0" xfId="0" applyAlignment="1" applyFont="1">
      <alignment horizontal="right" readingOrder="0" shrinkToFit="0" vertical="bottom" wrapText="0"/>
    </xf>
    <xf borderId="0" fillId="8" fontId="0" numFmtId="0" xfId="0" applyAlignment="1" applyFont="1">
      <alignment horizontal="left" readingOrder="0" shrinkToFit="0" vertical="bottom" wrapText="0"/>
    </xf>
    <xf borderId="0" fillId="8" fontId="26" numFmtId="0" xfId="0" applyAlignment="1" applyFont="1">
      <alignment horizontal="left" readingOrder="0" shrinkToFit="0" vertical="bottom" wrapText="0"/>
    </xf>
    <xf borderId="0" fillId="8" fontId="0" numFmtId="0" xfId="0" applyAlignment="1" applyFont="1">
      <alignment vertical="bottom"/>
    </xf>
    <xf borderId="0" fillId="3" fontId="132" numFmtId="0" xfId="0" applyAlignment="1" applyFont="1">
      <alignment vertical="bottom"/>
    </xf>
    <xf borderId="12" fillId="3" fontId="132" numFmtId="0" xfId="0" applyAlignment="1" applyBorder="1" applyFont="1">
      <alignment vertical="bottom"/>
    </xf>
    <xf borderId="0" fillId="8" fontId="295" numFmtId="0" xfId="0" applyAlignment="1" applyFont="1">
      <alignment horizontal="right" readingOrder="0"/>
    </xf>
    <xf borderId="0" fillId="11" fontId="3" numFmtId="0" xfId="0" applyAlignment="1" applyFont="1">
      <alignment readingOrder="0"/>
    </xf>
    <xf borderId="0" fillId="11" fontId="1" numFmtId="166" xfId="0" applyAlignment="1" applyFont="1" applyNumberFormat="1">
      <alignment readingOrder="0"/>
    </xf>
    <xf borderId="0" fillId="11" fontId="26" numFmtId="0" xfId="0" applyAlignment="1" applyFont="1">
      <alignment readingOrder="0"/>
    </xf>
    <xf borderId="0" fillId="8" fontId="71" numFmtId="0" xfId="0" applyAlignment="1" applyFont="1">
      <alignment horizontal="left" readingOrder="0" shrinkToFit="0" wrapText="0"/>
    </xf>
    <xf borderId="0" fillId="8" fontId="5" numFmtId="0" xfId="0" applyAlignment="1" applyFont="1">
      <alignment readingOrder="0"/>
    </xf>
    <xf borderId="0" fillId="8" fontId="5" numFmtId="0" xfId="0" applyFont="1"/>
    <xf borderId="0" fillId="8" fontId="293" numFmtId="0" xfId="0" applyAlignment="1" applyFont="1">
      <alignment readingOrder="0" shrinkToFit="0" wrapText="1"/>
    </xf>
    <xf borderId="0" fillId="8" fontId="296" numFmtId="0" xfId="0" applyAlignment="1" applyFont="1">
      <alignment readingOrder="0"/>
    </xf>
    <xf borderId="0" fillId="34" fontId="38" numFmtId="0" xfId="0" applyAlignment="1" applyFont="1">
      <alignment readingOrder="0"/>
    </xf>
    <xf borderId="0" fillId="8" fontId="1" numFmtId="165" xfId="0" applyAlignment="1" applyFont="1" applyNumberFormat="1">
      <alignment horizontal="left" readingOrder="0"/>
    </xf>
    <xf borderId="0" fillId="8" fontId="35" numFmtId="0" xfId="0" applyFont="1"/>
    <xf borderId="0" fillId="8" fontId="1" numFmtId="165" xfId="0" applyAlignment="1" applyFont="1" applyNumberFormat="1">
      <alignment horizontal="right" readingOrder="0"/>
    </xf>
    <xf borderId="0" fillId="3" fontId="106" numFmtId="0" xfId="0" applyAlignment="1" applyFont="1">
      <alignment readingOrder="0"/>
    </xf>
    <xf borderId="0" fillId="0" fontId="297" numFmtId="0" xfId="0" applyAlignment="1" applyFont="1">
      <alignment readingOrder="0"/>
    </xf>
    <xf borderId="0" fillId="3" fontId="108" numFmtId="0" xfId="0" applyAlignment="1" applyFont="1">
      <alignment readingOrder="0"/>
    </xf>
    <xf borderId="0" fillId="0" fontId="298" numFmtId="0" xfId="0" applyAlignment="1" applyFont="1">
      <alignment readingOrder="0"/>
    </xf>
    <xf borderId="0" fillId="6" fontId="299" numFmtId="0" xfId="0" applyAlignment="1" applyFont="1">
      <alignment readingOrder="0"/>
    </xf>
    <xf borderId="0" fillId="5" fontId="300" numFmtId="0" xfId="0" applyAlignment="1" applyFont="1">
      <alignment horizontal="right" readingOrder="0"/>
    </xf>
    <xf borderId="0" fillId="8" fontId="293" numFmtId="0" xfId="0" applyFont="1"/>
    <xf borderId="0" fillId="3" fontId="301" numFmtId="0" xfId="0" applyAlignment="1" applyFont="1">
      <alignment readingOrder="0"/>
    </xf>
    <xf borderId="0" fillId="8" fontId="196" numFmtId="0" xfId="0" applyAlignment="1" applyFont="1">
      <alignment readingOrder="0"/>
    </xf>
    <xf borderId="0" fillId="34" fontId="300" numFmtId="0" xfId="0" applyAlignment="1" applyFont="1">
      <alignment horizontal="right" readingOrder="0"/>
    </xf>
    <xf borderId="0" fillId="8" fontId="88" numFmtId="0" xfId="0" applyAlignment="1" applyFont="1">
      <alignment readingOrder="0"/>
    </xf>
    <xf borderId="0" fillId="8" fontId="85" numFmtId="0" xfId="0" applyAlignment="1" applyFont="1">
      <alignment horizontal="center" readingOrder="0"/>
    </xf>
    <xf borderId="0" fillId="8" fontId="0" numFmtId="0" xfId="0" applyAlignment="1" applyFont="1">
      <alignment horizontal="center"/>
    </xf>
    <xf borderId="0" fillId="3" fontId="302" numFmtId="0" xfId="0" applyAlignment="1" applyFont="1">
      <alignment readingOrder="0"/>
    </xf>
    <xf borderId="0" fillId="3" fontId="303" numFmtId="0" xfId="0" applyAlignment="1" applyFont="1">
      <alignment readingOrder="0"/>
    </xf>
    <xf borderId="0" fillId="3" fontId="304" numFmtId="0" xfId="0" applyAlignment="1" applyFont="1">
      <alignment readingOrder="0"/>
    </xf>
    <xf borderId="0" fillId="3" fontId="304" numFmtId="0" xfId="0" applyFont="1"/>
    <xf borderId="0" fillId="3" fontId="304" numFmtId="0" xfId="0" applyAlignment="1" applyFont="1">
      <alignment horizontal="center" readingOrder="0"/>
    </xf>
    <xf borderId="0" fillId="3" fontId="305" numFmtId="0" xfId="0" applyAlignment="1" applyFont="1">
      <alignment horizontal="center" readingOrder="0"/>
    </xf>
    <xf borderId="0" fillId="8" fontId="150" numFmtId="0" xfId="0" applyAlignment="1" applyFont="1">
      <alignment horizontal="center"/>
    </xf>
    <xf borderId="0" fillId="0" fontId="306" numFmtId="0" xfId="0" applyAlignment="1" applyFont="1">
      <alignment readingOrder="0"/>
    </xf>
    <xf borderId="0" fillId="0" fontId="1" numFmtId="165" xfId="0" applyAlignment="1" applyFont="1" applyNumberFormat="1">
      <alignment horizontal="left" readingOrder="0"/>
    </xf>
    <xf borderId="0" fillId="3" fontId="305" numFmtId="0" xfId="0" applyFont="1"/>
    <xf borderId="0" fillId="8" fontId="21" numFmtId="0" xfId="0" applyFont="1"/>
    <xf borderId="0" fillId="0" fontId="1" numFmtId="0" xfId="0" applyAlignment="1" applyFont="1">
      <alignment horizontal="center"/>
    </xf>
    <xf borderId="0" fillId="11" fontId="1" numFmtId="0" xfId="0" applyAlignment="1" applyFont="1">
      <alignment horizontal="right" readingOrder="0"/>
    </xf>
    <xf borderId="0" fillId="11" fontId="293" numFmtId="0" xfId="0" applyAlignment="1" applyFont="1">
      <alignment readingOrder="0"/>
    </xf>
    <xf borderId="0" fillId="11" fontId="1" numFmtId="0" xfId="0" applyAlignment="1" applyFont="1">
      <alignment horizontal="left" readingOrder="0"/>
    </xf>
    <xf borderId="0" fillId="11" fontId="1" numFmtId="0" xfId="0" applyAlignment="1" applyFont="1">
      <alignment horizontal="left"/>
    </xf>
    <xf borderId="0" fillId="8" fontId="307" numFmtId="0" xfId="0" applyAlignment="1" applyFont="1">
      <alignment readingOrder="0"/>
    </xf>
    <xf borderId="0" fillId="7" fontId="300" numFmtId="0" xfId="0" applyAlignment="1" applyFon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8" fontId="293" numFmtId="0" xfId="0" applyAlignment="1" applyFont="1">
      <alignment horizontal="left" readingOrder="0"/>
    </xf>
    <xf borderId="0" fillId="38" fontId="1" numFmtId="0" xfId="0" applyAlignment="1" applyFill="1" applyFont="1">
      <alignment readingOrder="0"/>
    </xf>
    <xf borderId="0" fillId="39" fontId="1" numFmtId="0" xfId="0" applyAlignment="1" applyFill="1" applyFont="1">
      <alignment readingOrder="0"/>
    </xf>
    <xf borderId="0" fillId="3" fontId="293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308" numFmtId="0" xfId="0" applyAlignment="1" applyFont="1">
      <alignment readingOrder="0"/>
    </xf>
    <xf borderId="0" fillId="39" fontId="1" numFmtId="0" xfId="0" applyFont="1"/>
    <xf borderId="0" fillId="0" fontId="1" numFmtId="171" xfId="0" applyAlignment="1" applyFont="1" applyNumberFormat="1">
      <alignment horizontal="left" readingOrder="0"/>
    </xf>
    <xf borderId="0" fillId="3" fontId="85" numFmtId="0" xfId="0" applyAlignment="1" applyFont="1">
      <alignment readingOrder="0"/>
    </xf>
    <xf borderId="0" fillId="3" fontId="85" numFmtId="0" xfId="0" applyFont="1"/>
    <xf borderId="0" fillId="8" fontId="1" numFmtId="171" xfId="0" applyAlignment="1" applyFont="1" applyNumberFormat="1">
      <alignment horizontal="left" readingOrder="0"/>
    </xf>
    <xf borderId="0" fillId="8" fontId="1" numFmtId="171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40" fontId="5" numFmtId="0" xfId="0" applyAlignment="1" applyFill="1" applyFont="1">
      <alignment readingOrder="0"/>
    </xf>
    <xf borderId="0" fillId="40" fontId="1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66" xfId="0" applyAlignment="1" applyFont="1" applyNumberFormat="1">
      <alignment readingOrder="0"/>
    </xf>
    <xf borderId="0" fillId="3" fontId="309" numFmtId="0" xfId="0" applyAlignment="1" applyFont="1">
      <alignment readingOrder="0"/>
    </xf>
    <xf borderId="0" fillId="7" fontId="300" numFmtId="0" xfId="0" applyAlignment="1" applyFont="1">
      <alignment readingOrder="0"/>
    </xf>
    <xf borderId="0" fillId="7" fontId="300" numFmtId="0" xfId="0" applyFont="1"/>
    <xf borderId="0" fillId="3" fontId="310" numFmtId="0" xfId="0" applyAlignment="1" applyFont="1">
      <alignment readingOrder="0"/>
    </xf>
    <xf borderId="0" fillId="41" fontId="311" numFmtId="0" xfId="0" applyAlignment="1" applyFill="1" applyFont="1">
      <alignment readingOrder="0"/>
    </xf>
    <xf borderId="0" fillId="41" fontId="1" numFmtId="0" xfId="0" applyFont="1"/>
    <xf borderId="0" fillId="41" fontId="38" numFmtId="0" xfId="0" applyAlignment="1" applyFont="1">
      <alignment readingOrder="0"/>
    </xf>
    <xf borderId="0" fillId="0" fontId="38" numFmtId="0" xfId="0" applyAlignment="1" applyFont="1">
      <alignment horizontal="left" readingOrder="0"/>
    </xf>
    <xf borderId="0" fillId="0" fontId="312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46" numFmtId="0" xfId="0" applyAlignment="1" applyFont="1">
      <alignment readingOrder="0"/>
    </xf>
    <xf borderId="0" fillId="0" fontId="1" numFmtId="171" xfId="0" applyAlignment="1" applyFont="1" applyNumberFormat="1">
      <alignment horizontal="right" readingOrder="0"/>
    </xf>
    <xf borderId="0" fillId="0" fontId="313" numFmtId="0" xfId="0" applyAlignment="1" applyFont="1">
      <alignment readingOrder="0"/>
    </xf>
    <xf borderId="0" fillId="3" fontId="314" numFmtId="0" xfId="0" applyAlignment="1" applyFont="1">
      <alignment horizontal="left" readingOrder="0"/>
    </xf>
    <xf borderId="0" fillId="3" fontId="315" numFmtId="0" xfId="0" applyAlignment="1" applyFont="1">
      <alignment readingOrder="0"/>
    </xf>
    <xf borderId="0" fillId="20" fontId="316" numFmtId="0" xfId="0" applyAlignment="1" applyFont="1">
      <alignment horizontal="left" readingOrder="0"/>
    </xf>
    <xf borderId="0" fillId="15" fontId="317" numFmtId="0" xfId="0" applyAlignment="1" applyFont="1">
      <alignment horizontal="left" readingOrder="0"/>
    </xf>
    <xf borderId="0" fillId="4" fontId="318" numFmtId="0" xfId="0" applyAlignment="1" applyFont="1">
      <alignment horizontal="left" readingOrder="0"/>
    </xf>
    <xf borderId="0" fillId="4" fontId="313" numFmtId="0" xfId="0" applyAlignment="1" applyFont="1">
      <alignment readingOrder="0"/>
    </xf>
    <xf borderId="0" fillId="3" fontId="63" numFmtId="0" xfId="0" applyAlignment="1" applyFont="1">
      <alignment horizontal="left" readingOrder="0"/>
    </xf>
    <xf borderId="0" fillId="13" fontId="5" numFmtId="0" xfId="0" applyAlignment="1" applyFont="1">
      <alignment horizontal="right" readingOrder="0"/>
    </xf>
    <xf borderId="0" fillId="13" fontId="1" numFmtId="0" xfId="0" applyAlignment="1" applyFont="1">
      <alignment horizontal="left"/>
    </xf>
    <xf borderId="0" fillId="13" fontId="246" numFmtId="0" xfId="0" applyAlignment="1" applyFont="1">
      <alignment horizontal="right" readingOrder="0"/>
    </xf>
    <xf borderId="0" fillId="40" fontId="300" numFmtId="0" xfId="0" applyAlignment="1" applyFont="1">
      <alignment readingOrder="0"/>
    </xf>
    <xf borderId="0" fillId="11" fontId="1" numFmtId="165" xfId="0" applyAlignment="1" applyFont="1" applyNumberFormat="1">
      <alignment horizontal="left" readingOrder="0"/>
    </xf>
    <xf borderId="0" fillId="8" fontId="83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3" fontId="0" numFmtId="0" xfId="0" applyAlignment="1" applyFont="1">
      <alignment readingOrder="0"/>
    </xf>
    <xf borderId="0" fillId="6" fontId="1" numFmtId="0" xfId="0" applyAlignment="1" applyFont="1">
      <alignment horizontal="right" readingOrder="0"/>
    </xf>
    <xf borderId="0" fillId="6" fontId="38" numFmtId="0" xfId="0" applyAlignment="1" applyFont="1">
      <alignment readingOrder="0"/>
    </xf>
    <xf borderId="0" fillId="3" fontId="319" numFmtId="0" xfId="0" applyAlignment="1" applyFont="1">
      <alignment readingOrder="0"/>
    </xf>
    <xf borderId="0" fillId="3" fontId="320" numFmtId="0" xfId="0" applyAlignment="1" applyFont="1">
      <alignment horizontal="left" readingOrder="0"/>
    </xf>
    <xf borderId="0" fillId="3" fontId="321" numFmtId="0" xfId="0" applyAlignment="1" applyFont="1">
      <alignment readingOrder="0"/>
    </xf>
    <xf borderId="0" fillId="3" fontId="246" numFmtId="0" xfId="0" applyAlignment="1" applyFont="1">
      <alignment readingOrder="0"/>
    </xf>
    <xf borderId="0" fillId="3" fontId="246" numFmtId="0" xfId="0" applyFont="1"/>
    <xf borderId="0" fillId="3" fontId="321" numFmtId="0" xfId="0" applyFont="1"/>
    <xf borderId="0" fillId="6" fontId="1" numFmtId="0" xfId="0" applyAlignment="1" applyFont="1">
      <alignment horizontal="left" readingOrder="0"/>
    </xf>
    <xf borderId="0" fillId="0" fontId="1" numFmtId="168" xfId="0" applyAlignment="1" applyFont="1" applyNumberFormat="1">
      <alignment readingOrder="0"/>
    </xf>
    <xf borderId="0" fillId="6" fontId="1" numFmtId="0" xfId="0" applyAlignment="1" applyFont="1">
      <alignment horizontal="center" readingOrder="0"/>
    </xf>
    <xf borderId="1" fillId="13" fontId="246" numFmtId="0" xfId="0" applyAlignment="1" applyBorder="1" applyFont="1">
      <alignment horizontal="center" readingOrder="0"/>
    </xf>
    <xf borderId="1" fillId="13" fontId="246" numFmtId="0" xfId="0" applyAlignment="1" applyBorder="1" applyFont="1">
      <alignment readingOrder="0"/>
    </xf>
    <xf borderId="0" fillId="13" fontId="85" numFmtId="0" xfId="0" applyAlignment="1" applyFont="1">
      <alignment readingOrder="0"/>
    </xf>
    <xf borderId="13" fillId="3" fontId="85" numFmtId="164" xfId="0" applyAlignment="1" applyBorder="1" applyFont="1" applyNumberFormat="1">
      <alignment horizontal="center" readingOrder="0"/>
    </xf>
    <xf borderId="14" fillId="0" fontId="1" numFmtId="172" xfId="0" applyAlignment="1" applyBorder="1" applyFont="1" applyNumberFormat="1">
      <alignment horizontal="center" readingOrder="0"/>
    </xf>
    <xf borderId="14" fillId="0" fontId="1" numFmtId="166" xfId="0" applyAlignment="1" applyBorder="1" applyFont="1" applyNumberFormat="1">
      <alignment horizontal="center" readingOrder="0"/>
    </xf>
    <xf borderId="14" fillId="0" fontId="1" numFmtId="166" xfId="0" applyAlignment="1" applyBorder="1" applyFont="1" applyNumberFormat="1">
      <alignment horizontal="center"/>
    </xf>
    <xf borderId="0" fillId="3" fontId="244" numFmtId="2" xfId="0" applyFont="1" applyNumberFormat="1"/>
    <xf borderId="1" fillId="3" fontId="1" numFmtId="2" xfId="0" applyBorder="1" applyFont="1" applyNumberFormat="1"/>
    <xf borderId="1" fillId="3" fontId="1" numFmtId="173" xfId="0" applyBorder="1" applyFont="1" applyNumberFormat="1"/>
    <xf borderId="13" fillId="3" fontId="1" numFmtId="164" xfId="0" applyAlignment="1" applyBorder="1" applyFont="1" applyNumberFormat="1">
      <alignment horizontal="center" readingOrder="0"/>
    </xf>
    <xf borderId="1" fillId="4" fontId="1" numFmtId="173" xfId="0" applyBorder="1" applyFont="1" applyNumberFormat="1"/>
    <xf borderId="14" fillId="3" fontId="1" numFmtId="0" xfId="0" applyBorder="1" applyFont="1"/>
    <xf borderId="14" fillId="0" fontId="1" numFmtId="0" xfId="0" applyBorder="1" applyFont="1"/>
    <xf borderId="0" fillId="3" fontId="322" numFmtId="0" xfId="0" applyAlignment="1" applyFont="1">
      <alignment horizontal="left" readingOrder="0"/>
    </xf>
    <xf borderId="14" fillId="0" fontId="1" numFmtId="0" xfId="0" applyAlignment="1" applyBorder="1" applyFont="1">
      <alignment readingOrder="0"/>
    </xf>
    <xf borderId="13" fillId="41" fontId="85" numFmtId="164" xfId="0" applyAlignment="1" applyBorder="1" applyFont="1" applyNumberFormat="1">
      <alignment horizontal="center" readingOrder="0"/>
    </xf>
    <xf borderId="13" fillId="40" fontId="313" numFmtId="164" xfId="0" applyAlignment="1" applyBorder="1" applyFont="1" applyNumberFormat="1">
      <alignment horizontal="center" readingOrder="0"/>
    </xf>
    <xf borderId="13" fillId="3" fontId="313" numFmtId="164" xfId="0" applyAlignment="1" applyBorder="1" applyFont="1" applyNumberFormat="1">
      <alignment horizontal="center" readingOrder="0"/>
    </xf>
    <xf borderId="14" fillId="3" fontId="1" numFmtId="172" xfId="0" applyAlignment="1" applyBorder="1" applyFont="1" applyNumberFormat="1">
      <alignment horizontal="center" readingOrder="0"/>
    </xf>
    <xf borderId="0" fillId="0" fontId="323" numFmtId="2" xfId="0" applyFont="1" applyNumberFormat="1"/>
    <xf borderId="0" fillId="3" fontId="324" numFmtId="0" xfId="0" applyAlignment="1" applyFont="1">
      <alignment horizontal="left" readingOrder="0"/>
    </xf>
    <xf borderId="0" fillId="0" fontId="1" numFmtId="166" xfId="0" applyAlignment="1" applyFont="1" applyNumberFormat="1">
      <alignment horizontal="center" readingOrder="0"/>
    </xf>
    <xf borderId="13" fillId="0" fontId="1" numFmtId="166" xfId="0" applyAlignment="1" applyBorder="1" applyFont="1" applyNumberFormat="1">
      <alignment horizontal="center" readingOrder="0"/>
    </xf>
    <xf borderId="13" fillId="42" fontId="1" numFmtId="164" xfId="0" applyAlignment="1" applyBorder="1" applyFill="1" applyFont="1" applyNumberFormat="1">
      <alignment horizontal="center" readingOrder="0"/>
    </xf>
    <xf borderId="0" fillId="3" fontId="325" numFmtId="0" xfId="0" applyAlignment="1" applyFont="1">
      <alignment readingOrder="0"/>
    </xf>
    <xf borderId="0" fillId="3" fontId="326" numFmtId="0" xfId="0" applyAlignment="1" applyFont="1">
      <alignment readingOrder="0"/>
    </xf>
    <xf borderId="15" fillId="3" fontId="85" numFmtId="164" xfId="0" applyAlignment="1" applyBorder="1" applyFont="1" applyNumberFormat="1">
      <alignment horizontal="center" readingOrder="0"/>
    </xf>
    <xf borderId="12" fillId="0" fontId="1" numFmtId="166" xfId="0" applyAlignment="1" applyBorder="1" applyFont="1" applyNumberFormat="1">
      <alignment horizontal="center"/>
    </xf>
    <xf borderId="2" fillId="3" fontId="244" numFmtId="2" xfId="0" applyBorder="1" applyFont="1" applyNumberFormat="1"/>
    <xf borderId="2" fillId="0" fontId="1" numFmtId="0" xfId="0" applyBorder="1" applyFont="1"/>
    <xf borderId="12" fillId="0" fontId="1" numFmtId="0" xfId="0" applyBorder="1" applyFont="1"/>
    <xf borderId="0" fillId="2" fontId="5" numFmtId="0" xfId="0" applyAlignment="1" applyFont="1">
      <alignment horizontal="left" readingOrder="0"/>
    </xf>
    <xf borderId="0" fillId="13" fontId="1" numFmtId="0" xfId="0" applyAlignment="1" applyFont="1">
      <alignment horizontal="right" readingOrder="0"/>
    </xf>
    <xf borderId="0" fillId="13" fontId="1" numFmtId="0" xfId="0" applyAlignment="1" applyFont="1">
      <alignment horizontal="left" readingOrder="0"/>
    </xf>
    <xf borderId="0" fillId="0" fontId="1" numFmtId="174" xfId="0" applyFont="1" applyNumberFormat="1"/>
    <xf borderId="15" fillId="3" fontId="1" numFmtId="164" xfId="0" applyAlignment="1" applyBorder="1" applyFont="1" applyNumberFormat="1">
      <alignment horizontal="center" readingOrder="0"/>
    </xf>
    <xf borderId="12" fillId="0" fontId="1" numFmtId="172" xfId="0" applyAlignment="1" applyBorder="1" applyFont="1" applyNumberFormat="1">
      <alignment horizontal="center" readingOrder="0"/>
    </xf>
    <xf borderId="0" fillId="15" fontId="327" numFmtId="0" xfId="0" applyAlignment="1" applyFont="1">
      <alignment horizontal="left" readingOrder="0"/>
    </xf>
    <xf borderId="0" fillId="0" fontId="1" numFmtId="166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left" readingOrder="0"/>
    </xf>
    <xf borderId="13" fillId="42" fontId="85" numFmtId="164" xfId="0" applyAlignment="1" applyBorder="1" applyFont="1" applyNumberFormat="1">
      <alignment horizontal="center" readingOrder="0"/>
    </xf>
    <xf borderId="13" fillId="0" fontId="1" numFmtId="164" xfId="0" applyAlignment="1" applyBorder="1" applyFont="1" applyNumberFormat="1">
      <alignment horizontal="center" readingOrder="0"/>
    </xf>
    <xf borderId="13" fillId="41" fontId="1" numFmtId="164" xfId="0" applyAlignment="1" applyBorder="1" applyFont="1" applyNumberFormat="1">
      <alignment horizontal="center" readingOrder="0"/>
    </xf>
    <xf borderId="0" fillId="40" fontId="1" numFmtId="0" xfId="0" applyAlignment="1" applyFont="1">
      <alignment readingOrder="0"/>
    </xf>
    <xf borderId="14" fillId="0" fontId="1" numFmtId="166" xfId="0" applyAlignment="1" applyBorder="1" applyFont="1" applyNumberFormat="1">
      <alignment readingOrder="0"/>
    </xf>
    <xf borderId="0" fillId="3" fontId="328" numFmtId="0" xfId="0" applyAlignment="1" applyFont="1">
      <alignment readingOrder="0"/>
    </xf>
    <xf borderId="15" fillId="40" fontId="313" numFmtId="164" xfId="0" applyAlignment="1" applyBorder="1" applyFont="1" applyNumberFormat="1">
      <alignment horizontal="center" readingOrder="0"/>
    </xf>
    <xf borderId="12" fillId="0" fontId="1" numFmtId="166" xfId="0" applyAlignment="1" applyBorder="1" applyFont="1" applyNumberFormat="1">
      <alignment horizontal="center" readingOrder="0"/>
    </xf>
    <xf borderId="15" fillId="0" fontId="1" numFmtId="166" xfId="0" applyAlignment="1" applyBorder="1" applyFont="1" applyNumberFormat="1">
      <alignment horizontal="center" readingOrder="0"/>
    </xf>
    <xf borderId="15" fillId="41" fontId="1" numFmtId="164" xfId="0" applyAlignment="1" applyBorder="1" applyFont="1" applyNumberFormat="1">
      <alignment horizontal="center" readingOrder="0"/>
    </xf>
    <xf borderId="0" fillId="0" fontId="1" numFmtId="169" xfId="0" applyAlignment="1" applyFont="1" applyNumberFormat="1">
      <alignment readingOrder="0"/>
    </xf>
    <xf borderId="13" fillId="4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left"/>
    </xf>
    <xf borderId="13" fillId="43" fontId="1" numFmtId="164" xfId="0" applyAlignment="1" applyBorder="1" applyFill="1" applyFont="1" applyNumberFormat="1">
      <alignment horizontal="center" readingOrder="0"/>
    </xf>
    <xf borderId="0" fillId="3" fontId="91" numFmtId="0" xfId="0" applyAlignment="1" applyFont="1">
      <alignment horizontal="left" readingOrder="0" shrinkToFit="0" wrapText="0"/>
    </xf>
    <xf borderId="0" fillId="3" fontId="329" numFmtId="0" xfId="0" applyAlignment="1" applyFont="1">
      <alignment horizontal="left" readingOrder="0"/>
    </xf>
    <xf borderId="15" fillId="43" fontId="85" numFmtId="164" xfId="0" applyAlignment="1" applyBorder="1" applyFont="1" applyNumberFormat="1">
      <alignment horizontal="center" readingOrder="0"/>
    </xf>
    <xf borderId="0" fillId="20" fontId="63" numFmtId="0" xfId="0" applyAlignment="1" applyFont="1">
      <alignment horizontal="left" readingOrder="0"/>
    </xf>
    <xf borderId="0" fillId="13" fontId="1" numFmtId="175" xfId="0" applyAlignment="1" applyFont="1" applyNumberFormat="1">
      <alignment readingOrder="0"/>
    </xf>
    <xf borderId="14" fillId="0" fontId="1" numFmtId="173" xfId="0" applyBorder="1" applyFont="1" applyNumberFormat="1"/>
    <xf borderId="0" fillId="3" fontId="330" numFmtId="0" xfId="0" applyAlignment="1" applyFont="1">
      <alignment horizontal="left" readingOrder="0"/>
    </xf>
    <xf borderId="0" fillId="3" fontId="331" numFmtId="0" xfId="0" applyAlignment="1" applyFont="1">
      <alignment horizontal="left" readingOrder="0" shrinkToFit="0" wrapText="0"/>
    </xf>
    <xf borderId="0" fillId="13" fontId="1" numFmtId="173" xfId="0" applyAlignment="1" applyFont="1" applyNumberFormat="1">
      <alignment readingOrder="0"/>
    </xf>
    <xf borderId="14" fillId="0" fontId="85" numFmtId="172" xfId="0" applyAlignment="1" applyBorder="1" applyFont="1" applyNumberFormat="1">
      <alignment horizontal="center" readingOrder="0"/>
    </xf>
    <xf borderId="14" fillId="4" fontId="1" numFmtId="0" xfId="0" applyBorder="1" applyFont="1"/>
    <xf borderId="0" fillId="44" fontId="332" numFmtId="0" xfId="0" applyAlignment="1" applyFill="1" applyFont="1">
      <alignment horizontal="left" readingOrder="0"/>
    </xf>
    <xf borderId="0" fillId="45" fontId="21" numFmtId="0" xfId="0" applyAlignment="1" applyFill="1" applyFont="1">
      <alignment horizontal="left" readingOrder="0"/>
    </xf>
    <xf borderId="0" fillId="0" fontId="333" numFmtId="0" xfId="0" applyAlignment="1" applyFont="1">
      <alignment readingOrder="0"/>
    </xf>
    <xf borderId="0" fillId="0" fontId="246" numFmtId="0" xfId="0" applyAlignment="1" applyFont="1">
      <alignment horizontal="center" readingOrder="0"/>
    </xf>
    <xf borderId="14" fillId="3" fontId="1" numFmtId="166" xfId="0" applyAlignment="1" applyBorder="1" applyFont="1" applyNumberFormat="1">
      <alignment horizontal="center" readingOrder="0"/>
    </xf>
    <xf borderId="0" fillId="3" fontId="1" numFmtId="166" xfId="0" applyAlignment="1" applyFont="1" applyNumberFormat="1">
      <alignment horizontal="center" readingOrder="0"/>
    </xf>
    <xf borderId="13" fillId="3" fontId="1" numFmtId="166" xfId="0" applyAlignment="1" applyBorder="1" applyFont="1" applyNumberFormat="1">
      <alignment horizontal="center" readingOrder="0"/>
    </xf>
    <xf borderId="13" fillId="3" fontId="334" numFmtId="164" xfId="0" applyAlignment="1" applyBorder="1" applyFont="1" applyNumberFormat="1">
      <alignment horizontal="center" readingOrder="0"/>
    </xf>
    <xf borderId="12" fillId="3" fontId="1" numFmtId="172" xfId="0" applyAlignment="1" applyBorder="1" applyFont="1" applyNumberFormat="1">
      <alignment horizontal="center" readingOrder="0"/>
    </xf>
    <xf borderId="0" fillId="0" fontId="335" numFmtId="0" xfId="0" applyAlignment="1" applyFont="1">
      <alignment horizontal="left" readingOrder="0"/>
    </xf>
    <xf borderId="0" fillId="0" fontId="19" numFmtId="0" xfId="0" applyAlignment="1" applyFont="1">
      <alignment readingOrder="0" shrinkToFit="0" wrapText="0"/>
    </xf>
    <xf borderId="0" fillId="0" fontId="1" numFmtId="176" xfId="0" applyFont="1" applyNumberFormat="1"/>
    <xf borderId="1" fillId="13" fontId="281" numFmtId="0" xfId="0" applyAlignment="1" applyBorder="1" applyFont="1">
      <alignment horizontal="center" vertical="bottom"/>
    </xf>
    <xf borderId="1" fillId="13" fontId="281" numFmtId="0" xfId="0" applyAlignment="1" applyBorder="1" applyFont="1">
      <alignment vertical="bottom"/>
    </xf>
    <xf borderId="16" fillId="13" fontId="281" numFmtId="0" xfId="0" applyAlignment="1" applyBorder="1" applyFont="1">
      <alignment horizontal="center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0" fontId="4" numFmtId="176" xfId="0" applyAlignment="1" applyBorder="1" applyFont="1" applyNumberFormat="1">
      <alignment horizontal="left" readingOrder="0" vertical="bottom"/>
    </xf>
    <xf borderId="1" fillId="0" fontId="4" numFmtId="176" xfId="0" applyAlignment="1" applyBorder="1" applyFont="1" applyNumberFormat="1">
      <alignment horizontal="right" readingOrder="0" vertical="bottom"/>
    </xf>
    <xf borderId="1" fillId="0" fontId="4" numFmtId="176" xfId="0" applyAlignment="1" applyBorder="1" applyFont="1" applyNumberFormat="1">
      <alignment horizontal="center" vertical="bottom"/>
    </xf>
    <xf borderId="17" fillId="3" fontId="4" numFmtId="164" xfId="0" applyAlignment="1" applyBorder="1" applyFont="1" applyNumberFormat="1">
      <alignment horizontal="center" readingOrder="0" vertical="bottom"/>
    </xf>
    <xf borderId="18" fillId="0" fontId="4" numFmtId="176" xfId="0" applyAlignment="1" applyBorder="1" applyFont="1" applyNumberFormat="1">
      <alignment horizontal="center" vertical="bottom"/>
    </xf>
    <xf borderId="1" fillId="0" fontId="1" numFmtId="176" xfId="0" applyAlignment="1" applyBorder="1" applyFont="1" applyNumberFormat="1">
      <alignment horizontal="right" readingOrder="0"/>
    </xf>
    <xf borderId="1" fillId="0" fontId="1" numFmtId="176" xfId="0" applyAlignment="1" applyBorder="1" applyFont="1" applyNumberFormat="1">
      <alignment horizontal="right"/>
    </xf>
    <xf borderId="1" fillId="0" fontId="1" numFmtId="176" xfId="0" applyAlignment="1" applyBorder="1" applyFont="1" applyNumberFormat="1">
      <alignment horizontal="left" readingOrder="0"/>
    </xf>
    <xf borderId="1" fillId="0" fontId="1" numFmtId="176" xfId="0" applyAlignment="1" applyBorder="1" applyFont="1" applyNumberFormat="1">
      <alignment horizontal="left"/>
    </xf>
    <xf borderId="1" fillId="0" fontId="1" numFmtId="176" xfId="0" applyAlignment="1" applyBorder="1" applyFont="1" applyNumberFormat="1">
      <alignment readingOrder="0"/>
    </xf>
    <xf borderId="13" fillId="3" fontId="4" numFmtId="164" xfId="0" applyAlignment="1" applyBorder="1" applyFont="1" applyNumberFormat="1">
      <alignment horizontal="center" readingOrder="0" vertical="bottom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t.e-cat.intercars.eu/lt/Visos-kategorijos/Pakaba-Ratai/Rato-pakaba/Guolis-Rato-stebul%C4%97/Rato-guoli%C5%B3-komplektas/VKBA-3643/c/tecdoc-6300000-6311000-6311050-genart_654/p/9EC2F8" TargetMode="External"/><Relationship Id="rId42" Type="http://schemas.openxmlformats.org/officeDocument/2006/relationships/hyperlink" Target="https://lt.e-cat.intercars.eu/lt/Visos-kategorijos/Pakaba-Ratai/Rato-pakaba/Svirtis-Reaktyvin%C4%97-trauk%C4%97/Svirtis-Reaktyvin%C4%97-trauk%C4%97/LMI35464/c/tecdoc-6300000-6311000-6311010-genart_273/p/CAEDB6" TargetMode="External"/><Relationship Id="rId41" Type="http://schemas.openxmlformats.org/officeDocument/2006/relationships/hyperlink" Target="https://lt.e-cat.intercars.eu/lt/Visos-kategorijos/Pakaba-Ratai/Rato-pakaba/Svirtis-Reaktyvin%C4%97-trauk%C4%97/Tvirtinimo-ver%C5%BEl%C4%97s%2C-balansyras/RH15-0030/c/tecdoc-6300000-6311000-6311010-genart_3240/p/G075XV" TargetMode="External"/><Relationship Id="rId44" Type="http://schemas.openxmlformats.org/officeDocument/2006/relationships/hyperlink" Target="https://lt.e-cat.intercars.eu/lt/Visos-kategorijos/Pakaba-Ratai/Rato-pakaba/Svirtis-Reaktyvin%C4%97-trauk%C4%97/Svirtis-Reaktyvin%C4%97-trauk%C4%97/116-050-0079-S/c/tecdoc-6300000-6311000-6311010-genart_273/p/E19F5F" TargetMode="External"/><Relationship Id="rId43" Type="http://schemas.openxmlformats.org/officeDocument/2006/relationships/hyperlink" Target="https://lt.e-cat.intercars.eu/lt/Visos-kategorijos/Pakaba-Ratai/Rato-pakaba/Stabilizatorius/Skersinio-stabilizatoriaus-%C4%AFvor%C4%97/RH17-0002/c/tecdoc-6300000-6311000-6311030-genart_1334/p/G0797S" TargetMode="External"/><Relationship Id="rId46" Type="http://schemas.openxmlformats.org/officeDocument/2006/relationships/hyperlink" Target="https://lt.e-cat.intercars.eu/lt/Visos-kategorijos/Pakaba-Ratai/Rato-pakaba/Stabilizatorius/Skersinio-stabilizatoriaus-%C4%AFvor%C4%97/RH17-0002/c/tecdoc-6300000-6311000-6311030-genart_1334/p/G0797S" TargetMode="External"/><Relationship Id="rId45" Type="http://schemas.openxmlformats.org/officeDocument/2006/relationships/hyperlink" Target="https://lt.e-cat.intercars.eu/lt/Visos-kategorijos/Pakaba-Ratai/Rato-pakaba/Svirtis-Reaktyvin%C4%97-trauk%C4%97/Svirtis-Reaktyvin%C4%97-trauk%C4%97/116-050-0079-S/c/tecdoc-6300000-6311000-6311010-genart_273/p/E19F5F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lt.e-cat.intercars.eu/lt/Visos-kategorijos/Stabd%C5%BEi%C5%B3-sistema/Diskiniai-stabd%C5%BEiai/Stabd%C5%BEi%C5%B3-trinkel%C4%97/%C4%AEsp%C4%97jimo-kontaktas%2C-stabd%C5%BEi%C5%B3-trinkeli%C5%B3-susid%C4%97v%C4%97jimas/FE104920/c/tecdoc-6600000-6611000-6611010-genart_407/p/G052AX" TargetMode="External"/><Relationship Id="rId47" Type="http://schemas.openxmlformats.org/officeDocument/2006/relationships/hyperlink" Target="https://parts.sensonauto.lt/lt/search?top-search=09.B969.11&amp;exact_match=1" TargetMode="External"/><Relationship Id="rId49" Type="http://schemas.openxmlformats.org/officeDocument/2006/relationships/hyperlink" Target="https://lt.e-cat.intercars.eu/lt/Visos-kategorijos/Stabd%C5%BEi%C5%B3-sistema/Diskiniai-stabd%C5%BEiai/Stabd%C5%BEi%C5%B3-trinkel%C4%97/%C4%AEsp%C4%97jimo-kontaktas%2C-stabd%C5%BEi%C5%B3-trinkeli%C5%B3-susid%C4%97v%C4%97jimas/1-987-473-604/c/tecdoc-6600000-6611000-6611010-genart_407/p/G0XE7D" TargetMode="External"/><Relationship Id="rId103" Type="http://schemas.openxmlformats.org/officeDocument/2006/relationships/hyperlink" Target="https://lt.e-cat.intercars.eu/lt/Visos-kategorijos/Stabd%C5%BEi%C5%B3-sistema/Diskiniai-stabd%C5%BEiai/Stabd%C5%BEi%C5%B3-diskas/v/CAR_18761/c/tecdoc-6600000-6611000-6611020/p/E42D03" TargetMode="External"/><Relationship Id="rId102" Type="http://schemas.openxmlformats.org/officeDocument/2006/relationships/hyperlink" Target="https://lt.e-cat.intercars.eu/lt/Visos-kategorijos/Pakaba-Ratai/Rato-pakaba/Stabilizatorius/v/CAR_18761/c/tecdoc-6300000-6311000-6311030/p/BFA89B" TargetMode="External"/><Relationship Id="rId101" Type="http://schemas.openxmlformats.org/officeDocument/2006/relationships/hyperlink" Target="http://auto1.com" TargetMode="External"/><Relationship Id="rId100" Type="http://schemas.openxmlformats.org/officeDocument/2006/relationships/hyperlink" Target="http://autobid.de" TargetMode="External"/><Relationship Id="rId31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GEAR-300-75W90-1L/c/tecdoc-6500000-6513000-6513010-6010017-genart_3225/p/9D3F17" TargetMode="External"/><Relationship Id="rId30" Type="http://schemas.openxmlformats.org/officeDocument/2006/relationships/hyperlink" Target="https://lt.e-cat.intercars.eu/lt/Visos-kategorijos/Pavaros-sistema/Pavar%C5%B3-d%C4%97%C5%BE%C4%97/Automatin%C4%97-pavar%C5%B3-d%C4%97%C5%BE%C4%97/Alyva-automatinei-pavar%C5%B3-d%C4%97%C5%BEei/Alyva-automatinei-pavar%C5%B3-d%C4%97%C5%BEei/MULTI-DCTF-1L/c/tecdoc-6500000-6513000-6513020-6010018-genart_3069/p/D21FD3" TargetMode="External"/><Relationship Id="rId33" Type="http://schemas.openxmlformats.org/officeDocument/2006/relationships/hyperlink" Target="http://a.m.automobile888gmail.com/" TargetMode="External"/><Relationship Id="rId32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GEAR-300-75W90-1L/c/tecdoc-6500000-6513000-6513010-6010017-genart_3225/p/9D3F17" TargetMode="External"/><Relationship Id="rId35" Type="http://schemas.openxmlformats.org/officeDocument/2006/relationships/hyperlink" Target="https://lt.e-cat.intercars.eu/lt/Visos-kategorijos/Pakaba-Ratai/Rato-pakaba/Svirtis-Reaktyvin%C4%97-trauk%C4%97/Valdymo-svirties-i%C5%A1ilgini%C5%B3-svir%C4%8Di%C5%B3-%C4%AFvor%C4%97/LMI35451/c/tecdoc-6300000-6311000-6311010-genart_251/p/BFA8AE" TargetMode="External"/><Relationship Id="rId34" Type="http://schemas.openxmlformats.org/officeDocument/2006/relationships/hyperlink" Target="https://lt.e-cat.intercars.eu/lt/Visos-kategorijos/Filtrai/Hidraulikos-filtras/Hidr-sis-filtras%2C-daugiadisk%C4%97-sankaba-%28vis%C5%B3-rat%C5%B3-pavara%29/FE177922/c/tecdoc-6100000-6115000-genart_5039/p/G0Y338" TargetMode="External"/><Relationship Id="rId37" Type="http://schemas.openxmlformats.org/officeDocument/2006/relationships/hyperlink" Target="https://lt.e-cat.intercars.eu/lt/Visos-kategorijos/K%C4%97bulas-Ap%C5%A1vietimas-Veidrod%C5%BEiai/K%C4%97bulas/Variklio-Pavar%C5%B3-d%C4%97%C5%BE%C4%97s-apsauga/Variklio-apatin%C4%97-apsauga-alyvos-karterio-apsauga/6601-02-3293860P/c/tecdoc-7600000-7615000-6220000-genart_4256/p/D3955D" TargetMode="External"/><Relationship Id="rId36" Type="http://schemas.openxmlformats.org/officeDocument/2006/relationships/hyperlink" Target="https://lt.e-cat.intercars.eu/lt/Visos-kategorijos/U%C5%BEdegimo-kaitinimo-sistema/U%C5%BEdegimo-kaitinimo-%C5%BEvak%C4%97/Kaitinimo-%C5%BEvak%C4%97/367102A900/c/tecdoc-6811050-6811055-genart_243/p/F5A55C" TargetMode="External"/><Relationship Id="rId39" Type="http://schemas.openxmlformats.org/officeDocument/2006/relationships/hyperlink" Target="https://lt.e-cat.intercars.eu/lt/Visos-kategorijos/Pakaba-Ratai/Rato-pakaba/Svirtis-Reaktyvin%C4%97-trauk%C4%97/Svirtis-Reaktyvin%C4%97-trauk%C4%97/LMI35465/c/tecdoc-6300000-6311000-6311010-genart_273/p/CAEDB7" TargetMode="External"/><Relationship Id="rId38" Type="http://schemas.openxmlformats.org/officeDocument/2006/relationships/hyperlink" Target="https://lt.e-cat.intercars.eu/lt/Visos-kategorijos/Pakaba-Ratai/Rato-pakaba/Svirtis-Reaktyvin%C4%97-trauk%C4%97/Svirtis-Reaktyvin%C4%97-trauk%C4%97/LMI35463/c/tecdoc-6300000-6311000-6311010-genart_273/p/C57F7A" TargetMode="External"/><Relationship Id="rId20" Type="http://schemas.openxmlformats.org/officeDocument/2006/relationships/hyperlink" Target="https://lt.e-cat.intercars.eu/lt/Visos-kategorijos/Tr-priemon%C4%97s-amortizavimas/Spyruokl%C4%97s/Pakabos-spyruokl%C4%97/SC035MT/c/tecdoc-6400000-6412000-genart_188/p/A93058" TargetMode="External"/><Relationship Id="rId22" Type="http://schemas.openxmlformats.org/officeDocument/2006/relationships/hyperlink" Target="https://lt.e-cat.intercars.eu/lt/Visos-kategorijos/Tr-priemon%C4%97s-amortizavimas/Spyruokl%C4%97s/Pakabos-spyruokl%C4%97/SC035MT/c/tecdoc-6400000-6412000-genart_188/p/A93058" TargetMode="External"/><Relationship Id="rId21" Type="http://schemas.openxmlformats.org/officeDocument/2006/relationships/hyperlink" Target="https://lt.e-cat.intercars.eu/lt/Visos-kategorijos/Pakaba-Ratai/Rato-pakaba/Stabilizatorius/%C5%A0arnyro-stabilizatorius/JTS283/c/tecdoc-6300000-6311000-6311030-genart_3229/p/9AD685" TargetMode="External"/><Relationship Id="rId24" Type="http://schemas.openxmlformats.org/officeDocument/2006/relationships/hyperlink" Target="https://lt.e-cat.intercars.eu/lt/Visos-kategorijos/Tr-priemon%C4%97s-amortizavimas/Kolonos-elementai-Apsaugos-Slopintuvai/Remonto-komplektas%2C-pakabos-statramstis/KYBSM1923/c/tecdoc-6400000-6415000-genart_1632/p/B42E17" TargetMode="External"/><Relationship Id="rId23" Type="http://schemas.openxmlformats.org/officeDocument/2006/relationships/hyperlink" Target="https://lt.e-cat.intercars.eu/lt/Visos-kategorijos/Tr-priemon%C4%97s-amortizavimas/Kolonos-elementai-Apsaugos-Slopintuvai/Remonto-komplektas%2C-pakabos-statramstis/KYBSM1923/c/tecdoc-6400000-6415000-genart_1632/p/B42E17" TargetMode="External"/><Relationship Id="rId26" Type="http://schemas.openxmlformats.org/officeDocument/2006/relationships/hyperlink" Target="https://lt.e-cat.intercars.eu/lt/Visos-kategorijos/Variklis-%C4%AFranga/Cilindr%C5%B3-galvut%C4%97/Cilindr%C5%B3-galvut%C4%97---%C4%AFsiurbimo-i%C5%A1metimo-pus%C4%97/%C4%AEsiurbimo-kolektoriaus-tarpin%C4%97/EL529970/c/tecdoc-6200000-6212000-6212030-genart_44/p/D6819F" TargetMode="External"/><Relationship Id="rId25" Type="http://schemas.openxmlformats.org/officeDocument/2006/relationships/hyperlink" Target="mailto:karolis.znutas@gmail.com" TargetMode="External"/><Relationship Id="rId28" Type="http://schemas.openxmlformats.org/officeDocument/2006/relationships/hyperlink" Target="https://ckltb2b.claim.cards/f68SjOkmSyh4CaBCX8fhDTAU/cardInfo?i=conceptAGeneral&amp;l=lt_LT" TargetMode="External"/><Relationship Id="rId27" Type="http://schemas.openxmlformats.org/officeDocument/2006/relationships/hyperlink" Target="https://lt.e-cat.intercars.eu/lt/Visos-kategorijos/Normalizuotos-dalys/Sandarinimo-priemon%C4%97s/Sandarinimo-med%C5%BEiaga/70-31414-10/c/tecdoc-8300000-8319000-genart_1845/p/B3A875" TargetMode="External"/><Relationship Id="rId29" Type="http://schemas.openxmlformats.org/officeDocument/2006/relationships/hyperlink" Target="mailto:m@justasrutkauskas.com" TargetMode="External"/><Relationship Id="rId95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94" Type="http://schemas.openxmlformats.org/officeDocument/2006/relationships/hyperlink" Target="https://lt.e-cat.intercars.eu/lt/Visos-kategorijos/Vairavimo-sistema/Perdavimo-elementai/Vairo-trauk%C4%97s/Skersin%C4%97s-vairo-trauk%C4%97s-antgalis/30-16-020-0161-HD/c/tecdoc-6700000-6712000-6712010-genart_914/p/F78D3A" TargetMode="External"/><Relationship Id="rId97" Type="http://schemas.openxmlformats.org/officeDocument/2006/relationships/hyperlink" Target="https://lt.e-cat.intercars.eu/lt/Visos-kategorijos/Variklis-%C4%AFranga/Variklio-tepimas/Varikli%C5%B3-alyva/Varikli%C5%B3-alyva/SPECIFIC-2312-0W30-5L/c/tecdoc-6200000-6213000-6010016-genart_3224/p/D6764D" TargetMode="External"/><Relationship Id="rId96" Type="http://schemas.openxmlformats.org/officeDocument/2006/relationships/hyperlink" Target="https://lt.e-cat.intercars.eu/lt/Visos-kategorijos/Vairavimo-sistema/Perdavimo-elementai/Vairo-trauk%C4%97s/Skersin%C4%97s-vairo-trauk%C4%97s-antgalis/30-16-020-0162-HD/c/tecdoc-6700000-6712000-6712010-genart_914/p/F5F59B" TargetMode="External"/><Relationship Id="rId11" Type="http://schemas.openxmlformats.org/officeDocument/2006/relationships/hyperlink" Target="https://lt.e-cat.intercars.eu/lt/Visos-kategorijos/Stabd%C5%BEi%C5%B3-sistema/Diskiniai-stabd%C5%BEiai/Stabd%C5%BEi%C5%B3-diskas/Stabd%C5%BEi%C5%B3-diskas/C30522ABE/c/tecdoc-6600000-6611000-6611020-genart_82/p/BDF6BD" TargetMode="External"/><Relationship Id="rId99" Type="http://schemas.openxmlformats.org/officeDocument/2006/relationships/hyperlink" Target="http://de.bca-europe.com" TargetMode="External"/><Relationship Id="rId10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C10326ABE/c/tecdoc-6600000-6611000-6611010-genart_402/p/B4CCF7" TargetMode="External"/><Relationship Id="rId98" Type="http://schemas.openxmlformats.org/officeDocument/2006/relationships/hyperlink" Target="https://carmarket.ayvens.com/" TargetMode="External"/><Relationship Id="rId13" Type="http://schemas.openxmlformats.org/officeDocument/2006/relationships/hyperlink" Target="mailto:leonid@telemed.lt" TargetMode="External"/><Relationship Id="rId12" Type="http://schemas.openxmlformats.org/officeDocument/2006/relationships/hyperlink" Target="https://lt.e-cat.intercars.eu/lt/Visos-kategorijos/Stabd%C5%BEi%C5%B3-sistema/Diskiniai-stabd%C5%BEiai/Stabd%C5%BEi%C5%B3-diskas/Stabd%C5%BEi%C5%B3-diskas/C30522ABE/c/tecdoc-6600000-6611000-6611020-genart_82/p/BDF6BD" TargetMode="External"/><Relationship Id="rId91" Type="http://schemas.openxmlformats.org/officeDocument/2006/relationships/hyperlink" Target="https://lt.e-cat.intercars.eu/lt/vehicle/external/YQHC3/1073943661/$*KwGql6q7zqv96-DZ5b6i7em60dvKysnZyPP98bS7-72iu9bFlIGX2dCsr6qtrqjj4_H1u6S9383JqYX6lKmuvLO66rym44nxtLvovaK7ytGAhZGgqNze1tOvpfX96qG74-HH2azI94ml9-_10-L6v-KekJOrrayvr6yurPCxjOjq6t_O0NDinr-g7tnK0tnT3KTwjZLW06-mrKunpQAAAACo-SK5$?vin=TMAJB81BANJ194299" TargetMode="External"/><Relationship Id="rId90" Type="http://schemas.openxmlformats.org/officeDocument/2006/relationships/hyperlink" Target="https://lt.e-cat.intercars.eu/lt/Visos-kategorijos/Au%C5%A1inimo-sistema/Vamzd%C5%BEiai-jung%C4%97s/Radiatoriaus-%C5%BEarna/LE3871-00/c/tecdoc-6900000-6920000-genart_475/p/B47AE3" TargetMode="External"/><Relationship Id="rId93" Type="http://schemas.openxmlformats.org/officeDocument/2006/relationships/hyperlink" Target="https://lt.e-cat.intercars.eu/lt/Visos-kategorijos/Variklis-%C4%AFranga/Variklio-tepimas/Varikli%C5%B3-alyva/Varikli%C5%B3-alyva/8100-XCLEAN%2B-EFE-0W30-1L/c/tecdoc-6200000-6213000-6010016-genart_3224/p/G17HGZ" TargetMode="External"/><Relationship Id="rId92" Type="http://schemas.openxmlformats.org/officeDocument/2006/relationships/hyperlink" Target="https://lt.e-cat.intercars.eu/lt/Visos-kategorijos/Variklis-%C4%AFranga/Variklio-tepimas/Varikli%C5%B3-alyva/Varikli%C5%B3-alyva/8100-XCLEAN%2B-EFE-0W30-5L/c/tecdoc-6200000-6213000-6010016-genart_3224/p/G17HH1" TargetMode="External"/><Relationship Id="rId15" Type="http://schemas.openxmlformats.org/officeDocument/2006/relationships/hyperlink" Target="https://juta.tsm.lt/info.php?caller=krepselis&amp;id=10000227412" TargetMode="External"/><Relationship Id="rId14" Type="http://schemas.openxmlformats.org/officeDocument/2006/relationships/hyperlink" Target="http://paras.lt/" TargetMode="External"/><Relationship Id="rId17" Type="http://schemas.openxmlformats.org/officeDocument/2006/relationships/hyperlink" Target="https://lt.e-cat.intercars.eu/lt/Visos-kategorijos/Pakaba-Ratai/Rato-pakaba/Stabilizatorius/%C5%A0arnyro-stabilizatorius/116-060-0046/c/tecdoc-6300000-6311000-6311030-genart_3229/p/E2A352" TargetMode="External"/><Relationship Id="rId16" Type="http://schemas.openxmlformats.org/officeDocument/2006/relationships/hyperlink" Target="https://lt.e-cat.intercars.eu/lt/Visos-kategorijos/Pakaba-Ratai/Rato-pakaba/Stabilizatorius/%C5%A0arnyro-stabilizatorius/116-060-0046/c/tecdoc-6300000-6311000-6311030-genart_3229/p/E2A352" TargetMode="External"/><Relationship Id="rId19" Type="http://schemas.openxmlformats.org/officeDocument/2006/relationships/hyperlink" Target="https://lt.e-cat.intercars.eu/lt/Visos-kategorijos/Pakaba-Ratai/Rato-pakaba/Stabilizatorius/%C5%A0arnyro-stabilizatorius/JTS283/c/tecdoc-6300000-6311000-6311030-genart_3229/p/9AD685" TargetMode="External"/><Relationship Id="rId18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GDB2161/c/tecdoc-6600000-6611000-6611010-genart_402/p/F896ED" TargetMode="External"/><Relationship Id="rId84" Type="http://schemas.openxmlformats.org/officeDocument/2006/relationships/hyperlink" Target="https://lt.e-cat.intercars.eu/lt/Visos-kategorijos/Pakaba-Ratai/Rato-pakaba/Stabilizatorius/%C5%A0arnyro-stabilizatorius/116-060-0003-HD/c/tecdoc-6300000-6311000-6311030-genart_3229/p/E19DCF" TargetMode="External"/><Relationship Id="rId83" Type="http://schemas.openxmlformats.org/officeDocument/2006/relationships/hyperlink" Target="https://lt.e-cat.intercars.eu/lt/Visos-kategorijos/Pakaba-Ratai/Rato-pakaba/Stabilizatorius/%C5%A0arnyro-stabilizatorius/116-060-0003-HD/c/tecdoc-6300000-6311000-6311030-genart_3229/p/E19DCF" TargetMode="External"/><Relationship Id="rId86" Type="http://schemas.openxmlformats.org/officeDocument/2006/relationships/hyperlink" Target="https://lt.e-cat.intercars.eu/lt/Visos-kategorijos/Filtrai/Alyvos-filtras-korpusas-tarpin%C4%97/Alyvos-karteris%2C-nupylimo-var%C5%BEtas/FE38788/c/tecdoc-6100000-6111000-genart_593/p/C69A0C" TargetMode="External"/><Relationship Id="rId85" Type="http://schemas.openxmlformats.org/officeDocument/2006/relationships/hyperlink" Target="https://lt.e-cat.intercars.eu/lt/Visos-kategorijos/Variklis-%C4%AFranga/Variklio-tepimas/Varikli%C5%B3-alyva/Varikli%C5%B3-alyva/8100-XCLEAN%2B-EFE-0W30-5L/c/tecdoc-6200000-6213000-6010016-genart_3224/p/G17HH1" TargetMode="External"/><Relationship Id="rId88" Type="http://schemas.openxmlformats.org/officeDocument/2006/relationships/hyperlink" Target="https://lt.e-cat.intercars.eu/lt/Visos-kategorijos/Variklis-%C4%AFranga/Variklio-tepimas/Varikli%C5%B3-alyva/Varikli%C5%B3-alyva/8100-XCLEAN%2B-EFE-0W30-5L/c/tecdoc-6200000-6213000-6010016-genart_3224/p/G17HH1" TargetMode="External"/><Relationship Id="rId87" Type="http://schemas.openxmlformats.org/officeDocument/2006/relationships/hyperlink" Target="https://lt.e-cat.intercars.eu/lt/Visos-kategorijos/Filtrai/Alyvos-filtras-korpusas-tarpin%C4%97/Alyvos-nupylimo-var%C5%BEto-tarpin%C4%97/EL813036/c/tecdoc-6100000-6111000-genart_135/p/9A8000" TargetMode="External"/><Relationship Id="rId89" Type="http://schemas.openxmlformats.org/officeDocument/2006/relationships/hyperlink" Target="https://lt.e-cat.intercars.eu/lt/Visos-kategorijos/Pavaros-sistema/Pavaros-perdavimas/Varantysis-velenas-Lankstas-Pusa%C5%A1is/%C5%BDarnos-spaustukas/OSM-03008817-10SZT/c/tecdoc-6500000-6515000-6515010-genart_5973/p/CFB51C" TargetMode="External"/><Relationship Id="rId80" Type="http://schemas.openxmlformats.org/officeDocument/2006/relationships/hyperlink" Target="https://lt.e-cat.intercars.eu/lt/Visos-kategorijos/K%C4%97bulas-Ap%C5%A1vietimas-Veidrod%C5%BEiai/Ap%C5%A1vietimas-elementai/Lemput%C4%97s-Lizdai-Laikikliai/Kitos-lemput%C4%97s/Lemput%C4%97/OSR66440-XENARC/c/tecdoc-7600000-7500000-7518000-7518010-genart_1457/p/B0D61C" TargetMode="External"/><Relationship Id="rId82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81" Type="http://schemas.openxmlformats.org/officeDocument/2006/relationships/hyperlink" Target="https://lt.e-cat.intercars.eu/lt/Visos-kategorijos/K%C4%97bulas-Ap%C5%A1vietimas-Veidrod%C5%BEiai/Ap%C5%A1vietimas-elementai/Lemput%C4%97s-Lizdai-Laikikliai/Kitos-lemput%C4%97s/Lemput%C4%97/OSR66440-XENARC/c/tecdoc-7600000-7500000-7518000-7518010-genart_1457/p/B0D61C" TargetMode="External"/><Relationship Id="rId1" Type="http://schemas.openxmlformats.org/officeDocument/2006/relationships/hyperlink" Target="https://parts.sensonauto.lt/lt/search?top-search=08.9502.11&amp;exact_match=1" TargetMode="External"/><Relationship Id="rId2" Type="http://schemas.openxmlformats.org/officeDocument/2006/relationships/hyperlink" Target="https://parts.sensonauto.lt/lt/search?top-search=08.9502.11&amp;exact_match=1" TargetMode="External"/><Relationship Id="rId3" Type="http://schemas.openxmlformats.org/officeDocument/2006/relationships/hyperlink" Target="https://parts.sensonauto.lt/lt/search?top-search=P%2085%20017&amp;exact_match=1" TargetMode="External"/><Relationship Id="rId4" Type="http://schemas.openxmlformats.org/officeDocument/2006/relationships/hyperlink" Target="https://lt.e-cat.intercars.eu/lt/Visos-kategorijos/Vairavimo-sistema/Perdavimo-elementai/Vairo-trauk%C4%97s/Skersin%C4%97s-vairo-trauk%C4%97s-antgalis/LMI39074/c/tecdoc-6700000-6712000-6712010-genart_914/p/E14869" TargetMode="External"/><Relationship Id="rId9" Type="http://schemas.openxmlformats.org/officeDocument/2006/relationships/hyperlink" Target="https://lt.e-cat.intercars.eu/lt/Visos-kategorijos/Pakaba-Ratai/Rato-pakaba/Svirtis-Reaktyvin%C4%97-trauk%C4%97/Valdymo-svirties-i%C5%A1ilgini%C5%B3-svir%C4%8Di%C5%B3-%C4%AFvor%C4%97/LMI42214/c/tecdoc-6300000-6311000-6311010-genart_251/p/G06ZF6" TargetMode="External"/><Relationship Id="rId5" Type="http://schemas.openxmlformats.org/officeDocument/2006/relationships/hyperlink" Target="https://www.rsdauto.lt/catalog/product/929943" TargetMode="External"/><Relationship Id="rId6" Type="http://schemas.openxmlformats.org/officeDocument/2006/relationships/hyperlink" Target="https://lt.e-cat.intercars.eu/lt/Visos-kategorijos/Vairavimo-sistema/Perdavimo-elementai/Vairo-trauk%C4%97s/Vidin%C4%97-skersin%C4%97-vairo-traukl%C4%97/LMI38950/c/tecdoc-6700000-6712000-6712010-genart_51/p/E14864" TargetMode="External"/><Relationship Id="rId7" Type="http://schemas.openxmlformats.org/officeDocument/2006/relationships/hyperlink" Target="https://www.rsdauto.lt/catalog/product/929943" TargetMode="External"/><Relationship Id="rId8" Type="http://schemas.openxmlformats.org/officeDocument/2006/relationships/hyperlink" Target="https://lt.e-cat.intercars.eu/lt/Visos-kategorijos/Pakaba-Ratai/Rato-pakaba/Svirtis-Reaktyvin%C4%97-trauk%C4%97/Valdymo-svirties-i%C5%A1ilgini%C5%B3-svir%C4%8Di%C5%B3-%C4%AFvor%C4%97/LMI42214/c/tecdoc-6300000-6311000-6311010-genart_251/p/G06ZF6" TargetMode="External"/><Relationship Id="rId73" Type="http://schemas.openxmlformats.org/officeDocument/2006/relationships/hyperlink" Target="https://lt.e-cat.intercars.eu/lt/Visos-kategorijos/Elektros-sistema/U%C5%BEdegimo-spynel%C4%97-elementai/U%C5%BEdegimo-jungiklis/114-899-0007/c/tecdoc-6800000-6814000-genart_813/p/E31D00" TargetMode="External"/><Relationship Id="rId72" Type="http://schemas.openxmlformats.org/officeDocument/2006/relationships/hyperlink" Target="https://lt.e-cat.intercars.eu/lt/Visos-kategorijos/Filtrai/Alyvos-filtras-korpusas-tarpin%C4%97/Alyvos-karteris%2C-nupylimo-var%C5%BEtas/EL982340/c/tecdoc-6100000-6111000-genart_593/p/G04S4D" TargetMode="External"/><Relationship Id="rId75" Type="http://schemas.openxmlformats.org/officeDocument/2006/relationships/hyperlink" Target="https://lt.e-cat.intercars.eu/lt/Visos-kategorijos/Elektros-sistema/Davikliai/Kampo/Vairavimo-kampo-jutiklis/ATAS4874/c/tecdoc-6800000-6818000-6818090-genart_3252/p/E70FB6" TargetMode="External"/><Relationship Id="rId74" Type="http://schemas.openxmlformats.org/officeDocument/2006/relationships/hyperlink" Target="https://lt.e-cat.intercars.eu/lt/Visos-kategorijos/Au%C5%A1inimo-sistema/Vamzd%C5%BEiai-jung%C4%97s/Au%C5%A1inimo-skys%C4%8Dio-jung%C4%97/HP115-858/c/tecdoc-6900000-6920000-genart_3219/p/E11383" TargetMode="External"/><Relationship Id="rId77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76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79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78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71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70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62" Type="http://schemas.openxmlformats.org/officeDocument/2006/relationships/hyperlink" Target="https://r2-bike.com/SRAM-RED-AXS-Rear-Derailleur-12-speed-36T" TargetMode="External"/><Relationship Id="rId61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64" Type="http://schemas.openxmlformats.org/officeDocument/2006/relationships/hyperlink" Target="https://r2-bike.com/SCHWALBE-valve-insert-black-SV" TargetMode="External"/><Relationship Id="rId63" Type="http://schemas.openxmlformats.org/officeDocument/2006/relationships/hyperlink" Target="https://r2-bike.com/SRAM-Force-Cassette-XG-1270-12-speed-E1-silver-10-36-Teeth" TargetMode="External"/><Relationship Id="rId66" Type="http://schemas.openxmlformats.org/officeDocument/2006/relationships/hyperlink" Target="https://lt.e-cat.intercars.eu/lt/Visos-kategorijos/Pakaba-Ratai/Rato-pakaba/Trauki%C5%B3-jungtys/%C5%A0arnyro-stabilizatorius/c/tecdoc-6300000-6311000-6311040-genart_3229/p/D28CBB?vin=TSMNZC72S00413353&amp;vinSsd=$*KwEvGwplWGtjIn9FWn0lE3djQ0RaLigpKXN_Zi0tZUVtb29ZEgMYY0NraWtcT0oJBAxeKylJLSwvKHd5Yy5idX5lXCpnMiM4XUhIV1NGWC52GWYtKCopLikoAAAAAPPpGr4=$&amp;vehicleSsd=$*KwGEsKHO88DIidTu8daOuNzI6O_xhYOCgtjUzYaGzu7GxMTyuaizyOjAwsD35OGir6f1gILihoeEg9zSyIXJ3tXO94HMmYiT9uPj_Pjt84Xdss2Gg4GChYKDAAAAAAXMAZI=$&amp;vehicleId=0&amp;ssd=$*KwHU4PGeo5CY2YS-oYbe6IyYuL-h1dPS0oiEndbWnr6WlJSi6fjjmLiQkpCntLHy__el0NKy1tfU04yCmNWZiYyHgIWL2_Gf0NTX1tKZjobH8ZyYkYmPprOzr_Hr7tHVs9HW09HRjISeAAAAAADYB4I=$&amp;catalog=YQSZ3" TargetMode="External"/><Relationship Id="rId65" Type="http://schemas.openxmlformats.org/officeDocument/2006/relationships/hyperlink" Target="https://lt.e-cat.intercars.eu/lt/Visos-kategorijos/Pakaba-Ratai/Rato-pakaba/Trauki%C5%B3-jungtys/%C5%A0arnyro-stabilizatorius/c/tecdoc-6300000-6311000-6311040-genart_3229/p/D28CBB?vin=TSMNZC72S00413353&amp;vinSsd=$*KwEvGwplWGtjIn9FWn0lE3djQ0RaLigpKXN_Zi0tZUVtb29ZEgMYY0NraWtcT0oJBAxeKylJLSwvKHd5Yy5idX5lXCpnMiM4XUhIV1NGWC52GWYtKCopLikoAAAAAPPpGr4=$&amp;vehicleSsd=$*KwGEsKHO88DIidTu8daOuNzI6O_xhYOCgtjUzYaGzu7GxMTyuaizyOjAwsD35OGir6f1gILihoeEg9zSyIXJ3tXO94HMmYiT9uPj_Pjt84Xdss2Gg4GChYKDAAAAAAXMAZI=$&amp;vehicleId=0&amp;ssd=$*KwHU4PGeo5CY2YS-oYbe6IyYuL-h1dPS0oiEndbWnr6WlJSi6fjjmLiQkpCntLHy__el0NKy1tfU04yCmNWZiYyHgIWL2_Gf0NTX1tKZjobH8ZyYkYmPprOzr_Hr7tHVs9HW09HRjISeAAAAAADYB4I=$&amp;catalog=YQSZ3" TargetMode="External"/><Relationship Id="rId68" Type="http://schemas.openxmlformats.org/officeDocument/2006/relationships/hyperlink" Target="https://adcat.adbaltic.lt/default.aspx?view=Cart&amp;attrReqType=Sales" TargetMode="External"/><Relationship Id="rId67" Type="http://schemas.openxmlformats.org/officeDocument/2006/relationships/hyperlink" Target="https://adcat.adbaltic.lt/default.aspx?view=Cart&amp;attrReqType=Sales" TargetMode="External"/><Relationship Id="rId60" Type="http://schemas.openxmlformats.org/officeDocument/2006/relationships/hyperlink" Target="https://lt.e-cat.intercars.eu/lt/Visos-kategorijos/Variklis-%C4%AFranga/Cilindr%C5%B3-galvut%C4%97/Vo%C5%BEtuv%C5%B3-dangtelis/Vo%C5%BEtuv%C5%B3-dangtelio-tarpin%C4%97/EL266060/c/tecdoc-6200000-6212000-6212040-genart_321/p/A6FEA7" TargetMode="External"/><Relationship Id="rId69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51" Type="http://schemas.openxmlformats.org/officeDocument/2006/relationships/hyperlink" Target="https://lt.e-cat.intercars.eu/lt/Visos-kategorijos/Tr-priemon%C4%97s-amortizavimas/Kolonos-elementai-Apsaugos-Slopintuvai/Pakabos-statrams%C4%8Dio-atraminis-guolis/KYBSM9910/c/tecdoc-6400000-6415000-genart_1180/p/DD1404" TargetMode="External"/><Relationship Id="rId50" Type="http://schemas.openxmlformats.org/officeDocument/2006/relationships/hyperlink" Target="https://lt.e-cat.intercars.eu/lt/Visos-kategorijos/Stabd%C5%BEi%C5%B3-sistema/Diskiniai-stabd%C5%BEiai/Stabd%C5%BEi%C5%B3-trinkel%C4%97/%C4%AEsp%C4%97jimo-kontaktas%2C-stabd%C5%BEi%C5%B3-trinkeli%C5%B3-susid%C4%97v%C4%97jimas/FWI463/c/tecdoc-6600000-6611000-6611010-genart_407/p/G12W6U" TargetMode="External"/><Relationship Id="rId53" Type="http://schemas.openxmlformats.org/officeDocument/2006/relationships/hyperlink" Target="https://lt.e-cat.intercars.eu/lt/Visos-kategorijos/Pakaba-Ratai/Rato-pakaba/Stabilizatorius/%C5%A0arnyro-stabilizatorius/116-060-0063-HD/c/tecdoc-6300000-6311000-6311030-genart_3229/p/E25294" TargetMode="External"/><Relationship Id="rId52" Type="http://schemas.openxmlformats.org/officeDocument/2006/relationships/hyperlink" Target="https://lt.e-cat.intercars.eu/lt/Visos-kategorijos/Pakaba-Ratai/Rato-pakaba/Svirtis-Reaktyvin%C4%97-trauk%C4%97/Valdymo-svirties-i%C5%A1ilgini%C5%B3-svir%C4%8Di%C5%B3-%C4%AFvor%C4%97/100-407-0086/c/tecdoc-6300000-6311000-6311010-genart_251/p/E196B2" TargetMode="External"/><Relationship Id="rId55" Type="http://schemas.openxmlformats.org/officeDocument/2006/relationships/hyperlink" Target="https://lt.e-cat.intercars.eu/lt/Visos-kategorijos/Pakaba-Ratai/Rato-pakaba/Svirtis-Reaktyvin%C4%97-trauk%C4%97/Valdymo-svirties-i%C5%A1ilgini%C5%B3-svir%C4%8Di%C5%B3-%C4%AFvor%C4%97/100-407-0086/c/tecdoc-6300000-6311000-6311010-genart_251/p/E196B2" TargetMode="External"/><Relationship Id="rId54" Type="http://schemas.openxmlformats.org/officeDocument/2006/relationships/hyperlink" Target="https://lt.e-cat.intercars.eu/lt/Visos-kategorijos/Pakaba-Ratai/Rato-pakaba/Svirtis-Reaktyvin%C4%97-trauk%C4%97/Valdymo-svirties-i%C5%A1ilgini%C5%B3-svir%C4%8Di%C5%B3-%C4%AFvor%C4%97/114-610-0000/c/tecdoc-6300000-6311000-6311010-genart_251/p/E1973E" TargetMode="External"/><Relationship Id="rId57" Type="http://schemas.openxmlformats.org/officeDocument/2006/relationships/hyperlink" Target="https://lt.e-cat.intercars.eu/lt/Visos-kategorijos/Pakaba-Ratai/Rato-pakaba/Svirtis-Reaktyvin%C4%97-trauk%C4%97/Valdymo-svirties-i%C5%A1ilgini%C5%B3-svir%C4%8Di%C5%B3-%C4%AFvor%C4%97/114-610-0000/c/tecdoc-6300000-6311000-6311010-genart_251/p/E1973E" TargetMode="External"/><Relationship Id="rId56" Type="http://schemas.openxmlformats.org/officeDocument/2006/relationships/hyperlink" Target="https://lt.e-cat.intercars.eu/lt/Visos-kategorijos/Pakaba-Ratai/Rato-pakaba/Stabilizatorius/%C5%A0arnyro-stabilizatorius/116-060-0063-HD/c/tecdoc-6300000-6311000-6311030-genart_3229/p/E25294" TargetMode="External"/><Relationship Id="rId59" Type="http://schemas.openxmlformats.org/officeDocument/2006/relationships/hyperlink" Target="https://lt.e-cat.intercars.eu/lt/Visos-kategorijos/Tr-priemon%C4%97s-amortizavimas/Kolonos-elementai-Apsaugos-Slopintuvai/Remonto-komplektas%2C-pakabos-statramstis/FE195041/c/tecdoc-6400000-6415000-genart_1632/p/H0KUBE" TargetMode="External"/><Relationship Id="rId58" Type="http://schemas.openxmlformats.org/officeDocument/2006/relationships/hyperlink" Target="https://lt.e-cat.intercars.eu/lt/Visos-kategorijos/Tr-priemon%C4%97s-amortizavimas/Kolonos-elementai-Apsaugos-Slopintuvai/Remonto-komplektas%2C-pakabos-statramstis/FE195041/c/tecdoc-6400000-6415000-genart_1632/p/H0KUB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t.e-cat.intercars.eu/lt/Visos-kategorijos/Tr-priemon%C4%97s-amortizavimas/Amortizatoriai/Amortizatorius/AG3066MT/c/tecdoc-6400000-6411000-genart_854/p/BAD605" TargetMode="External"/><Relationship Id="rId42" Type="http://schemas.openxmlformats.org/officeDocument/2006/relationships/hyperlink" Target="https://lt.e-cat.intercars.eu/lt/Visos-kategorijos/Pakaba-Ratai/Rato-pakaba/Stabilizatorius/%C5%A0arnyro-stabilizatorius/RH07-4010/c/tecdoc-6300000-6311000-6311030-genart_3229/p/G076V4" TargetMode="External"/><Relationship Id="rId41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P-59-042/c/tecdoc-6600000-6611000-6611010-genart_402/p/B6BEA9" TargetMode="External"/><Relationship Id="rId44" Type="http://schemas.openxmlformats.org/officeDocument/2006/relationships/hyperlink" Target="https://lt.e-cat.intercars.eu/lt/Visos-kategorijos/Stabd%C5%BEi%C5%B3-sistema/Diskiniai-stabd%C5%BEiai/Stabd%C5%BEi%C5%B3-diskas/Stabd%C5%BEi%C5%B3-diskas/0-986-479-C69/c/tecdoc-6600000-6611000-6611020-genart_82/p/DC926F" TargetMode="External"/><Relationship Id="rId43" Type="http://schemas.openxmlformats.org/officeDocument/2006/relationships/hyperlink" Target="https://lt.e-cat.intercars.eu/lt/Visos-kategorijos/Tr-priemon%C4%97s-amortizavimas/Amortizatoriai/Amortizatorius/AG3066MT/c/tecdoc-6400000-6411000-genart_854/p/BAD605" TargetMode="External"/><Relationship Id="rId46" Type="http://schemas.openxmlformats.org/officeDocument/2006/relationships/hyperlink" Target="https://www.caseking.de/en/phanteks-eclipse-g360a-midi-tower-tempered-glass-argb-black-geph-151.html" TargetMode="External"/><Relationship Id="rId45" Type="http://schemas.openxmlformats.org/officeDocument/2006/relationships/hyperlink" Target="https://lt.e-cat.intercars.eu/lt/Visos-kategorijos/Pakaba-Ratai/Rato-pakaba/Stabilizatorius/Skersinio-stabilizatoriaus-%C4%AFvor%C4%97/TD1452W/c/tecdoc-6300000-6311000-6311030-genart_1334/p/G05QUD" TargetMode="External"/><Relationship Id="rId47" Type="http://schemas.openxmlformats.org/officeDocument/2006/relationships/drawing" Target="../drawings/drawing3.xml"/><Relationship Id="rId31" Type="http://schemas.openxmlformats.org/officeDocument/2006/relationships/hyperlink" Target="mailto:logistika@irankis.lt" TargetMode="External"/><Relationship Id="rId30" Type="http://schemas.openxmlformats.org/officeDocument/2006/relationships/hyperlink" Target="mailto:logistika@irankis.lt" TargetMode="External"/><Relationship Id="rId33" Type="http://schemas.openxmlformats.org/officeDocument/2006/relationships/hyperlink" Target="https://juta.tsm.lt/info.php?caller=krepselis&amp;id=9990001554201" TargetMode="External"/><Relationship Id="rId32" Type="http://schemas.openxmlformats.org/officeDocument/2006/relationships/hyperlink" Target="mailto:logistika@irankis.lt" TargetMode="External"/><Relationship Id="rId35" Type="http://schemas.openxmlformats.org/officeDocument/2006/relationships/hyperlink" Target="mailto:m@justasrutkauskas.com" TargetMode="External"/><Relationship Id="rId34" Type="http://schemas.openxmlformats.org/officeDocument/2006/relationships/hyperlink" Target="mailto:arnas@a1motors.lt" TargetMode="External"/><Relationship Id="rId37" Type="http://schemas.openxmlformats.org/officeDocument/2006/relationships/hyperlink" Target="https://lt.e-cat.intercars.eu/lt/Visos-kategorijos/Filtrai/Kabinos-filtras-korpusas-tarpin%C4%97/Salono-filtras/ADT32522/c/tecdoc-6100000-6114000-genart_424/p/F5B9FA" TargetMode="External"/><Relationship Id="rId36" Type="http://schemas.openxmlformats.org/officeDocument/2006/relationships/hyperlink" Target="mailto:e.baciliuniene@gmail.com" TargetMode="External"/><Relationship Id="rId39" Type="http://schemas.openxmlformats.org/officeDocument/2006/relationships/hyperlink" Target="https://lt.e-cat.intercars.eu/lt/Visos-kategorijos/Filtrai/Alyvos-filtras-korpusas-tarpin%C4%97/Alyvos-filtras/F-026-407-092/c/tecdoc-6100000-6111000-genart_7/p/D35DAF" TargetMode="External"/><Relationship Id="rId38" Type="http://schemas.openxmlformats.org/officeDocument/2006/relationships/hyperlink" Target="https://lt.e-cat.intercars.eu/lt/Visos-kategorijos/Filtrai/Oro-filtras-korpusas-tarpin%C4%97/Oro-filtras/F-026-400-114/c/tecdoc-6100000-6113000-genart_8/p/C2F4D8" TargetMode="External"/><Relationship Id="rId20" Type="http://schemas.openxmlformats.org/officeDocument/2006/relationships/hyperlink" Target="https://www.bike-discount.de/en/buy/katana-tl-2-race-tyre-lever-874273" TargetMode="External"/><Relationship Id="rId22" Type="http://schemas.openxmlformats.org/officeDocument/2006/relationships/hyperlink" Target="http://irankis.lt/" TargetMode="External"/><Relationship Id="rId21" Type="http://schemas.openxmlformats.org/officeDocument/2006/relationships/hyperlink" Target="https://juta.tsm.lt/info.php?caller=krepselis&amp;id=10000306577" TargetMode="External"/><Relationship Id="rId24" Type="http://schemas.openxmlformats.org/officeDocument/2006/relationships/hyperlink" Target="http://martynas.sn/" TargetMode="External"/><Relationship Id="rId23" Type="http://schemas.openxmlformats.org/officeDocument/2006/relationships/hyperlink" Target="https://rekvizitai.vz.lt/imone/kreditu_valdymo_grupe/" TargetMode="External"/><Relationship Id="rId26" Type="http://schemas.openxmlformats.org/officeDocument/2006/relationships/hyperlink" Target="mailto:tomas.z@irankis.lt" TargetMode="External"/><Relationship Id="rId25" Type="http://schemas.openxmlformats.org/officeDocument/2006/relationships/hyperlink" Target="mailto:logistika@irankis.lt" TargetMode="External"/><Relationship Id="rId28" Type="http://schemas.openxmlformats.org/officeDocument/2006/relationships/hyperlink" Target="mailto:augustinas@insitus.lt" TargetMode="External"/><Relationship Id="rId27" Type="http://schemas.openxmlformats.org/officeDocument/2006/relationships/hyperlink" Target="mailto:logistika@irankis.lt" TargetMode="External"/><Relationship Id="rId29" Type="http://schemas.openxmlformats.org/officeDocument/2006/relationships/hyperlink" Target="mailto:e.baciliuniene@gmail.com" TargetMode="External"/><Relationship Id="rId11" Type="http://schemas.openxmlformats.org/officeDocument/2006/relationships/hyperlink" Target="https://www.thule.com/en-lt/bike-rack/towbar-bike-racks/thule-velocompact-2-7-pin-_-925" TargetMode="External"/><Relationship Id="rId10" Type="http://schemas.openxmlformats.org/officeDocument/2006/relationships/hyperlink" Target="http://i3.latakko.lv/searchitem.php?itemtext=DK-MC-27226SUB" TargetMode="External"/><Relationship Id="rId13" Type="http://schemas.openxmlformats.org/officeDocument/2006/relationships/hyperlink" Target="http://mhm.lt/" TargetMode="External"/><Relationship Id="rId12" Type="http://schemas.openxmlformats.org/officeDocument/2006/relationships/hyperlink" Target="http://mhm.lt/" TargetMode="External"/><Relationship Id="rId15" Type="http://schemas.openxmlformats.org/officeDocument/2006/relationships/hyperlink" Target="http://empl.lt/" TargetMode="External"/><Relationship Id="rId14" Type="http://schemas.openxmlformats.org/officeDocument/2006/relationships/hyperlink" Target="https://adcat.adbaltic.lt/default.aspx?view=Cart&amp;attrReqType=Sales" TargetMode="External"/><Relationship Id="rId17" Type="http://schemas.openxmlformats.org/officeDocument/2006/relationships/hyperlink" Target="http://pigu.lt/" TargetMode="External"/><Relationship Id="rId16" Type="http://schemas.openxmlformats.org/officeDocument/2006/relationships/hyperlink" Target="http://katilas.lt/" TargetMode="External"/><Relationship Id="rId19" Type="http://schemas.openxmlformats.org/officeDocument/2006/relationships/hyperlink" Target="mailto:silvinas.sakalauskas@gmail.com" TargetMode="External"/><Relationship Id="rId18" Type="http://schemas.openxmlformats.org/officeDocument/2006/relationships/hyperlink" Target="mailto:ernestas.vaskevicius@gmail.com" TargetMode="External"/><Relationship Id="rId1" Type="http://schemas.openxmlformats.org/officeDocument/2006/relationships/hyperlink" Target="mailto:paulius@diamedica.lt" TargetMode="External"/><Relationship Id="rId2" Type="http://schemas.openxmlformats.org/officeDocument/2006/relationships/hyperlink" Target="https://www.stokker.lt/cordless-compact-cutter-cc-12-bl-powermaxx-carcass/2130697972?fbclid=IwAR1va9muU8KdaD2ZY-9g1cxrqcLY2YogbV96QV-j1kaJz1nwwofiHUxTnFE" TargetMode="External"/><Relationship Id="rId3" Type="http://schemas.openxmlformats.org/officeDocument/2006/relationships/hyperlink" Target="https://lt.e-cat.intercars.eu/lt/Visos-kategorijos/Stikl%C5%B3-%C5%BEibint%C5%B3-valymas/Stikl%C5%B3-%C5%BEibint%C5%B3-valymas/Valytuvai-svirtys-trauk%C4%97s/Valytuvo-gumel%C4%97/3-397-118-979/c/tecdoc-7811000-7811010-7811014-genart_298/p/A75E9A" TargetMode="External"/><Relationship Id="rId4" Type="http://schemas.openxmlformats.org/officeDocument/2006/relationships/hyperlink" Target="http://juta.bscreens.lt/info.php?caller=krepselis&amp;id=10000227259" TargetMode="External"/><Relationship Id="rId9" Type="http://schemas.openxmlformats.org/officeDocument/2006/relationships/hyperlink" Target="mailto:arvydas@masina.lt" TargetMode="External"/><Relationship Id="rId5" Type="http://schemas.openxmlformats.org/officeDocument/2006/relationships/hyperlink" Target="mailto:daumantas@juka.lt" TargetMode="External"/><Relationship Id="rId6" Type="http://schemas.openxmlformats.org/officeDocument/2006/relationships/hyperlink" Target="https://myway.goodyear.com/p/574153" TargetMode="External"/><Relationship Id="rId7" Type="http://schemas.openxmlformats.org/officeDocument/2006/relationships/hyperlink" Target="https://l.facebook.com/l.php?u=https%3A%2F%2Fautoplius.lt%2Fskelbimai%2Fadr-roken-lengvojo-lydinio-r19-10671461.html%3Ffbclid%3DIwAR22cW3qNxbFvla2BPSoOfzqXpFGQsfDfl4rg78nP0kg7Hgw_f85xRSvWE0&amp;h=AT05UcZ052dJ0FakfadMxUBzXnd5iR_SQ7sEuwLMrvM-R0GB-Lnf9TNDKenQadsxPN5AqNqjdCzUyCViKfvJHal4AfD3XIH3uv-II0Cc3xsrNgSZ9p7ZWD-CSmgOi5FpPfg" TargetMode="External"/><Relationship Id="rId8" Type="http://schemas.openxmlformats.org/officeDocument/2006/relationships/hyperlink" Target="https://rekvizitai.vz.lt/imone/mindmeri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.vainilavicius@nav.l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igu.lt/" TargetMode="External"/><Relationship Id="rId2" Type="http://schemas.openxmlformats.org/officeDocument/2006/relationships/hyperlink" Target="mailto:martisver@gmail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kvizitai.vz.lt/imone/lokmis/" TargetMode="External"/><Relationship Id="rId42" Type="http://schemas.openxmlformats.org/officeDocument/2006/relationships/drawing" Target="../drawings/drawing7.xml"/><Relationship Id="rId41" Type="http://schemas.openxmlformats.org/officeDocument/2006/relationships/hyperlink" Target="mailto:dovydas.g@lokmis.lt" TargetMode="External"/><Relationship Id="rId31" Type="http://schemas.openxmlformats.org/officeDocument/2006/relationships/hyperlink" Target="https://lt.e-cat.intercars.eu/lt/Visos-kategorijos/Variklis-%C4%AFranga/Cilindr%C5%B3-galvut%C4%97/Vo%C5%BEtuv%C5%B3-dangtelis/Vo%C5%BEtuv%C5%B3-dangtelio-tarpin%C4%97/EL266060/c/tecdoc-6200000-6212000-6212040-genart_321/p/A6FEA7" TargetMode="External"/><Relationship Id="rId30" Type="http://schemas.openxmlformats.org/officeDocument/2006/relationships/hyperlink" Target="https://lt.e-cat.intercars.eu/lt/Visos-kategorijos/Pakaba-Ratai/Rato-pakaba/Svirtis-Reaktyvin%C4%97-trauk%C4%97/Svirtis-Reaktyvin%C4%97-trauk%C4%97/116-050-0079-S/c/tecdoc-6300000-6311000-6311010-genart_273/p/E19F5F" TargetMode="External"/><Relationship Id="rId33" Type="http://schemas.openxmlformats.org/officeDocument/2006/relationships/hyperlink" Target="https://lt.e-cat.intercars.eu/lt/Visos-kategorijos/Pakaba-Ratai/Rato-pakaba/Stabilizatorius/Skersinio-stabilizatoriaus-%C4%AFvor%C4%97/RH17-0002/c/tecdoc-6300000-6311000-6311030-genart_1334/p/G0797S" TargetMode="External"/><Relationship Id="rId32" Type="http://schemas.openxmlformats.org/officeDocument/2006/relationships/hyperlink" Target="https://lt.e-cat.intercars.eu/lt/Visos-kategorijos/Pakaba-Ratai/Rato-pakaba/Svirtis-Reaktyvin%C4%97-trauk%C4%97/Svirtis-Reaktyvin%C4%97-trauk%C4%97/116-050-0079-S/c/tecdoc-6300000-6311000-6311010-genart_273/p/E19F5F" TargetMode="External"/><Relationship Id="rId35" Type="http://schemas.openxmlformats.org/officeDocument/2006/relationships/hyperlink" Target="https://rekvizitai.vz.lt/imone/ernst_young_baltic/" TargetMode="External"/><Relationship Id="rId34" Type="http://schemas.openxmlformats.org/officeDocument/2006/relationships/hyperlink" Target="mailto:tiekimas@stiklita.lt" TargetMode="External"/><Relationship Id="rId37" Type="http://schemas.openxmlformats.org/officeDocument/2006/relationships/hyperlink" Target="https://rekvizitai.vz.lt/en/company/stabile_fundamentum/" TargetMode="External"/><Relationship Id="rId36" Type="http://schemas.openxmlformats.org/officeDocument/2006/relationships/hyperlink" Target="https://rekvizitai.vz.lt/imone/medgana/" TargetMode="External"/><Relationship Id="rId39" Type="http://schemas.openxmlformats.org/officeDocument/2006/relationships/hyperlink" Target="mailto:a.vainilavicius@nav.lt" TargetMode="External"/><Relationship Id="rId38" Type="http://schemas.openxmlformats.org/officeDocument/2006/relationships/hyperlink" Target="https://rekvizitai.vz.lt/imone/lokmis/" TargetMode="External"/><Relationship Id="rId20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GEAR-300-75W90-1L/c/tecdoc-6500000-6513000-6513010-6010017-genart_3225/p/9D3F17" TargetMode="External"/><Relationship Id="rId22" Type="http://schemas.openxmlformats.org/officeDocument/2006/relationships/hyperlink" Target="https://lt.e-cat.intercars.eu/lt/Visos-kategorijos/Pakaba-Ratai/Rato-pakaba/Svirtis-Reaktyvin%C4%97-trauk%C4%97/Svirtis-Reaktyvin%C4%97-trauk%C4%97/LMI35463/c/tecdoc-6300000-6311000-6311010-genart_273/p/C57F7A" TargetMode="External"/><Relationship Id="rId21" Type="http://schemas.openxmlformats.org/officeDocument/2006/relationships/hyperlink" Target="https://lt.e-cat.intercars.eu/lt/Visos-kategorijos/Filtrai/Hidraulikos-filtras/Hidr-sis-filtras%2C-daugiadisk%C4%97-sankaba-%28vis%C5%B3-rat%C5%B3-pavara%29/FE177922/c/tecdoc-6100000-6115000-genart_5039/p/G0Y338" TargetMode="External"/><Relationship Id="rId24" Type="http://schemas.openxmlformats.org/officeDocument/2006/relationships/hyperlink" Target="https://lt.e-cat.intercars.eu/lt/Visos-kategorijos/Pakaba-Ratai/Rato-pakaba/Svirtis-Reaktyvin%C4%97-trauk%C4%97/Svirtis-Reaktyvin%C4%97-trauk%C4%97/LMI35465/c/tecdoc-6300000-6311000-6311010-genart_273/p/CAEDB7" TargetMode="External"/><Relationship Id="rId23" Type="http://schemas.openxmlformats.org/officeDocument/2006/relationships/hyperlink" Target="https://lt.e-cat.intercars.eu/lt/Visos-kategorijos/Pakaba-Ratai/Rato-pakaba/Svirtis-Reaktyvin%C4%97-trauk%C4%97/Svirtis-Reaktyvin%C4%97-trauk%C4%97/LMI35463/c/tecdoc-6300000-6311000-6311010-genart_273/p/C57F7A" TargetMode="External"/><Relationship Id="rId26" Type="http://schemas.openxmlformats.org/officeDocument/2006/relationships/hyperlink" Target="https://lt.e-cat.intercars.eu/lt/Visos-kategorijos/Pakaba-Ratai/Rato-pakaba/Svirtis-Reaktyvin%C4%97-trauk%C4%97/Tvirtinimo-ver%C5%BEl%C4%97s%2C-balansyras/RH15-0030/c/tecdoc-6300000-6311000-6311010-genart_3240/p/G075XV" TargetMode="External"/><Relationship Id="rId25" Type="http://schemas.openxmlformats.org/officeDocument/2006/relationships/hyperlink" Target="https://lt.e-cat.intercars.eu/lt/Visos-kategorijos/Pakaba-Ratai/Rato-pakaba/Svirtis-Reaktyvin%C4%97-trauk%C4%97/Tvirtinimo-ver%C5%BEl%C4%97s%2C-balansyras/RH15-0030/c/tecdoc-6300000-6311000-6311010-genart_3240/p/G075XV" TargetMode="External"/><Relationship Id="rId28" Type="http://schemas.openxmlformats.org/officeDocument/2006/relationships/hyperlink" Target="https://lt.e-cat.intercars.eu/lt/Visos-kategorijos/Pakaba-Ratai/Rato-pakaba/Svirtis-Reaktyvin%C4%97-trauk%C4%97/Svirtis-Reaktyvin%C4%97-trauk%C4%97/LMI35464/c/tecdoc-6300000-6311000-6311010-genart_273/p/CAEDB6" TargetMode="External"/><Relationship Id="rId27" Type="http://schemas.openxmlformats.org/officeDocument/2006/relationships/hyperlink" Target="https://lt.e-cat.intercars.eu/lt/Visos-kategorijos/Pakaba-Ratai/Rato-pakaba/Guolis-Rato-stebul%C4%97/Rato-guoli%C5%B3-komplektas/VKBA-3643/c/tecdoc-6300000-6311000-6311050-genart_654/p/9EC2F8" TargetMode="External"/><Relationship Id="rId29" Type="http://schemas.openxmlformats.org/officeDocument/2006/relationships/hyperlink" Target="https://lt.e-cat.intercars.eu/lt/Visos-kategorijos/Pakaba-Ratai/Rato-pakaba/Stabilizatorius/Skersinio-stabilizatoriaus-%C4%AFvor%C4%97/RH17-0002/c/tecdoc-6300000-6311000-6311030-genart_1334/p/G0797S" TargetMode="External"/><Relationship Id="rId11" Type="http://schemas.openxmlformats.org/officeDocument/2006/relationships/hyperlink" Target="https://rekvizitai.vz.lt/imone/stabile_fundamentum/" TargetMode="External"/><Relationship Id="rId10" Type="http://schemas.openxmlformats.org/officeDocument/2006/relationships/hyperlink" Target="https://rekvizitai.vz.lt/imone/uab_kerotis/" TargetMode="External"/><Relationship Id="rId13" Type="http://schemas.openxmlformats.org/officeDocument/2006/relationships/hyperlink" Target="https://rekvizitai.vz.lt/imone/eiprela/" TargetMode="External"/><Relationship Id="rId12" Type="http://schemas.openxmlformats.org/officeDocument/2006/relationships/hyperlink" Target="mailto:igor.margunov@gmail.com" TargetMode="External"/><Relationship Id="rId15" Type="http://schemas.openxmlformats.org/officeDocument/2006/relationships/hyperlink" Target="https://rekvizitai.vz.lt/imone/stabile_fundamentum/" TargetMode="External"/><Relationship Id="rId14" Type="http://schemas.openxmlformats.org/officeDocument/2006/relationships/hyperlink" Target="https://rekvizitai.vz.lt/imone/lova_plius/" TargetMode="External"/><Relationship Id="rId17" Type="http://schemas.openxmlformats.org/officeDocument/2006/relationships/hyperlink" Target="https://lt.e-cat.intercars.eu/lt/Visos-kategorijos/Pakaba-Ratai/Rato-pakaba/Svirtis-Reaktyvin%C4%97-trauk%C4%97/Valdymo-svirties-i%C5%A1ilgini%C5%B3-svir%C4%8Di%C5%B3-%C4%AFvor%C4%97/LMI35451/c/tecdoc-6300000-6311000-6311010-genart_251/p/BFA8AE" TargetMode="External"/><Relationship Id="rId16" Type="http://schemas.openxmlformats.org/officeDocument/2006/relationships/hyperlink" Target="https://lt.e-cat.intercars.eu/lt/Visos-kategorijos/Pavaros-sistema/Pavar%C5%B3-d%C4%97%C5%BE%C4%97/Automatin%C4%97-pavar%C5%B3-d%C4%97%C5%BE%C4%97/Alyva-automatinei-pavar%C5%B3-d%C4%97%C5%BEei/Alyva-automatinei-pavar%C5%B3-d%C4%97%C5%BEei/MULTI-DCTF-1L/c/tecdoc-6500000-6513000-6513020-6010018-genart_3069/p/D21FD3" TargetMode="External"/><Relationship Id="rId19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GEAR-300-75W90-1L/c/tecdoc-6500000-6513000-6513010-6010017-genart_3225/p/9D3F17" TargetMode="External"/><Relationship Id="rId18" Type="http://schemas.openxmlformats.org/officeDocument/2006/relationships/hyperlink" Target="https://lt.e-cat.intercars.eu/lt/Visos-kategorijos/Pakaba-Ratai/Rato-pakaba/Svirtis-Reaktyvin%C4%97-trauk%C4%97/Valdymo-svirties-i%C5%A1ilgini%C5%B3-svir%C4%8Di%C5%B3-%C4%AFvor%C4%97/LMI35451/c/tecdoc-6300000-6311000-6311010-genart_251/p/BFA8AE" TargetMode="External"/><Relationship Id="rId1" Type="http://schemas.openxmlformats.org/officeDocument/2006/relationships/hyperlink" Target="mailto:arturas.andriejauskas@gmail.com" TargetMode="External"/><Relationship Id="rId2" Type="http://schemas.openxmlformats.org/officeDocument/2006/relationships/hyperlink" Target="mailto:koli343@gmail.com" TargetMode="External"/><Relationship Id="rId3" Type="http://schemas.openxmlformats.org/officeDocument/2006/relationships/hyperlink" Target="mailto:virtiis@gmail.com" TargetMode="External"/><Relationship Id="rId4" Type="http://schemas.openxmlformats.org/officeDocument/2006/relationships/hyperlink" Target="mailto:ak19830810@gmail.com" TargetMode="External"/><Relationship Id="rId9" Type="http://schemas.openxmlformats.org/officeDocument/2006/relationships/hyperlink" Target="http://eaugalai.lt/" TargetMode="External"/><Relationship Id="rId5" Type="http://schemas.openxmlformats.org/officeDocument/2006/relationships/hyperlink" Target="http://svarusnama.lt/" TargetMode="External"/><Relationship Id="rId6" Type="http://schemas.openxmlformats.org/officeDocument/2006/relationships/hyperlink" Target="https://lt.e-cat.intercars.eu/lt/Visos-kategorijos/Pakaba-Ratai/Rato-pakaba/Stabilizatorius/v/CAR_18761/c/tecdoc-6300000-6311000-6311030/p/BFA89B" TargetMode="External"/><Relationship Id="rId7" Type="http://schemas.openxmlformats.org/officeDocument/2006/relationships/hyperlink" Target="https://lt.e-cat.intercars.eu/lt/Visos-kategorijos/Stabd%C5%BEi%C5%B3-sistema/Diskiniai-stabd%C5%BEiai/Stabd%C5%BEi%C5%B3-diskas/v/CAR_18761/c/tecdoc-6600000-6611000-6611020/p/E42D03" TargetMode="External"/><Relationship Id="rId8" Type="http://schemas.openxmlformats.org/officeDocument/2006/relationships/hyperlink" Target="http://lakresta.info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lt.e-cat.intercars.eu/lt/Visos-kategorijos/Pakaba-Ratai/Rato-pakaba/Pakabos-sija-%28a%C5%A1is%29-elementai/I%C5%A1virtimo-reguliavimo-var%C5%BEtas/TED50469/c/tecdoc-6300000-6311000-6311070-genart_2967/p/H0KZ8S" TargetMode="External"/><Relationship Id="rId42" Type="http://schemas.openxmlformats.org/officeDocument/2006/relationships/hyperlink" Target="https://lt.e-cat.intercars.eu/lt/Visos-kategorijos/Stabd%C5%BEi%C5%B3-sistema/Diskiniai-stabd%C5%BEiai/Stabd%C5%BEi%C5%B3-diskas/Stabd%C5%BEi%C5%B3-diskas/C3B034ABE/c/tecdoc-6600000-6611000-6611020-genart_82/p/B8A9DB" TargetMode="External"/><Relationship Id="rId41" Type="http://schemas.openxmlformats.org/officeDocument/2006/relationships/hyperlink" Target="https://lt.e-cat.intercars.eu/lt/Visos-kategorijos/Stabd%C5%BEi%C5%B3-sistema/Diskiniai-stabd%C5%BEiai/Stabd%C5%BEi%C5%B3-diskas/Stabd%C5%BEi%C5%B3-diskas/C3B034ABE/c/tecdoc-6600000-6611000-6611020-genart_82/p/B8A9DB" TargetMode="External"/><Relationship Id="rId44" Type="http://schemas.openxmlformats.org/officeDocument/2006/relationships/hyperlink" Target="https://lt.e-cat.intercars.eu/lt/Visos-kategorijos/Stabd%C5%BEi%C5%B3-sistema/Diskiniai-stabd%C5%BEiai/Stabd%C5%BEi%C5%B3-diskas/Stabd%C5%BEi%C5%B3-diskas/C4B028ABE/c/tecdoc-6600000-6611000-6611020-genart_82/p/B8A9DA" TargetMode="External"/><Relationship Id="rId43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FDB1773/c/tecdoc-6600000-6611000-6611010-genart_402/p/A8FC7C" TargetMode="External"/><Relationship Id="rId46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FDB1807/c/tecdoc-6600000-6611000-6611010-genart_402/p/A8FC6A" TargetMode="External"/><Relationship Id="rId45" Type="http://schemas.openxmlformats.org/officeDocument/2006/relationships/hyperlink" Target="https://lt.e-cat.intercars.eu/lt/Visos-kategorijos/Stabd%C5%BEi%C5%B3-sistema/Diskiniai-stabd%C5%BEiai/Stabd%C5%BEi%C5%B3-diskas/Stabd%C5%BEi%C5%B3-diskas/C4B028ABE/c/tecdoc-6600000-6611000-6611020-genart_82/p/B8A9DA" TargetMode="External"/><Relationship Id="rId48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47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49" Type="http://schemas.openxmlformats.org/officeDocument/2006/relationships/hyperlink" Target="https://lt.e-cat.intercars.eu/lt/Visos-kategorijos/Stabd%C5%BEi%C5%B3-sistema/Antiblokavimo-sistema-%28ABS%29/Jutiklio-%C5%BEiedas%2C-ABS/FE178022/c/tecdoc-6600000-6621000-genart_2254/p/G0Y34L" TargetMode="External"/><Relationship Id="rId31" Type="http://schemas.openxmlformats.org/officeDocument/2006/relationships/hyperlink" Target="https://lt.e-cat.intercars.eu/lt/Visos-kategorijos/Dirbtuvi%C5%B3-%C4%AFranga/%C4%AE%C5%A1metam%C5%B3-duj%C5%B3-%C5%A1alinimas-i%C5%A1metimo-sist-aptarnavimas/I%C5%A1metimo-sistemos-aptarnavimo-%C4%AFrankiai/JDAQ0122/c/tecdoc-5090007-5010101-genart_91897/p/C2F245" TargetMode="External"/><Relationship Id="rId30" Type="http://schemas.openxmlformats.org/officeDocument/2006/relationships/hyperlink" Target="https://lt.e-cat.intercars.eu/lt/Visos-kategorijos/Automobili%C5%B3-valymas-%28detailing%29/Vidus/Plastiko-prie%C5%BEi%C5%ABros-priemon%C4%97/Plastiko-prie%C5%BEi%C5%ABros-priemon%C4%97/DAC-DASHBOARD-CLEAN-0-5L/c/tecdoc-5010839-5011124-5011125-genart_93730/p/BF446C" TargetMode="External"/><Relationship Id="rId33" Type="http://schemas.openxmlformats.org/officeDocument/2006/relationships/hyperlink" Target="https://adcat.adbaltic.lt/default.aspx?view=Cart&amp;attrReqType=Sales" TargetMode="External"/><Relationship Id="rId32" Type="http://schemas.openxmlformats.org/officeDocument/2006/relationships/hyperlink" Target="https://adcat.adbaltic.lt/default.aspx?view=Cart&amp;attrReqType=Sales" TargetMode="External"/><Relationship Id="rId35" Type="http://schemas.openxmlformats.org/officeDocument/2006/relationships/hyperlink" Target="https://lt.e-cat.intercars.eu/lt/Visos-kategorijos/Stabd%C5%BEi%C5%B3-sistema/Diskiniai-stabd%C5%BEiai/Stabd%C5%BEi%C5%B3-diskas/Stabd%C5%BEi%C5%B3-diskas/C34056ABE/c/tecdoc-6600000-6611000-6611020-genart_82/p/B4EB90" TargetMode="External"/><Relationship Id="rId34" Type="http://schemas.openxmlformats.org/officeDocument/2006/relationships/hyperlink" Target="https://lt.e-cat.intercars.eu/lt/Visos-kategorijos/Au%C5%A1inimo-sistema/Au%C5%A1inimo-skystis/Paruo%C5%A1tas-au%C5%A1inimo-sk-%28tipas-G11-G48%29/A-C-EXPERT-37C-5L/c/tecdoc-6900000-6923000-genart_92034/p/G0J438" TargetMode="External"/><Relationship Id="rId37" Type="http://schemas.openxmlformats.org/officeDocument/2006/relationships/hyperlink" Target="https://lt.e-cat.intercars.eu/lt/Visos-kategorijos/Pakaba-Ratai/Rato-pakaba/Svirtis-Reaktyvin%C4%97-trauk%C4%97/%C5%A0arnyras/TC2627/c/tecdoc-6300000-6311000-6311010-genart_2462/p/D20058" TargetMode="External"/><Relationship Id="rId36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C14053ABE-P/c/tecdoc-6600000-6611000-6611010-genart_402/p/G0R4KE" TargetMode="External"/><Relationship Id="rId39" Type="http://schemas.openxmlformats.org/officeDocument/2006/relationships/hyperlink" Target="https://lt.e-cat.intercars.eu/lt/Visos-kategorijos/Pakaba-Ratai/Rato-pakaba/Svirtis-Reaktyvin%C4%97-trauk%C4%97/Svirtis-Reaktyvin%C4%97-trauk%C4%97/J90535OEM/c/tecdoc-6300000-6311000-6311010-genart_273/p/G0X9P6" TargetMode="External"/><Relationship Id="rId38" Type="http://schemas.openxmlformats.org/officeDocument/2006/relationships/hyperlink" Target="https://lt.e-cat.intercars.eu/lt/Visos-kategorijos/Pakaba-Ratai/Rato-pakaba/Svirtis-Reaktyvin%C4%97-trauk%C4%97/Svirtis-Reaktyvin%C4%97-trauk%C4%97/J90314YMT/c/tecdoc-6300000-6311000-6311010-genart_273/p/G0ZXEC" TargetMode="External"/><Relationship Id="rId20" Type="http://schemas.openxmlformats.org/officeDocument/2006/relationships/hyperlink" Target="https://lt.e-cat.intercars.eu/lt/Visos-kategorijos/Variklis-%C4%AFranga/Variklio-tepimas/Varikli%C5%B3-alyva/Varikli%C5%B3-alyva/LIM8536-MOLYGEN-5W40-5L/c/tecdoc-6200000-6213000-6010016-genart_3224/p/E38978" TargetMode="External"/><Relationship Id="rId22" Type="http://schemas.openxmlformats.org/officeDocument/2006/relationships/hyperlink" Target="https://lt.e-cat.intercars.eu/lt/Visos-kategorijos/Variklis-%C4%AFranga/Variklio-tepimas/Varikli%C5%B3-alyva/Varikli%C5%B3-alyva/LIM8576-5W40-1L/c/tecdoc-6200000-6213000-6010016-genart_3224/p/E38976" TargetMode="External"/><Relationship Id="rId21" Type="http://schemas.openxmlformats.org/officeDocument/2006/relationships/hyperlink" Target="https://lt.e-cat.intercars.eu/lt/Visos-kategorijos/Variklis-%C4%AFranga/Variklio-tepimas/Varikli%C5%B3-alyva/Varikli%C5%B3-alyva/LIM8576-5W40-1L/c/tecdoc-6200000-6213000-6010016-genart_3224/p/E38976" TargetMode="External"/><Relationship Id="rId24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LIM2183-75W90-1L/c/tecdoc-6500000-6513000-6513010-6010017-genart_3225/p/452640" TargetMode="External"/><Relationship Id="rId23" Type="http://schemas.openxmlformats.org/officeDocument/2006/relationships/hyperlink" Target="https://lt.e-cat.intercars.eu/lt/Visos-kategorijos/Filtrai/Oro-filtras-korpusas-tarpin%C4%97/Oro-filtras/TUPP1984/c/tecdoc-6100000-6113000-genart_8/p/E491B2" TargetMode="External"/><Relationship Id="rId26" Type="http://schemas.openxmlformats.org/officeDocument/2006/relationships/hyperlink" Target="https://lt.e-cat.intercars.eu/lt/Visos-kategorijos/Pavaros-sistema/Pavar%C5%B3-d%C4%97%C5%BE%C4%97/Automatin%C4%97-pavar%C5%B3-d%C4%97%C5%BE%C4%97/Alyva-automatinei-pavar%C5%B3-d%C4%97%C5%BEei/Alyva-automatinei-pavar%C5%B3-d%C4%97%C5%BEei/RAV-TRANSFER-DTF-1-1L/c/tecdoc-6500000-6513000-6513020-6010018-genart_3069/p/D158E9" TargetMode="External"/><Relationship Id="rId25" Type="http://schemas.openxmlformats.org/officeDocument/2006/relationships/hyperlink" Target="https://lt.e-cat.intercars.eu/lt/Visos-kategorijos/Pavaros-sistema/Pavar%C5%B3-d%C4%97%C5%BE%C4%97/Mechanin%C4%97-pavar%C5%B3-d%C4%97%C5%BE%C4%97/Pavar%C5%B3-d%C4%97%C5%BE%C4%97s-transmisin%C4%97-alyva/Pavar%C5%B3-d%C4%97%C5%BE%C4%97s-transmisin%C4%97-alyva/LIM2183-75W90-1L/c/tecdoc-6500000-6513000-6513010-6010017-genart_3225/p/452640" TargetMode="External"/><Relationship Id="rId28" Type="http://schemas.openxmlformats.org/officeDocument/2006/relationships/hyperlink" Target="https://lt.e-cat.intercars.eu/lt/Visos-kategorijos/Pakaba-Ratai/Rato-pakaba/Pakabos-sija-%28a%C5%A1is%29-elementai/Stebul%C4%97s-laikiklio-%C4%AFvor%C4%97/314-710-0026/c/tecdoc-6300000-6311000-6311070-genart_1080/p/G07O5B" TargetMode="External"/><Relationship Id="rId27" Type="http://schemas.openxmlformats.org/officeDocument/2006/relationships/hyperlink" Target="https://lt.e-cat.intercars.eu/lt/Visos-kategorijos/Pakaba-Ratai/Rato-pakaba/Pakabos-sija-%28a%C5%A1is%29-elementai/Stebul%C4%97s-laikiklio-%C4%AFvor%C4%97/314-710-0025/c/tecdoc-6300000-6311000-6311070-genart_1080/p/G07O5A" TargetMode="External"/><Relationship Id="rId29" Type="http://schemas.openxmlformats.org/officeDocument/2006/relationships/hyperlink" Target="https://lt.e-cat.intercars.eu/lt/Visos-kategorijos/Pakaba-Ratai/Rato-pakaba/Pakabos-sija-%28a%C5%A1is%29-elementai/Stebul%C4%97s-laikiklio-%C4%AFvor%C4%97/314-710-0026/c/tecdoc-6300000-6311000-6311070-genart_1080/p/G07O5B" TargetMode="External"/><Relationship Id="rId11" Type="http://schemas.openxmlformats.org/officeDocument/2006/relationships/hyperlink" Target="https://lt.e-cat.intercars.eu/lt/Visos-kategorijos/Stikl%C5%B3-%C5%BEibint%C5%B3-valymas/Stikl%C5%B3-%C5%BEibint%C5%B3-valymas/Valytuvai-svirtys-trauk%C4%97s/Valytuvai/3-397-007-523/c/tecdoc-7811000-7811010-7811014-genart_298/p/BB9A8B" TargetMode="External"/><Relationship Id="rId10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13" Type="http://schemas.openxmlformats.org/officeDocument/2006/relationships/hyperlink" Target="https://lt.e-cat.intercars.eu/lt/Visos-kategorijos/U%C5%BEdegimo-kaitinimo-sistema/U%C5%BEdegimo-kaitinimo-%C5%BEvak%C4%97/U%C5%BEdegimo-%C5%BEvak%C4%97/NGK97506/c/tecdoc-6811050-6811055-genart_686/p/DF0EE4" TargetMode="External"/><Relationship Id="rId12" Type="http://schemas.openxmlformats.org/officeDocument/2006/relationships/hyperlink" Target="https://www.rsdauto.lt/catalog/search?search=EMH137&amp;type=beginning" TargetMode="External"/><Relationship Id="rId15" Type="http://schemas.openxmlformats.org/officeDocument/2006/relationships/hyperlink" Target="https://lt.e-cat.intercars.eu/lt/Visos-kategorijos/Elektros-sistema/Davikliai/Grei%C4%8Dio-pad%C4%97ties/Flan%C5%A1as%2C-kum%C5%A1telini%C5%B3-velen%C5%B3-pad%C4%97ties-jutiklis/EL458320/c/tecdoc-6800000-6818000-6818080-genart_9306/p/D17E36" TargetMode="External"/><Relationship Id="rId14" Type="http://schemas.openxmlformats.org/officeDocument/2006/relationships/hyperlink" Target="https://lt.e-cat.intercars.eu/lt/Visos-kategorijos/U%C5%BEdegimo-kaitinimo-sistema/U%C5%BEdegimo-rit%C4%97/U%C5%BEegimo-rit%C4%97/NGK48206/c/tecdoc-6811050-6811053-genart_689/p/C3F663" TargetMode="External"/><Relationship Id="rId17" Type="http://schemas.openxmlformats.org/officeDocument/2006/relationships/hyperlink" Target="https://lt.e-cat.intercars.eu/lt/Visos-kategorijos/Variklis-%C4%AFranga/Variklio-tepimas/Varikli%C5%B3-alyva/Varikli%C5%B3-alyva/8100-X-CESS-5W40-5L/c/tecdoc-6200000-6213000-6010016-genart_3224/p/9D3F2A" TargetMode="External"/><Relationship Id="rId16" Type="http://schemas.openxmlformats.org/officeDocument/2006/relationships/hyperlink" Target="https://lt.e-cat.intercars.eu/lt/Visos-kategorijos/Variklis-%C4%AFranga/Cilindr%C5%B3-galvut%C4%97/Vo%C5%BEtuv%C5%B3-dangtelis/Vo%C5%BEtuv%C5%B3-dangtelio-tarpini%C5%B3-komplektas/EL299770/c/tecdoc-6200000-6212000-6212040-genart_979/p/DCCE26" TargetMode="External"/><Relationship Id="rId19" Type="http://schemas.openxmlformats.org/officeDocument/2006/relationships/hyperlink" Target="https://lt.e-cat.intercars.eu/lt/Visos-kategorijos/Filtrai/Hidraulikos-filtras/Kompl-%2C-autom-pavar%C5%B3-d%C4%97%C5%BE%C4%97s-alyv-keit-/1087-298-365/c/tecdoc-6100000-6115000-genart_4921/p/DDDD30" TargetMode="External"/><Relationship Id="rId18" Type="http://schemas.openxmlformats.org/officeDocument/2006/relationships/hyperlink" Target="https://lt.e-cat.intercars.eu/lt/Visos-kategorijos/Variklis-%C4%AFranga/Variklio-tepimas/Varikli%C5%B3-alyva/Varikli%C5%B3-alyva/8100-X-CESS-5W40-1L/c/tecdoc-6200000-6213000-6010016-genart_3224/p/9D3F1A" TargetMode="External"/><Relationship Id="rId1" Type="http://schemas.openxmlformats.org/officeDocument/2006/relationships/hyperlink" Target="https://lt.e-cat.intercars.eu/lt/Visos-kategorijos/Stabd%C5%BEi%C5%B3-sistema/Diskiniai-stabd%C5%BEiai/Stabd%C5%BEi%C5%B3-trinkel%C4%97/Stabd%C5%BEi%C5%B3-trinkeli%C5%B3-rinkinys%2C-diskinis-stabdys/C24015ABE/c/tecdoc-6600000-6611000-6611010-genart_402/p/B4CF1B" TargetMode="External"/><Relationship Id="rId2" Type="http://schemas.openxmlformats.org/officeDocument/2006/relationships/hyperlink" Target="https://lt.e-cat.intercars.eu/lt/Visos-kategorijos/Stabd%C5%BEi%C5%B3-sistema/Diskiniai-stabd%C5%BEiai/Stabd%C5%BEi%C5%B3-diskas/Stabd%C5%BEi%C5%B3-diskas/C44034ABE/c/tecdoc-6600000-6611000-6611020-genart_82/p/B4ED64" TargetMode="External"/><Relationship Id="rId3" Type="http://schemas.openxmlformats.org/officeDocument/2006/relationships/hyperlink" Target="https://lt.e-cat.intercars.eu/lt/Visos-kategorijos/Stabd%C5%BEi%C5%B3-sistema/Diskiniai-stabd%C5%BEiai/Stabd%C5%BEi%C5%B3-diskas/Stabd%C5%BEi%C5%B3-diskas/C44034ABE/c/tecdoc-6600000-6611000-6611020-genart_82/p/B4ED64" TargetMode="External"/><Relationship Id="rId4" Type="http://schemas.openxmlformats.org/officeDocument/2006/relationships/hyperlink" Target="https://lt.e-cat.intercars.eu/lt/Visos-kategorijos/Pakaba-Ratai/Rato-pakaba/Pakabos-sija-%28a%C5%A1is%29-elementai/Montavimas%2C-a%C5%A1ies-r%C4%97mas/I54117YMT/c/tecdoc-6300000-6311000-6311070-genart_1614/p/E33D13" TargetMode="External"/><Relationship Id="rId9" Type="http://schemas.openxmlformats.org/officeDocument/2006/relationships/hyperlink" Target="https://lt.e-cat.intercars.eu/lt/Visos-kategorijos/Filtrai/Degal%C5%B3-filtras-korpusas-tarpin%C4%97/Degal%C5%B3-filtras/F-026-402-063/c/tecdoc-6100000-6112000-genart_9/p/C697AA" TargetMode="External"/><Relationship Id="rId5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6" Type="http://schemas.openxmlformats.org/officeDocument/2006/relationships/hyperlink" Target="https://lt.e-cat.intercars.eu/lt/Visos-kategorijos/K%C4%97bulas-Ap%C5%A1vietimas-Veidrod%C5%BEiai/Ap%C5%A1vietimas-elementai/Lemput%C4%97s-Lizdai-Laikikliai/Kitos-lemput%C4%97s/Lemput%C4%97/OSR66240CLC-XENARC/c/tecdoc-7600000-7500000-7518000-7518010-genart_1457/p/D12CBF" TargetMode="External"/><Relationship Id="rId7" Type="http://schemas.openxmlformats.org/officeDocument/2006/relationships/hyperlink" Target="https://lt.e-cat.intercars.eu/lt/Visos-kategorijos/K%C4%97bulas-Ap%C5%A1vietimas-Veidrod%C5%BEiai/Ap%C5%A1vietimas-elementai/Lemput%C4%97s-Lizdai-Laikikliai/Kitos-lemput%C4%97s/Lemput%C4%97/OSR66240CLC-XENARC/c/tecdoc-7600000-7500000-7518000-7518010-genart_1457/p/D12CBF" TargetMode="External"/><Relationship Id="rId8" Type="http://schemas.openxmlformats.org/officeDocument/2006/relationships/hyperlink" Target="https://lt.e-cat.intercars.eu/lt/Visos-kategorijos/Filtrai/Oro-filtras-korpusas-tarpin%C4%97/Oro-filtras/F-026-400-159/c/tecdoc-6100000-6113000-genart_8/p/C2F505" TargetMode="External"/><Relationship Id="rId62" Type="http://schemas.openxmlformats.org/officeDocument/2006/relationships/drawing" Target="../drawings/drawing8.xml"/><Relationship Id="rId61" Type="http://schemas.openxmlformats.org/officeDocument/2006/relationships/hyperlink" Target="https://lt.e-cat.intercars.eu/lt/Visos-kategorijos/Variklis-%C4%AFranga/Variklio-tepimas/Varikli%C5%B3-alyva/Varikli%C5%B3-alyva/8100-X-CLEAN%2B-5W30-1L/c/tecdoc-6200000-6213000-6010016-genart_3224/p/C10B45" TargetMode="External"/><Relationship Id="rId60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51" Type="http://schemas.openxmlformats.org/officeDocument/2006/relationships/hyperlink" Target="https://lt.e-cat.intercars.eu/lt/Visos-kategorijos/Variklis-%C4%AFranga/Variklio-tepimas/Varikli%C5%B3-alyva/Varikli%C5%B3-alyva/8100-X-CESS-5W40-1L/c/tecdoc-6200000-6213000-6010016-genart_3224/p/9D3F1A" TargetMode="External"/><Relationship Id="rId50" Type="http://schemas.openxmlformats.org/officeDocument/2006/relationships/hyperlink" Target="https://lt.e-cat.intercars.eu/lt/Visos-kategorijos/Variklis-%C4%AFranga/Variklio-tepimas/Varikli%C5%B3-alyva/Varikli%C5%B3-alyva/8100-X-CESS-5W40-5L/c/tecdoc-6200000-6213000-6010016-genart_3224/p/9D3F2A" TargetMode="External"/><Relationship Id="rId53" Type="http://schemas.openxmlformats.org/officeDocument/2006/relationships/hyperlink" Target="https://lt.e-cat.intercars.eu/lt/Visos-kategorijos/Pakaba-Ratai/Rato-pakaba/Svirtis-Reaktyvin%C4%97-trauk%C4%97/Valdymo-svirties-i%C5%A1ilgini%C5%B3-svir%C4%8Di%C5%B3-%C4%AFvor%C4%97/J44033BYMT/c/tecdoc-6300000-6311000-6311010-genart_251/p/C02640" TargetMode="External"/><Relationship Id="rId52" Type="http://schemas.openxmlformats.org/officeDocument/2006/relationships/hyperlink" Target="https://lt.e-cat.intercars.eu/lt/Visos-kategorijos/Pakaba-Ratai/Rato-pakaba/Svirtis-Reaktyvin%C4%97-trauk%C4%97/Valdymo-svirties-i%C5%A1ilgini%C5%B3-svir%C4%8Di%C5%B3-%C4%AFvor%C4%97/J44033CYMT/c/tecdoc-6300000-6311000-6311010-genart_251/p/C02641" TargetMode="External"/><Relationship Id="rId55" Type="http://schemas.openxmlformats.org/officeDocument/2006/relationships/hyperlink" Target="https://lt.e-cat.intercars.eu/lt/Visos-kategorijos/Stikl%C5%B3-%C5%BEibint%C5%B3-valymas/Stikl%C5%B3-%C5%BEibint%C5%B3-valymas/Apiplovimo-skystis/Vasarinis-lang%C5%B3-ploviklis/DAC-WINDSCREEN-SUMMER-4L/c/tecdoc-7811000-7811010-7811011-genart_1863/p/BC2CCA" TargetMode="External"/><Relationship Id="rId54" Type="http://schemas.openxmlformats.org/officeDocument/2006/relationships/hyperlink" Target="https://lt.e-cat.intercars.eu/lt/Visos-kategorijos/Stikl%C5%B3-%C5%BEibint%C5%B3-valymas/Stikl%C5%B3-%C5%BEibint%C5%B3-valymas/Apiplovimo-skystis/Vasarinis-lang%C5%B3-ploviklis/DAC-WINDSCREEN-SUMMER-4L/c/tecdoc-7811000-7811010-7811011-genart_1863/p/BC2CCA" TargetMode="External"/><Relationship Id="rId57" Type="http://schemas.openxmlformats.org/officeDocument/2006/relationships/hyperlink" Target="https://lt.e-cat.intercars.eu/lt/Visos-kategorijos/Variklis-%C4%AFranga/Variklio-tepimas/Varikli%C5%B3-alyva/Varikli%C5%B3-alyva/LIM8576-5W40-1L/c/tecdoc-6200000-6213000-6010016-genart_3224/p/E38976" TargetMode="External"/><Relationship Id="rId56" Type="http://schemas.openxmlformats.org/officeDocument/2006/relationships/hyperlink" Target="https://lt.e-cat.intercars.eu/lt/Visos-kategorijos/Variklis-%C4%AFranga/Variklio-tepimas/Varikli%C5%B3-alyva/Varikli%C5%B3-alyva/LIM8536-MOLYGEN-5W40-5L/c/tecdoc-6200000-6213000-6010016-genart_3224/p/E38978" TargetMode="External"/><Relationship Id="rId59" Type="http://schemas.openxmlformats.org/officeDocument/2006/relationships/hyperlink" Target="https://lt.e-cat.intercars.eu/lt/Visos-kategorijos/Normalizuotos-dalys/Sandarinimo-priemon%C4%97s/Riebok%C5%A1lis/EL905010/c/tecdoc-8300000-8319000-genart_2048/p/H05WJQ" TargetMode="External"/><Relationship Id="rId58" Type="http://schemas.openxmlformats.org/officeDocument/2006/relationships/hyperlink" Target="https://lt.e-cat.intercars.eu/lt/Visos-kategorijos/Variklis-%C4%AFranga/Variklio-tepimas/Varikli%C5%B3-alyva/Varikli%C5%B3-alyva/LIM8576-5W40-1L/c/tecdoc-6200000-6213000-6010016-genart_3224/p/E38976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kltb2b.claim.cards/Wf3bjGaD9hs72k8D9zwrKhDw/cardInfo?i=conceptAGeneral&amp;l=lt_LT" TargetMode="External"/><Relationship Id="rId2" Type="http://schemas.openxmlformats.org/officeDocument/2006/relationships/hyperlink" Target="https://ckltb2b.claim.cards/FZngdu9L2ElbxbAwypjOjcXE/cardInfo?i=conceptAGeneral&amp;l=lt_LT" TargetMode="External"/><Relationship Id="rId3" Type="http://schemas.openxmlformats.org/officeDocument/2006/relationships/hyperlink" Target="https://lt.e-cat.intercars.eu/lt/Visos-kategorijos/Filtrai/Alyvos-filtras-korpusas-tarpin%C4%97/Alyvos-filtras/W-610-3/c/tecdoc-6100000-6111000-genart_7/p/D06BA9" TargetMode="External"/><Relationship Id="rId4" Type="http://schemas.openxmlformats.org/officeDocument/2006/relationships/hyperlink" Target="https://lt.e-cat.intercars.eu/lt/Visos-kategorijos/Filtrai/Alyvos-filtras-korpusas-tarpin%C4%97/Alyvos-karteris%2C-nupylimo-var%C5%BEtas/EL523500/c/tecdoc-6100000-6111000-genart_593/p/E34B5C" TargetMode="External"/><Relationship Id="rId5" Type="http://schemas.openxmlformats.org/officeDocument/2006/relationships/hyperlink" Target="https://lt.e-cat.intercars.eu/lt/Visos-kategorijos/Variklis-%C4%AFranga/Variklio-tepimas/Varikli%C5%B3-alyva/Varikli%C5%B3-alyva/8100-X-CLEAN%2B-5W30-5L/c/tecdoc-6200000-6213000-6010016-genart_3224/p/C10B46" TargetMode="External"/><Relationship Id="rId6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13"/>
    <col customWidth="1" min="3" max="3" width="16.75"/>
    <col customWidth="1" min="4" max="4" width="10.88"/>
    <col customWidth="1" min="5" max="5" width="19.13"/>
    <col customWidth="1" min="6" max="6" width="27.63"/>
    <col customWidth="1" min="7" max="7" width="6.5"/>
    <col customWidth="1" min="8" max="8" width="14.38"/>
    <col customWidth="1" min="9" max="9" width="14.75"/>
    <col customWidth="1" min="10" max="10" width="12.0"/>
    <col customWidth="1" min="11" max="13" width="5.75"/>
    <col customWidth="1" min="14" max="14" width="16.13"/>
  </cols>
  <sheetData>
    <row r="1">
      <c r="A1" s="1" t="s">
        <v>0</v>
      </c>
      <c r="B1" s="2" t="s">
        <v>1</v>
      </c>
      <c r="C1" s="3"/>
      <c r="E1" t="s">
        <v>2</v>
      </c>
      <c r="N1" s="4"/>
      <c r="V1" s="5"/>
    </row>
    <row r="2">
      <c r="A2" s="1" t="s">
        <v>3</v>
      </c>
      <c r="B2" s="4" t="s">
        <v>4</v>
      </c>
      <c r="C2" s="4" t="s">
        <v>5</v>
      </c>
      <c r="D2" s="4" t="s">
        <v>6</v>
      </c>
      <c r="E2" t="s">
        <v>7</v>
      </c>
      <c r="F2" s="4" t="s">
        <v>8</v>
      </c>
      <c r="G2" s="4" t="s">
        <v>9</v>
      </c>
      <c r="H2" t="s">
        <v>10</v>
      </c>
      <c r="I2" s="4" t="s">
        <v>11</v>
      </c>
      <c r="J2" s="6" t="s">
        <v>12</v>
      </c>
      <c r="K2" s="1" t="s">
        <v>13</v>
      </c>
      <c r="N2" s="4"/>
    </row>
    <row r="3">
      <c r="C3" s="1" t="s">
        <v>14</v>
      </c>
      <c r="D3" s="1" t="s">
        <v>15</v>
      </c>
      <c r="E3" s="5" t="s">
        <v>16</v>
      </c>
      <c r="F3" s="1" t="s">
        <v>17</v>
      </c>
      <c r="G3" s="1">
        <v>2024.0</v>
      </c>
      <c r="H3" s="1">
        <v>4.0</v>
      </c>
      <c r="J3" s="1" t="s">
        <v>18</v>
      </c>
      <c r="N3" s="7"/>
    </row>
    <row r="4">
      <c r="E4" s="8"/>
      <c r="N4" s="7"/>
      <c r="V4" s="5"/>
    </row>
    <row r="5">
      <c r="D5" s="1" t="s">
        <v>19</v>
      </c>
      <c r="E5" s="9" t="s">
        <v>16</v>
      </c>
      <c r="F5" s="10" t="s">
        <v>20</v>
      </c>
      <c r="H5" s="1">
        <v>2.0</v>
      </c>
      <c r="J5" s="1" t="s">
        <v>18</v>
      </c>
      <c r="N5" s="7"/>
      <c r="V5" s="5"/>
    </row>
    <row r="6">
      <c r="C6" s="11" t="s">
        <v>21</v>
      </c>
      <c r="D6" s="11" t="s">
        <v>22</v>
      </c>
      <c r="E6" s="12" t="s">
        <v>23</v>
      </c>
      <c r="F6" s="11" t="s">
        <v>24</v>
      </c>
      <c r="G6" s="13"/>
      <c r="H6" s="14">
        <v>2.0</v>
      </c>
      <c r="J6" s="11" t="s">
        <v>18</v>
      </c>
      <c r="N6" s="4"/>
    </row>
    <row r="7">
      <c r="N7" s="7"/>
      <c r="V7" s="5"/>
    </row>
    <row r="8">
      <c r="E8" s="15"/>
      <c r="N8" s="7"/>
      <c r="Q8" s="4"/>
      <c r="V8" s="5"/>
    </row>
    <row r="9">
      <c r="B9" s="4">
        <v>4.038526356123E12</v>
      </c>
      <c r="C9" s="4">
        <v>588362.0</v>
      </c>
      <c r="D9" s="1" t="s">
        <v>25</v>
      </c>
      <c r="E9" s="15" t="s">
        <v>26</v>
      </c>
      <c r="F9" s="1" t="s">
        <v>27</v>
      </c>
      <c r="G9" s="4">
        <v>2023.0</v>
      </c>
      <c r="H9" s="1">
        <v>4.0</v>
      </c>
      <c r="J9" s="1" t="s">
        <v>18</v>
      </c>
      <c r="N9" s="7"/>
      <c r="Q9" s="4"/>
      <c r="V9" s="5"/>
    </row>
    <row r="10">
      <c r="C10" s="16"/>
      <c r="D10" s="11" t="s">
        <v>28</v>
      </c>
      <c r="E10" s="12" t="s">
        <v>29</v>
      </c>
      <c r="F10" s="11" t="s">
        <v>30</v>
      </c>
      <c r="G10" s="13"/>
      <c r="H10" s="14">
        <v>4.0</v>
      </c>
      <c r="J10" s="16"/>
      <c r="N10" s="7"/>
      <c r="V10" s="5"/>
    </row>
    <row r="11">
      <c r="E11" s="5"/>
      <c r="N11" s="7"/>
      <c r="V11" s="5"/>
    </row>
    <row r="12">
      <c r="N12" s="7"/>
      <c r="V12" s="5"/>
    </row>
    <row r="13">
      <c r="C13" s="17"/>
      <c r="E13" s="5"/>
      <c r="F13" s="16"/>
      <c r="I13" s="8"/>
      <c r="J13" s="5"/>
      <c r="K13" s="5"/>
      <c r="L13" s="8"/>
      <c r="N13" s="7"/>
      <c r="O13" s="18"/>
      <c r="P13" s="18"/>
      <c r="Q13" s="18"/>
      <c r="V13" s="5"/>
    </row>
    <row r="14">
      <c r="A14" s="8"/>
      <c r="B14" s="8"/>
      <c r="C14" s="8"/>
      <c r="K14" s="8"/>
      <c r="N14" s="19"/>
      <c r="O14" s="18"/>
      <c r="P14" s="20"/>
      <c r="Q14" s="20"/>
      <c r="V14" s="5"/>
    </row>
    <row r="15">
      <c r="B15" s="4">
        <v>5.452000701459E12</v>
      </c>
      <c r="C15" s="4">
        <v>542762.0</v>
      </c>
      <c r="D15" s="4" t="s">
        <v>31</v>
      </c>
      <c r="E15" s="15" t="s">
        <v>29</v>
      </c>
      <c r="F15" s="4" t="s">
        <v>30</v>
      </c>
      <c r="G15" s="1">
        <v>2022.0</v>
      </c>
      <c r="H15" s="4">
        <v>4.0</v>
      </c>
      <c r="J15" s="1" t="s">
        <v>18</v>
      </c>
      <c r="N15" s="19"/>
      <c r="V15" s="5"/>
    </row>
    <row r="16">
      <c r="B16" s="8"/>
      <c r="C16" s="11" t="s">
        <v>32</v>
      </c>
      <c r="D16" s="16" t="s">
        <v>31</v>
      </c>
      <c r="E16" s="21" t="s">
        <v>33</v>
      </c>
      <c r="F16" s="11" t="s">
        <v>34</v>
      </c>
      <c r="G16" s="13">
        <v>2023.0</v>
      </c>
      <c r="H16" s="13">
        <v>2.0</v>
      </c>
      <c r="J16" s="16" t="s">
        <v>18</v>
      </c>
      <c r="K16" s="5"/>
      <c r="N16" s="19"/>
      <c r="V16" s="5"/>
    </row>
    <row r="17">
      <c r="C17" s="4">
        <v>1026350.0</v>
      </c>
      <c r="D17" s="4" t="s">
        <v>35</v>
      </c>
      <c r="E17" s="15" t="s">
        <v>36</v>
      </c>
      <c r="F17" s="4" t="s">
        <v>37</v>
      </c>
      <c r="G17" s="1">
        <v>2022.0</v>
      </c>
      <c r="H17" s="4">
        <v>2.0</v>
      </c>
      <c r="J17" s="1" t="s">
        <v>18</v>
      </c>
      <c r="N17" s="19"/>
      <c r="V17" s="5"/>
    </row>
    <row r="18">
      <c r="N18" s="19"/>
      <c r="V18" s="5"/>
    </row>
    <row r="19">
      <c r="D19" s="22" t="s">
        <v>38</v>
      </c>
      <c r="E19" s="23" t="s">
        <v>33</v>
      </c>
      <c r="F19" s="23" t="s">
        <v>39</v>
      </c>
      <c r="G19" s="24"/>
      <c r="H19" s="22">
        <v>4.0</v>
      </c>
      <c r="I19" s="22" t="s">
        <v>40</v>
      </c>
      <c r="J19" s="22" t="s">
        <v>18</v>
      </c>
      <c r="N19" s="19"/>
      <c r="V19" s="5"/>
    </row>
    <row r="20">
      <c r="D20" s="22" t="s">
        <v>41</v>
      </c>
      <c r="E20" s="22" t="s">
        <v>42</v>
      </c>
      <c r="F20" s="24"/>
      <c r="G20" s="24"/>
      <c r="H20" s="22">
        <v>4.0</v>
      </c>
      <c r="I20" s="22" t="s">
        <v>40</v>
      </c>
      <c r="J20" s="22" t="s">
        <v>18</v>
      </c>
      <c r="N20" s="19"/>
      <c r="V20" s="5"/>
    </row>
    <row r="21">
      <c r="C21" s="1"/>
      <c r="D21" s="1" t="s">
        <v>43</v>
      </c>
      <c r="E21" s="5" t="s">
        <v>44</v>
      </c>
      <c r="F21" s="1" t="s">
        <v>45</v>
      </c>
      <c r="G21" s="1">
        <v>2024.0</v>
      </c>
      <c r="H21" s="1">
        <v>2.0</v>
      </c>
      <c r="J21" s="5" t="s">
        <v>18</v>
      </c>
    </row>
    <row r="22">
      <c r="C22" s="1" t="s">
        <v>46</v>
      </c>
      <c r="D22" s="1" t="s">
        <v>47</v>
      </c>
      <c r="E22" s="5" t="s">
        <v>44</v>
      </c>
      <c r="F22" s="1" t="s">
        <v>45</v>
      </c>
      <c r="G22" s="1">
        <v>2024.0</v>
      </c>
      <c r="H22" s="1">
        <v>2.0</v>
      </c>
      <c r="J22" s="5" t="s">
        <v>18</v>
      </c>
    </row>
    <row r="23">
      <c r="D23" s="22" t="s">
        <v>48</v>
      </c>
      <c r="E23" s="22">
        <v>2.0</v>
      </c>
      <c r="F23" s="22" t="s">
        <v>49</v>
      </c>
      <c r="G23" s="8"/>
      <c r="H23" s="8"/>
      <c r="I23" s="8"/>
      <c r="J23" s="5"/>
      <c r="K23" s="8"/>
      <c r="L23" s="8"/>
      <c r="M23" s="8"/>
      <c r="N23" s="25"/>
      <c r="O23" s="8"/>
      <c r="P23" s="8"/>
      <c r="Q23" s="8"/>
      <c r="R23" s="5"/>
    </row>
    <row r="24">
      <c r="D24" s="22" t="s">
        <v>41</v>
      </c>
      <c r="E24" s="22">
        <v>2.0</v>
      </c>
      <c r="F24" s="22" t="s">
        <v>50</v>
      </c>
      <c r="G24" s="8"/>
      <c r="H24" s="8"/>
      <c r="I24" s="8"/>
      <c r="J24" s="5"/>
      <c r="K24" s="8"/>
      <c r="L24" s="8"/>
      <c r="M24" s="8"/>
      <c r="N24" s="25"/>
      <c r="O24" s="8"/>
      <c r="P24" s="8"/>
      <c r="Q24" s="8"/>
      <c r="R24" s="5"/>
    </row>
    <row r="25">
      <c r="C25" s="17" t="s">
        <v>51</v>
      </c>
      <c r="D25" s="16" t="s">
        <v>52</v>
      </c>
      <c r="E25" s="21" t="s">
        <v>53</v>
      </c>
      <c r="F25" s="16" t="s">
        <v>54</v>
      </c>
      <c r="G25" s="13">
        <v>2024.0</v>
      </c>
      <c r="H25" s="13">
        <v>2.0</v>
      </c>
      <c r="J25" s="17" t="s">
        <v>18</v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</row>
    <row r="27">
      <c r="D27" s="1" t="s">
        <v>55</v>
      </c>
      <c r="E27" s="1" t="s">
        <v>16</v>
      </c>
      <c r="F27" s="1" t="s">
        <v>17</v>
      </c>
      <c r="H27" s="1">
        <v>4.0</v>
      </c>
      <c r="J27" s="21" t="s">
        <v>56</v>
      </c>
    </row>
    <row r="28">
      <c r="C28" s="21" t="s">
        <v>57</v>
      </c>
      <c r="D28" s="27" t="s">
        <v>58</v>
      </c>
      <c r="E28" s="27" t="s">
        <v>59</v>
      </c>
      <c r="F28" s="27" t="s">
        <v>60</v>
      </c>
      <c r="G28" s="28">
        <v>2023.0</v>
      </c>
      <c r="H28" s="28">
        <v>2.0</v>
      </c>
      <c r="J28" s="21" t="s">
        <v>56</v>
      </c>
      <c r="Q28" s="16"/>
      <c r="W28" s="4"/>
    </row>
    <row r="29">
      <c r="C29" s="21" t="s">
        <v>57</v>
      </c>
      <c r="D29" s="27" t="s">
        <v>58</v>
      </c>
      <c r="E29" s="27" t="s">
        <v>59</v>
      </c>
      <c r="F29" s="27" t="s">
        <v>61</v>
      </c>
      <c r="G29" s="28">
        <v>2023.0</v>
      </c>
      <c r="H29" s="28">
        <v>2.0</v>
      </c>
      <c r="J29" s="21" t="s">
        <v>56</v>
      </c>
      <c r="V29" s="4"/>
      <c r="W29" s="4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V30" s="4"/>
      <c r="W30" s="4"/>
    </row>
    <row r="31">
      <c r="B31" s="15">
        <v>5.452000683076E12</v>
      </c>
      <c r="C31" s="21" t="s">
        <v>62</v>
      </c>
      <c r="D31" s="27" t="s">
        <v>63</v>
      </c>
      <c r="E31" s="27" t="s">
        <v>64</v>
      </c>
      <c r="F31" s="27" t="s">
        <v>65</v>
      </c>
      <c r="G31" s="28">
        <v>2023.0</v>
      </c>
      <c r="H31" s="29">
        <v>9.0</v>
      </c>
      <c r="J31" s="21" t="s">
        <v>66</v>
      </c>
    </row>
    <row r="32">
      <c r="D32" s="5"/>
      <c r="J32" s="21"/>
    </row>
    <row r="33">
      <c r="C33" s="1" t="s">
        <v>67</v>
      </c>
      <c r="D33" s="5" t="s">
        <v>25</v>
      </c>
      <c r="E33" s="1" t="s">
        <v>68</v>
      </c>
      <c r="F33" s="1" t="s">
        <v>69</v>
      </c>
      <c r="G33" s="1">
        <v>2025.0</v>
      </c>
      <c r="H33" s="1">
        <v>4.0</v>
      </c>
      <c r="J33" s="21" t="s">
        <v>66</v>
      </c>
      <c r="V33" s="4"/>
    </row>
    <row r="34">
      <c r="B34" s="8"/>
      <c r="C34" s="5"/>
      <c r="D34" s="15"/>
      <c r="E34" s="5"/>
      <c r="F34" s="5"/>
      <c r="G34" s="5"/>
      <c r="H34" s="5"/>
      <c r="J34" s="5"/>
      <c r="L34" s="8"/>
      <c r="M34" s="8"/>
      <c r="N34" s="5"/>
      <c r="V34" s="5"/>
    </row>
    <row r="35">
      <c r="C35" s="1" t="s">
        <v>70</v>
      </c>
      <c r="D35" s="1" t="s">
        <v>25</v>
      </c>
      <c r="E35" s="1" t="s">
        <v>71</v>
      </c>
      <c r="F35" s="1" t="s">
        <v>72</v>
      </c>
      <c r="G35" s="1" t="s">
        <v>73</v>
      </c>
      <c r="H35" s="1">
        <v>29.0</v>
      </c>
      <c r="J35" s="1" t="s">
        <v>66</v>
      </c>
      <c r="K35" s="1" t="s">
        <v>74</v>
      </c>
      <c r="L35" s="30"/>
      <c r="N35" s="1" t="s">
        <v>75</v>
      </c>
    </row>
    <row r="36">
      <c r="C36" s="1" t="s">
        <v>76</v>
      </c>
      <c r="D36" s="1" t="s">
        <v>77</v>
      </c>
      <c r="E36" s="1" t="s">
        <v>78</v>
      </c>
      <c r="F36" s="1" t="s">
        <v>79</v>
      </c>
      <c r="G36" s="1">
        <v>2025.0</v>
      </c>
      <c r="H36" s="1">
        <v>2.0</v>
      </c>
      <c r="J36" s="1" t="s">
        <v>66</v>
      </c>
      <c r="V36" s="5"/>
    </row>
    <row r="37">
      <c r="P37" s="15"/>
      <c r="Q37" s="15"/>
      <c r="R37" s="15"/>
      <c r="S37" s="15"/>
      <c r="T37" s="15"/>
      <c r="V37" s="5"/>
    </row>
    <row r="38">
      <c r="C38" s="1" t="s">
        <v>80</v>
      </c>
      <c r="D38" s="1" t="s">
        <v>81</v>
      </c>
      <c r="E38" s="1" t="s">
        <v>82</v>
      </c>
      <c r="F38" s="1" t="s">
        <v>83</v>
      </c>
      <c r="G38" s="1">
        <v>2025.0</v>
      </c>
      <c r="H38" s="1">
        <v>2.0</v>
      </c>
      <c r="J38" s="1" t="s">
        <v>66</v>
      </c>
      <c r="P38" s="15"/>
      <c r="Q38" s="15"/>
      <c r="R38" s="5"/>
      <c r="S38" s="5"/>
      <c r="T38" s="15"/>
      <c r="V38" s="5"/>
    </row>
    <row r="39">
      <c r="V39" s="5"/>
    </row>
    <row r="40">
      <c r="C40" s="5" t="s">
        <v>84</v>
      </c>
      <c r="D40" s="5" t="s">
        <v>85</v>
      </c>
      <c r="E40" s="5" t="s">
        <v>86</v>
      </c>
      <c r="F40" s="5" t="s">
        <v>87</v>
      </c>
      <c r="G40" s="8"/>
      <c r="H40" s="5">
        <v>4.0</v>
      </c>
      <c r="J40" s="5" t="s">
        <v>66</v>
      </c>
      <c r="N40" s="30"/>
    </row>
    <row r="41">
      <c r="J41" s="5"/>
      <c r="M41" s="30"/>
      <c r="N41" s="31"/>
    </row>
    <row r="42">
      <c r="J42" s="5"/>
    </row>
    <row r="44">
      <c r="M44" s="32"/>
    </row>
    <row r="45">
      <c r="B45" s="8"/>
      <c r="J45" s="5"/>
    </row>
    <row r="46">
      <c r="C46" s="1" t="s">
        <v>57</v>
      </c>
      <c r="D46" s="1" t="s">
        <v>88</v>
      </c>
      <c r="E46" s="1" t="s">
        <v>33</v>
      </c>
      <c r="F46" s="1" t="s">
        <v>89</v>
      </c>
      <c r="H46" s="1">
        <v>4.0</v>
      </c>
      <c r="J46" s="1" t="s">
        <v>66</v>
      </c>
    </row>
    <row r="48">
      <c r="C48" s="1" t="s">
        <v>90</v>
      </c>
      <c r="D48" s="1" t="s">
        <v>91</v>
      </c>
      <c r="E48" s="1" t="s">
        <v>71</v>
      </c>
      <c r="F48" s="1" t="s">
        <v>92</v>
      </c>
      <c r="G48" s="1">
        <v>2025.0</v>
      </c>
      <c r="H48" s="1">
        <v>2.0</v>
      </c>
      <c r="J48" s="1" t="s">
        <v>66</v>
      </c>
    </row>
    <row r="49">
      <c r="C49" s="1" t="s">
        <v>93</v>
      </c>
      <c r="D49" s="1" t="s">
        <v>94</v>
      </c>
      <c r="E49" s="1" t="s">
        <v>71</v>
      </c>
      <c r="F49" s="1" t="s">
        <v>95</v>
      </c>
      <c r="G49" s="1">
        <v>2024.0</v>
      </c>
      <c r="H49" s="1">
        <v>2.0</v>
      </c>
      <c r="J49" s="1" t="s">
        <v>66</v>
      </c>
    </row>
    <row r="51">
      <c r="C51" s="1" t="s">
        <v>96</v>
      </c>
      <c r="D51" s="1" t="s">
        <v>97</v>
      </c>
      <c r="E51" s="1" t="s">
        <v>98</v>
      </c>
      <c r="F51" s="1" t="s">
        <v>99</v>
      </c>
      <c r="G51" s="1">
        <v>2022.0</v>
      </c>
      <c r="H51" s="1">
        <v>2.0</v>
      </c>
      <c r="J51" s="1" t="s">
        <v>66</v>
      </c>
    </row>
    <row r="52">
      <c r="C52" s="1" t="s">
        <v>100</v>
      </c>
      <c r="D52" s="1" t="s">
        <v>101</v>
      </c>
      <c r="E52" s="1" t="s">
        <v>98</v>
      </c>
      <c r="F52" s="1" t="s">
        <v>99</v>
      </c>
      <c r="G52" s="1">
        <v>2022.0</v>
      </c>
      <c r="H52" s="1">
        <v>2.0</v>
      </c>
      <c r="J52" s="1" t="s">
        <v>66</v>
      </c>
    </row>
    <row r="53">
      <c r="C53" s="1" t="s">
        <v>102</v>
      </c>
      <c r="D53" s="1" t="s">
        <v>103</v>
      </c>
      <c r="E53" s="1" t="s">
        <v>104</v>
      </c>
      <c r="F53" s="1" t="s">
        <v>105</v>
      </c>
      <c r="G53" s="1">
        <v>2024.0</v>
      </c>
      <c r="H53" s="1">
        <v>4.0</v>
      </c>
      <c r="J53" s="1" t="s">
        <v>66</v>
      </c>
    </row>
    <row r="54">
      <c r="C54" s="1" t="s">
        <v>106</v>
      </c>
      <c r="D54" s="1" t="s">
        <v>107</v>
      </c>
      <c r="E54" s="1" t="s">
        <v>33</v>
      </c>
      <c r="F54" s="1" t="s">
        <v>108</v>
      </c>
      <c r="G54" s="1">
        <v>2025.0</v>
      </c>
      <c r="H54" s="1">
        <v>1.0</v>
      </c>
      <c r="J54" s="1" t="s">
        <v>66</v>
      </c>
      <c r="K54" s="33" t="s">
        <v>109</v>
      </c>
    </row>
    <row r="55">
      <c r="C55" s="1" t="s">
        <v>106</v>
      </c>
      <c r="D55" s="1" t="s">
        <v>107</v>
      </c>
      <c r="E55" s="1" t="s">
        <v>33</v>
      </c>
      <c r="F55" s="1" t="s">
        <v>108</v>
      </c>
      <c r="G55" s="1">
        <v>2024.0</v>
      </c>
      <c r="H55" s="1">
        <v>1.0</v>
      </c>
      <c r="J55" s="1" t="s">
        <v>66</v>
      </c>
      <c r="K55" s="33" t="s">
        <v>109</v>
      </c>
    </row>
    <row r="56">
      <c r="C56" s="1" t="s">
        <v>90</v>
      </c>
      <c r="D56" s="1" t="s">
        <v>110</v>
      </c>
      <c r="E56" s="1" t="s">
        <v>33</v>
      </c>
      <c r="F56" s="1" t="s">
        <v>111</v>
      </c>
      <c r="G56" s="1">
        <v>2025.0</v>
      </c>
      <c r="H56" s="1">
        <v>2.0</v>
      </c>
      <c r="J56" s="1" t="s">
        <v>66</v>
      </c>
    </row>
    <row r="57">
      <c r="C57" s="1"/>
      <c r="D57" s="1"/>
      <c r="E57" s="1"/>
      <c r="F57" s="1"/>
      <c r="G57" s="1"/>
      <c r="H57" s="1"/>
      <c r="J57" s="1"/>
      <c r="K57" s="1"/>
    </row>
    <row r="58">
      <c r="C58" s="1" t="s">
        <v>21</v>
      </c>
      <c r="D58" s="1" t="s">
        <v>112</v>
      </c>
      <c r="E58" s="1" t="s">
        <v>33</v>
      </c>
      <c r="F58" s="1" t="s">
        <v>113</v>
      </c>
      <c r="G58" s="1">
        <v>2025.0</v>
      </c>
      <c r="H58" s="1">
        <v>1.0</v>
      </c>
      <c r="J58" s="1" t="s">
        <v>66</v>
      </c>
    </row>
    <row r="62">
      <c r="A62" s="8"/>
      <c r="B62" s="8"/>
      <c r="C62" s="8"/>
      <c r="K62" s="30"/>
    </row>
    <row r="63">
      <c r="A63" s="8"/>
      <c r="B63" s="8"/>
      <c r="C63" s="8"/>
      <c r="K63" s="30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12"/>
      <c r="D68" s="12"/>
      <c r="E68" s="12"/>
      <c r="F68" s="12"/>
      <c r="G68" s="28"/>
      <c r="H68" s="29"/>
      <c r="J68" s="12"/>
    </row>
    <row r="69">
      <c r="A69" s="8"/>
      <c r="B69" s="5"/>
      <c r="C69" s="5"/>
      <c r="D69" s="12"/>
    </row>
    <row r="70">
      <c r="A70" s="8"/>
      <c r="B70" s="8"/>
      <c r="C70" s="8"/>
    </row>
    <row r="71">
      <c r="E71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93">
      <c r="B93" s="4"/>
    </row>
    <row r="94">
      <c r="B94" s="4"/>
    </row>
    <row r="95">
      <c r="B95" s="4"/>
      <c r="E95" s="34"/>
    </row>
    <row r="96">
      <c r="B96" s="4"/>
    </row>
    <row r="97">
      <c r="B97" s="4"/>
    </row>
    <row r="101">
      <c r="B101" s="4"/>
    </row>
    <row r="103">
      <c r="E103" s="34"/>
    </row>
    <row r="104">
      <c r="E104" s="34"/>
    </row>
    <row r="105">
      <c r="E105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25.13"/>
    <col customWidth="1" min="4" max="4" width="35.88"/>
    <col customWidth="1" min="5" max="5" width="43.0"/>
    <col customWidth="1" min="6" max="6" width="17.88"/>
    <col customWidth="1" min="7" max="7" width="15.88"/>
  </cols>
  <sheetData>
    <row r="1">
      <c r="A1" s="35" t="s">
        <v>114</v>
      </c>
      <c r="B1" s="36" t="s">
        <v>115</v>
      </c>
      <c r="C1" s="36" t="s">
        <v>116</v>
      </c>
      <c r="D1" s="36" t="s">
        <v>117</v>
      </c>
      <c r="E1" s="36" t="s">
        <v>118</v>
      </c>
      <c r="F1" s="36" t="s">
        <v>119</v>
      </c>
      <c r="G1" s="36" t="s">
        <v>120</v>
      </c>
    </row>
    <row r="2">
      <c r="A2" s="37"/>
      <c r="B2" s="37"/>
      <c r="C2" s="37"/>
      <c r="D2" s="37"/>
      <c r="E2" s="37"/>
      <c r="F2" s="37"/>
      <c r="G2" s="37"/>
    </row>
    <row r="3">
      <c r="A3" s="4" t="s">
        <v>121</v>
      </c>
      <c r="B3" s="38" t="s">
        <v>122</v>
      </c>
      <c r="C3" s="38">
        <v>4.0</v>
      </c>
      <c r="D3" s="38" t="s">
        <v>123</v>
      </c>
      <c r="E3" s="39" t="s">
        <v>124</v>
      </c>
      <c r="F3" s="38" t="s">
        <v>125</v>
      </c>
      <c r="G3" s="1" t="s">
        <v>126</v>
      </c>
    </row>
    <row r="4">
      <c r="A4" s="4" t="s">
        <v>127</v>
      </c>
      <c r="B4" s="40" t="s">
        <v>128</v>
      </c>
      <c r="C4" s="38">
        <v>4.0</v>
      </c>
      <c r="D4" s="40" t="s">
        <v>129</v>
      </c>
      <c r="E4" s="40" t="s">
        <v>130</v>
      </c>
      <c r="F4" s="38" t="s">
        <v>131</v>
      </c>
      <c r="G4" s="1" t="s">
        <v>132</v>
      </c>
      <c r="H4" s="41"/>
    </row>
    <row r="5">
      <c r="A5" s="1" t="s">
        <v>133</v>
      </c>
      <c r="B5" s="38" t="s">
        <v>91</v>
      </c>
      <c r="C5" s="38">
        <v>2.0</v>
      </c>
      <c r="D5" s="38" t="s">
        <v>134</v>
      </c>
      <c r="E5" s="42" t="s">
        <v>135</v>
      </c>
      <c r="F5" s="38" t="s">
        <v>136</v>
      </c>
      <c r="H5" s="43"/>
    </row>
    <row r="6">
      <c r="B6" s="38" t="s">
        <v>137</v>
      </c>
      <c r="C6" s="38">
        <v>2.0</v>
      </c>
      <c r="D6" s="38" t="s">
        <v>134</v>
      </c>
      <c r="E6" s="42" t="s">
        <v>138</v>
      </c>
      <c r="F6" s="38" t="s">
        <v>136</v>
      </c>
    </row>
    <row r="7">
      <c r="A7" s="4" t="s">
        <v>139</v>
      </c>
      <c r="B7" s="38" t="s">
        <v>140</v>
      </c>
      <c r="C7" s="38">
        <v>4.0</v>
      </c>
      <c r="D7" s="38" t="s">
        <v>141</v>
      </c>
      <c r="E7" s="38" t="s">
        <v>142</v>
      </c>
      <c r="F7" s="38" t="s">
        <v>143</v>
      </c>
      <c r="G7" s="38" t="s">
        <v>144</v>
      </c>
      <c r="H7" s="1" t="s">
        <v>145</v>
      </c>
      <c r="I7" s="1" t="s">
        <v>126</v>
      </c>
    </row>
    <row r="8">
      <c r="A8" s="4" t="s">
        <v>146</v>
      </c>
      <c r="B8" s="38" t="s">
        <v>147</v>
      </c>
      <c r="C8" s="38">
        <v>4.0</v>
      </c>
      <c r="D8" s="38" t="s">
        <v>148</v>
      </c>
      <c r="E8" s="38" t="s">
        <v>149</v>
      </c>
      <c r="F8" s="38" t="s">
        <v>150</v>
      </c>
      <c r="G8" s="38" t="s">
        <v>144</v>
      </c>
      <c r="H8" s="1" t="s">
        <v>151</v>
      </c>
      <c r="I8" s="1" t="s">
        <v>152</v>
      </c>
    </row>
    <row r="9">
      <c r="A9" s="38"/>
      <c r="B9" s="38" t="s">
        <v>153</v>
      </c>
      <c r="C9" s="38">
        <v>2.0</v>
      </c>
      <c r="D9" s="38" t="s">
        <v>154</v>
      </c>
      <c r="E9" s="38" t="s">
        <v>155</v>
      </c>
      <c r="F9" s="44"/>
    </row>
    <row r="10">
      <c r="A10" s="38" t="s">
        <v>156</v>
      </c>
      <c r="B10" s="38" t="s">
        <v>94</v>
      </c>
      <c r="C10" s="38">
        <v>2.0</v>
      </c>
      <c r="D10" s="38" t="s">
        <v>154</v>
      </c>
      <c r="E10" s="38" t="s">
        <v>155</v>
      </c>
      <c r="F10" s="44"/>
    </row>
    <row r="11">
      <c r="A11" s="5" t="s">
        <v>156</v>
      </c>
      <c r="B11" s="5" t="s">
        <v>94</v>
      </c>
      <c r="C11" s="5">
        <v>2.0</v>
      </c>
      <c r="D11" s="5" t="s">
        <v>154</v>
      </c>
      <c r="E11" s="5" t="s">
        <v>155</v>
      </c>
      <c r="F11" s="5" t="s">
        <v>157</v>
      </c>
      <c r="G11" s="5" t="s">
        <v>158</v>
      </c>
    </row>
    <row r="12">
      <c r="A12" s="5"/>
      <c r="B12" s="5" t="s">
        <v>94</v>
      </c>
      <c r="C12" s="5">
        <v>2.0</v>
      </c>
      <c r="D12" s="5" t="s">
        <v>154</v>
      </c>
      <c r="E12" s="5" t="s">
        <v>155</v>
      </c>
      <c r="F12" s="5" t="s">
        <v>159</v>
      </c>
      <c r="G12" s="5"/>
    </row>
    <row r="13">
      <c r="A13" s="1" t="s">
        <v>156</v>
      </c>
      <c r="B13" s="34" t="s">
        <v>81</v>
      </c>
      <c r="C13" s="5">
        <v>2.0</v>
      </c>
      <c r="D13" s="34" t="s">
        <v>160</v>
      </c>
      <c r="E13" s="45" t="s">
        <v>161</v>
      </c>
      <c r="F13" s="34"/>
      <c r="G13" s="34"/>
    </row>
    <row r="14">
      <c r="A14" s="4" t="s">
        <v>162</v>
      </c>
      <c r="B14" s="38" t="s">
        <v>88</v>
      </c>
      <c r="C14" s="38">
        <v>4.0</v>
      </c>
      <c r="D14" s="38" t="s">
        <v>163</v>
      </c>
      <c r="E14" s="38" t="s">
        <v>164</v>
      </c>
      <c r="F14" s="38" t="s">
        <v>165</v>
      </c>
      <c r="G14" s="5" t="s">
        <v>126</v>
      </c>
    </row>
    <row r="15">
      <c r="A15" s="38" t="s">
        <v>156</v>
      </c>
      <c r="B15" s="38" t="s">
        <v>166</v>
      </c>
      <c r="C15" s="38">
        <v>2.0</v>
      </c>
      <c r="D15" s="46" t="s">
        <v>167</v>
      </c>
      <c r="E15" s="47" t="s">
        <v>168</v>
      </c>
      <c r="F15" s="38" t="s">
        <v>169</v>
      </c>
    </row>
    <row r="16">
      <c r="A16" s="38" t="s">
        <v>156</v>
      </c>
      <c r="B16" s="38" t="s">
        <v>170</v>
      </c>
      <c r="C16" s="38">
        <v>2.0</v>
      </c>
      <c r="D16" s="46" t="s">
        <v>167</v>
      </c>
      <c r="E16" s="47" t="s">
        <v>168</v>
      </c>
      <c r="F16" s="47"/>
    </row>
    <row r="17">
      <c r="A17" s="38"/>
      <c r="B17" s="38" t="s">
        <v>47</v>
      </c>
      <c r="C17" s="38">
        <v>2.0</v>
      </c>
      <c r="D17" s="46" t="s">
        <v>171</v>
      </c>
      <c r="E17" s="46" t="s">
        <v>172</v>
      </c>
      <c r="F17" s="44"/>
      <c r="G17" s="38" t="s">
        <v>173</v>
      </c>
    </row>
    <row r="18">
      <c r="A18" s="38"/>
      <c r="B18" s="38" t="s">
        <v>48</v>
      </c>
      <c r="C18" s="38">
        <v>2.0</v>
      </c>
      <c r="D18" s="46" t="s">
        <v>171</v>
      </c>
      <c r="E18" s="46" t="s">
        <v>172</v>
      </c>
      <c r="F18" s="44"/>
      <c r="G18" s="38" t="s">
        <v>173</v>
      </c>
    </row>
    <row r="19">
      <c r="A19" s="38"/>
      <c r="B19" s="38"/>
      <c r="C19" s="38">
        <v>4.0</v>
      </c>
      <c r="D19" s="46" t="s">
        <v>174</v>
      </c>
      <c r="E19" s="46" t="s">
        <v>172</v>
      </c>
      <c r="F19" s="38" t="s">
        <v>175</v>
      </c>
      <c r="G19" s="38" t="s">
        <v>173</v>
      </c>
    </row>
    <row r="20">
      <c r="A20" s="4" t="s">
        <v>176</v>
      </c>
      <c r="B20" s="38" t="s">
        <v>177</v>
      </c>
      <c r="C20" s="38">
        <v>4.0</v>
      </c>
      <c r="D20" s="38" t="s">
        <v>178</v>
      </c>
      <c r="E20" s="38" t="s">
        <v>179</v>
      </c>
      <c r="F20" s="38" t="s">
        <v>180</v>
      </c>
      <c r="G20" s="38" t="s">
        <v>181</v>
      </c>
      <c r="H20" s="1" t="s">
        <v>182</v>
      </c>
    </row>
    <row r="21">
      <c r="A21" s="38" t="s">
        <v>133</v>
      </c>
      <c r="B21" s="47" t="s">
        <v>183</v>
      </c>
      <c r="C21" s="47">
        <v>4.0</v>
      </c>
      <c r="D21" s="47" t="s">
        <v>184</v>
      </c>
      <c r="E21" s="47" t="s">
        <v>185</v>
      </c>
      <c r="F21" s="38" t="s">
        <v>186</v>
      </c>
    </row>
    <row r="22">
      <c r="A22" s="4" t="s">
        <v>187</v>
      </c>
      <c r="B22" s="47" t="s">
        <v>188</v>
      </c>
      <c r="C22" s="47">
        <v>2.0</v>
      </c>
      <c r="D22" s="38" t="s">
        <v>189</v>
      </c>
      <c r="E22" s="47" t="s">
        <v>190</v>
      </c>
      <c r="F22" s="38" t="s">
        <v>191</v>
      </c>
      <c r="G22" s="5" t="s">
        <v>192</v>
      </c>
    </row>
    <row r="23">
      <c r="A23" s="4" t="s">
        <v>187</v>
      </c>
      <c r="B23" s="47" t="s">
        <v>107</v>
      </c>
      <c r="C23" s="47">
        <v>2.0</v>
      </c>
      <c r="D23" s="38" t="s">
        <v>189</v>
      </c>
      <c r="E23" s="47" t="s">
        <v>190</v>
      </c>
      <c r="F23" s="38" t="s">
        <v>191</v>
      </c>
      <c r="G23" s="48" t="s">
        <v>193</v>
      </c>
      <c r="H23" s="48" t="s">
        <v>194</v>
      </c>
    </row>
    <row r="24">
      <c r="A24" s="44"/>
      <c r="B24" s="38" t="s">
        <v>195</v>
      </c>
      <c r="C24" s="38">
        <v>2.0</v>
      </c>
      <c r="D24" s="38" t="s">
        <v>196</v>
      </c>
      <c r="E24" s="47" t="s">
        <v>197</v>
      </c>
      <c r="F24" s="38" t="s">
        <v>198</v>
      </c>
    </row>
    <row r="25">
      <c r="A25" s="44"/>
      <c r="B25" s="38" t="s">
        <v>199</v>
      </c>
      <c r="C25" s="38">
        <v>2.0</v>
      </c>
      <c r="D25" s="38" t="s">
        <v>196</v>
      </c>
      <c r="E25" s="38" t="s">
        <v>200</v>
      </c>
      <c r="F25" s="38" t="s">
        <v>198</v>
      </c>
    </row>
    <row r="26">
      <c r="B26" s="38" t="s">
        <v>25</v>
      </c>
      <c r="C26" s="38">
        <v>4.0</v>
      </c>
      <c r="D26" s="38" t="s">
        <v>201</v>
      </c>
      <c r="E26" s="38" t="s">
        <v>202</v>
      </c>
      <c r="F26" s="38" t="s">
        <v>203</v>
      </c>
      <c r="G26" s="38" t="s">
        <v>204</v>
      </c>
    </row>
    <row r="27">
      <c r="A27" s="44"/>
      <c r="B27" s="38" t="s">
        <v>205</v>
      </c>
      <c r="C27" s="38">
        <v>4.0</v>
      </c>
      <c r="D27" s="38" t="s">
        <v>206</v>
      </c>
      <c r="E27" s="38" t="s">
        <v>207</v>
      </c>
      <c r="F27" s="38" t="s">
        <v>208</v>
      </c>
    </row>
    <row r="28">
      <c r="A28" s="4" t="s">
        <v>209</v>
      </c>
      <c r="B28" s="38" t="s">
        <v>210</v>
      </c>
      <c r="C28" s="38">
        <v>2.0</v>
      </c>
      <c r="D28" s="38" t="s">
        <v>211</v>
      </c>
      <c r="E28" s="38" t="s">
        <v>202</v>
      </c>
      <c r="F28" s="38" t="s">
        <v>204</v>
      </c>
      <c r="G28" s="1" t="s">
        <v>212</v>
      </c>
      <c r="H28" s="1" t="s">
        <v>213</v>
      </c>
    </row>
    <row r="29">
      <c r="A29" s="44"/>
      <c r="B29" s="38" t="s">
        <v>214</v>
      </c>
      <c r="C29" s="38">
        <v>2.0</v>
      </c>
      <c r="D29" s="38" t="s">
        <v>211</v>
      </c>
      <c r="E29" s="38" t="s">
        <v>202</v>
      </c>
      <c r="F29" s="38" t="s">
        <v>204</v>
      </c>
      <c r="G29" s="4" t="s">
        <v>215</v>
      </c>
    </row>
    <row r="30">
      <c r="A30" s="44"/>
      <c r="B30" s="38" t="s">
        <v>38</v>
      </c>
      <c r="C30" s="38">
        <v>2.0</v>
      </c>
      <c r="D30" s="38" t="s">
        <v>216</v>
      </c>
      <c r="E30" s="38" t="s">
        <v>217</v>
      </c>
      <c r="F30" s="38" t="s">
        <v>218</v>
      </c>
    </row>
    <row r="31">
      <c r="A31" s="38" t="s">
        <v>133</v>
      </c>
      <c r="B31" s="38" t="s">
        <v>219</v>
      </c>
      <c r="C31" s="38">
        <v>4.0</v>
      </c>
      <c r="D31" s="38" t="s">
        <v>220</v>
      </c>
      <c r="E31" s="38" t="s">
        <v>221</v>
      </c>
      <c r="F31" s="38" t="s">
        <v>222</v>
      </c>
    </row>
    <row r="32">
      <c r="A32" s="38"/>
      <c r="B32" s="38"/>
      <c r="C32" s="38"/>
      <c r="D32" s="38"/>
      <c r="E32" s="38" t="s">
        <v>221</v>
      </c>
      <c r="F32" s="38" t="s">
        <v>175</v>
      </c>
    </row>
    <row r="33">
      <c r="A33" s="38" t="s">
        <v>133</v>
      </c>
      <c r="B33" s="38" t="s">
        <v>107</v>
      </c>
      <c r="C33" s="38">
        <v>2.0</v>
      </c>
      <c r="D33" s="38" t="s">
        <v>223</v>
      </c>
      <c r="E33" s="38" t="s">
        <v>224</v>
      </c>
      <c r="F33" s="38" t="s">
        <v>225</v>
      </c>
    </row>
    <row r="34">
      <c r="A34" s="38" t="s">
        <v>133</v>
      </c>
      <c r="B34" s="38" t="s">
        <v>188</v>
      </c>
      <c r="C34" s="38">
        <v>2.0</v>
      </c>
      <c r="D34" s="38" t="s">
        <v>223</v>
      </c>
      <c r="E34" s="38" t="s">
        <v>224</v>
      </c>
      <c r="F34" s="38" t="s">
        <v>225</v>
      </c>
    </row>
    <row r="35">
      <c r="A35" s="38"/>
      <c r="B35" s="38" t="s">
        <v>226</v>
      </c>
      <c r="C35" s="44"/>
      <c r="D35" s="44"/>
      <c r="E35" s="38" t="s">
        <v>227</v>
      </c>
      <c r="F35" s="38" t="s">
        <v>228</v>
      </c>
      <c r="G35" s="38" t="s">
        <v>225</v>
      </c>
    </row>
    <row r="36">
      <c r="A36" s="38"/>
      <c r="B36" s="38" t="s">
        <v>77</v>
      </c>
      <c r="C36" s="38">
        <v>4.0</v>
      </c>
      <c r="D36" s="38" t="s">
        <v>229</v>
      </c>
      <c r="E36" s="38" t="s">
        <v>230</v>
      </c>
      <c r="F36" s="38" t="s">
        <v>231</v>
      </c>
    </row>
    <row r="37">
      <c r="A37" s="1" t="s">
        <v>133</v>
      </c>
      <c r="B37" s="38" t="s">
        <v>77</v>
      </c>
      <c r="C37" s="38">
        <v>4.0</v>
      </c>
      <c r="D37" s="38" t="s">
        <v>232</v>
      </c>
      <c r="E37" s="38" t="s">
        <v>233</v>
      </c>
      <c r="F37" s="38" t="s">
        <v>234</v>
      </c>
    </row>
    <row r="38">
      <c r="A38" s="5"/>
      <c r="B38" s="5" t="s">
        <v>235</v>
      </c>
      <c r="C38" s="5"/>
      <c r="D38" s="5"/>
      <c r="E38" s="5" t="s">
        <v>236</v>
      </c>
      <c r="F38" s="5"/>
      <c r="G38" s="8"/>
      <c r="H38" s="8"/>
    </row>
    <row r="39">
      <c r="A39" s="5"/>
      <c r="B39" s="5" t="s">
        <v>237</v>
      </c>
      <c r="C39" s="5"/>
      <c r="D39" s="5" t="s">
        <v>238</v>
      </c>
      <c r="E39" s="5" t="s">
        <v>239</v>
      </c>
      <c r="F39" s="5"/>
      <c r="G39" s="8"/>
      <c r="H39" s="8"/>
    </row>
    <row r="40">
      <c r="A40" s="5"/>
      <c r="B40" s="38"/>
      <c r="C40" s="38"/>
      <c r="D40" s="38"/>
      <c r="E40" s="38" t="s">
        <v>240</v>
      </c>
      <c r="F40" s="38" t="s">
        <v>241</v>
      </c>
      <c r="G40" s="38" t="s">
        <v>242</v>
      </c>
      <c r="H40" s="8"/>
    </row>
    <row r="41">
      <c r="A41" s="47"/>
      <c r="B41" s="38"/>
      <c r="C41" s="38"/>
      <c r="D41" s="38"/>
      <c r="E41" s="38" t="s">
        <v>230</v>
      </c>
      <c r="F41" s="38" t="s">
        <v>243</v>
      </c>
      <c r="G41" s="38" t="s">
        <v>244</v>
      </c>
    </row>
    <row r="42">
      <c r="A42" s="38" t="s">
        <v>245</v>
      </c>
      <c r="B42" s="47" t="s">
        <v>246</v>
      </c>
      <c r="C42" s="47">
        <v>4.0</v>
      </c>
      <c r="D42" s="38" t="s">
        <v>247</v>
      </c>
      <c r="E42" s="38" t="s">
        <v>248</v>
      </c>
      <c r="F42" s="38" t="s">
        <v>249</v>
      </c>
      <c r="G42" s="38" t="s">
        <v>250</v>
      </c>
      <c r="H42" s="5"/>
    </row>
    <row r="43">
      <c r="A43" s="38"/>
      <c r="B43" s="47"/>
      <c r="C43" s="47"/>
      <c r="D43" s="38"/>
      <c r="E43" s="38" t="s">
        <v>251</v>
      </c>
      <c r="F43" s="38" t="s">
        <v>252</v>
      </c>
      <c r="G43" s="38" t="s">
        <v>250</v>
      </c>
      <c r="H43" s="5"/>
    </row>
    <row r="44">
      <c r="A44" s="4" t="s">
        <v>253</v>
      </c>
      <c r="B44" s="49" t="s">
        <v>85</v>
      </c>
      <c r="C44" s="38">
        <v>4.0</v>
      </c>
      <c r="D44" s="38" t="s">
        <v>254</v>
      </c>
      <c r="E44" s="40" t="s">
        <v>255</v>
      </c>
      <c r="F44" s="49"/>
      <c r="G44" s="40" t="s">
        <v>256</v>
      </c>
      <c r="H44" s="1" t="s">
        <v>132</v>
      </c>
    </row>
    <row r="45">
      <c r="A45" s="50" t="s">
        <v>257</v>
      </c>
      <c r="B45" s="38" t="s">
        <v>85</v>
      </c>
      <c r="C45" s="38">
        <v>2.0</v>
      </c>
      <c r="D45" s="38" t="s">
        <v>258</v>
      </c>
      <c r="E45" s="38" t="s">
        <v>259</v>
      </c>
      <c r="F45" s="38"/>
      <c r="G45" s="38" t="s">
        <v>256</v>
      </c>
      <c r="H45" s="1" t="s">
        <v>132</v>
      </c>
    </row>
    <row r="46">
      <c r="A46" s="4" t="s">
        <v>260</v>
      </c>
      <c r="B46" s="49" t="s">
        <v>261</v>
      </c>
      <c r="C46" s="47">
        <v>4.0</v>
      </c>
      <c r="D46" s="47" t="s">
        <v>262</v>
      </c>
      <c r="E46" s="40" t="s">
        <v>263</v>
      </c>
      <c r="F46" s="40" t="s">
        <v>264</v>
      </c>
      <c r="G46" s="51" t="s">
        <v>152</v>
      </c>
    </row>
    <row r="47">
      <c r="A47" s="4" t="s">
        <v>265</v>
      </c>
      <c r="B47" s="49" t="s">
        <v>266</v>
      </c>
      <c r="C47" s="47">
        <v>4.0</v>
      </c>
      <c r="D47" s="47" t="s">
        <v>267</v>
      </c>
      <c r="E47" s="40" t="s">
        <v>268</v>
      </c>
      <c r="F47" s="40" t="s">
        <v>269</v>
      </c>
      <c r="G47" s="4" t="s">
        <v>270</v>
      </c>
      <c r="H47" s="1" t="s">
        <v>192</v>
      </c>
    </row>
    <row r="48">
      <c r="A48" s="38"/>
      <c r="B48" s="49" t="s">
        <v>271</v>
      </c>
      <c r="C48" s="47">
        <v>4.0</v>
      </c>
      <c r="D48" s="38" t="s">
        <v>272</v>
      </c>
      <c r="E48" s="40" t="s">
        <v>273</v>
      </c>
      <c r="F48" s="40" t="s">
        <v>274</v>
      </c>
      <c r="G48" s="18"/>
    </row>
    <row r="49">
      <c r="A49" s="4" t="s">
        <v>275</v>
      </c>
      <c r="B49" s="49" t="s">
        <v>276</v>
      </c>
      <c r="C49" s="47">
        <v>4.0</v>
      </c>
      <c r="D49" s="38" t="s">
        <v>277</v>
      </c>
      <c r="E49" s="40" t="s">
        <v>278</v>
      </c>
      <c r="F49" s="40" t="s">
        <v>274</v>
      </c>
      <c r="G49" s="45" t="s">
        <v>132</v>
      </c>
    </row>
    <row r="50">
      <c r="A50" s="52"/>
      <c r="B50" s="49" t="s">
        <v>205</v>
      </c>
      <c r="C50" s="47">
        <v>4.0</v>
      </c>
      <c r="D50" s="38" t="s">
        <v>279</v>
      </c>
      <c r="E50" s="40" t="s">
        <v>280</v>
      </c>
      <c r="F50" s="40" t="s">
        <v>281</v>
      </c>
      <c r="G50" s="53"/>
    </row>
    <row r="51">
      <c r="A51" s="38"/>
      <c r="B51" s="49" t="s">
        <v>81</v>
      </c>
      <c r="C51" s="47">
        <v>4.0</v>
      </c>
      <c r="D51" s="38" t="s">
        <v>29</v>
      </c>
      <c r="E51" s="40" t="s">
        <v>282</v>
      </c>
      <c r="F51" s="38" t="s">
        <v>281</v>
      </c>
      <c r="G51" s="54"/>
    </row>
    <row r="52">
      <c r="A52" s="38"/>
      <c r="B52" s="49" t="s">
        <v>283</v>
      </c>
      <c r="C52" s="38">
        <v>4.0</v>
      </c>
      <c r="D52" s="38" t="s">
        <v>284</v>
      </c>
      <c r="E52" s="40" t="s">
        <v>285</v>
      </c>
      <c r="F52" s="40" t="s">
        <v>286</v>
      </c>
      <c r="G52" s="18"/>
      <c r="H52" s="50"/>
    </row>
    <row r="53">
      <c r="A53" s="38"/>
      <c r="B53" s="44" t="s">
        <v>246</v>
      </c>
      <c r="C53" s="38">
        <v>4.0</v>
      </c>
      <c r="D53" s="38" t="s">
        <v>247</v>
      </c>
      <c r="E53" s="55" t="s">
        <v>287</v>
      </c>
      <c r="F53" s="55" t="s">
        <v>288</v>
      </c>
      <c r="H53" s="56"/>
    </row>
    <row r="54">
      <c r="A54" s="38"/>
      <c r="B54" s="49" t="s">
        <v>77</v>
      </c>
      <c r="C54" s="40">
        <v>2.0</v>
      </c>
      <c r="D54" s="38" t="s">
        <v>289</v>
      </c>
      <c r="E54" s="40" t="s">
        <v>290</v>
      </c>
      <c r="F54" s="40" t="s">
        <v>286</v>
      </c>
    </row>
    <row r="55">
      <c r="A55" s="38"/>
      <c r="B55" s="40" t="s">
        <v>77</v>
      </c>
      <c r="C55" s="40">
        <v>2.0</v>
      </c>
      <c r="D55" s="38" t="s">
        <v>291</v>
      </c>
      <c r="E55" s="57" t="s">
        <v>292</v>
      </c>
      <c r="F55" s="40" t="s">
        <v>293</v>
      </c>
    </row>
    <row r="56">
      <c r="A56" s="38"/>
      <c r="B56" s="49" t="s">
        <v>271</v>
      </c>
      <c r="C56" s="38">
        <v>4.0</v>
      </c>
      <c r="D56" s="38" t="s">
        <v>294</v>
      </c>
      <c r="E56" s="40" t="s">
        <v>295</v>
      </c>
      <c r="F56" s="38" t="s">
        <v>288</v>
      </c>
      <c r="G56" s="18"/>
    </row>
    <row r="57">
      <c r="A57" s="38"/>
      <c r="B57" s="38" t="s">
        <v>205</v>
      </c>
      <c r="C57" s="38">
        <v>4.0</v>
      </c>
      <c r="D57" s="38" t="s">
        <v>29</v>
      </c>
      <c r="E57" s="38" t="s">
        <v>296</v>
      </c>
      <c r="F57" s="38"/>
    </row>
    <row r="58">
      <c r="A58" s="38"/>
      <c r="B58" s="58" t="s">
        <v>22</v>
      </c>
      <c r="C58" s="38">
        <v>4.0</v>
      </c>
      <c r="D58" s="38" t="s">
        <v>297</v>
      </c>
      <c r="E58" s="58" t="s">
        <v>298</v>
      </c>
      <c r="F58" s="58" t="s">
        <v>299</v>
      </c>
    </row>
    <row r="59">
      <c r="A59" s="38"/>
      <c r="B59" s="38" t="s">
        <v>28</v>
      </c>
      <c r="C59" s="38">
        <v>4.0</v>
      </c>
      <c r="D59" s="38" t="s">
        <v>300</v>
      </c>
      <c r="E59" s="59" t="s">
        <v>301</v>
      </c>
      <c r="F59" s="38" t="s">
        <v>302</v>
      </c>
    </row>
    <row r="60">
      <c r="A60" s="38" t="s">
        <v>133</v>
      </c>
      <c r="B60" s="38" t="s">
        <v>303</v>
      </c>
      <c r="C60" s="38">
        <v>4.0</v>
      </c>
      <c r="D60" s="38" t="s">
        <v>211</v>
      </c>
      <c r="E60" s="60" t="s">
        <v>304</v>
      </c>
      <c r="F60" s="38" t="s">
        <v>305</v>
      </c>
      <c r="G60" s="44"/>
    </row>
    <row r="61">
      <c r="A61" s="38"/>
      <c r="B61" s="38" t="s">
        <v>22</v>
      </c>
      <c r="C61" s="38">
        <v>4.0</v>
      </c>
      <c r="D61" s="38" t="s">
        <v>300</v>
      </c>
      <c r="E61" s="38" t="s">
        <v>306</v>
      </c>
      <c r="F61" s="38" t="s">
        <v>307</v>
      </c>
    </row>
    <row r="62">
      <c r="A62" s="44"/>
      <c r="B62" s="38" t="s">
        <v>308</v>
      </c>
      <c r="C62" s="38">
        <v>4.0</v>
      </c>
      <c r="D62" s="38" t="s">
        <v>229</v>
      </c>
      <c r="E62" s="38" t="s">
        <v>309</v>
      </c>
      <c r="F62" s="44"/>
      <c r="G62" s="44"/>
    </row>
    <row r="63">
      <c r="A63" s="1" t="s">
        <v>133</v>
      </c>
      <c r="B63" s="38" t="s">
        <v>271</v>
      </c>
      <c r="C63" s="38">
        <v>4.0</v>
      </c>
      <c r="D63" s="38" t="s">
        <v>310</v>
      </c>
      <c r="E63" s="39" t="s">
        <v>311</v>
      </c>
      <c r="F63" s="38" t="s">
        <v>312</v>
      </c>
      <c r="G63" s="61" t="s">
        <v>313</v>
      </c>
      <c r="H63" s="44"/>
    </row>
    <row r="64">
      <c r="A64" s="4" t="s">
        <v>314</v>
      </c>
      <c r="B64" s="38" t="s">
        <v>85</v>
      </c>
      <c r="C64" s="38">
        <v>4.0</v>
      </c>
      <c r="D64" s="38" t="s">
        <v>315</v>
      </c>
      <c r="E64" s="38" t="s">
        <v>316</v>
      </c>
      <c r="F64" s="38" t="s">
        <v>317</v>
      </c>
      <c r="G64" s="38" t="s">
        <v>318</v>
      </c>
      <c r="H64" s="1" t="s">
        <v>213</v>
      </c>
    </row>
    <row r="65">
      <c r="A65" s="1"/>
      <c r="B65" s="62" t="s">
        <v>319</v>
      </c>
      <c r="C65" s="63" t="s">
        <v>320</v>
      </c>
      <c r="D65" s="1" t="s">
        <v>321</v>
      </c>
      <c r="E65" s="1" t="s">
        <v>316</v>
      </c>
      <c r="F65" s="1"/>
    </row>
    <row r="66">
      <c r="A66" s="1"/>
      <c r="B66" s="62" t="s">
        <v>322</v>
      </c>
      <c r="C66" s="1" t="s">
        <v>323</v>
      </c>
      <c r="D66" s="1"/>
      <c r="E66" s="1" t="s">
        <v>316</v>
      </c>
      <c r="F66" s="1"/>
    </row>
    <row r="67">
      <c r="B67" s="38" t="s">
        <v>58</v>
      </c>
      <c r="C67" s="38">
        <v>4.0</v>
      </c>
      <c r="D67" s="38" t="s">
        <v>324</v>
      </c>
      <c r="E67" s="38" t="s">
        <v>325</v>
      </c>
      <c r="F67" s="38" t="s">
        <v>326</v>
      </c>
    </row>
    <row r="68">
      <c r="A68" s="44"/>
      <c r="B68" s="38" t="s">
        <v>271</v>
      </c>
      <c r="C68" s="38">
        <v>4.0</v>
      </c>
      <c r="D68" s="46" t="s">
        <v>206</v>
      </c>
      <c r="E68" s="46" t="s">
        <v>327</v>
      </c>
      <c r="F68" s="38" t="s">
        <v>328</v>
      </c>
      <c r="G68" s="44"/>
    </row>
    <row r="69">
      <c r="B69" s="38" t="s">
        <v>329</v>
      </c>
      <c r="C69" s="38">
        <v>4.0</v>
      </c>
      <c r="D69" s="46" t="s">
        <v>36</v>
      </c>
      <c r="E69" s="46" t="s">
        <v>330</v>
      </c>
      <c r="F69" s="38" t="s">
        <v>331</v>
      </c>
      <c r="G69" s="38" t="s">
        <v>332</v>
      </c>
    </row>
    <row r="70">
      <c r="B70" s="38" t="s">
        <v>333</v>
      </c>
      <c r="C70" s="38">
        <v>4.0</v>
      </c>
      <c r="D70" s="46" t="s">
        <v>334</v>
      </c>
      <c r="E70" s="38" t="s">
        <v>335</v>
      </c>
      <c r="F70" s="38" t="s">
        <v>336</v>
      </c>
    </row>
    <row r="71">
      <c r="A71" s="1" t="s">
        <v>133</v>
      </c>
      <c r="B71" s="38" t="s">
        <v>177</v>
      </c>
      <c r="C71" s="38">
        <v>4.0</v>
      </c>
      <c r="D71" s="46" t="s">
        <v>232</v>
      </c>
      <c r="E71" s="46" t="s">
        <v>337</v>
      </c>
      <c r="F71" s="38" t="s">
        <v>338</v>
      </c>
    </row>
    <row r="72">
      <c r="A72" s="44"/>
      <c r="B72" s="38" t="s">
        <v>339</v>
      </c>
      <c r="C72" s="38">
        <v>4.0</v>
      </c>
      <c r="D72" s="46" t="s">
        <v>340</v>
      </c>
      <c r="E72" s="46" t="s">
        <v>341</v>
      </c>
      <c r="F72" s="38" t="s">
        <v>302</v>
      </c>
    </row>
    <row r="73">
      <c r="A73" s="44"/>
      <c r="B73" s="47" t="s">
        <v>342</v>
      </c>
      <c r="C73" s="47">
        <v>4.0</v>
      </c>
      <c r="D73" s="46" t="s">
        <v>343</v>
      </c>
      <c r="E73" s="38" t="s">
        <v>344</v>
      </c>
      <c r="F73" s="38" t="s">
        <v>288</v>
      </c>
    </row>
    <row r="74">
      <c r="B74" s="38" t="s">
        <v>58</v>
      </c>
      <c r="C74" s="38">
        <v>4.0</v>
      </c>
      <c r="D74" s="46" t="s">
        <v>345</v>
      </c>
      <c r="E74" s="46" t="s">
        <v>346</v>
      </c>
      <c r="F74" s="38" t="s">
        <v>347</v>
      </c>
      <c r="G74" s="38" t="s">
        <v>348</v>
      </c>
    </row>
    <row r="75">
      <c r="A75" s="4" t="s">
        <v>349</v>
      </c>
      <c r="B75" s="38" t="s">
        <v>271</v>
      </c>
      <c r="C75" s="38">
        <v>4.0</v>
      </c>
      <c r="D75" s="46" t="s">
        <v>232</v>
      </c>
      <c r="E75" s="59" t="s">
        <v>350</v>
      </c>
      <c r="F75" s="38" t="s">
        <v>286</v>
      </c>
      <c r="G75" s="44"/>
      <c r="H75" s="1" t="s">
        <v>152</v>
      </c>
    </row>
    <row r="76">
      <c r="B76" s="38" t="s">
        <v>351</v>
      </c>
      <c r="C76" s="38">
        <v>4.0</v>
      </c>
      <c r="D76" s="46" t="s">
        <v>229</v>
      </c>
      <c r="E76" s="39" t="s">
        <v>352</v>
      </c>
      <c r="F76" s="38" t="s">
        <v>353</v>
      </c>
      <c r="G76" s="44"/>
    </row>
    <row r="77">
      <c r="A77" s="38" t="s">
        <v>133</v>
      </c>
      <c r="B77" s="38" t="s">
        <v>354</v>
      </c>
      <c r="C77" s="38">
        <v>4.0</v>
      </c>
      <c r="D77" s="46" t="s">
        <v>232</v>
      </c>
      <c r="E77" s="46" t="s">
        <v>355</v>
      </c>
      <c r="F77" s="38" t="s">
        <v>305</v>
      </c>
      <c r="G77" s="44"/>
    </row>
    <row r="78">
      <c r="A78" s="38" t="s">
        <v>356</v>
      </c>
      <c r="B78" s="38" t="s">
        <v>357</v>
      </c>
      <c r="C78" s="38">
        <v>4.0</v>
      </c>
      <c r="D78" s="46" t="s">
        <v>232</v>
      </c>
      <c r="E78" s="46" t="s">
        <v>358</v>
      </c>
      <c r="F78" s="38" t="s">
        <v>359</v>
      </c>
    </row>
    <row r="79">
      <c r="A79" s="44"/>
      <c r="B79" s="38" t="s">
        <v>360</v>
      </c>
      <c r="C79" s="38">
        <v>4.0</v>
      </c>
      <c r="D79" s="46" t="s">
        <v>361</v>
      </c>
      <c r="E79" s="38" t="s">
        <v>362</v>
      </c>
      <c r="F79" s="38" t="s">
        <v>363</v>
      </c>
    </row>
    <row r="80">
      <c r="A80" s="1" t="s">
        <v>364</v>
      </c>
      <c r="B80" s="1" t="s">
        <v>365</v>
      </c>
      <c r="C80" s="1" t="s">
        <v>366</v>
      </c>
      <c r="D80" s="64" t="s">
        <v>367</v>
      </c>
      <c r="E80" s="64" t="s">
        <v>368</v>
      </c>
    </row>
    <row r="81">
      <c r="C81" s="1" t="s">
        <v>369</v>
      </c>
      <c r="D81" s="64" t="s">
        <v>370</v>
      </c>
      <c r="E81" s="64" t="s">
        <v>371</v>
      </c>
    </row>
    <row r="82">
      <c r="C82" s="1" t="s">
        <v>372</v>
      </c>
      <c r="D82" s="64" t="s">
        <v>373</v>
      </c>
      <c r="E82" s="64" t="s">
        <v>371</v>
      </c>
    </row>
    <row r="83">
      <c r="C83" s="1"/>
      <c r="D83" s="64"/>
      <c r="E83" s="64" t="s">
        <v>374</v>
      </c>
      <c r="F83" s="1" t="s">
        <v>375</v>
      </c>
    </row>
    <row r="84">
      <c r="C84" s="1"/>
      <c r="D84" s="64"/>
      <c r="E84" s="64" t="s">
        <v>374</v>
      </c>
      <c r="F84" s="1" t="s">
        <v>376</v>
      </c>
    </row>
    <row r="85">
      <c r="A85" s="65">
        <v>45674.0</v>
      </c>
      <c r="B85" s="38" t="s">
        <v>377</v>
      </c>
      <c r="C85" s="38" t="s">
        <v>378</v>
      </c>
      <c r="D85" s="66" t="s">
        <v>379</v>
      </c>
      <c r="E85" s="46" t="s">
        <v>380</v>
      </c>
      <c r="F85" s="38" t="s">
        <v>381</v>
      </c>
    </row>
    <row r="86">
      <c r="A86" s="44"/>
      <c r="B86" s="38" t="s">
        <v>382</v>
      </c>
      <c r="C86" s="44"/>
      <c r="D86" s="46" t="s">
        <v>383</v>
      </c>
      <c r="E86" s="46" t="s">
        <v>380</v>
      </c>
      <c r="F86" s="38" t="s">
        <v>381</v>
      </c>
    </row>
    <row r="87">
      <c r="A87" s="44"/>
      <c r="B87" s="38" t="s">
        <v>384</v>
      </c>
      <c r="C87" s="38" t="s">
        <v>385</v>
      </c>
      <c r="D87" s="46" t="s">
        <v>386</v>
      </c>
      <c r="E87" s="46" t="s">
        <v>380</v>
      </c>
      <c r="F87" s="38" t="s">
        <v>381</v>
      </c>
    </row>
    <row r="88">
      <c r="A88" s="44"/>
      <c r="B88" s="44"/>
      <c r="C88" s="38" t="s">
        <v>387</v>
      </c>
      <c r="D88" s="46" t="s">
        <v>388</v>
      </c>
      <c r="E88" s="46" t="s">
        <v>380</v>
      </c>
      <c r="F88" s="38" t="s">
        <v>381</v>
      </c>
    </row>
    <row r="89">
      <c r="A89" s="44"/>
      <c r="B89" s="44"/>
      <c r="C89" s="38"/>
      <c r="D89" s="46"/>
      <c r="E89" s="46" t="s">
        <v>389</v>
      </c>
      <c r="F89" s="38" t="s">
        <v>390</v>
      </c>
      <c r="G89" s="38" t="s">
        <v>381</v>
      </c>
    </row>
    <row r="90">
      <c r="A90" s="44"/>
      <c r="B90" s="44"/>
      <c r="C90" s="38" t="s">
        <v>391</v>
      </c>
      <c r="D90" s="67"/>
      <c r="E90" s="68" t="s">
        <v>392</v>
      </c>
      <c r="F90" s="38" t="s">
        <v>393</v>
      </c>
    </row>
    <row r="91">
      <c r="B91" s="38" t="s">
        <v>394</v>
      </c>
      <c r="C91" s="38">
        <v>4.0</v>
      </c>
      <c r="D91" s="46" t="s">
        <v>395</v>
      </c>
      <c r="E91" s="46" t="s">
        <v>396</v>
      </c>
      <c r="F91" s="38" t="s">
        <v>397</v>
      </c>
    </row>
    <row r="92">
      <c r="B92" s="38" t="s">
        <v>398</v>
      </c>
      <c r="C92" s="38">
        <v>4.0</v>
      </c>
      <c r="D92" s="46" t="s">
        <v>399</v>
      </c>
      <c r="E92" s="46" t="s">
        <v>400</v>
      </c>
      <c r="F92" s="38" t="s">
        <v>401</v>
      </c>
    </row>
    <row r="93">
      <c r="B93" s="38" t="s">
        <v>28</v>
      </c>
      <c r="C93" s="38">
        <v>2.0</v>
      </c>
      <c r="D93" s="46" t="s">
        <v>402</v>
      </c>
      <c r="E93" s="69" t="s">
        <v>403</v>
      </c>
      <c r="F93" s="38" t="s">
        <v>404</v>
      </c>
    </row>
    <row r="94">
      <c r="B94" s="38" t="s">
        <v>405</v>
      </c>
      <c r="C94" s="38">
        <v>2.0</v>
      </c>
      <c r="D94" s="46" t="s">
        <v>406</v>
      </c>
      <c r="E94" s="46" t="s">
        <v>325</v>
      </c>
      <c r="F94" s="38" t="s">
        <v>407</v>
      </c>
    </row>
    <row r="95">
      <c r="B95" s="38" t="s">
        <v>52</v>
      </c>
      <c r="C95" s="38">
        <v>2.0</v>
      </c>
      <c r="D95" s="46" t="s">
        <v>406</v>
      </c>
      <c r="E95" s="46" t="s">
        <v>325</v>
      </c>
      <c r="F95" s="38" t="s">
        <v>407</v>
      </c>
    </row>
    <row r="96">
      <c r="A96" s="38"/>
      <c r="B96" s="38" t="s">
        <v>283</v>
      </c>
      <c r="C96" s="38">
        <v>4.0</v>
      </c>
      <c r="D96" s="46" t="s">
        <v>408</v>
      </c>
      <c r="E96" s="46" t="s">
        <v>409</v>
      </c>
      <c r="F96" s="38" t="s">
        <v>410</v>
      </c>
    </row>
    <row r="97">
      <c r="A97" s="44"/>
      <c r="B97" s="38" t="s">
        <v>411</v>
      </c>
      <c r="C97" s="38">
        <v>4.0</v>
      </c>
      <c r="D97" s="46" t="s">
        <v>412</v>
      </c>
      <c r="E97" s="46" t="s">
        <v>413</v>
      </c>
      <c r="F97" s="38" t="s">
        <v>414</v>
      </c>
    </row>
    <row r="98">
      <c r="A98" s="4" t="s">
        <v>415</v>
      </c>
      <c r="B98" s="38" t="s">
        <v>416</v>
      </c>
      <c r="C98" s="38">
        <v>4.0</v>
      </c>
      <c r="D98" s="46" t="s">
        <v>417</v>
      </c>
      <c r="E98" s="46" t="s">
        <v>418</v>
      </c>
      <c r="F98" s="38" t="s">
        <v>419</v>
      </c>
      <c r="G98" s="1" t="s">
        <v>126</v>
      </c>
    </row>
    <row r="99">
      <c r="A99" s="8"/>
      <c r="B99" s="38" t="s">
        <v>420</v>
      </c>
      <c r="C99" s="38" t="s">
        <v>421</v>
      </c>
      <c r="D99" s="46" t="s">
        <v>422</v>
      </c>
      <c r="E99" s="46" t="s">
        <v>423</v>
      </c>
      <c r="F99" s="38" t="s">
        <v>144</v>
      </c>
    </row>
    <row r="100">
      <c r="A100" s="5"/>
      <c r="B100" s="38" t="s">
        <v>424</v>
      </c>
      <c r="C100" s="38" t="s">
        <v>425</v>
      </c>
      <c r="D100" s="46" t="s">
        <v>426</v>
      </c>
      <c r="E100" s="46" t="s">
        <v>423</v>
      </c>
      <c r="F100" s="38" t="s">
        <v>144</v>
      </c>
    </row>
    <row r="101">
      <c r="A101" s="44"/>
      <c r="B101" s="38" t="s">
        <v>333</v>
      </c>
      <c r="C101" s="38">
        <v>4.0</v>
      </c>
      <c r="D101" s="68" t="s">
        <v>427</v>
      </c>
      <c r="E101" s="68" t="s">
        <v>428</v>
      </c>
      <c r="F101" s="47" t="s">
        <v>429</v>
      </c>
    </row>
    <row r="102">
      <c r="B102" s="38" t="s">
        <v>430</v>
      </c>
      <c r="C102" s="38">
        <v>4.0</v>
      </c>
      <c r="D102" s="46" t="s">
        <v>431</v>
      </c>
      <c r="E102" s="46" t="s">
        <v>413</v>
      </c>
      <c r="F102" s="38" t="s">
        <v>432</v>
      </c>
    </row>
    <row r="103">
      <c r="B103" s="38" t="s">
        <v>25</v>
      </c>
      <c r="C103" s="38">
        <v>1.0</v>
      </c>
      <c r="D103" s="46" t="s">
        <v>433</v>
      </c>
      <c r="E103" s="46" t="s">
        <v>434</v>
      </c>
      <c r="F103" s="38" t="s">
        <v>435</v>
      </c>
    </row>
    <row r="104">
      <c r="B104" s="38" t="s">
        <v>15</v>
      </c>
      <c r="C104" s="38">
        <v>4.0</v>
      </c>
      <c r="D104" s="46" t="s">
        <v>436</v>
      </c>
      <c r="E104" s="46" t="s">
        <v>437</v>
      </c>
      <c r="F104" s="38" t="s">
        <v>438</v>
      </c>
    </row>
    <row r="105">
      <c r="B105" s="1" t="s">
        <v>439</v>
      </c>
      <c r="C105" s="1">
        <v>2.0</v>
      </c>
      <c r="D105" s="64" t="s">
        <v>408</v>
      </c>
      <c r="E105" s="70" t="s">
        <v>440</v>
      </c>
      <c r="F105" s="1" t="s">
        <v>441</v>
      </c>
      <c r="G105" s="1" t="s">
        <v>442</v>
      </c>
    </row>
    <row r="106">
      <c r="B106" s="1"/>
      <c r="C106" s="1"/>
      <c r="D106" s="64" t="s">
        <v>443</v>
      </c>
      <c r="E106" s="70" t="s">
        <v>440</v>
      </c>
      <c r="F106" s="1"/>
    </row>
    <row r="107">
      <c r="B107" s="38" t="s">
        <v>58</v>
      </c>
      <c r="C107" s="38">
        <v>1.0</v>
      </c>
      <c r="D107" s="46" t="s">
        <v>444</v>
      </c>
      <c r="E107" s="69" t="s">
        <v>445</v>
      </c>
      <c r="F107" s="38" t="s">
        <v>446</v>
      </c>
    </row>
    <row r="108">
      <c r="A108" s="47" t="s">
        <v>447</v>
      </c>
      <c r="B108" s="38" t="s">
        <v>448</v>
      </c>
      <c r="C108" s="44"/>
      <c r="D108" s="46" t="s">
        <v>449</v>
      </c>
      <c r="E108" s="68" t="s">
        <v>450</v>
      </c>
      <c r="F108" s="38" t="s">
        <v>451</v>
      </c>
    </row>
    <row r="109">
      <c r="A109" s="15"/>
      <c r="B109" s="47" t="s">
        <v>452</v>
      </c>
      <c r="C109" s="47" t="s">
        <v>453</v>
      </c>
      <c r="D109" s="46"/>
      <c r="E109" s="68" t="s">
        <v>450</v>
      </c>
      <c r="F109" s="38" t="s">
        <v>454</v>
      </c>
    </row>
    <row r="110">
      <c r="B110" s="38" t="s">
        <v>354</v>
      </c>
      <c r="C110" s="38">
        <v>4.0</v>
      </c>
      <c r="D110" s="46" t="s">
        <v>427</v>
      </c>
      <c r="E110" s="46" t="s">
        <v>455</v>
      </c>
      <c r="F110" s="38" t="s">
        <v>456</v>
      </c>
    </row>
    <row r="111">
      <c r="A111" s="44"/>
      <c r="B111" s="38" t="s">
        <v>416</v>
      </c>
      <c r="C111" s="38">
        <v>4.0</v>
      </c>
      <c r="D111" s="46" t="s">
        <v>457</v>
      </c>
      <c r="E111" s="46" t="s">
        <v>458</v>
      </c>
      <c r="F111" s="38" t="s">
        <v>459</v>
      </c>
    </row>
    <row r="112">
      <c r="B112" s="38" t="s">
        <v>460</v>
      </c>
      <c r="C112" s="38">
        <v>2.0</v>
      </c>
      <c r="D112" s="46" t="s">
        <v>461</v>
      </c>
      <c r="E112" s="46" t="s">
        <v>462</v>
      </c>
      <c r="F112" s="38" t="s">
        <v>463</v>
      </c>
    </row>
    <row r="113">
      <c r="B113" s="38" t="s">
        <v>464</v>
      </c>
      <c r="C113" s="38">
        <v>2.0</v>
      </c>
      <c r="D113" s="46" t="s">
        <v>461</v>
      </c>
      <c r="E113" s="46" t="s">
        <v>462</v>
      </c>
      <c r="F113" s="38" t="s">
        <v>463</v>
      </c>
    </row>
    <row r="114">
      <c r="A114" s="44"/>
      <c r="B114" s="38" t="s">
        <v>94</v>
      </c>
      <c r="C114" s="38">
        <v>2.0</v>
      </c>
      <c r="D114" s="46" t="s">
        <v>465</v>
      </c>
      <c r="E114" s="46" t="s">
        <v>466</v>
      </c>
      <c r="F114" s="38" t="s">
        <v>467</v>
      </c>
    </row>
    <row r="115">
      <c r="A115" s="44"/>
      <c r="B115" s="38" t="s">
        <v>153</v>
      </c>
      <c r="C115" s="38">
        <v>2.0</v>
      </c>
      <c r="D115" s="46" t="s">
        <v>465</v>
      </c>
      <c r="E115" s="46" t="s">
        <v>466</v>
      </c>
      <c r="F115" s="38" t="s">
        <v>467</v>
      </c>
    </row>
    <row r="116">
      <c r="A116" s="44"/>
      <c r="B116" s="44"/>
      <c r="C116" s="38" t="s">
        <v>468</v>
      </c>
      <c r="D116" s="71" t="s">
        <v>469</v>
      </c>
      <c r="E116" s="46" t="s">
        <v>470</v>
      </c>
      <c r="F116" s="38" t="s">
        <v>471</v>
      </c>
    </row>
    <row r="117">
      <c r="A117" s="44"/>
      <c r="B117" s="44"/>
      <c r="C117" s="44"/>
      <c r="D117" s="71" t="s">
        <v>472</v>
      </c>
      <c r="E117" s="46" t="s">
        <v>470</v>
      </c>
      <c r="F117" s="38" t="s">
        <v>471</v>
      </c>
    </row>
    <row r="118">
      <c r="A118" s="44"/>
      <c r="B118" s="44"/>
      <c r="C118" s="44"/>
      <c r="D118" s="71" t="s">
        <v>473</v>
      </c>
      <c r="E118" s="46" t="s">
        <v>470</v>
      </c>
      <c r="F118" s="38" t="s">
        <v>471</v>
      </c>
    </row>
    <row r="119">
      <c r="B119" s="38" t="s">
        <v>25</v>
      </c>
      <c r="C119" s="38" t="s">
        <v>175</v>
      </c>
      <c r="D119" s="46" t="s">
        <v>474</v>
      </c>
      <c r="E119" s="46" t="s">
        <v>475</v>
      </c>
      <c r="F119" s="38"/>
    </row>
    <row r="120">
      <c r="B120" s="38" t="s">
        <v>22</v>
      </c>
      <c r="C120" s="38">
        <v>1.0</v>
      </c>
      <c r="D120" s="46" t="s">
        <v>476</v>
      </c>
      <c r="E120" s="72" t="s">
        <v>477</v>
      </c>
      <c r="F120" s="38" t="s">
        <v>478</v>
      </c>
    </row>
    <row r="121">
      <c r="A121" s="44"/>
      <c r="B121" s="38" t="s">
        <v>479</v>
      </c>
      <c r="C121" s="38">
        <v>2.0</v>
      </c>
      <c r="D121" s="46" t="s">
        <v>427</v>
      </c>
      <c r="E121" s="46" t="s">
        <v>462</v>
      </c>
      <c r="F121" s="59" t="s">
        <v>480</v>
      </c>
    </row>
    <row r="122">
      <c r="A122" s="38"/>
      <c r="B122" s="38" t="s">
        <v>354</v>
      </c>
      <c r="C122" s="38">
        <v>2.0</v>
      </c>
      <c r="D122" s="46" t="s">
        <v>427</v>
      </c>
      <c r="E122" s="46" t="s">
        <v>462</v>
      </c>
      <c r="F122" s="38" t="s">
        <v>480</v>
      </c>
    </row>
    <row r="123">
      <c r="B123" s="38" t="s">
        <v>210</v>
      </c>
      <c r="C123" s="38">
        <v>2.0</v>
      </c>
      <c r="D123" s="46" t="s">
        <v>408</v>
      </c>
      <c r="E123" s="46" t="s">
        <v>481</v>
      </c>
      <c r="F123" s="38" t="s">
        <v>482</v>
      </c>
    </row>
    <row r="124">
      <c r="B124" s="38" t="s">
        <v>214</v>
      </c>
      <c r="C124" s="38">
        <v>2.0</v>
      </c>
      <c r="D124" s="46" t="s">
        <v>408</v>
      </c>
      <c r="E124" s="46" t="s">
        <v>481</v>
      </c>
      <c r="F124" s="38" t="s">
        <v>482</v>
      </c>
    </row>
    <row r="125">
      <c r="B125" s="44"/>
      <c r="C125" s="44"/>
      <c r="D125" s="46" t="s">
        <v>483</v>
      </c>
      <c r="E125" s="46" t="s">
        <v>484</v>
      </c>
      <c r="F125" s="38" t="s">
        <v>485</v>
      </c>
    </row>
    <row r="126">
      <c r="A126" s="38"/>
      <c r="B126" s="38" t="s">
        <v>486</v>
      </c>
      <c r="C126" s="38">
        <v>2.0</v>
      </c>
      <c r="D126" s="46" t="s">
        <v>487</v>
      </c>
      <c r="E126" s="46" t="s">
        <v>488</v>
      </c>
      <c r="F126" s="38" t="s">
        <v>489</v>
      </c>
    </row>
    <row r="127">
      <c r="A127" s="44"/>
      <c r="B127" s="38" t="s">
        <v>88</v>
      </c>
      <c r="C127" s="38">
        <v>2.0</v>
      </c>
      <c r="D127" s="46" t="s">
        <v>487</v>
      </c>
      <c r="E127" s="46" t="s">
        <v>488</v>
      </c>
      <c r="F127" s="38" t="s">
        <v>489</v>
      </c>
    </row>
    <row r="128">
      <c r="B128" s="73" t="s">
        <v>490</v>
      </c>
      <c r="C128" s="44"/>
      <c r="D128" s="67"/>
      <c r="E128" s="46" t="s">
        <v>491</v>
      </c>
      <c r="F128" s="38" t="s">
        <v>492</v>
      </c>
    </row>
    <row r="129">
      <c r="B129" s="74" t="s">
        <v>493</v>
      </c>
      <c r="C129" s="44"/>
      <c r="D129" s="67"/>
      <c r="E129" s="46" t="s">
        <v>371</v>
      </c>
      <c r="F129" s="38" t="s">
        <v>492</v>
      </c>
    </row>
    <row r="130">
      <c r="B130" s="38" t="s">
        <v>439</v>
      </c>
      <c r="C130" s="38">
        <v>2.0</v>
      </c>
      <c r="D130" s="46" t="s">
        <v>494</v>
      </c>
      <c r="E130" s="46" t="s">
        <v>371</v>
      </c>
      <c r="F130" s="38" t="s">
        <v>492</v>
      </c>
    </row>
    <row r="131">
      <c r="B131" s="38" t="s">
        <v>495</v>
      </c>
      <c r="C131" s="38">
        <v>2.0</v>
      </c>
      <c r="D131" s="46" t="s">
        <v>494</v>
      </c>
      <c r="E131" s="46" t="s">
        <v>371</v>
      </c>
      <c r="F131" s="38" t="s">
        <v>492</v>
      </c>
    </row>
    <row r="132">
      <c r="B132" s="1"/>
      <c r="C132" s="1">
        <v>4.0</v>
      </c>
      <c r="D132" s="64" t="s">
        <v>174</v>
      </c>
      <c r="E132" s="64" t="s">
        <v>371</v>
      </c>
      <c r="F132" s="1" t="s">
        <v>496</v>
      </c>
    </row>
    <row r="133">
      <c r="B133" s="38"/>
      <c r="C133" s="38"/>
      <c r="D133" s="46"/>
      <c r="E133" s="46" t="s">
        <v>497</v>
      </c>
      <c r="F133" s="38" t="s">
        <v>498</v>
      </c>
      <c r="G133" s="38"/>
    </row>
    <row r="134">
      <c r="B134" s="44"/>
      <c r="C134" s="44"/>
      <c r="D134" s="46" t="s">
        <v>499</v>
      </c>
      <c r="E134" s="46" t="s">
        <v>500</v>
      </c>
      <c r="F134" s="44"/>
      <c r="G134" s="44"/>
      <c r="H134" s="38" t="s">
        <v>501</v>
      </c>
    </row>
    <row r="135">
      <c r="B135" s="44"/>
      <c r="C135" s="44"/>
      <c r="D135" s="46"/>
      <c r="E135" s="46" t="s">
        <v>500</v>
      </c>
      <c r="F135" s="38" t="s">
        <v>502</v>
      </c>
      <c r="G135" s="38" t="s">
        <v>503</v>
      </c>
      <c r="H135" s="38" t="s">
        <v>501</v>
      </c>
    </row>
    <row r="136">
      <c r="B136" s="44"/>
      <c r="C136" s="44"/>
      <c r="D136" s="46" t="s">
        <v>504</v>
      </c>
      <c r="E136" s="46" t="s">
        <v>500</v>
      </c>
      <c r="F136" s="38" t="s">
        <v>505</v>
      </c>
      <c r="G136" s="38" t="s">
        <v>506</v>
      </c>
      <c r="H136" s="38" t="s">
        <v>501</v>
      </c>
    </row>
    <row r="137">
      <c r="B137" s="44"/>
      <c r="C137" s="44"/>
      <c r="D137" s="46"/>
      <c r="E137" s="46" t="s">
        <v>500</v>
      </c>
      <c r="F137" s="38" t="s">
        <v>507</v>
      </c>
      <c r="G137" s="38" t="s">
        <v>508</v>
      </c>
      <c r="H137" s="38" t="s">
        <v>501</v>
      </c>
    </row>
    <row r="138">
      <c r="B138" s="38" t="s">
        <v>509</v>
      </c>
      <c r="C138" s="44"/>
      <c r="D138" s="46" t="s">
        <v>510</v>
      </c>
      <c r="E138" s="46" t="s">
        <v>511</v>
      </c>
      <c r="F138" s="44"/>
    </row>
    <row r="139">
      <c r="B139" s="38" t="s">
        <v>512</v>
      </c>
      <c r="C139" s="38">
        <v>4.0</v>
      </c>
      <c r="D139" s="46" t="s">
        <v>513</v>
      </c>
      <c r="E139" s="46" t="s">
        <v>514</v>
      </c>
      <c r="F139" s="44"/>
    </row>
    <row r="140">
      <c r="A140" s="19">
        <v>45686.0</v>
      </c>
      <c r="C140" s="75" t="s">
        <v>515</v>
      </c>
      <c r="D140" s="76" t="s">
        <v>516</v>
      </c>
      <c r="E140" s="64" t="s">
        <v>517</v>
      </c>
    </row>
    <row r="141">
      <c r="A141" s="19"/>
      <c r="C141" s="75" t="s">
        <v>518</v>
      </c>
      <c r="D141" s="76" t="s">
        <v>519</v>
      </c>
      <c r="E141" s="64" t="s">
        <v>520</v>
      </c>
    </row>
    <row r="142">
      <c r="A142" s="19"/>
      <c r="D142" s="77" t="s">
        <v>521</v>
      </c>
      <c r="E142" s="64" t="s">
        <v>520</v>
      </c>
    </row>
    <row r="143">
      <c r="A143" s="19"/>
      <c r="D143" s="77" t="s">
        <v>522</v>
      </c>
      <c r="E143" s="64" t="s">
        <v>520</v>
      </c>
    </row>
    <row r="144">
      <c r="A144" s="19"/>
      <c r="D144" s="64" t="s">
        <v>523</v>
      </c>
      <c r="E144" s="64" t="s">
        <v>520</v>
      </c>
    </row>
    <row r="145">
      <c r="B145" s="38" t="s">
        <v>495</v>
      </c>
      <c r="C145" s="38">
        <v>4.0</v>
      </c>
      <c r="D145" s="46" t="s">
        <v>524</v>
      </c>
      <c r="E145" s="78" t="s">
        <v>525</v>
      </c>
      <c r="F145" s="38" t="s">
        <v>526</v>
      </c>
    </row>
    <row r="146">
      <c r="B146" s="47"/>
      <c r="C146" s="38" t="s">
        <v>527</v>
      </c>
      <c r="D146" s="38" t="s">
        <v>528</v>
      </c>
      <c r="E146" s="47" t="s">
        <v>525</v>
      </c>
      <c r="F146" s="38" t="s">
        <v>529</v>
      </c>
      <c r="G146" s="44"/>
      <c r="H146" s="38" t="s">
        <v>530</v>
      </c>
    </row>
    <row r="147">
      <c r="B147" s="47"/>
      <c r="C147" s="38"/>
      <c r="D147" s="38"/>
      <c r="E147" s="47" t="s">
        <v>525</v>
      </c>
      <c r="F147" s="38" t="s">
        <v>531</v>
      </c>
      <c r="G147" s="44"/>
      <c r="H147" s="38" t="s">
        <v>530</v>
      </c>
    </row>
    <row r="148">
      <c r="A148" s="47"/>
      <c r="B148" s="47" t="s">
        <v>532</v>
      </c>
      <c r="C148" s="38" t="s">
        <v>533</v>
      </c>
      <c r="D148" s="46" t="s">
        <v>534</v>
      </c>
      <c r="E148" s="78" t="s">
        <v>525</v>
      </c>
      <c r="F148" s="38" t="s">
        <v>535</v>
      </c>
      <c r="G148" s="38" t="s">
        <v>526</v>
      </c>
    </row>
    <row r="149">
      <c r="A149" s="65">
        <v>45688.0</v>
      </c>
      <c r="B149" s="44"/>
      <c r="C149" s="38" t="s">
        <v>536</v>
      </c>
      <c r="D149" s="79" t="s">
        <v>537</v>
      </c>
      <c r="E149" s="38" t="s">
        <v>538</v>
      </c>
      <c r="F149" s="38" t="s">
        <v>471</v>
      </c>
    </row>
    <row r="150">
      <c r="A150" s="44"/>
      <c r="B150" s="44"/>
      <c r="C150" s="38" t="s">
        <v>539</v>
      </c>
      <c r="D150" s="80" t="s">
        <v>540</v>
      </c>
      <c r="E150" s="38" t="s">
        <v>541</v>
      </c>
      <c r="F150" s="38" t="s">
        <v>471</v>
      </c>
    </row>
    <row r="151">
      <c r="A151" s="44"/>
      <c r="B151" s="44"/>
      <c r="C151" s="44"/>
      <c r="D151" s="44"/>
      <c r="E151" s="38" t="s">
        <v>541</v>
      </c>
      <c r="F151" s="38" t="s">
        <v>471</v>
      </c>
    </row>
    <row r="152">
      <c r="B152" s="44"/>
      <c r="C152" s="44"/>
      <c r="D152" s="38" t="s">
        <v>542</v>
      </c>
      <c r="E152" s="38" t="s">
        <v>543</v>
      </c>
      <c r="F152" s="38" t="s">
        <v>544</v>
      </c>
    </row>
    <row r="153">
      <c r="A153" s="44"/>
      <c r="B153" s="38" t="s">
        <v>214</v>
      </c>
      <c r="C153" s="38">
        <v>2.0</v>
      </c>
      <c r="D153" s="38" t="s">
        <v>545</v>
      </c>
      <c r="E153" s="46" t="s">
        <v>462</v>
      </c>
      <c r="F153" s="38" t="s">
        <v>546</v>
      </c>
    </row>
    <row r="154">
      <c r="A154" s="44"/>
      <c r="B154" s="38" t="s">
        <v>210</v>
      </c>
      <c r="C154" s="38">
        <v>2.0</v>
      </c>
      <c r="D154" s="38" t="s">
        <v>545</v>
      </c>
      <c r="E154" s="46" t="s">
        <v>462</v>
      </c>
      <c r="F154" s="38" t="s">
        <v>546</v>
      </c>
    </row>
    <row r="155">
      <c r="B155" s="38" t="s">
        <v>214</v>
      </c>
      <c r="C155" s="38">
        <v>2.0</v>
      </c>
      <c r="D155" s="38" t="s">
        <v>545</v>
      </c>
      <c r="E155" s="46" t="s">
        <v>547</v>
      </c>
      <c r="F155" s="38" t="s">
        <v>548</v>
      </c>
    </row>
    <row r="156">
      <c r="B156" s="38" t="s">
        <v>210</v>
      </c>
      <c r="C156" s="38">
        <v>2.0</v>
      </c>
      <c r="D156" s="38" t="s">
        <v>545</v>
      </c>
      <c r="E156" s="46" t="s">
        <v>547</v>
      </c>
      <c r="F156" s="38" t="s">
        <v>548</v>
      </c>
    </row>
    <row r="157">
      <c r="A157" s="44"/>
      <c r="B157" s="38" t="s">
        <v>549</v>
      </c>
      <c r="C157" s="38">
        <v>4.0</v>
      </c>
      <c r="D157" s="38" t="s">
        <v>550</v>
      </c>
      <c r="E157" s="39" t="s">
        <v>551</v>
      </c>
      <c r="F157" s="38" t="s">
        <v>552</v>
      </c>
    </row>
    <row r="158">
      <c r="A158" s="44"/>
      <c r="B158" s="38" t="s">
        <v>266</v>
      </c>
      <c r="C158" s="38">
        <v>4.0</v>
      </c>
      <c r="D158" s="38" t="s">
        <v>553</v>
      </c>
      <c r="E158" s="39" t="s">
        <v>551</v>
      </c>
      <c r="F158" s="38" t="s">
        <v>552</v>
      </c>
    </row>
    <row r="159">
      <c r="B159" s="44"/>
      <c r="C159" s="44"/>
      <c r="D159" s="38" t="s">
        <v>175</v>
      </c>
      <c r="E159" s="38" t="s">
        <v>554</v>
      </c>
      <c r="F159" s="38" t="s">
        <v>555</v>
      </c>
    </row>
    <row r="160">
      <c r="B160" s="44"/>
      <c r="C160" s="44"/>
      <c r="D160" s="38" t="s">
        <v>556</v>
      </c>
      <c r="E160" s="38" t="s">
        <v>554</v>
      </c>
      <c r="F160" s="38" t="s">
        <v>555</v>
      </c>
    </row>
    <row r="161">
      <c r="B161" s="44"/>
      <c r="C161" s="44"/>
      <c r="D161" s="38" t="s">
        <v>557</v>
      </c>
      <c r="E161" s="38" t="s">
        <v>558</v>
      </c>
      <c r="F161" s="38" t="s">
        <v>555</v>
      </c>
    </row>
    <row r="162">
      <c r="B162" s="38" t="s">
        <v>210</v>
      </c>
      <c r="C162" s="38">
        <v>4.0</v>
      </c>
      <c r="D162" s="38" t="s">
        <v>408</v>
      </c>
      <c r="E162" s="46" t="s">
        <v>481</v>
      </c>
      <c r="F162" s="38" t="s">
        <v>559</v>
      </c>
    </row>
    <row r="163">
      <c r="B163" s="38" t="s">
        <v>357</v>
      </c>
      <c r="C163" s="38">
        <v>4.0</v>
      </c>
      <c r="D163" s="38" t="s">
        <v>560</v>
      </c>
      <c r="E163" s="38" t="s">
        <v>561</v>
      </c>
      <c r="F163" s="38" t="s">
        <v>562</v>
      </c>
      <c r="G163" s="38">
        <v>-380.0</v>
      </c>
    </row>
    <row r="164">
      <c r="B164" s="38"/>
      <c r="C164" s="38"/>
      <c r="D164" s="38"/>
      <c r="E164" s="38" t="s">
        <v>561</v>
      </c>
      <c r="F164" s="38" t="s">
        <v>563</v>
      </c>
      <c r="G164" s="38">
        <v>25.0</v>
      </c>
    </row>
    <row r="165">
      <c r="B165" s="38"/>
      <c r="C165" s="38"/>
      <c r="D165" s="38"/>
      <c r="E165" s="38" t="s">
        <v>561</v>
      </c>
      <c r="F165" s="38" t="s">
        <v>564</v>
      </c>
      <c r="G165" s="38">
        <v>5.0</v>
      </c>
    </row>
    <row r="166">
      <c r="B166" s="38"/>
      <c r="C166" s="38"/>
      <c r="D166" s="38"/>
      <c r="E166" s="38" t="s">
        <v>561</v>
      </c>
      <c r="F166" s="38" t="s">
        <v>565</v>
      </c>
      <c r="G166" s="38">
        <v>60.0</v>
      </c>
    </row>
    <row r="167">
      <c r="B167" s="38"/>
      <c r="C167" s="38"/>
      <c r="D167" s="38"/>
      <c r="E167" s="38" t="s">
        <v>561</v>
      </c>
      <c r="F167" s="38" t="s">
        <v>566</v>
      </c>
      <c r="G167" s="38">
        <v>38.0</v>
      </c>
    </row>
    <row r="168">
      <c r="B168" s="38"/>
      <c r="C168" s="38"/>
      <c r="D168" s="38"/>
      <c r="E168" s="38" t="s">
        <v>561</v>
      </c>
      <c r="F168" s="38" t="s">
        <v>567</v>
      </c>
      <c r="G168" s="38">
        <v>4.5</v>
      </c>
    </row>
    <row r="169">
      <c r="B169" s="38"/>
      <c r="C169" s="38"/>
      <c r="D169" s="38"/>
      <c r="E169" s="38" t="s">
        <v>561</v>
      </c>
      <c r="F169" s="38" t="s">
        <v>568</v>
      </c>
      <c r="G169" s="38">
        <v>7.93</v>
      </c>
    </row>
    <row r="170">
      <c r="B170" s="38"/>
      <c r="C170" s="38"/>
      <c r="D170" s="38"/>
      <c r="E170" s="38" t="s">
        <v>561</v>
      </c>
      <c r="F170" s="38" t="s">
        <v>569</v>
      </c>
      <c r="G170" s="38">
        <v>24.78</v>
      </c>
    </row>
    <row r="171">
      <c r="B171" s="38"/>
      <c r="C171" s="38"/>
      <c r="D171" s="38"/>
      <c r="E171" s="38" t="s">
        <v>561</v>
      </c>
      <c r="F171" s="38" t="s">
        <v>570</v>
      </c>
      <c r="G171" s="38">
        <v>9.29</v>
      </c>
    </row>
    <row r="172">
      <c r="B172" s="38"/>
      <c r="C172" s="38"/>
      <c r="D172" s="38"/>
      <c r="E172" s="38" t="s">
        <v>561</v>
      </c>
      <c r="F172" s="38" t="s">
        <v>571</v>
      </c>
      <c r="G172" s="38">
        <v>47.0</v>
      </c>
    </row>
    <row r="173">
      <c r="B173" s="38"/>
      <c r="C173" s="38"/>
      <c r="D173" s="38"/>
      <c r="E173" s="38" t="s">
        <v>561</v>
      </c>
      <c r="F173" s="38" t="s">
        <v>572</v>
      </c>
      <c r="G173" s="38">
        <v>35.87</v>
      </c>
    </row>
    <row r="174">
      <c r="B174" s="38"/>
      <c r="C174" s="38"/>
      <c r="D174" s="38"/>
      <c r="E174" s="38" t="s">
        <v>561</v>
      </c>
      <c r="F174" s="38" t="s">
        <v>573</v>
      </c>
      <c r="G174" s="38">
        <v>30.0</v>
      </c>
    </row>
    <row r="175">
      <c r="B175" s="38"/>
      <c r="C175" s="38"/>
      <c r="D175" s="38" t="s">
        <v>574</v>
      </c>
      <c r="E175" s="38" t="s">
        <v>561</v>
      </c>
      <c r="F175" s="38" t="s">
        <v>575</v>
      </c>
      <c r="G175" s="38">
        <v>-63.54</v>
      </c>
    </row>
    <row r="176">
      <c r="B176" s="44"/>
      <c r="C176" s="44"/>
      <c r="D176" s="44"/>
      <c r="E176" s="38" t="s">
        <v>576</v>
      </c>
      <c r="F176" s="44"/>
      <c r="G176" s="38">
        <v>550.0</v>
      </c>
    </row>
    <row r="177">
      <c r="A177" s="44"/>
      <c r="B177" s="38" t="s">
        <v>577</v>
      </c>
      <c r="C177" s="38">
        <v>88.0</v>
      </c>
      <c r="D177" s="38"/>
      <c r="E177" s="38" t="s">
        <v>578</v>
      </c>
      <c r="F177" s="38"/>
      <c r="G177" s="38" t="s">
        <v>579</v>
      </c>
    </row>
    <row r="178">
      <c r="A178" s="38" t="s">
        <v>580</v>
      </c>
      <c r="B178" s="38" t="s">
        <v>581</v>
      </c>
      <c r="C178" s="38">
        <v>11.0</v>
      </c>
      <c r="D178" s="38"/>
      <c r="E178" s="38" t="s">
        <v>582</v>
      </c>
      <c r="F178" s="38"/>
      <c r="G178" s="38" t="s">
        <v>583</v>
      </c>
    </row>
    <row r="179">
      <c r="A179" s="38" t="s">
        <v>580</v>
      </c>
      <c r="B179" s="38" t="s">
        <v>584</v>
      </c>
      <c r="C179" s="38">
        <v>10.0</v>
      </c>
      <c r="D179" s="38"/>
      <c r="E179" s="38" t="s">
        <v>585</v>
      </c>
      <c r="F179" s="38"/>
      <c r="G179" s="38" t="s">
        <v>586</v>
      </c>
    </row>
    <row r="180">
      <c r="A180" s="38" t="s">
        <v>580</v>
      </c>
      <c r="B180" s="38" t="s">
        <v>587</v>
      </c>
      <c r="C180" s="38">
        <v>17.0</v>
      </c>
      <c r="D180" s="38"/>
      <c r="E180" s="38" t="s">
        <v>588</v>
      </c>
      <c r="F180" s="38"/>
      <c r="G180" s="38" t="s">
        <v>589</v>
      </c>
    </row>
    <row r="181">
      <c r="A181" s="38" t="s">
        <v>580</v>
      </c>
      <c r="B181" s="38" t="s">
        <v>590</v>
      </c>
      <c r="C181" s="38">
        <v>8.0</v>
      </c>
      <c r="D181" s="38"/>
      <c r="E181" s="38" t="s">
        <v>591</v>
      </c>
      <c r="F181" s="38"/>
      <c r="G181" s="38" t="s">
        <v>471</v>
      </c>
    </row>
    <row r="182">
      <c r="A182" s="38" t="s">
        <v>592</v>
      </c>
      <c r="B182" s="38" t="s">
        <v>593</v>
      </c>
      <c r="C182" s="38">
        <v>9.0</v>
      </c>
      <c r="D182" s="44"/>
      <c r="E182" s="38" t="s">
        <v>594</v>
      </c>
      <c r="F182" s="44"/>
      <c r="G182" s="38" t="s">
        <v>595</v>
      </c>
    </row>
    <row r="183">
      <c r="A183" s="38" t="s">
        <v>596</v>
      </c>
      <c r="B183" s="38" t="s">
        <v>597</v>
      </c>
      <c r="C183" s="38">
        <v>11.0</v>
      </c>
      <c r="D183" s="44"/>
      <c r="E183" s="38" t="s">
        <v>578</v>
      </c>
      <c r="F183" s="44"/>
      <c r="G183" s="38" t="s">
        <v>598</v>
      </c>
    </row>
    <row r="184">
      <c r="A184" s="38" t="s">
        <v>599</v>
      </c>
      <c r="B184" s="38" t="s">
        <v>600</v>
      </c>
      <c r="C184" s="38">
        <v>45.0</v>
      </c>
      <c r="D184" s="44"/>
      <c r="E184" s="38" t="s">
        <v>601</v>
      </c>
      <c r="F184" s="44"/>
      <c r="G184" s="38" t="s">
        <v>602</v>
      </c>
    </row>
    <row r="185">
      <c r="A185" s="38" t="s">
        <v>603</v>
      </c>
      <c r="B185" s="38" t="s">
        <v>604</v>
      </c>
      <c r="C185" s="38">
        <v>70.0</v>
      </c>
      <c r="D185" s="44"/>
      <c r="E185" s="38" t="s">
        <v>605</v>
      </c>
      <c r="F185" s="44"/>
      <c r="G185" s="38" t="s">
        <v>606</v>
      </c>
    </row>
    <row r="186">
      <c r="A186" s="38" t="s">
        <v>607</v>
      </c>
      <c r="B186" s="47" t="s">
        <v>608</v>
      </c>
      <c r="C186" s="38">
        <v>5.0</v>
      </c>
      <c r="D186" s="81"/>
      <c r="E186" s="38" t="s">
        <v>578</v>
      </c>
      <c r="F186" s="38" t="s">
        <v>609</v>
      </c>
      <c r="G186" s="38" t="s">
        <v>610</v>
      </c>
    </row>
    <row r="187">
      <c r="A187" s="44"/>
      <c r="B187" s="46" t="s">
        <v>611</v>
      </c>
      <c r="C187" s="38">
        <v>40.0</v>
      </c>
      <c r="D187" s="44"/>
      <c r="E187" s="38" t="s">
        <v>578</v>
      </c>
      <c r="F187" s="44"/>
      <c r="G187" s="38" t="s">
        <v>612</v>
      </c>
    </row>
    <row r="188">
      <c r="A188" s="44"/>
      <c r="B188" s="82" t="s">
        <v>613</v>
      </c>
      <c r="C188" s="38">
        <v>27.0</v>
      </c>
      <c r="D188" s="44"/>
      <c r="E188" s="38" t="s">
        <v>582</v>
      </c>
      <c r="F188" s="44"/>
      <c r="G188" s="38" t="s">
        <v>612</v>
      </c>
    </row>
    <row r="189">
      <c r="A189" s="44"/>
      <c r="B189" s="38" t="s">
        <v>614</v>
      </c>
      <c r="C189" s="38">
        <v>270.0</v>
      </c>
      <c r="D189" s="44"/>
      <c r="E189" s="47" t="s">
        <v>601</v>
      </c>
      <c r="F189" s="44"/>
      <c r="G189" s="38" t="s">
        <v>612</v>
      </c>
    </row>
    <row r="190">
      <c r="A190" s="44"/>
      <c r="B190" s="44"/>
      <c r="C190" s="38" t="s">
        <v>615</v>
      </c>
      <c r="D190" s="44"/>
      <c r="E190" s="38" t="s">
        <v>588</v>
      </c>
      <c r="F190" s="38" t="s">
        <v>616</v>
      </c>
      <c r="G190" s="38" t="s">
        <v>612</v>
      </c>
    </row>
    <row r="191">
      <c r="B191" s="38" t="s">
        <v>354</v>
      </c>
      <c r="C191" s="38">
        <v>4.0</v>
      </c>
      <c r="D191" s="38" t="s">
        <v>617</v>
      </c>
      <c r="E191" s="60" t="s">
        <v>618</v>
      </c>
      <c r="F191" s="38" t="s">
        <v>619</v>
      </c>
    </row>
    <row r="192">
      <c r="A192" s="44"/>
      <c r="B192" s="38" t="s">
        <v>439</v>
      </c>
      <c r="C192" s="38">
        <v>2.0</v>
      </c>
      <c r="D192" s="38" t="s">
        <v>620</v>
      </c>
      <c r="E192" s="38" t="s">
        <v>621</v>
      </c>
      <c r="F192" s="38" t="s">
        <v>622</v>
      </c>
    </row>
    <row r="193">
      <c r="A193" s="44"/>
      <c r="B193" s="38" t="s">
        <v>623</v>
      </c>
      <c r="C193" s="38">
        <v>2.0</v>
      </c>
      <c r="D193" s="38" t="s">
        <v>620</v>
      </c>
      <c r="E193" s="38" t="s">
        <v>621</v>
      </c>
      <c r="F193" s="38" t="s">
        <v>622</v>
      </c>
    </row>
    <row r="194">
      <c r="B194" s="38" t="s">
        <v>166</v>
      </c>
      <c r="C194" s="38">
        <v>2.0</v>
      </c>
      <c r="D194" s="38" t="s">
        <v>408</v>
      </c>
      <c r="E194" s="38" t="s">
        <v>624</v>
      </c>
      <c r="F194" s="38" t="s">
        <v>625</v>
      </c>
      <c r="G194" s="83" t="s">
        <v>626</v>
      </c>
      <c r="H194" s="38" t="s">
        <v>627</v>
      </c>
    </row>
    <row r="195">
      <c r="B195" s="38" t="s">
        <v>170</v>
      </c>
      <c r="C195" s="38">
        <v>2.0</v>
      </c>
      <c r="D195" s="38" t="s">
        <v>408</v>
      </c>
      <c r="E195" s="38" t="s">
        <v>628</v>
      </c>
      <c r="F195" s="38" t="s">
        <v>175</v>
      </c>
      <c r="G195" s="38" t="s">
        <v>627</v>
      </c>
      <c r="H195" s="44"/>
    </row>
    <row r="196">
      <c r="B196" s="1" t="s">
        <v>629</v>
      </c>
      <c r="C196" s="1">
        <v>4.0</v>
      </c>
      <c r="D196" s="1" t="s">
        <v>630</v>
      </c>
      <c r="E196" s="1" t="s">
        <v>325</v>
      </c>
      <c r="F196" s="1" t="s">
        <v>631</v>
      </c>
    </row>
    <row r="197">
      <c r="B197" s="44"/>
      <c r="C197" s="44"/>
      <c r="D197" s="38" t="s">
        <v>632</v>
      </c>
      <c r="E197" s="38" t="s">
        <v>633</v>
      </c>
      <c r="F197" s="38" t="s">
        <v>634</v>
      </c>
    </row>
    <row r="198">
      <c r="D198" s="1" t="s">
        <v>635</v>
      </c>
      <c r="E198" s="1" t="s">
        <v>636</v>
      </c>
    </row>
    <row r="199">
      <c r="D199" s="1" t="s">
        <v>637</v>
      </c>
      <c r="E199" s="1" t="s">
        <v>638</v>
      </c>
    </row>
    <row r="200">
      <c r="B200" s="44"/>
      <c r="C200" s="38" t="s">
        <v>639</v>
      </c>
      <c r="D200" s="38" t="s">
        <v>640</v>
      </c>
      <c r="E200" s="38" t="s">
        <v>641</v>
      </c>
      <c r="F200" s="38" t="s">
        <v>642</v>
      </c>
    </row>
    <row r="201">
      <c r="A201" s="44"/>
      <c r="B201" s="47" t="s">
        <v>643</v>
      </c>
      <c r="C201" s="47" t="s">
        <v>644</v>
      </c>
      <c r="D201" s="47" t="s">
        <v>645</v>
      </c>
      <c r="E201" s="38" t="s">
        <v>646</v>
      </c>
      <c r="F201" s="47" t="s">
        <v>647</v>
      </c>
      <c r="G201" s="5"/>
    </row>
    <row r="202">
      <c r="B202" s="1" t="s">
        <v>81</v>
      </c>
      <c r="C202" s="1">
        <v>4.0</v>
      </c>
      <c r="D202" s="1" t="s">
        <v>545</v>
      </c>
      <c r="E202" s="1" t="s">
        <v>648</v>
      </c>
      <c r="F202" s="1" t="s">
        <v>649</v>
      </c>
      <c r="G202" s="1" t="s">
        <v>650</v>
      </c>
    </row>
    <row r="203">
      <c r="C203" s="1">
        <v>4.0</v>
      </c>
      <c r="D203" s="4" t="s">
        <v>651</v>
      </c>
      <c r="E203" s="1" t="s">
        <v>648</v>
      </c>
      <c r="G203" s="1" t="s">
        <v>650</v>
      </c>
    </row>
    <row r="204">
      <c r="A204" s="84"/>
      <c r="C204" s="1">
        <v>4.0</v>
      </c>
      <c r="D204" s="1" t="s">
        <v>652</v>
      </c>
      <c r="E204" s="1" t="s">
        <v>648</v>
      </c>
      <c r="F204" s="1" t="s">
        <v>653</v>
      </c>
      <c r="G204" s="1" t="s">
        <v>650</v>
      </c>
    </row>
    <row r="205">
      <c r="B205" s="38" t="s">
        <v>654</v>
      </c>
      <c r="C205" s="38" t="s">
        <v>655</v>
      </c>
      <c r="D205" s="38" t="s">
        <v>656</v>
      </c>
      <c r="E205" s="38" t="s">
        <v>657</v>
      </c>
      <c r="F205" s="44"/>
    </row>
    <row r="206">
      <c r="B206" s="38" t="s">
        <v>658</v>
      </c>
      <c r="C206" s="44"/>
      <c r="D206" s="38" t="s">
        <v>659</v>
      </c>
      <c r="E206" s="38" t="s">
        <v>660</v>
      </c>
      <c r="F206" s="44"/>
    </row>
    <row r="207">
      <c r="B207" s="1" t="s">
        <v>205</v>
      </c>
      <c r="C207" s="1">
        <v>4.0</v>
      </c>
      <c r="D207" s="1" t="s">
        <v>661</v>
      </c>
      <c r="E207" s="1" t="s">
        <v>662</v>
      </c>
      <c r="F207" s="1" t="s">
        <v>663</v>
      </c>
    </row>
    <row r="208">
      <c r="B208" s="38" t="s">
        <v>205</v>
      </c>
      <c r="C208" s="38">
        <v>4.0</v>
      </c>
      <c r="D208" s="38" t="s">
        <v>664</v>
      </c>
      <c r="E208" s="85" t="s">
        <v>665</v>
      </c>
      <c r="F208" s="38" t="s">
        <v>666</v>
      </c>
    </row>
    <row r="209">
      <c r="B209" s="38" t="s">
        <v>667</v>
      </c>
      <c r="C209" s="38">
        <v>1.0</v>
      </c>
      <c r="D209" s="38" t="s">
        <v>668</v>
      </c>
      <c r="E209" s="38" t="s">
        <v>418</v>
      </c>
      <c r="F209" s="38" t="s">
        <v>669</v>
      </c>
    </row>
    <row r="210">
      <c r="A210" s="38" t="s">
        <v>670</v>
      </c>
      <c r="B210" s="38" t="s">
        <v>464</v>
      </c>
      <c r="C210" s="38">
        <v>2.0</v>
      </c>
      <c r="D210" s="38" t="s">
        <v>461</v>
      </c>
      <c r="E210" s="38" t="s">
        <v>462</v>
      </c>
      <c r="F210" s="38" t="s">
        <v>671</v>
      </c>
    </row>
    <row r="211">
      <c r="A211" s="44"/>
      <c r="B211" s="38" t="s">
        <v>460</v>
      </c>
      <c r="C211" s="38">
        <v>2.0</v>
      </c>
      <c r="D211" s="38" t="s">
        <v>461</v>
      </c>
      <c r="E211" s="38" t="s">
        <v>462</v>
      </c>
      <c r="F211" s="38" t="s">
        <v>671</v>
      </c>
    </row>
    <row r="212">
      <c r="A212" s="44"/>
      <c r="B212" s="38" t="s">
        <v>339</v>
      </c>
      <c r="C212" s="38">
        <v>4.0</v>
      </c>
      <c r="D212" s="38" t="s">
        <v>672</v>
      </c>
      <c r="E212" s="39" t="s">
        <v>673</v>
      </c>
      <c r="F212" s="38" t="s">
        <v>674</v>
      </c>
    </row>
    <row r="213">
      <c r="A213" s="44"/>
      <c r="B213" s="38" t="s">
        <v>94</v>
      </c>
      <c r="C213" s="38">
        <v>2.0</v>
      </c>
      <c r="D213" s="38" t="s">
        <v>675</v>
      </c>
      <c r="E213" s="83" t="s">
        <v>676</v>
      </c>
      <c r="F213" s="38" t="s">
        <v>677</v>
      </c>
      <c r="G213" s="38" t="s">
        <v>678</v>
      </c>
    </row>
    <row r="214">
      <c r="A214" s="44"/>
      <c r="B214" s="38" t="s">
        <v>91</v>
      </c>
      <c r="C214" s="38">
        <v>2.0</v>
      </c>
      <c r="D214" s="38" t="s">
        <v>675</v>
      </c>
      <c r="E214" s="83" t="s">
        <v>679</v>
      </c>
      <c r="F214" s="38" t="s">
        <v>680</v>
      </c>
      <c r="G214" s="38" t="s">
        <v>678</v>
      </c>
    </row>
    <row r="215">
      <c r="B215" s="38" t="s">
        <v>430</v>
      </c>
      <c r="C215" s="38">
        <v>4.0</v>
      </c>
      <c r="D215" s="38" t="s">
        <v>545</v>
      </c>
      <c r="E215" s="38" t="s">
        <v>481</v>
      </c>
      <c r="F215" s="38" t="s">
        <v>681</v>
      </c>
    </row>
    <row r="216">
      <c r="B216" s="38" t="s">
        <v>405</v>
      </c>
      <c r="C216" s="38">
        <v>2.0</v>
      </c>
      <c r="D216" s="38" t="s">
        <v>406</v>
      </c>
      <c r="E216" s="59" t="s">
        <v>682</v>
      </c>
      <c r="F216" s="38" t="s">
        <v>683</v>
      </c>
    </row>
    <row r="217">
      <c r="B217" s="38" t="s">
        <v>52</v>
      </c>
      <c r="C217" s="38">
        <v>2.0</v>
      </c>
      <c r="D217" s="38" t="s">
        <v>406</v>
      </c>
      <c r="E217" s="59" t="s">
        <v>682</v>
      </c>
      <c r="F217" s="38" t="s">
        <v>683</v>
      </c>
    </row>
    <row r="218">
      <c r="A218" s="44"/>
      <c r="B218" s="38" t="s">
        <v>91</v>
      </c>
      <c r="C218" s="38">
        <v>1.0</v>
      </c>
      <c r="D218" s="38" t="s">
        <v>684</v>
      </c>
      <c r="E218" s="38" t="s">
        <v>685</v>
      </c>
      <c r="F218" s="38" t="s">
        <v>686</v>
      </c>
    </row>
    <row r="219">
      <c r="A219" s="44"/>
      <c r="B219" s="38" t="s">
        <v>687</v>
      </c>
      <c r="C219" s="38" t="s">
        <v>688</v>
      </c>
      <c r="D219" s="44"/>
      <c r="E219" s="47" t="s">
        <v>689</v>
      </c>
      <c r="F219" s="38" t="s">
        <v>690</v>
      </c>
    </row>
    <row r="220">
      <c r="A220" s="44"/>
      <c r="B220" s="38" t="s">
        <v>691</v>
      </c>
      <c r="C220" s="38" t="s">
        <v>692</v>
      </c>
      <c r="D220" s="47"/>
      <c r="E220" s="47" t="s">
        <v>689</v>
      </c>
      <c r="F220" s="38" t="s">
        <v>690</v>
      </c>
    </row>
    <row r="221">
      <c r="A221" s="44"/>
      <c r="B221" s="44"/>
      <c r="C221" s="44"/>
      <c r="D221" s="38" t="s">
        <v>693</v>
      </c>
      <c r="E221" s="47" t="s">
        <v>689</v>
      </c>
      <c r="F221" s="38" t="s">
        <v>690</v>
      </c>
    </row>
    <row r="222">
      <c r="A222" s="44"/>
      <c r="B222" s="47" t="s">
        <v>694</v>
      </c>
      <c r="C222" s="47" t="s">
        <v>695</v>
      </c>
      <c r="D222" s="44"/>
      <c r="E222" s="47" t="s">
        <v>696</v>
      </c>
      <c r="F222" s="47" t="s">
        <v>697</v>
      </c>
      <c r="G222" s="38" t="s">
        <v>698</v>
      </c>
    </row>
    <row r="223">
      <c r="A223" s="44"/>
      <c r="B223" s="47" t="s">
        <v>699</v>
      </c>
      <c r="C223" s="47" t="s">
        <v>700</v>
      </c>
      <c r="D223" s="38" t="s">
        <v>701</v>
      </c>
      <c r="E223" s="47" t="s">
        <v>696</v>
      </c>
      <c r="F223" s="38" t="s">
        <v>702</v>
      </c>
      <c r="G223" s="38" t="s">
        <v>698</v>
      </c>
    </row>
    <row r="224">
      <c r="B224" s="47" t="s">
        <v>88</v>
      </c>
      <c r="C224" s="47">
        <v>1.0</v>
      </c>
      <c r="D224" s="47" t="s">
        <v>672</v>
      </c>
      <c r="E224" s="47" t="s">
        <v>481</v>
      </c>
      <c r="F224" s="38" t="s">
        <v>598</v>
      </c>
    </row>
    <row r="225">
      <c r="B225" s="44"/>
      <c r="C225" s="44"/>
      <c r="D225" s="38" t="s">
        <v>703</v>
      </c>
      <c r="E225" s="47" t="s">
        <v>704</v>
      </c>
      <c r="F225" s="44"/>
      <c r="G225" s="44"/>
      <c r="H225" s="38" t="s">
        <v>705</v>
      </c>
    </row>
    <row r="226">
      <c r="B226" s="44"/>
      <c r="C226" s="44"/>
      <c r="D226" s="47" t="s">
        <v>706</v>
      </c>
      <c r="E226" s="47" t="s">
        <v>704</v>
      </c>
      <c r="F226" s="44"/>
      <c r="G226" s="44"/>
      <c r="H226" s="38" t="s">
        <v>705</v>
      </c>
    </row>
    <row r="227">
      <c r="B227" s="44"/>
      <c r="C227" s="44"/>
      <c r="D227" s="47" t="s">
        <v>707</v>
      </c>
      <c r="E227" s="47" t="s">
        <v>704</v>
      </c>
      <c r="F227" s="86" t="s">
        <v>708</v>
      </c>
      <c r="G227" s="44"/>
      <c r="H227" s="38" t="s">
        <v>705</v>
      </c>
    </row>
    <row r="228">
      <c r="B228" s="44"/>
      <c r="C228" s="44"/>
      <c r="D228" s="47" t="s">
        <v>709</v>
      </c>
      <c r="E228" s="47" t="s">
        <v>704</v>
      </c>
      <c r="F228" s="44"/>
      <c r="G228" s="44"/>
      <c r="H228" s="38" t="s">
        <v>705</v>
      </c>
    </row>
    <row r="229">
      <c r="B229" s="44"/>
      <c r="C229" s="44"/>
      <c r="D229" s="47"/>
      <c r="E229" s="47" t="s">
        <v>704</v>
      </c>
      <c r="F229" s="38" t="s">
        <v>710</v>
      </c>
      <c r="G229" s="44"/>
      <c r="H229" s="38" t="s">
        <v>705</v>
      </c>
    </row>
    <row r="230">
      <c r="B230" s="44"/>
      <c r="C230" s="44"/>
      <c r="D230" s="47"/>
      <c r="E230" s="47" t="s">
        <v>704</v>
      </c>
      <c r="F230" s="38" t="s">
        <v>711</v>
      </c>
      <c r="G230" s="44"/>
      <c r="H230" s="38" t="s">
        <v>705</v>
      </c>
    </row>
    <row r="231">
      <c r="B231" s="44"/>
      <c r="C231" s="44"/>
      <c r="D231" s="47"/>
      <c r="E231" s="47" t="s">
        <v>704</v>
      </c>
      <c r="F231" s="38" t="s">
        <v>712</v>
      </c>
      <c r="G231" s="44"/>
      <c r="H231" s="38" t="s">
        <v>705</v>
      </c>
    </row>
    <row r="232">
      <c r="B232" s="44"/>
      <c r="C232" s="44"/>
      <c r="D232" s="47"/>
      <c r="E232" s="47" t="s">
        <v>704</v>
      </c>
      <c r="F232" s="38" t="s">
        <v>713</v>
      </c>
      <c r="G232" s="44"/>
      <c r="H232" s="38" t="s">
        <v>705</v>
      </c>
    </row>
    <row r="233">
      <c r="B233" s="44"/>
      <c r="C233" s="44"/>
      <c r="D233" s="47"/>
      <c r="E233" s="47" t="s">
        <v>704</v>
      </c>
      <c r="F233" s="38" t="s">
        <v>714</v>
      </c>
      <c r="G233" s="44"/>
      <c r="H233" s="38" t="s">
        <v>705</v>
      </c>
    </row>
    <row r="234">
      <c r="B234" s="44"/>
      <c r="C234" s="44"/>
      <c r="D234" s="47"/>
      <c r="E234" s="47" t="s">
        <v>704</v>
      </c>
      <c r="F234" s="38" t="s">
        <v>715</v>
      </c>
      <c r="G234" s="44"/>
      <c r="H234" s="38" t="s">
        <v>705</v>
      </c>
    </row>
    <row r="235">
      <c r="D235" s="4"/>
      <c r="E235" s="4"/>
      <c r="F235" s="1"/>
    </row>
    <row r="236">
      <c r="D236" s="4"/>
      <c r="E236" s="4"/>
      <c r="F236" s="1"/>
    </row>
    <row r="237">
      <c r="B237" s="7">
        <v>45706.0</v>
      </c>
      <c r="C237" s="87">
        <v>0.40625</v>
      </c>
      <c r="E237" s="4" t="s">
        <v>716</v>
      </c>
      <c r="F237" s="1" t="s">
        <v>717</v>
      </c>
    </row>
    <row r="238">
      <c r="A238" s="44"/>
      <c r="B238" s="38" t="s">
        <v>718</v>
      </c>
      <c r="C238" s="38">
        <v>4.0</v>
      </c>
      <c r="D238" s="38" t="s">
        <v>719</v>
      </c>
      <c r="E238" s="38" t="s">
        <v>720</v>
      </c>
      <c r="F238" s="38" t="s">
        <v>595</v>
      </c>
    </row>
    <row r="239">
      <c r="A239" s="44"/>
      <c r="B239" s="38"/>
      <c r="C239" s="38"/>
      <c r="D239" s="38"/>
      <c r="E239" s="38" t="s">
        <v>720</v>
      </c>
      <c r="F239" s="38" t="s">
        <v>721</v>
      </c>
      <c r="G239" s="38" t="s">
        <v>722</v>
      </c>
    </row>
    <row r="240">
      <c r="A240" s="44"/>
      <c r="B240" s="38"/>
      <c r="C240" s="38"/>
      <c r="D240" s="38" t="s">
        <v>723</v>
      </c>
      <c r="E240" s="38" t="s">
        <v>720</v>
      </c>
      <c r="F240" s="38" t="s">
        <v>724</v>
      </c>
      <c r="G240" s="38" t="s">
        <v>722</v>
      </c>
    </row>
    <row r="241">
      <c r="A241" s="44"/>
      <c r="B241" s="38" t="s">
        <v>58</v>
      </c>
      <c r="C241" s="38">
        <v>4.0</v>
      </c>
      <c r="D241" s="38" t="s">
        <v>408</v>
      </c>
      <c r="E241" s="38" t="s">
        <v>725</v>
      </c>
      <c r="F241" s="38" t="s">
        <v>726</v>
      </c>
    </row>
    <row r="242">
      <c r="B242" s="38" t="s">
        <v>195</v>
      </c>
      <c r="C242" s="38">
        <v>2.0</v>
      </c>
      <c r="D242" s="38" t="s">
        <v>727</v>
      </c>
      <c r="E242" s="38" t="s">
        <v>418</v>
      </c>
      <c r="F242" s="38" t="s">
        <v>589</v>
      </c>
    </row>
    <row r="243">
      <c r="B243" s="38" t="s">
        <v>166</v>
      </c>
      <c r="C243" s="38">
        <v>2.0</v>
      </c>
      <c r="D243" s="38" t="s">
        <v>50</v>
      </c>
      <c r="E243" s="38" t="s">
        <v>728</v>
      </c>
      <c r="F243" s="44"/>
    </row>
    <row r="244">
      <c r="B244" s="38" t="s">
        <v>170</v>
      </c>
      <c r="C244" s="38">
        <v>2.0</v>
      </c>
      <c r="D244" s="38" t="s">
        <v>50</v>
      </c>
      <c r="E244" s="47" t="s">
        <v>729</v>
      </c>
      <c r="F244" s="38" t="s">
        <v>730</v>
      </c>
    </row>
    <row r="245">
      <c r="A245" s="44"/>
      <c r="B245" s="38" t="s">
        <v>342</v>
      </c>
      <c r="C245" s="38">
        <v>2.0</v>
      </c>
      <c r="D245" s="38" t="s">
        <v>50</v>
      </c>
      <c r="E245" s="47" t="s">
        <v>731</v>
      </c>
      <c r="F245" s="38" t="s">
        <v>732</v>
      </c>
    </row>
    <row r="246">
      <c r="A246" s="44"/>
      <c r="B246" s="38" t="s">
        <v>41</v>
      </c>
      <c r="C246" s="38">
        <v>2.0</v>
      </c>
      <c r="D246" s="38" t="s">
        <v>50</v>
      </c>
      <c r="E246" s="47" t="s">
        <v>731</v>
      </c>
      <c r="F246" s="38" t="s">
        <v>732</v>
      </c>
    </row>
    <row r="247">
      <c r="B247" s="38" t="s">
        <v>733</v>
      </c>
      <c r="C247" s="38">
        <v>4.0</v>
      </c>
      <c r="D247" s="38" t="s">
        <v>734</v>
      </c>
      <c r="E247" s="38" t="s">
        <v>633</v>
      </c>
      <c r="F247" s="38" t="s">
        <v>602</v>
      </c>
    </row>
    <row r="248">
      <c r="B248" s="38" t="s">
        <v>55</v>
      </c>
      <c r="C248" s="47">
        <v>4.0</v>
      </c>
      <c r="D248" s="47" t="s">
        <v>436</v>
      </c>
      <c r="E248" s="47" t="s">
        <v>437</v>
      </c>
      <c r="F248" s="38" t="s">
        <v>735</v>
      </c>
      <c r="G248" s="38" t="s">
        <v>736</v>
      </c>
    </row>
    <row r="249">
      <c r="B249" s="38" t="s">
        <v>140</v>
      </c>
      <c r="C249" s="38">
        <v>1.0</v>
      </c>
      <c r="D249" s="38" t="s">
        <v>737</v>
      </c>
      <c r="E249" s="38" t="s">
        <v>633</v>
      </c>
      <c r="F249" s="38" t="s">
        <v>738</v>
      </c>
      <c r="G249" s="38" t="s">
        <v>634</v>
      </c>
    </row>
    <row r="250">
      <c r="B250" s="1" t="s">
        <v>739</v>
      </c>
      <c r="D250" s="1" t="s">
        <v>740</v>
      </c>
      <c r="E250" s="1" t="s">
        <v>741</v>
      </c>
      <c r="F250" s="1" t="s">
        <v>742</v>
      </c>
    </row>
    <row r="251">
      <c r="B251" s="1"/>
      <c r="D251" s="1"/>
      <c r="E251" s="1" t="s">
        <v>741</v>
      </c>
      <c r="F251" s="20" t="s">
        <v>743</v>
      </c>
      <c r="G251" s="18" t="s">
        <v>744</v>
      </c>
      <c r="H251" s="18" t="s">
        <v>745</v>
      </c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>
      <c r="B252" s="1"/>
      <c r="D252" s="1"/>
      <c r="E252" s="1" t="s">
        <v>741</v>
      </c>
      <c r="F252" s="20" t="s">
        <v>746</v>
      </c>
      <c r="G252" s="18" t="s">
        <v>747</v>
      </c>
      <c r="H252" s="18" t="s">
        <v>748</v>
      </c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>
      <c r="B253" s="1"/>
      <c r="D253" s="1"/>
      <c r="E253" s="1" t="s">
        <v>741</v>
      </c>
      <c r="F253" s="20" t="s">
        <v>749</v>
      </c>
      <c r="G253" s="18" t="s">
        <v>750</v>
      </c>
      <c r="H253" s="18" t="s">
        <v>751</v>
      </c>
      <c r="I253" s="18"/>
      <c r="J253" s="18" t="s">
        <v>752</v>
      </c>
      <c r="K253" s="18"/>
      <c r="L253" s="18"/>
      <c r="M253" s="18"/>
      <c r="N253" s="18"/>
      <c r="O253" s="18"/>
      <c r="P253" s="18"/>
      <c r="Q253" s="18"/>
      <c r="R253" s="18"/>
      <c r="S253" s="18"/>
    </row>
    <row r="254">
      <c r="A254" s="44"/>
      <c r="B254" s="38" t="s">
        <v>199</v>
      </c>
      <c r="C254" s="38">
        <v>2.0</v>
      </c>
      <c r="D254" s="38" t="s">
        <v>753</v>
      </c>
      <c r="E254" s="38" t="s">
        <v>754</v>
      </c>
      <c r="F254" s="38" t="s">
        <v>586</v>
      </c>
    </row>
    <row r="255">
      <c r="A255" s="44"/>
      <c r="B255" s="38" t="s">
        <v>755</v>
      </c>
      <c r="C255" s="38">
        <v>2.0</v>
      </c>
      <c r="D255" s="38" t="s">
        <v>753</v>
      </c>
      <c r="E255" s="38" t="s">
        <v>754</v>
      </c>
      <c r="F255" s="38" t="s">
        <v>586</v>
      </c>
    </row>
    <row r="256">
      <c r="B256" s="38" t="s">
        <v>756</v>
      </c>
      <c r="C256" s="38">
        <v>2.0</v>
      </c>
      <c r="D256" s="38" t="s">
        <v>757</v>
      </c>
      <c r="E256" s="39" t="s">
        <v>758</v>
      </c>
      <c r="F256" s="38" t="s">
        <v>759</v>
      </c>
    </row>
    <row r="257">
      <c r="D257" s="88" t="s">
        <v>760</v>
      </c>
      <c r="E257" s="1" t="s">
        <v>741</v>
      </c>
    </row>
    <row r="258">
      <c r="D258" s="89" t="s">
        <v>761</v>
      </c>
      <c r="E258" s="1" t="s">
        <v>741</v>
      </c>
    </row>
    <row r="259">
      <c r="D259" s="89" t="s">
        <v>762</v>
      </c>
      <c r="E259" s="1" t="s">
        <v>741</v>
      </c>
    </row>
    <row r="260">
      <c r="A260" s="44"/>
      <c r="B260" s="38" t="s">
        <v>763</v>
      </c>
      <c r="C260" s="38">
        <v>2.0</v>
      </c>
      <c r="D260" s="90" t="s">
        <v>684</v>
      </c>
      <c r="E260" s="38" t="s">
        <v>764</v>
      </c>
      <c r="F260" s="38" t="s">
        <v>765</v>
      </c>
      <c r="G260" s="38" t="s">
        <v>766</v>
      </c>
    </row>
    <row r="261">
      <c r="A261" s="44"/>
      <c r="B261" s="38" t="s">
        <v>210</v>
      </c>
      <c r="C261" s="38">
        <v>2.0</v>
      </c>
      <c r="D261" s="90" t="s">
        <v>684</v>
      </c>
      <c r="E261" s="38" t="s">
        <v>764</v>
      </c>
      <c r="F261" s="38" t="s">
        <v>767</v>
      </c>
      <c r="G261" s="38" t="s">
        <v>766</v>
      </c>
    </row>
    <row r="262">
      <c r="B262" s="44"/>
      <c r="C262" s="44"/>
      <c r="D262" s="38" t="s">
        <v>768</v>
      </c>
      <c r="E262" s="38" t="s">
        <v>769</v>
      </c>
      <c r="F262" s="38" t="s">
        <v>770</v>
      </c>
    </row>
    <row r="263">
      <c r="B263" s="38" t="s">
        <v>733</v>
      </c>
      <c r="C263" s="38">
        <v>1.0</v>
      </c>
      <c r="D263" s="38" t="s">
        <v>771</v>
      </c>
      <c r="E263" s="91" t="s">
        <v>772</v>
      </c>
      <c r="F263" s="38" t="s">
        <v>773</v>
      </c>
    </row>
    <row r="264">
      <c r="A264" s="65">
        <v>45728.0</v>
      </c>
      <c r="B264" s="44"/>
      <c r="C264" s="44"/>
      <c r="D264" s="92" t="s">
        <v>774</v>
      </c>
      <c r="E264" s="38" t="s">
        <v>541</v>
      </c>
      <c r="F264" s="38" t="s">
        <v>775</v>
      </c>
    </row>
    <row r="265">
      <c r="A265" s="44"/>
      <c r="B265" s="44"/>
      <c r="C265" s="44"/>
      <c r="D265" s="92" t="s">
        <v>776</v>
      </c>
      <c r="E265" s="38" t="s">
        <v>541</v>
      </c>
      <c r="F265" s="38" t="s">
        <v>775</v>
      </c>
    </row>
    <row r="266">
      <c r="A266" s="44"/>
      <c r="B266" s="44"/>
      <c r="C266" s="44"/>
      <c r="D266" s="92" t="s">
        <v>777</v>
      </c>
      <c r="E266" s="38" t="s">
        <v>778</v>
      </c>
      <c r="F266" s="38" t="s">
        <v>775</v>
      </c>
    </row>
    <row r="267">
      <c r="B267" s="38" t="s">
        <v>210</v>
      </c>
      <c r="C267" s="38">
        <v>2.0</v>
      </c>
      <c r="D267" s="38" t="s">
        <v>779</v>
      </c>
      <c r="E267" s="38" t="s">
        <v>325</v>
      </c>
      <c r="F267" s="38" t="s">
        <v>780</v>
      </c>
      <c r="G267" s="1" t="s">
        <v>781</v>
      </c>
    </row>
    <row r="268">
      <c r="B268" s="38" t="s">
        <v>214</v>
      </c>
      <c r="C268" s="38">
        <v>2.0</v>
      </c>
      <c r="D268" s="38" t="s">
        <v>779</v>
      </c>
      <c r="E268" s="38" t="s">
        <v>325</v>
      </c>
      <c r="F268" s="38" t="s">
        <v>780</v>
      </c>
    </row>
    <row r="269">
      <c r="A269" s="4" t="s">
        <v>782</v>
      </c>
      <c r="B269" s="38" t="s">
        <v>354</v>
      </c>
      <c r="C269" s="38">
        <v>4.0</v>
      </c>
      <c r="D269" s="38" t="s">
        <v>211</v>
      </c>
      <c r="E269" s="38" t="s">
        <v>418</v>
      </c>
      <c r="F269" s="38" t="s">
        <v>783</v>
      </c>
      <c r="G269" s="1" t="s">
        <v>784</v>
      </c>
    </row>
    <row r="270">
      <c r="B270" s="38" t="s">
        <v>25</v>
      </c>
      <c r="C270" s="38">
        <v>8.0</v>
      </c>
      <c r="D270" s="38" t="s">
        <v>229</v>
      </c>
      <c r="E270" s="38" t="s">
        <v>418</v>
      </c>
      <c r="F270" s="38" t="s">
        <v>783</v>
      </c>
    </row>
    <row r="271">
      <c r="B271" s="38" t="s">
        <v>308</v>
      </c>
      <c r="C271" s="38">
        <v>4.0</v>
      </c>
      <c r="D271" s="38" t="s">
        <v>229</v>
      </c>
      <c r="E271" s="38" t="s">
        <v>418</v>
      </c>
      <c r="F271" s="38" t="s">
        <v>783</v>
      </c>
    </row>
    <row r="272">
      <c r="A272" s="5" t="s">
        <v>133</v>
      </c>
      <c r="B272" s="38" t="s">
        <v>733</v>
      </c>
      <c r="C272" s="38">
        <v>4.0</v>
      </c>
      <c r="D272" s="38" t="s">
        <v>402</v>
      </c>
      <c r="E272" s="38" t="s">
        <v>785</v>
      </c>
      <c r="F272" s="44"/>
    </row>
    <row r="273">
      <c r="A273" s="47" t="s">
        <v>786</v>
      </c>
      <c r="B273" s="38" t="s">
        <v>219</v>
      </c>
      <c r="C273" s="38">
        <v>4.0</v>
      </c>
      <c r="D273" s="38" t="s">
        <v>211</v>
      </c>
      <c r="E273" s="38" t="s">
        <v>787</v>
      </c>
      <c r="F273" s="38" t="s">
        <v>788</v>
      </c>
      <c r="G273" s="1" t="s">
        <v>126</v>
      </c>
    </row>
    <row r="274">
      <c r="A274" s="38" t="s">
        <v>133</v>
      </c>
      <c r="B274" s="38" t="s">
        <v>789</v>
      </c>
      <c r="C274" s="38">
        <v>4.0</v>
      </c>
      <c r="D274" s="38" t="s">
        <v>211</v>
      </c>
      <c r="E274" s="47" t="s">
        <v>790</v>
      </c>
      <c r="F274" s="38" t="s">
        <v>791</v>
      </c>
    </row>
    <row r="275">
      <c r="A275" s="38" t="s">
        <v>133</v>
      </c>
      <c r="B275" s="38" t="s">
        <v>219</v>
      </c>
      <c r="C275" s="38">
        <v>4.0</v>
      </c>
      <c r="D275" s="38" t="s">
        <v>402</v>
      </c>
      <c r="E275" s="93" t="s">
        <v>792</v>
      </c>
      <c r="F275" s="38" t="s">
        <v>793</v>
      </c>
    </row>
    <row r="276">
      <c r="A276" s="4" t="s">
        <v>794</v>
      </c>
      <c r="B276" s="38" t="s">
        <v>246</v>
      </c>
      <c r="C276" s="38">
        <v>4.0</v>
      </c>
      <c r="D276" s="38" t="s">
        <v>402</v>
      </c>
      <c r="E276" s="39" t="s">
        <v>795</v>
      </c>
      <c r="F276" s="38" t="s">
        <v>796</v>
      </c>
      <c r="G276" s="38" t="s">
        <v>797</v>
      </c>
      <c r="H276" s="1" t="s">
        <v>132</v>
      </c>
    </row>
    <row r="277">
      <c r="A277" s="38" t="s">
        <v>133</v>
      </c>
      <c r="B277" s="38" t="s">
        <v>718</v>
      </c>
      <c r="C277" s="38">
        <v>4.0</v>
      </c>
      <c r="D277" s="38" t="s">
        <v>211</v>
      </c>
      <c r="E277" s="47" t="s">
        <v>798</v>
      </c>
      <c r="F277" s="38" t="s">
        <v>799</v>
      </c>
    </row>
    <row r="278">
      <c r="B278" s="38" t="s">
        <v>25</v>
      </c>
      <c r="C278" s="38">
        <v>4.0</v>
      </c>
      <c r="D278" s="38" t="s">
        <v>229</v>
      </c>
      <c r="E278" s="38" t="s">
        <v>800</v>
      </c>
      <c r="F278" s="44"/>
    </row>
    <row r="279">
      <c r="B279" s="44"/>
      <c r="C279" s="44"/>
      <c r="D279" s="38" t="s">
        <v>801</v>
      </c>
      <c r="E279" s="94" t="s">
        <v>802</v>
      </c>
      <c r="F279" s="44"/>
      <c r="G279" s="38" t="s">
        <v>803</v>
      </c>
    </row>
    <row r="280">
      <c r="E280" s="1" t="s">
        <v>804</v>
      </c>
      <c r="F280" s="1" t="s">
        <v>805</v>
      </c>
    </row>
    <row r="281">
      <c r="B281" s="38" t="s">
        <v>58</v>
      </c>
      <c r="C281" s="38">
        <v>4.0</v>
      </c>
      <c r="D281" s="38" t="s">
        <v>684</v>
      </c>
      <c r="E281" s="38" t="s">
        <v>325</v>
      </c>
      <c r="F281" s="38" t="s">
        <v>806</v>
      </c>
    </row>
    <row r="282">
      <c r="A282" s="65"/>
      <c r="B282" s="95"/>
      <c r="C282" s="47"/>
      <c r="D282" s="38"/>
      <c r="E282" s="38" t="s">
        <v>807</v>
      </c>
      <c r="F282" s="38" t="s">
        <v>808</v>
      </c>
      <c r="G282" s="44"/>
      <c r="H282" s="38" t="s">
        <v>809</v>
      </c>
    </row>
    <row r="283">
      <c r="A283" s="65">
        <v>45733.0</v>
      </c>
      <c r="B283" s="96" t="s">
        <v>810</v>
      </c>
      <c r="C283" s="47" t="s">
        <v>811</v>
      </c>
      <c r="D283" s="38" t="s">
        <v>812</v>
      </c>
      <c r="E283" s="38" t="s">
        <v>807</v>
      </c>
      <c r="F283" s="38" t="s">
        <v>813</v>
      </c>
      <c r="G283" s="44"/>
      <c r="H283" s="38" t="s">
        <v>809</v>
      </c>
    </row>
    <row r="284">
      <c r="B284" s="38" t="s">
        <v>205</v>
      </c>
      <c r="C284" s="38">
        <v>4.0</v>
      </c>
      <c r="D284" s="38" t="s">
        <v>814</v>
      </c>
      <c r="E284" s="38" t="s">
        <v>815</v>
      </c>
      <c r="F284" s="38" t="s">
        <v>347</v>
      </c>
      <c r="G284" s="38" t="s">
        <v>816</v>
      </c>
    </row>
    <row r="285">
      <c r="A285" s="44"/>
      <c r="B285" s="38" t="s">
        <v>817</v>
      </c>
      <c r="C285" s="38" t="s">
        <v>818</v>
      </c>
      <c r="D285" s="38" t="s">
        <v>819</v>
      </c>
      <c r="E285" s="38" t="s">
        <v>541</v>
      </c>
      <c r="F285" s="38" t="s">
        <v>820</v>
      </c>
      <c r="G285" s="44"/>
      <c r="H285" s="38" t="s">
        <v>809</v>
      </c>
    </row>
    <row r="286">
      <c r="A286" s="44"/>
      <c r="B286" s="44"/>
      <c r="C286" s="44"/>
      <c r="D286" s="97"/>
      <c r="E286" s="38" t="s">
        <v>821</v>
      </c>
      <c r="F286" s="38" t="s">
        <v>822</v>
      </c>
      <c r="G286" s="38" t="s">
        <v>612</v>
      </c>
    </row>
    <row r="287">
      <c r="A287" s="44"/>
      <c r="B287" s="44"/>
      <c r="C287" s="44"/>
      <c r="D287" s="97" t="s">
        <v>823</v>
      </c>
      <c r="E287" s="38" t="s">
        <v>821</v>
      </c>
      <c r="F287" s="38" t="s">
        <v>824</v>
      </c>
    </row>
    <row r="288">
      <c r="A288" s="44"/>
      <c r="B288" s="44"/>
      <c r="C288" s="44"/>
      <c r="D288" s="38" t="s">
        <v>825</v>
      </c>
      <c r="E288" s="38" t="s">
        <v>826</v>
      </c>
      <c r="F288" s="38" t="s">
        <v>824</v>
      </c>
    </row>
    <row r="289">
      <c r="A289" s="44"/>
      <c r="B289" s="44"/>
      <c r="C289" s="44"/>
      <c r="D289" s="90" t="s">
        <v>827</v>
      </c>
      <c r="E289" s="38" t="s">
        <v>826</v>
      </c>
      <c r="F289" s="38" t="s">
        <v>824</v>
      </c>
    </row>
    <row r="290">
      <c r="A290" s="44"/>
      <c r="B290" s="44"/>
      <c r="C290" s="44"/>
      <c r="D290" s="98" t="s">
        <v>828</v>
      </c>
      <c r="E290" s="38" t="s">
        <v>826</v>
      </c>
      <c r="F290" s="38" t="s">
        <v>824</v>
      </c>
    </row>
    <row r="291">
      <c r="A291" s="44"/>
      <c r="B291" s="44"/>
      <c r="C291" s="44"/>
      <c r="D291" s="99" t="s">
        <v>829</v>
      </c>
      <c r="E291" s="38" t="s">
        <v>826</v>
      </c>
      <c r="F291" s="38" t="s">
        <v>824</v>
      </c>
    </row>
    <row r="292">
      <c r="A292" s="44"/>
      <c r="B292" s="44"/>
      <c r="C292" s="44"/>
      <c r="D292" s="90" t="s">
        <v>830</v>
      </c>
      <c r="E292" s="38" t="s">
        <v>826</v>
      </c>
      <c r="F292" s="38" t="s">
        <v>824</v>
      </c>
    </row>
    <row r="293">
      <c r="A293" s="44"/>
      <c r="B293" s="44"/>
      <c r="C293" s="44"/>
      <c r="D293" s="38" t="s">
        <v>831</v>
      </c>
      <c r="E293" s="38" t="s">
        <v>826</v>
      </c>
      <c r="F293" s="38" t="s">
        <v>824</v>
      </c>
    </row>
    <row r="294">
      <c r="A294" s="44"/>
      <c r="B294" s="44"/>
      <c r="C294" s="38" t="s">
        <v>832</v>
      </c>
      <c r="D294" s="97" t="s">
        <v>833</v>
      </c>
      <c r="E294" s="38" t="s">
        <v>826</v>
      </c>
      <c r="F294" s="38" t="s">
        <v>824</v>
      </c>
    </row>
    <row r="295">
      <c r="A295" s="44"/>
      <c r="B295" s="44"/>
      <c r="C295" s="38"/>
      <c r="D295" s="38" t="s">
        <v>834</v>
      </c>
      <c r="E295" s="38" t="s">
        <v>826</v>
      </c>
      <c r="F295" s="38" t="s">
        <v>824</v>
      </c>
    </row>
    <row r="296">
      <c r="B296" s="44"/>
      <c r="C296" s="44"/>
      <c r="D296" s="44"/>
      <c r="E296" s="38" t="s">
        <v>835</v>
      </c>
      <c r="F296" s="38" t="s">
        <v>836</v>
      </c>
      <c r="G296" s="38" t="s">
        <v>242</v>
      </c>
    </row>
    <row r="297">
      <c r="B297" s="59" t="s">
        <v>837</v>
      </c>
      <c r="C297" s="38">
        <v>1.0</v>
      </c>
      <c r="D297" s="59" t="s">
        <v>838</v>
      </c>
      <c r="E297" s="91" t="s">
        <v>839</v>
      </c>
      <c r="F297" s="38">
        <v>139.0</v>
      </c>
    </row>
    <row r="298">
      <c r="B298" s="59" t="s">
        <v>840</v>
      </c>
      <c r="C298" s="38">
        <v>1.0</v>
      </c>
      <c r="D298" s="59" t="s">
        <v>841</v>
      </c>
      <c r="E298" s="91" t="s">
        <v>839</v>
      </c>
      <c r="F298" s="38">
        <v>179.0</v>
      </c>
    </row>
    <row r="299">
      <c r="B299" s="59" t="s">
        <v>842</v>
      </c>
      <c r="C299" s="38">
        <v>1.0</v>
      </c>
      <c r="D299" s="59" t="s">
        <v>843</v>
      </c>
      <c r="E299" s="91" t="s">
        <v>839</v>
      </c>
      <c r="F299" s="38">
        <v>220.0</v>
      </c>
      <c r="H299" s="100"/>
    </row>
    <row r="300">
      <c r="B300" s="101" t="s">
        <v>844</v>
      </c>
      <c r="C300" s="38">
        <v>1.0</v>
      </c>
      <c r="D300" s="47" t="s">
        <v>845</v>
      </c>
      <c r="E300" s="91" t="s">
        <v>839</v>
      </c>
      <c r="F300" s="38" t="s">
        <v>846</v>
      </c>
    </row>
    <row r="301">
      <c r="B301" s="101" t="s">
        <v>847</v>
      </c>
      <c r="C301" s="38">
        <v>1.0</v>
      </c>
      <c r="D301" s="47" t="s">
        <v>845</v>
      </c>
      <c r="E301" s="91" t="s">
        <v>839</v>
      </c>
      <c r="F301" s="44"/>
    </row>
    <row r="302">
      <c r="A302" s="44"/>
      <c r="B302" s="38" t="s">
        <v>848</v>
      </c>
      <c r="C302" s="38">
        <v>1.0</v>
      </c>
      <c r="D302" s="38" t="s">
        <v>849</v>
      </c>
      <c r="E302" s="47" t="s">
        <v>850</v>
      </c>
      <c r="F302" s="38" t="s">
        <v>851</v>
      </c>
      <c r="G302" s="44"/>
    </row>
    <row r="303">
      <c r="A303" s="44"/>
      <c r="B303" s="38" t="s">
        <v>852</v>
      </c>
      <c r="C303" s="38">
        <v>1.0</v>
      </c>
      <c r="D303" s="38" t="s">
        <v>849</v>
      </c>
      <c r="E303" s="47" t="s">
        <v>850</v>
      </c>
      <c r="F303" s="44"/>
      <c r="G303" s="44"/>
    </row>
    <row r="304">
      <c r="A304" s="44"/>
      <c r="B304" s="38" t="s">
        <v>853</v>
      </c>
      <c r="C304" s="38">
        <v>1.0</v>
      </c>
      <c r="D304" s="38" t="s">
        <v>854</v>
      </c>
      <c r="E304" s="47" t="s">
        <v>850</v>
      </c>
      <c r="F304" s="38" t="s">
        <v>855</v>
      </c>
      <c r="G304" s="44"/>
    </row>
    <row r="305">
      <c r="A305" s="44"/>
      <c r="B305" s="38" t="s">
        <v>856</v>
      </c>
      <c r="C305" s="38">
        <v>1.0</v>
      </c>
      <c r="D305" s="38" t="s">
        <v>854</v>
      </c>
      <c r="E305" s="47" t="s">
        <v>850</v>
      </c>
      <c r="F305" s="44"/>
      <c r="G305" s="44"/>
    </row>
    <row r="306">
      <c r="B306" s="38" t="s">
        <v>857</v>
      </c>
      <c r="C306" s="38" t="s">
        <v>858</v>
      </c>
      <c r="D306" s="38" t="s">
        <v>859</v>
      </c>
      <c r="E306" s="38" t="s">
        <v>860</v>
      </c>
      <c r="F306" s="38" t="s">
        <v>861</v>
      </c>
      <c r="G306" s="38" t="s">
        <v>862</v>
      </c>
    </row>
    <row r="307">
      <c r="B307" s="38" t="s">
        <v>863</v>
      </c>
      <c r="C307" s="38" t="s">
        <v>864</v>
      </c>
      <c r="D307" s="38" t="s">
        <v>865</v>
      </c>
      <c r="E307" s="38" t="s">
        <v>860</v>
      </c>
      <c r="F307" s="44"/>
      <c r="G307" s="38" t="s">
        <v>862</v>
      </c>
    </row>
    <row r="308">
      <c r="B308" s="38" t="s">
        <v>866</v>
      </c>
      <c r="C308" s="38" t="s">
        <v>867</v>
      </c>
      <c r="D308" s="38"/>
      <c r="E308" s="38" t="s">
        <v>860</v>
      </c>
      <c r="F308" s="38" t="s">
        <v>868</v>
      </c>
      <c r="G308" s="38" t="s">
        <v>862</v>
      </c>
    </row>
    <row r="309">
      <c r="B309" s="38" t="s">
        <v>430</v>
      </c>
      <c r="C309" s="38">
        <v>4.0</v>
      </c>
      <c r="D309" s="38" t="s">
        <v>869</v>
      </c>
      <c r="E309" s="47" t="s">
        <v>325</v>
      </c>
      <c r="F309" s="38" t="s">
        <v>870</v>
      </c>
    </row>
    <row r="310">
      <c r="A310" s="1" t="s">
        <v>871</v>
      </c>
      <c r="B310" s="38" t="s">
        <v>103</v>
      </c>
      <c r="C310" s="38">
        <v>2.0</v>
      </c>
      <c r="D310" s="38" t="s">
        <v>872</v>
      </c>
      <c r="E310" s="38" t="s">
        <v>873</v>
      </c>
      <c r="F310" s="38" t="s">
        <v>874</v>
      </c>
    </row>
    <row r="311">
      <c r="B311" s="38" t="s">
        <v>875</v>
      </c>
      <c r="C311" s="38">
        <v>2.0</v>
      </c>
      <c r="D311" s="38" t="s">
        <v>872</v>
      </c>
      <c r="E311" s="38" t="s">
        <v>873</v>
      </c>
      <c r="F311" s="38" t="s">
        <v>874</v>
      </c>
    </row>
    <row r="312">
      <c r="A312" s="44"/>
      <c r="B312" s="38" t="s">
        <v>876</v>
      </c>
      <c r="C312" s="38">
        <v>4.0</v>
      </c>
      <c r="D312" s="38" t="s">
        <v>877</v>
      </c>
      <c r="E312" s="38" t="s">
        <v>878</v>
      </c>
      <c r="F312" s="38" t="s">
        <v>879</v>
      </c>
    </row>
    <row r="313">
      <c r="A313" s="4" t="s">
        <v>880</v>
      </c>
      <c r="B313" s="38" t="s">
        <v>107</v>
      </c>
      <c r="C313" s="38">
        <v>2.0</v>
      </c>
      <c r="D313" s="38" t="s">
        <v>881</v>
      </c>
      <c r="E313" s="38" t="s">
        <v>418</v>
      </c>
      <c r="F313" s="38" t="s">
        <v>783</v>
      </c>
      <c r="G313" s="1" t="s">
        <v>126</v>
      </c>
    </row>
    <row r="314">
      <c r="A314" s="44"/>
      <c r="B314" s="38" t="s">
        <v>188</v>
      </c>
      <c r="C314" s="38">
        <v>2.0</v>
      </c>
      <c r="D314" s="38" t="s">
        <v>881</v>
      </c>
      <c r="E314" s="38" t="s">
        <v>418</v>
      </c>
      <c r="F314" s="38" t="s">
        <v>783</v>
      </c>
    </row>
    <row r="315">
      <c r="B315" s="38" t="s">
        <v>875</v>
      </c>
      <c r="C315" s="38">
        <v>4.0</v>
      </c>
      <c r="D315" s="38" t="s">
        <v>882</v>
      </c>
      <c r="E315" s="39" t="s">
        <v>883</v>
      </c>
      <c r="F315" s="38" t="s">
        <v>884</v>
      </c>
    </row>
    <row r="316">
      <c r="A316" s="65">
        <v>45737.0</v>
      </c>
      <c r="B316" s="38" t="s">
        <v>885</v>
      </c>
      <c r="C316" s="44"/>
      <c r="D316" s="38" t="s">
        <v>647</v>
      </c>
      <c r="E316" s="38" t="s">
        <v>886</v>
      </c>
      <c r="F316" s="38" t="s">
        <v>887</v>
      </c>
    </row>
    <row r="317">
      <c r="A317" s="44"/>
      <c r="B317" s="38" t="s">
        <v>888</v>
      </c>
      <c r="C317" s="38" t="s">
        <v>889</v>
      </c>
      <c r="D317" s="38" t="s">
        <v>890</v>
      </c>
      <c r="E317" s="38" t="s">
        <v>886</v>
      </c>
      <c r="F317" s="38" t="s">
        <v>887</v>
      </c>
    </row>
    <row r="318">
      <c r="C318" s="1" t="s">
        <v>891</v>
      </c>
      <c r="D318" s="1" t="s">
        <v>892</v>
      </c>
      <c r="E318" s="1" t="s">
        <v>893</v>
      </c>
      <c r="F318" s="1" t="s">
        <v>894</v>
      </c>
    </row>
    <row r="319">
      <c r="C319" s="1" t="s">
        <v>647</v>
      </c>
      <c r="D319" s="1" t="s">
        <v>895</v>
      </c>
      <c r="E319" s="1" t="s">
        <v>893</v>
      </c>
      <c r="F319" s="1" t="s">
        <v>896</v>
      </c>
    </row>
    <row r="320">
      <c r="C320" s="1" t="s">
        <v>897</v>
      </c>
      <c r="D320" s="4" t="s">
        <v>898</v>
      </c>
      <c r="E320" s="1" t="s">
        <v>893</v>
      </c>
      <c r="F320" s="1" t="s">
        <v>899</v>
      </c>
    </row>
    <row r="321">
      <c r="C321" s="1" t="s">
        <v>900</v>
      </c>
      <c r="D321" s="4" t="s">
        <v>901</v>
      </c>
      <c r="E321" s="1" t="s">
        <v>893</v>
      </c>
      <c r="F321" s="1" t="s">
        <v>902</v>
      </c>
    </row>
    <row r="322">
      <c r="A322" s="4" t="s">
        <v>903</v>
      </c>
      <c r="B322" s="38" t="s">
        <v>904</v>
      </c>
      <c r="C322" s="38">
        <v>4.0</v>
      </c>
      <c r="D322" s="38" t="s">
        <v>905</v>
      </c>
      <c r="E322" s="38" t="s">
        <v>418</v>
      </c>
      <c r="F322" s="38" t="s">
        <v>906</v>
      </c>
      <c r="G322" s="1" t="s">
        <v>132</v>
      </c>
    </row>
    <row r="323">
      <c r="B323" s="44"/>
      <c r="C323" s="44"/>
      <c r="D323" s="85" t="s">
        <v>907</v>
      </c>
      <c r="E323" s="38" t="s">
        <v>886</v>
      </c>
      <c r="F323" s="44"/>
      <c r="G323" s="38" t="s">
        <v>887</v>
      </c>
    </row>
    <row r="324">
      <c r="B324" s="44"/>
      <c r="C324" s="44"/>
      <c r="D324" s="85" t="s">
        <v>908</v>
      </c>
      <c r="E324" s="38" t="s">
        <v>554</v>
      </c>
      <c r="F324" s="44"/>
      <c r="G324" s="38" t="s">
        <v>887</v>
      </c>
    </row>
    <row r="325">
      <c r="B325" s="44"/>
      <c r="C325" s="44"/>
      <c r="D325" s="85" t="s">
        <v>909</v>
      </c>
      <c r="E325" s="38" t="s">
        <v>886</v>
      </c>
      <c r="F325" s="38" t="s">
        <v>910</v>
      </c>
      <c r="G325" s="38" t="s">
        <v>887</v>
      </c>
    </row>
    <row r="326">
      <c r="B326" s="38" t="s">
        <v>333</v>
      </c>
      <c r="C326" s="38">
        <v>2.0</v>
      </c>
      <c r="D326" s="38" t="s">
        <v>279</v>
      </c>
      <c r="E326" s="38" t="s">
        <v>911</v>
      </c>
      <c r="F326" s="38" t="s">
        <v>274</v>
      </c>
    </row>
    <row r="327">
      <c r="A327" s="44"/>
      <c r="B327" s="38" t="s">
        <v>912</v>
      </c>
      <c r="C327" s="38">
        <v>2.0</v>
      </c>
      <c r="D327" s="38" t="s">
        <v>913</v>
      </c>
      <c r="E327" s="38" t="s">
        <v>914</v>
      </c>
      <c r="F327" s="38" t="s">
        <v>915</v>
      </c>
    </row>
    <row r="328">
      <c r="A328" s="44"/>
      <c r="B328" s="44"/>
      <c r="C328" s="38">
        <v>4.0</v>
      </c>
      <c r="D328" s="38" t="s">
        <v>916</v>
      </c>
      <c r="E328" s="38" t="s">
        <v>917</v>
      </c>
      <c r="F328" s="38" t="s">
        <v>918</v>
      </c>
      <c r="G328" s="44"/>
    </row>
    <row r="329">
      <c r="B329" s="38" t="s">
        <v>919</v>
      </c>
      <c r="C329" s="38">
        <v>2.0</v>
      </c>
      <c r="D329" s="38" t="s">
        <v>920</v>
      </c>
      <c r="E329" s="38" t="s">
        <v>921</v>
      </c>
      <c r="F329" s="38" t="s">
        <v>922</v>
      </c>
      <c r="G329" s="38" t="s">
        <v>923</v>
      </c>
    </row>
    <row r="330">
      <c r="B330" s="38" t="s">
        <v>357</v>
      </c>
      <c r="C330" s="38">
        <v>4.0</v>
      </c>
      <c r="D330" s="38" t="s">
        <v>924</v>
      </c>
      <c r="E330" s="38" t="s">
        <v>921</v>
      </c>
      <c r="F330" s="38" t="s">
        <v>925</v>
      </c>
      <c r="G330" s="38" t="s">
        <v>923</v>
      </c>
    </row>
    <row r="331">
      <c r="B331" s="38" t="s">
        <v>85</v>
      </c>
      <c r="C331" s="38">
        <v>2.0</v>
      </c>
      <c r="D331" s="38" t="s">
        <v>926</v>
      </c>
      <c r="E331" s="39" t="s">
        <v>927</v>
      </c>
      <c r="F331" s="38" t="s">
        <v>928</v>
      </c>
    </row>
    <row r="332">
      <c r="B332" s="38" t="s">
        <v>357</v>
      </c>
      <c r="C332" s="38">
        <v>2.0</v>
      </c>
      <c r="D332" s="38" t="s">
        <v>929</v>
      </c>
      <c r="E332" s="38" t="s">
        <v>930</v>
      </c>
      <c r="F332" s="38" t="s">
        <v>931</v>
      </c>
    </row>
    <row r="333">
      <c r="A333" s="38" t="s">
        <v>133</v>
      </c>
      <c r="B333" s="38" t="s">
        <v>122</v>
      </c>
      <c r="C333" s="38">
        <v>4.0</v>
      </c>
      <c r="D333" s="38" t="s">
        <v>211</v>
      </c>
      <c r="E333" s="38" t="s">
        <v>932</v>
      </c>
      <c r="F333" s="38" t="s">
        <v>933</v>
      </c>
      <c r="G333" s="44"/>
    </row>
    <row r="334">
      <c r="A334" s="44"/>
      <c r="B334" s="38"/>
      <c r="C334" s="38"/>
      <c r="D334" s="38"/>
      <c r="E334" s="38" t="s">
        <v>932</v>
      </c>
      <c r="F334" s="94" t="s">
        <v>934</v>
      </c>
      <c r="G334" s="38" t="s">
        <v>933</v>
      </c>
    </row>
    <row r="335">
      <c r="A335" s="38" t="s">
        <v>133</v>
      </c>
      <c r="B335" s="38" t="s">
        <v>354</v>
      </c>
      <c r="C335" s="38">
        <v>4.0</v>
      </c>
      <c r="D335" s="38" t="s">
        <v>402</v>
      </c>
      <c r="E335" s="38" t="s">
        <v>935</v>
      </c>
      <c r="F335" s="38" t="s">
        <v>936</v>
      </c>
    </row>
    <row r="336">
      <c r="B336" s="44"/>
      <c r="C336" s="44"/>
      <c r="D336" s="38" t="s">
        <v>937</v>
      </c>
      <c r="E336" s="38" t="s">
        <v>938</v>
      </c>
      <c r="F336" s="38" t="s">
        <v>939</v>
      </c>
    </row>
    <row r="337">
      <c r="A337" s="1" t="s">
        <v>940</v>
      </c>
      <c r="B337" s="38" t="s">
        <v>103</v>
      </c>
      <c r="C337" s="38">
        <v>4.0</v>
      </c>
      <c r="D337" s="38" t="s">
        <v>941</v>
      </c>
      <c r="E337" s="38" t="s">
        <v>942</v>
      </c>
      <c r="F337" s="38" t="s">
        <v>943</v>
      </c>
      <c r="G337" s="4" t="s">
        <v>944</v>
      </c>
    </row>
    <row r="338">
      <c r="B338" s="38" t="s">
        <v>103</v>
      </c>
      <c r="C338" s="38">
        <v>4.0</v>
      </c>
      <c r="D338" s="38" t="s">
        <v>941</v>
      </c>
      <c r="E338" s="38" t="s">
        <v>945</v>
      </c>
      <c r="F338" s="38" t="s">
        <v>946</v>
      </c>
      <c r="G338" s="1" t="s">
        <v>947</v>
      </c>
    </row>
    <row r="339">
      <c r="A339" s="4" t="s">
        <v>948</v>
      </c>
      <c r="B339" s="38" t="s">
        <v>949</v>
      </c>
      <c r="C339" s="38">
        <v>4.0</v>
      </c>
      <c r="D339" s="38" t="s">
        <v>402</v>
      </c>
      <c r="E339" s="38" t="s">
        <v>950</v>
      </c>
      <c r="F339" s="38" t="s">
        <v>951</v>
      </c>
      <c r="G339" s="38" t="s">
        <v>952</v>
      </c>
      <c r="H339" s="102" t="s">
        <v>132</v>
      </c>
    </row>
    <row r="340">
      <c r="B340" s="38" t="s">
        <v>85</v>
      </c>
      <c r="C340" s="38">
        <v>4.0</v>
      </c>
      <c r="D340" s="38" t="s">
        <v>343</v>
      </c>
      <c r="E340" s="38" t="s">
        <v>953</v>
      </c>
      <c r="F340" s="38" t="s">
        <v>954</v>
      </c>
    </row>
    <row r="341">
      <c r="B341" s="44"/>
      <c r="C341" s="38" t="s">
        <v>955</v>
      </c>
      <c r="D341" s="38" t="s">
        <v>956</v>
      </c>
      <c r="E341" s="38" t="s">
        <v>957</v>
      </c>
      <c r="F341" s="44"/>
    </row>
    <row r="342">
      <c r="B342" s="44"/>
      <c r="C342" s="38" t="s">
        <v>958</v>
      </c>
      <c r="D342" s="103" t="s">
        <v>959</v>
      </c>
      <c r="E342" s="38" t="s">
        <v>957</v>
      </c>
      <c r="F342" s="44"/>
    </row>
    <row r="343">
      <c r="B343" s="38" t="s">
        <v>960</v>
      </c>
      <c r="C343" s="44"/>
      <c r="D343" s="104" t="s">
        <v>961</v>
      </c>
      <c r="E343" s="38" t="s">
        <v>957</v>
      </c>
      <c r="F343" s="44"/>
    </row>
    <row r="344">
      <c r="B344" s="44"/>
      <c r="C344" s="38"/>
      <c r="D344" s="103" t="s">
        <v>962</v>
      </c>
      <c r="E344" s="38" t="s">
        <v>957</v>
      </c>
      <c r="F344" s="44"/>
    </row>
    <row r="345">
      <c r="B345" s="44"/>
      <c r="C345" s="44"/>
      <c r="D345" s="98" t="s">
        <v>963</v>
      </c>
      <c r="E345" s="38" t="s">
        <v>957</v>
      </c>
      <c r="F345" s="44"/>
    </row>
    <row r="346">
      <c r="A346" s="5"/>
      <c r="B346" s="38" t="s">
        <v>47</v>
      </c>
      <c r="C346" s="38">
        <v>2.0</v>
      </c>
      <c r="D346" s="38" t="s">
        <v>964</v>
      </c>
      <c r="E346" s="38" t="s">
        <v>965</v>
      </c>
      <c r="F346" s="38" t="s">
        <v>966</v>
      </c>
    </row>
    <row r="347">
      <c r="A347" s="5"/>
      <c r="B347" s="38" t="s">
        <v>43</v>
      </c>
      <c r="C347" s="38">
        <v>2.0</v>
      </c>
      <c r="D347" s="38" t="s">
        <v>964</v>
      </c>
      <c r="E347" s="38" t="s">
        <v>967</v>
      </c>
      <c r="F347" s="38" t="s">
        <v>966</v>
      </c>
    </row>
    <row r="348">
      <c r="A348" s="4" t="s">
        <v>968</v>
      </c>
      <c r="B348" s="47" t="s">
        <v>439</v>
      </c>
      <c r="C348" s="47">
        <v>2.0</v>
      </c>
      <c r="D348" s="38" t="s">
        <v>134</v>
      </c>
      <c r="E348" s="47" t="s">
        <v>969</v>
      </c>
      <c r="F348" s="38" t="s">
        <v>970</v>
      </c>
      <c r="G348" s="1" t="s">
        <v>971</v>
      </c>
    </row>
    <row r="349">
      <c r="B349" s="47" t="s">
        <v>972</v>
      </c>
      <c r="C349" s="47">
        <v>2.0</v>
      </c>
      <c r="D349" s="47" t="s">
        <v>973</v>
      </c>
      <c r="E349" s="47" t="s">
        <v>974</v>
      </c>
      <c r="F349" s="38" t="s">
        <v>970</v>
      </c>
    </row>
    <row r="350">
      <c r="B350" s="4"/>
      <c r="C350" s="4"/>
      <c r="D350" s="4"/>
      <c r="E350" s="4" t="s">
        <v>969</v>
      </c>
      <c r="F350" s="1" t="s">
        <v>975</v>
      </c>
    </row>
    <row r="351">
      <c r="A351" s="1" t="s">
        <v>133</v>
      </c>
      <c r="B351" s="47" t="s">
        <v>354</v>
      </c>
      <c r="C351" s="47">
        <v>4.0</v>
      </c>
      <c r="D351" s="47" t="s">
        <v>402</v>
      </c>
      <c r="E351" s="47" t="s">
        <v>976</v>
      </c>
      <c r="F351" s="38" t="s">
        <v>977</v>
      </c>
    </row>
    <row r="352">
      <c r="B352" s="47" t="s">
        <v>978</v>
      </c>
      <c r="C352" s="47">
        <v>1.0</v>
      </c>
      <c r="D352" s="47" t="s">
        <v>979</v>
      </c>
      <c r="E352" s="47" t="s">
        <v>980</v>
      </c>
      <c r="F352" s="38" t="s">
        <v>981</v>
      </c>
      <c r="G352" s="4"/>
    </row>
    <row r="353">
      <c r="B353" s="47" t="s">
        <v>982</v>
      </c>
      <c r="C353" s="47">
        <v>4.0</v>
      </c>
      <c r="D353" s="47" t="s">
        <v>983</v>
      </c>
      <c r="E353" s="47" t="s">
        <v>984</v>
      </c>
      <c r="F353" s="38" t="s">
        <v>985</v>
      </c>
      <c r="G353" s="38" t="s">
        <v>952</v>
      </c>
    </row>
    <row r="354">
      <c r="B354" s="47"/>
      <c r="C354" s="47"/>
      <c r="D354" s="47"/>
      <c r="E354" s="47" t="s">
        <v>984</v>
      </c>
      <c r="F354" s="38" t="s">
        <v>986</v>
      </c>
      <c r="G354" s="38" t="s">
        <v>952</v>
      </c>
      <c r="H354" s="1"/>
      <c r="I354" s="1"/>
    </row>
    <row r="355">
      <c r="A355" s="1" t="s">
        <v>133</v>
      </c>
      <c r="B355" s="47" t="s">
        <v>271</v>
      </c>
      <c r="C355" s="47">
        <v>4.0</v>
      </c>
      <c r="D355" s="47" t="s">
        <v>402</v>
      </c>
      <c r="E355" s="47" t="s">
        <v>987</v>
      </c>
      <c r="F355" s="38">
        <v>149.0</v>
      </c>
      <c r="G355" s="4"/>
    </row>
    <row r="356">
      <c r="A356" s="44"/>
      <c r="B356" s="47" t="s">
        <v>988</v>
      </c>
      <c r="C356" s="47" t="s">
        <v>989</v>
      </c>
      <c r="D356" s="47" t="s">
        <v>990</v>
      </c>
      <c r="E356" s="47" t="s">
        <v>991</v>
      </c>
      <c r="F356" s="38" t="s">
        <v>332</v>
      </c>
    </row>
    <row r="357">
      <c r="B357" s="4" t="s">
        <v>38</v>
      </c>
      <c r="C357" s="4">
        <v>4.0</v>
      </c>
      <c r="D357" s="4" t="s">
        <v>992</v>
      </c>
      <c r="E357" s="1" t="s">
        <v>993</v>
      </c>
      <c r="F357" s="1" t="s">
        <v>994</v>
      </c>
    </row>
    <row r="358">
      <c r="B358" s="4"/>
      <c r="C358" s="4"/>
      <c r="D358" s="4"/>
      <c r="E358" s="1" t="s">
        <v>993</v>
      </c>
      <c r="F358" s="1" t="s">
        <v>995</v>
      </c>
    </row>
    <row r="359">
      <c r="B359" s="1" t="s">
        <v>996</v>
      </c>
      <c r="C359" s="4"/>
      <c r="D359" s="4"/>
      <c r="E359" s="1" t="s">
        <v>993</v>
      </c>
      <c r="F359" s="1"/>
    </row>
    <row r="360">
      <c r="A360" s="38" t="s">
        <v>997</v>
      </c>
      <c r="B360" s="38" t="s">
        <v>479</v>
      </c>
      <c r="C360" s="38">
        <v>2.0</v>
      </c>
      <c r="D360" s="38" t="s">
        <v>123</v>
      </c>
      <c r="E360" s="38" t="s">
        <v>633</v>
      </c>
      <c r="F360" s="38" t="s">
        <v>998</v>
      </c>
    </row>
    <row r="361">
      <c r="A361" s="38" t="s">
        <v>997</v>
      </c>
      <c r="B361" s="38" t="s">
        <v>354</v>
      </c>
      <c r="C361" s="38">
        <v>2.0</v>
      </c>
      <c r="D361" s="38" t="s">
        <v>123</v>
      </c>
      <c r="E361" s="38" t="s">
        <v>633</v>
      </c>
      <c r="F361" s="38" t="s">
        <v>998</v>
      </c>
    </row>
    <row r="362">
      <c r="A362" s="4" t="s">
        <v>999</v>
      </c>
      <c r="B362" s="38" t="s">
        <v>416</v>
      </c>
      <c r="C362" s="38">
        <v>4.0</v>
      </c>
      <c r="D362" s="38" t="s">
        <v>1000</v>
      </c>
      <c r="E362" s="38" t="s">
        <v>1001</v>
      </c>
      <c r="F362" s="38" t="s">
        <v>1002</v>
      </c>
      <c r="G362" s="1" t="s">
        <v>132</v>
      </c>
    </row>
    <row r="363">
      <c r="A363" s="44"/>
      <c r="B363" s="38" t="s">
        <v>266</v>
      </c>
      <c r="C363" s="38">
        <v>1.0</v>
      </c>
      <c r="D363" s="38" t="s">
        <v>1003</v>
      </c>
      <c r="E363" s="38" t="s">
        <v>1004</v>
      </c>
      <c r="F363" s="38" t="s">
        <v>1005</v>
      </c>
    </row>
    <row r="364">
      <c r="B364" s="1" t="s">
        <v>1006</v>
      </c>
      <c r="C364" s="1">
        <v>4.0</v>
      </c>
      <c r="D364" s="1" t="s">
        <v>334</v>
      </c>
      <c r="E364" s="1" t="s">
        <v>1007</v>
      </c>
      <c r="F364" s="1" t="s">
        <v>1008</v>
      </c>
      <c r="G364" s="1" t="s">
        <v>144</v>
      </c>
    </row>
    <row r="365">
      <c r="A365" s="38" t="s">
        <v>1009</v>
      </c>
      <c r="B365" s="38" t="s">
        <v>1010</v>
      </c>
      <c r="C365" s="38">
        <v>4.0</v>
      </c>
      <c r="D365" s="38" t="s">
        <v>123</v>
      </c>
      <c r="E365" s="47" t="s">
        <v>1011</v>
      </c>
      <c r="F365" s="38" t="s">
        <v>1012</v>
      </c>
      <c r="G365" s="38" t="s">
        <v>1013</v>
      </c>
    </row>
    <row r="366">
      <c r="A366" s="44"/>
      <c r="B366" s="38" t="s">
        <v>982</v>
      </c>
      <c r="C366" s="38">
        <v>4.0</v>
      </c>
      <c r="D366" s="38" t="s">
        <v>1014</v>
      </c>
      <c r="E366" s="38" t="s">
        <v>1015</v>
      </c>
      <c r="F366" s="38" t="s">
        <v>1016</v>
      </c>
    </row>
    <row r="367">
      <c r="A367" s="44"/>
      <c r="B367" s="44"/>
      <c r="C367" s="44"/>
      <c r="D367" s="44"/>
      <c r="E367" s="38" t="s">
        <v>1017</v>
      </c>
      <c r="F367" s="38" t="s">
        <v>1018</v>
      </c>
      <c r="G367" s="38" t="s">
        <v>816</v>
      </c>
    </row>
    <row r="368">
      <c r="B368" s="38" t="s">
        <v>439</v>
      </c>
      <c r="C368" s="38">
        <v>2.0</v>
      </c>
      <c r="D368" s="38" t="s">
        <v>1019</v>
      </c>
      <c r="E368" s="38" t="s">
        <v>1020</v>
      </c>
      <c r="F368" s="38" t="s">
        <v>1021</v>
      </c>
    </row>
    <row r="369">
      <c r="B369" s="38" t="s">
        <v>972</v>
      </c>
      <c r="C369" s="38">
        <v>2.0</v>
      </c>
      <c r="D369" s="38" t="s">
        <v>1019</v>
      </c>
      <c r="E369" s="38" t="s">
        <v>1022</v>
      </c>
      <c r="F369" s="38" t="s">
        <v>1021</v>
      </c>
    </row>
    <row r="370">
      <c r="A370" s="44"/>
      <c r="B370" s="44"/>
      <c r="C370" s="44"/>
      <c r="D370" s="94" t="s">
        <v>1023</v>
      </c>
      <c r="E370" s="94" t="s">
        <v>1024</v>
      </c>
      <c r="F370" s="101" t="s">
        <v>1025</v>
      </c>
      <c r="G370" s="38" t="s">
        <v>1026</v>
      </c>
    </row>
    <row r="371">
      <c r="A371" s="44"/>
      <c r="B371" s="44"/>
      <c r="C371" s="44"/>
      <c r="D371" s="38" t="s">
        <v>1027</v>
      </c>
      <c r="E371" s="94" t="s">
        <v>1024</v>
      </c>
      <c r="F371" s="38" t="s">
        <v>1028</v>
      </c>
      <c r="G371" s="38" t="s">
        <v>1026</v>
      </c>
    </row>
    <row r="372">
      <c r="A372" s="44"/>
      <c r="B372" s="38" t="s">
        <v>1029</v>
      </c>
      <c r="C372" s="44"/>
      <c r="D372" s="38"/>
      <c r="E372" s="94" t="s">
        <v>1024</v>
      </c>
      <c r="F372" s="38"/>
      <c r="G372" s="38" t="s">
        <v>1026</v>
      </c>
    </row>
    <row r="373">
      <c r="A373" s="44"/>
      <c r="B373" s="38" t="s">
        <v>1030</v>
      </c>
      <c r="C373" s="44"/>
      <c r="D373" s="38"/>
      <c r="E373" s="94" t="s">
        <v>1024</v>
      </c>
      <c r="F373" s="38"/>
      <c r="G373" s="38" t="s">
        <v>1026</v>
      </c>
    </row>
    <row r="374">
      <c r="B374" s="44"/>
      <c r="C374" s="44"/>
      <c r="D374" s="47" t="s">
        <v>1031</v>
      </c>
      <c r="E374" s="47" t="s">
        <v>1032</v>
      </c>
      <c r="F374" s="47" t="s">
        <v>1033</v>
      </c>
      <c r="G374" s="38" t="s">
        <v>1034</v>
      </c>
    </row>
    <row r="375">
      <c r="B375" s="44"/>
      <c r="C375" s="44"/>
      <c r="D375" s="47" t="s">
        <v>1031</v>
      </c>
      <c r="E375" s="47" t="s">
        <v>1032</v>
      </c>
      <c r="F375" s="38" t="s">
        <v>1035</v>
      </c>
      <c r="G375" s="38" t="s">
        <v>1034</v>
      </c>
    </row>
    <row r="376">
      <c r="B376" s="44"/>
      <c r="C376" s="44"/>
      <c r="D376" s="47" t="s">
        <v>1031</v>
      </c>
      <c r="E376" s="47" t="s">
        <v>1032</v>
      </c>
      <c r="F376" s="47" t="s">
        <v>1036</v>
      </c>
      <c r="G376" s="38" t="s">
        <v>1034</v>
      </c>
    </row>
    <row r="377">
      <c r="A377" s="44"/>
      <c r="B377" s="44"/>
      <c r="C377" s="74" t="s">
        <v>1037</v>
      </c>
      <c r="D377" s="44"/>
      <c r="E377" s="38" t="s">
        <v>1015</v>
      </c>
      <c r="F377" s="38" t="s">
        <v>1038</v>
      </c>
    </row>
    <row r="378">
      <c r="A378" s="38"/>
      <c r="B378" s="38"/>
      <c r="C378" s="105"/>
      <c r="D378" s="38" t="s">
        <v>1039</v>
      </c>
      <c r="E378" s="38" t="s">
        <v>1015</v>
      </c>
      <c r="F378" s="38" t="s">
        <v>1038</v>
      </c>
    </row>
    <row r="379">
      <c r="A379" s="38" t="s">
        <v>1040</v>
      </c>
      <c r="B379" s="38" t="s">
        <v>1041</v>
      </c>
      <c r="C379" s="105">
        <v>4.0</v>
      </c>
      <c r="D379" s="38" t="s">
        <v>1042</v>
      </c>
      <c r="E379" s="38" t="s">
        <v>1015</v>
      </c>
      <c r="F379" s="38" t="s">
        <v>1038</v>
      </c>
    </row>
    <row r="380">
      <c r="A380" s="38"/>
      <c r="B380" s="38"/>
      <c r="C380" s="105"/>
      <c r="D380" s="38"/>
      <c r="E380" s="38" t="s">
        <v>1015</v>
      </c>
      <c r="F380" s="38" t="s">
        <v>1043</v>
      </c>
      <c r="G380" s="38" t="s">
        <v>1044</v>
      </c>
    </row>
    <row r="381">
      <c r="A381" s="38"/>
      <c r="B381" s="38"/>
      <c r="C381" s="105"/>
      <c r="D381" s="38" t="s">
        <v>1045</v>
      </c>
      <c r="E381" s="38" t="s">
        <v>1015</v>
      </c>
      <c r="F381" s="38" t="s">
        <v>1038</v>
      </c>
      <c r="G381" s="1"/>
    </row>
    <row r="382">
      <c r="A382" s="38"/>
      <c r="B382" s="38"/>
      <c r="C382" s="105"/>
      <c r="D382" s="38"/>
      <c r="E382" s="38" t="s">
        <v>1015</v>
      </c>
      <c r="F382" s="38" t="s">
        <v>1046</v>
      </c>
      <c r="G382" s="38" t="s">
        <v>1038</v>
      </c>
    </row>
    <row r="383">
      <c r="B383" s="44"/>
      <c r="C383" s="44"/>
      <c r="D383" s="44"/>
      <c r="E383" s="38" t="s">
        <v>1047</v>
      </c>
      <c r="F383" s="38" t="s">
        <v>1048</v>
      </c>
    </row>
    <row r="384">
      <c r="B384" s="47" t="s">
        <v>1049</v>
      </c>
      <c r="C384" s="44"/>
      <c r="D384" s="38">
        <v>2.0</v>
      </c>
      <c r="E384" s="38" t="s">
        <v>1050</v>
      </c>
      <c r="F384" s="38" t="s">
        <v>1051</v>
      </c>
      <c r="G384" s="5"/>
    </row>
    <row r="385">
      <c r="B385" s="47" t="s">
        <v>1052</v>
      </c>
      <c r="C385" s="44"/>
      <c r="D385" s="47">
        <v>2.0</v>
      </c>
      <c r="E385" s="38" t="s">
        <v>1053</v>
      </c>
      <c r="F385" s="38" t="s">
        <v>1051</v>
      </c>
      <c r="G385" s="1" t="s">
        <v>1054</v>
      </c>
    </row>
    <row r="386">
      <c r="B386" s="38" t="s">
        <v>1055</v>
      </c>
      <c r="C386" s="38">
        <v>2.0</v>
      </c>
      <c r="D386" s="38" t="s">
        <v>553</v>
      </c>
      <c r="E386" s="47" t="s">
        <v>1056</v>
      </c>
      <c r="F386" s="38" t="s">
        <v>1051</v>
      </c>
    </row>
    <row r="387">
      <c r="B387" s="38" t="s">
        <v>1057</v>
      </c>
      <c r="C387" s="38">
        <v>2.0</v>
      </c>
      <c r="D387" s="38" t="s">
        <v>553</v>
      </c>
      <c r="E387" s="47" t="s">
        <v>1056</v>
      </c>
      <c r="F387" s="38" t="s">
        <v>1051</v>
      </c>
    </row>
    <row r="388">
      <c r="B388" s="47" t="s">
        <v>77</v>
      </c>
      <c r="C388" s="47">
        <v>4.0</v>
      </c>
      <c r="D388" s="47" t="s">
        <v>1058</v>
      </c>
      <c r="E388" s="47" t="s">
        <v>1059</v>
      </c>
      <c r="F388" s="47" t="s">
        <v>1060</v>
      </c>
      <c r="G388" s="38" t="s">
        <v>803</v>
      </c>
    </row>
    <row r="389">
      <c r="B389" s="47" t="s">
        <v>1061</v>
      </c>
      <c r="C389" s="44"/>
      <c r="D389" s="44"/>
      <c r="E389" s="38" t="s">
        <v>1062</v>
      </c>
      <c r="F389" s="47" t="s">
        <v>1063</v>
      </c>
    </row>
    <row r="390">
      <c r="B390" s="47" t="s">
        <v>1064</v>
      </c>
      <c r="C390" s="44"/>
      <c r="D390" s="44"/>
      <c r="E390" s="38" t="s">
        <v>1062</v>
      </c>
      <c r="F390" s="47" t="s">
        <v>1063</v>
      </c>
    </row>
    <row r="391">
      <c r="B391" s="44"/>
      <c r="C391" s="47">
        <v>4.0</v>
      </c>
      <c r="D391" s="38" t="s">
        <v>1065</v>
      </c>
      <c r="E391" s="47" t="s">
        <v>1066</v>
      </c>
      <c r="F391" s="47" t="s">
        <v>1063</v>
      </c>
    </row>
    <row r="392">
      <c r="B392" s="44"/>
      <c r="C392" s="47">
        <v>2.0</v>
      </c>
      <c r="D392" s="38" t="s">
        <v>1067</v>
      </c>
      <c r="E392" s="47" t="s">
        <v>1066</v>
      </c>
      <c r="F392" s="47" t="s">
        <v>1063</v>
      </c>
    </row>
    <row r="393">
      <c r="A393" s="44"/>
      <c r="B393" s="38" t="s">
        <v>876</v>
      </c>
      <c r="C393" s="38">
        <v>4.0</v>
      </c>
      <c r="D393" s="38" t="s">
        <v>1068</v>
      </c>
      <c r="E393" s="38" t="s">
        <v>1069</v>
      </c>
      <c r="F393" s="38" t="s">
        <v>1070</v>
      </c>
    </row>
    <row r="394">
      <c r="B394" s="44"/>
      <c r="C394" s="44"/>
      <c r="D394" s="44"/>
      <c r="E394" s="38" t="s">
        <v>1069</v>
      </c>
      <c r="F394" s="47" t="s">
        <v>1071</v>
      </c>
      <c r="G394" s="38" t="s">
        <v>1070</v>
      </c>
    </row>
    <row r="395">
      <c r="B395" s="44"/>
      <c r="C395" s="44"/>
      <c r="D395" s="44"/>
      <c r="E395" s="38" t="s">
        <v>1072</v>
      </c>
      <c r="F395" s="94" t="s">
        <v>1073</v>
      </c>
      <c r="G395" s="38" t="s">
        <v>1070</v>
      </c>
    </row>
    <row r="396">
      <c r="B396" s="44"/>
      <c r="C396" s="44"/>
      <c r="D396" s="38" t="s">
        <v>1074</v>
      </c>
      <c r="E396" s="47" t="s">
        <v>1069</v>
      </c>
      <c r="F396" s="38" t="s">
        <v>1075</v>
      </c>
      <c r="G396" s="47"/>
      <c r="H396" s="38" t="s">
        <v>1076</v>
      </c>
    </row>
    <row r="397">
      <c r="B397" s="44"/>
      <c r="C397" s="44"/>
      <c r="D397" s="47" t="s">
        <v>1077</v>
      </c>
      <c r="E397" s="47" t="s">
        <v>1078</v>
      </c>
      <c r="F397" s="47" t="s">
        <v>1079</v>
      </c>
      <c r="G397" s="38" t="s">
        <v>1080</v>
      </c>
    </row>
    <row r="398">
      <c r="B398" s="44"/>
      <c r="C398" s="44"/>
      <c r="D398" s="47"/>
      <c r="E398" s="38" t="s">
        <v>1081</v>
      </c>
      <c r="F398" s="38" t="s">
        <v>1082</v>
      </c>
      <c r="G398" s="38" t="s">
        <v>1080</v>
      </c>
    </row>
    <row r="399">
      <c r="B399" s="44"/>
      <c r="C399" s="44"/>
      <c r="D399" s="47"/>
      <c r="E399" s="38" t="s">
        <v>1083</v>
      </c>
      <c r="F399" s="38"/>
      <c r="G399" s="38" t="s">
        <v>1080</v>
      </c>
    </row>
    <row r="400">
      <c r="B400" s="38" t="s">
        <v>77</v>
      </c>
      <c r="C400" s="38">
        <v>2.0</v>
      </c>
      <c r="D400" s="38" t="s">
        <v>1084</v>
      </c>
      <c r="E400" s="38" t="s">
        <v>1085</v>
      </c>
      <c r="F400" s="38" t="s">
        <v>1086</v>
      </c>
    </row>
    <row r="401">
      <c r="B401" s="38" t="s">
        <v>1087</v>
      </c>
      <c r="C401" s="38">
        <v>4.0</v>
      </c>
      <c r="D401" s="38" t="s">
        <v>1088</v>
      </c>
      <c r="E401" s="38" t="s">
        <v>1089</v>
      </c>
      <c r="F401" s="38" t="s">
        <v>1090</v>
      </c>
    </row>
    <row r="402">
      <c r="B402" s="38" t="s">
        <v>38</v>
      </c>
      <c r="C402" s="38">
        <v>4.0</v>
      </c>
      <c r="D402" s="38" t="s">
        <v>1091</v>
      </c>
      <c r="E402" s="38" t="s">
        <v>1092</v>
      </c>
      <c r="F402" s="38" t="s">
        <v>1093</v>
      </c>
    </row>
    <row r="403">
      <c r="A403" s="44"/>
      <c r="B403" s="38" t="s">
        <v>103</v>
      </c>
      <c r="C403" s="38">
        <v>1.0</v>
      </c>
      <c r="D403" s="38" t="s">
        <v>1094</v>
      </c>
      <c r="E403" s="38" t="s">
        <v>1095</v>
      </c>
      <c r="F403" s="38" t="s">
        <v>302</v>
      </c>
    </row>
    <row r="404">
      <c r="B404" s="38" t="s">
        <v>1096</v>
      </c>
      <c r="C404" s="38">
        <v>2.0</v>
      </c>
      <c r="D404" s="38" t="s">
        <v>1094</v>
      </c>
      <c r="E404" s="38" t="s">
        <v>633</v>
      </c>
      <c r="F404" s="38" t="s">
        <v>302</v>
      </c>
    </row>
    <row r="405">
      <c r="A405" s="44"/>
      <c r="B405" s="38" t="s">
        <v>853</v>
      </c>
      <c r="C405" s="38">
        <v>1.0</v>
      </c>
      <c r="D405" s="38" t="s">
        <v>1097</v>
      </c>
      <c r="E405" s="38" t="s">
        <v>1098</v>
      </c>
      <c r="F405" s="38" t="s">
        <v>1099</v>
      </c>
      <c r="G405" s="38" t="s">
        <v>144</v>
      </c>
    </row>
    <row r="406">
      <c r="A406" s="44"/>
      <c r="B406" s="38" t="s">
        <v>1100</v>
      </c>
      <c r="C406" s="38">
        <v>1.0</v>
      </c>
      <c r="D406" s="38" t="s">
        <v>1101</v>
      </c>
      <c r="E406" s="38" t="s">
        <v>1098</v>
      </c>
      <c r="F406" s="44"/>
      <c r="G406" s="38" t="s">
        <v>144</v>
      </c>
    </row>
    <row r="407">
      <c r="B407" s="38" t="s">
        <v>25</v>
      </c>
      <c r="C407" s="38">
        <v>1.0</v>
      </c>
      <c r="D407" s="38" t="s">
        <v>1102</v>
      </c>
      <c r="E407" s="38" t="s">
        <v>1103</v>
      </c>
      <c r="F407" s="38" t="s">
        <v>1104</v>
      </c>
      <c r="G407" s="38" t="s">
        <v>1105</v>
      </c>
    </row>
    <row r="408">
      <c r="A408" s="44"/>
      <c r="B408" s="38" t="s">
        <v>210</v>
      </c>
      <c r="C408" s="38">
        <v>2.0</v>
      </c>
      <c r="D408" s="38" t="s">
        <v>545</v>
      </c>
      <c r="E408" s="38" t="s">
        <v>325</v>
      </c>
      <c r="F408" s="38" t="s">
        <v>1106</v>
      </c>
      <c r="G408" s="38" t="s">
        <v>1107</v>
      </c>
    </row>
    <row r="409">
      <c r="A409" s="44"/>
      <c r="B409" s="38" t="s">
        <v>214</v>
      </c>
      <c r="C409" s="38">
        <v>2.0</v>
      </c>
      <c r="D409" s="38" t="s">
        <v>545</v>
      </c>
      <c r="E409" s="38" t="s">
        <v>325</v>
      </c>
      <c r="F409" s="38" t="s">
        <v>1108</v>
      </c>
      <c r="G409" s="38" t="s">
        <v>1107</v>
      </c>
    </row>
    <row r="410">
      <c r="B410" s="38" t="s">
        <v>271</v>
      </c>
      <c r="C410" s="38">
        <v>4.0</v>
      </c>
      <c r="D410" s="38" t="s">
        <v>1109</v>
      </c>
      <c r="E410" s="38" t="s">
        <v>1110</v>
      </c>
      <c r="F410" s="44"/>
    </row>
    <row r="411">
      <c r="B411" s="44"/>
      <c r="C411" s="44"/>
      <c r="D411" s="44"/>
      <c r="E411" s="106" t="s">
        <v>1111</v>
      </c>
      <c r="F411" s="38" t="s">
        <v>1112</v>
      </c>
      <c r="G411" s="38" t="s">
        <v>336</v>
      </c>
    </row>
    <row r="412">
      <c r="A412" s="38" t="s">
        <v>1113</v>
      </c>
      <c r="B412" s="38" t="s">
        <v>339</v>
      </c>
      <c r="C412" s="38">
        <v>2.0</v>
      </c>
      <c r="D412" s="107" t="s">
        <v>1114</v>
      </c>
      <c r="E412" s="108" t="s">
        <v>1115</v>
      </c>
      <c r="F412" s="38" t="s">
        <v>293</v>
      </c>
    </row>
    <row r="413">
      <c r="A413" s="44"/>
      <c r="B413" s="38" t="s">
        <v>416</v>
      </c>
      <c r="C413" s="38">
        <v>4.0</v>
      </c>
      <c r="D413" s="38" t="s">
        <v>1116</v>
      </c>
      <c r="E413" s="47" t="s">
        <v>1117</v>
      </c>
      <c r="F413" s="38" t="s">
        <v>1118</v>
      </c>
    </row>
    <row r="414">
      <c r="A414" s="44"/>
      <c r="B414" s="38" t="s">
        <v>183</v>
      </c>
      <c r="C414" s="38">
        <v>2.0</v>
      </c>
      <c r="D414" s="38" t="s">
        <v>433</v>
      </c>
      <c r="E414" s="38" t="s">
        <v>1119</v>
      </c>
      <c r="F414" s="38" t="s">
        <v>1120</v>
      </c>
    </row>
    <row r="415">
      <c r="B415" s="38" t="s">
        <v>91</v>
      </c>
      <c r="C415" s="38">
        <v>2.0</v>
      </c>
      <c r="D415" s="38" t="s">
        <v>1121</v>
      </c>
      <c r="E415" s="38" t="s">
        <v>1122</v>
      </c>
      <c r="F415" s="38" t="s">
        <v>1123</v>
      </c>
    </row>
    <row r="416">
      <c r="B416" s="38" t="s">
        <v>94</v>
      </c>
      <c r="C416" s="38">
        <v>2.0</v>
      </c>
      <c r="D416" s="38" t="s">
        <v>1121</v>
      </c>
      <c r="E416" s="38" t="s">
        <v>1122</v>
      </c>
      <c r="F416" s="38" t="s">
        <v>1123</v>
      </c>
    </row>
    <row r="417">
      <c r="A417" s="44"/>
      <c r="B417" s="38" t="s">
        <v>77</v>
      </c>
      <c r="C417" s="38">
        <v>4.0</v>
      </c>
      <c r="D417" s="38" t="s">
        <v>229</v>
      </c>
      <c r="E417" s="38" t="s">
        <v>1124</v>
      </c>
      <c r="F417" s="38" t="s">
        <v>1125</v>
      </c>
    </row>
    <row r="418">
      <c r="A418" s="1" t="s">
        <v>133</v>
      </c>
      <c r="B418" s="38" t="s">
        <v>210</v>
      </c>
      <c r="C418" s="38">
        <v>2.0</v>
      </c>
      <c r="D418" s="38" t="s">
        <v>123</v>
      </c>
      <c r="E418" s="91" t="s">
        <v>1126</v>
      </c>
      <c r="F418" s="38" t="s">
        <v>1127</v>
      </c>
      <c r="G418" s="109" t="s">
        <v>1128</v>
      </c>
    </row>
    <row r="419">
      <c r="B419" s="38" t="s">
        <v>214</v>
      </c>
      <c r="C419" s="38">
        <v>2.0</v>
      </c>
      <c r="D419" s="38" t="s">
        <v>123</v>
      </c>
      <c r="E419" s="91" t="s">
        <v>1129</v>
      </c>
      <c r="F419" s="38" t="s">
        <v>1127</v>
      </c>
    </row>
    <row r="420">
      <c r="A420" s="44"/>
      <c r="B420" s="38" t="s">
        <v>122</v>
      </c>
      <c r="C420" s="38">
        <v>4.0</v>
      </c>
      <c r="D420" s="38" t="s">
        <v>1130</v>
      </c>
      <c r="E420" s="91" t="s">
        <v>1131</v>
      </c>
      <c r="F420" s="38" t="s">
        <v>1132</v>
      </c>
    </row>
    <row r="421">
      <c r="A421" s="44"/>
      <c r="B421" s="38" t="s">
        <v>153</v>
      </c>
      <c r="C421" s="38">
        <v>2.0</v>
      </c>
      <c r="D421" s="38" t="s">
        <v>1133</v>
      </c>
      <c r="E421" s="38" t="s">
        <v>1134</v>
      </c>
      <c r="F421" s="38" t="s">
        <v>1135</v>
      </c>
      <c r="G421" s="38" t="s">
        <v>1136</v>
      </c>
    </row>
    <row r="422">
      <c r="A422" s="1" t="s">
        <v>133</v>
      </c>
      <c r="B422" s="38" t="s">
        <v>1137</v>
      </c>
      <c r="C422" s="38">
        <v>4.0</v>
      </c>
      <c r="D422" s="38" t="s">
        <v>1138</v>
      </c>
      <c r="E422" s="38" t="s">
        <v>1139</v>
      </c>
      <c r="F422" s="38" t="s">
        <v>175</v>
      </c>
    </row>
    <row r="423">
      <c r="A423" s="44"/>
      <c r="B423" s="44"/>
      <c r="C423" s="44"/>
      <c r="D423" s="38" t="s">
        <v>1140</v>
      </c>
      <c r="E423" s="38" t="s">
        <v>1141</v>
      </c>
      <c r="F423" s="38" t="s">
        <v>1142</v>
      </c>
      <c r="G423" s="38" t="s">
        <v>1143</v>
      </c>
    </row>
    <row r="424">
      <c r="A424" s="44"/>
      <c r="B424" s="44"/>
      <c r="C424" s="44"/>
      <c r="D424" s="38"/>
      <c r="E424" s="38" t="s">
        <v>1141</v>
      </c>
      <c r="F424" s="38" t="s">
        <v>1144</v>
      </c>
      <c r="G424" s="38" t="s">
        <v>1143</v>
      </c>
    </row>
    <row r="425">
      <c r="A425" s="1" t="s">
        <v>133</v>
      </c>
      <c r="B425" s="38" t="s">
        <v>876</v>
      </c>
      <c r="C425" s="38">
        <v>4.0</v>
      </c>
      <c r="D425" s="38" t="s">
        <v>232</v>
      </c>
      <c r="E425" s="38" t="s">
        <v>1141</v>
      </c>
      <c r="F425" s="38" t="s">
        <v>1143</v>
      </c>
    </row>
    <row r="426">
      <c r="A426" s="4" t="s">
        <v>1145</v>
      </c>
      <c r="B426" s="38" t="s">
        <v>261</v>
      </c>
      <c r="C426" s="38">
        <v>4.0</v>
      </c>
      <c r="D426" s="38" t="s">
        <v>1146</v>
      </c>
      <c r="E426" s="39" t="s">
        <v>1147</v>
      </c>
      <c r="F426" s="38" t="s">
        <v>1148</v>
      </c>
      <c r="G426" s="1" t="s">
        <v>1149</v>
      </c>
      <c r="I426" s="1" t="s">
        <v>1150</v>
      </c>
    </row>
    <row r="427">
      <c r="B427" s="38" t="s">
        <v>188</v>
      </c>
      <c r="C427" s="38">
        <v>2.0</v>
      </c>
      <c r="D427" s="38" t="s">
        <v>1151</v>
      </c>
      <c r="E427" s="110" t="s">
        <v>1152</v>
      </c>
    </row>
    <row r="428">
      <c r="B428" s="38" t="s">
        <v>107</v>
      </c>
      <c r="C428" s="38">
        <v>2.0</v>
      </c>
      <c r="D428" s="38" t="s">
        <v>1151</v>
      </c>
      <c r="E428" s="111" t="s">
        <v>1153</v>
      </c>
    </row>
    <row r="429">
      <c r="B429" s="38" t="s">
        <v>1154</v>
      </c>
      <c r="C429" s="38">
        <v>4.0</v>
      </c>
      <c r="D429" s="38" t="s">
        <v>1155</v>
      </c>
      <c r="E429" s="38" t="s">
        <v>1156</v>
      </c>
      <c r="F429" s="38" t="s">
        <v>1157</v>
      </c>
    </row>
    <row r="430">
      <c r="A430" s="44"/>
      <c r="B430" s="38" t="s">
        <v>1154</v>
      </c>
      <c r="C430" s="38">
        <v>1.0</v>
      </c>
      <c r="D430" s="38" t="s">
        <v>1155</v>
      </c>
      <c r="E430" s="38" t="s">
        <v>1158</v>
      </c>
      <c r="F430" s="38" t="s">
        <v>1005</v>
      </c>
    </row>
    <row r="431">
      <c r="B431" s="38" t="s">
        <v>1159</v>
      </c>
      <c r="C431" s="38">
        <v>2.0</v>
      </c>
      <c r="D431" s="38" t="s">
        <v>134</v>
      </c>
      <c r="E431" s="112" t="s">
        <v>1160</v>
      </c>
      <c r="F431" s="38" t="s">
        <v>1161</v>
      </c>
    </row>
    <row r="432">
      <c r="A432" s="44"/>
      <c r="B432" s="38" t="s">
        <v>1162</v>
      </c>
      <c r="C432" s="38">
        <v>4.0</v>
      </c>
      <c r="D432" s="38" t="s">
        <v>1094</v>
      </c>
      <c r="E432" s="113" t="s">
        <v>1163</v>
      </c>
      <c r="F432" s="38" t="s">
        <v>1164</v>
      </c>
      <c r="G432" s="38" t="s">
        <v>1165</v>
      </c>
    </row>
    <row r="433">
      <c r="A433" s="1" t="s">
        <v>133</v>
      </c>
      <c r="B433" s="38" t="s">
        <v>271</v>
      </c>
      <c r="C433" s="38">
        <v>4.0</v>
      </c>
      <c r="D433" s="38" t="s">
        <v>232</v>
      </c>
      <c r="E433" s="39" t="s">
        <v>1166</v>
      </c>
      <c r="F433" s="38" t="s">
        <v>1167</v>
      </c>
    </row>
    <row r="434">
      <c r="B434" s="38" t="s">
        <v>1168</v>
      </c>
      <c r="C434" s="38" t="s">
        <v>1169</v>
      </c>
      <c r="D434" s="44"/>
      <c r="E434" s="47" t="s">
        <v>1170</v>
      </c>
      <c r="F434" s="38" t="s">
        <v>1171</v>
      </c>
    </row>
    <row r="435">
      <c r="B435" s="44"/>
      <c r="C435" s="38" t="s">
        <v>1172</v>
      </c>
      <c r="D435" s="44"/>
      <c r="E435" s="38" t="s">
        <v>1173</v>
      </c>
      <c r="F435" s="38" t="s">
        <v>1174</v>
      </c>
    </row>
    <row r="436">
      <c r="B436" s="49"/>
      <c r="C436" s="114"/>
      <c r="D436" s="115" t="s">
        <v>1175</v>
      </c>
      <c r="E436" s="49" t="s">
        <v>1176</v>
      </c>
      <c r="F436" s="49"/>
    </row>
    <row r="437">
      <c r="B437" s="47" t="s">
        <v>1177</v>
      </c>
      <c r="C437" s="47" t="s">
        <v>1169</v>
      </c>
      <c r="D437" s="47" t="s">
        <v>1178</v>
      </c>
      <c r="E437" s="47" t="s">
        <v>1170</v>
      </c>
      <c r="F437" s="44"/>
    </row>
    <row r="438">
      <c r="B438" s="44"/>
      <c r="C438" s="47" t="s">
        <v>1171</v>
      </c>
      <c r="D438" s="47" t="s">
        <v>1174</v>
      </c>
      <c r="E438" s="47" t="s">
        <v>1173</v>
      </c>
      <c r="F438" s="44"/>
    </row>
    <row r="439">
      <c r="A439" s="38" t="s">
        <v>133</v>
      </c>
      <c r="B439" s="38" t="s">
        <v>718</v>
      </c>
      <c r="C439" s="38">
        <v>4.0</v>
      </c>
      <c r="D439" s="38" t="s">
        <v>123</v>
      </c>
      <c r="E439" s="38" t="s">
        <v>1179</v>
      </c>
      <c r="F439" s="38" t="s">
        <v>1180</v>
      </c>
    </row>
    <row r="440">
      <c r="A440" s="4" t="s">
        <v>1181</v>
      </c>
      <c r="B440" s="38" t="s">
        <v>1182</v>
      </c>
      <c r="C440" s="38">
        <v>4.0</v>
      </c>
      <c r="D440" s="38" t="s">
        <v>211</v>
      </c>
      <c r="E440" s="38" t="s">
        <v>418</v>
      </c>
      <c r="F440" s="38" t="s">
        <v>783</v>
      </c>
      <c r="G440" s="1" t="s">
        <v>152</v>
      </c>
    </row>
    <row r="441">
      <c r="A441" s="116"/>
      <c r="B441" s="38" t="s">
        <v>1183</v>
      </c>
      <c r="C441" s="38">
        <v>2.0</v>
      </c>
      <c r="D441" s="38" t="s">
        <v>1184</v>
      </c>
      <c r="E441" s="38" t="s">
        <v>1185</v>
      </c>
      <c r="F441" s="38" t="s">
        <v>1186</v>
      </c>
    </row>
    <row r="442">
      <c r="A442" s="38" t="s">
        <v>1187</v>
      </c>
      <c r="B442" s="38"/>
      <c r="C442" s="38" t="s">
        <v>1188</v>
      </c>
      <c r="D442" s="117" t="s">
        <v>1189</v>
      </c>
      <c r="E442" s="42" t="s">
        <v>1190</v>
      </c>
      <c r="F442" s="38" t="s">
        <v>939</v>
      </c>
    </row>
    <row r="443">
      <c r="A443" s="65">
        <v>45771.0</v>
      </c>
      <c r="B443" s="44"/>
      <c r="C443" s="47"/>
      <c r="D443" s="38" t="s">
        <v>1191</v>
      </c>
      <c r="E443" s="42" t="s">
        <v>1190</v>
      </c>
      <c r="F443" s="117" t="s">
        <v>939</v>
      </c>
    </row>
    <row r="444">
      <c r="A444" s="44"/>
      <c r="B444" s="38" t="s">
        <v>58</v>
      </c>
      <c r="C444" s="38">
        <v>4.0</v>
      </c>
      <c r="D444" s="38" t="s">
        <v>216</v>
      </c>
      <c r="E444" s="39" t="s">
        <v>445</v>
      </c>
      <c r="F444" s="38" t="s">
        <v>1192</v>
      </c>
    </row>
    <row r="445">
      <c r="B445" s="38" t="s">
        <v>94</v>
      </c>
      <c r="C445" s="38">
        <v>2.0</v>
      </c>
      <c r="D445" s="38" t="s">
        <v>1193</v>
      </c>
      <c r="E445" s="91" t="s">
        <v>1194</v>
      </c>
      <c r="F445" s="38" t="s">
        <v>1195</v>
      </c>
    </row>
    <row r="446">
      <c r="B446" s="38" t="s">
        <v>91</v>
      </c>
      <c r="C446" s="38">
        <v>2.0</v>
      </c>
      <c r="D446" s="38" t="s">
        <v>1193</v>
      </c>
      <c r="E446" s="91" t="s">
        <v>1194</v>
      </c>
      <c r="F446" s="38" t="s">
        <v>1195</v>
      </c>
    </row>
    <row r="447">
      <c r="B447" s="47" t="s">
        <v>1196</v>
      </c>
      <c r="C447" s="38" t="s">
        <v>1197</v>
      </c>
      <c r="D447" s="47" t="s">
        <v>1198</v>
      </c>
      <c r="E447" s="47" t="s">
        <v>1199</v>
      </c>
      <c r="F447" s="38"/>
    </row>
    <row r="448">
      <c r="B448" s="47" t="s">
        <v>1200</v>
      </c>
      <c r="C448" s="47"/>
      <c r="D448" s="47" t="s">
        <v>1201</v>
      </c>
      <c r="E448" s="47" t="s">
        <v>1199</v>
      </c>
      <c r="F448" s="47"/>
    </row>
    <row r="449">
      <c r="B449" s="38" t="s">
        <v>25</v>
      </c>
      <c r="C449" s="38">
        <v>4.0</v>
      </c>
      <c r="D449" s="38" t="s">
        <v>229</v>
      </c>
      <c r="E449" s="38" t="s">
        <v>1202</v>
      </c>
      <c r="F449" s="44"/>
    </row>
    <row r="450">
      <c r="B450" s="38" t="s">
        <v>1203</v>
      </c>
      <c r="C450" s="38" t="s">
        <v>1204</v>
      </c>
      <c r="D450" s="38" t="s">
        <v>1205</v>
      </c>
      <c r="E450" s="38" t="s">
        <v>1206</v>
      </c>
      <c r="F450" s="38" t="s">
        <v>799</v>
      </c>
    </row>
    <row r="451">
      <c r="B451" s="38" t="s">
        <v>183</v>
      </c>
      <c r="C451" s="38">
        <v>4.0</v>
      </c>
      <c r="D451" s="38" t="s">
        <v>1207</v>
      </c>
      <c r="E451" s="38" t="s">
        <v>1208</v>
      </c>
      <c r="F451" s="44"/>
    </row>
    <row r="452">
      <c r="B452" s="38" t="s">
        <v>205</v>
      </c>
      <c r="C452" s="38">
        <v>4.0</v>
      </c>
      <c r="D452" s="38" t="s">
        <v>1109</v>
      </c>
      <c r="E452" s="91" t="s">
        <v>1209</v>
      </c>
      <c r="F452" s="38" t="s">
        <v>1210</v>
      </c>
    </row>
    <row r="453">
      <c r="B453" s="38" t="s">
        <v>271</v>
      </c>
      <c r="C453" s="38">
        <v>4.0</v>
      </c>
      <c r="D453" s="38" t="s">
        <v>201</v>
      </c>
      <c r="E453" s="91" t="s">
        <v>1211</v>
      </c>
      <c r="F453" s="38" t="s">
        <v>1212</v>
      </c>
    </row>
    <row r="454">
      <c r="B454" s="38" t="s">
        <v>25</v>
      </c>
      <c r="C454" s="38">
        <v>4.0</v>
      </c>
      <c r="D454" s="38" t="s">
        <v>289</v>
      </c>
      <c r="E454" s="38" t="s">
        <v>1213</v>
      </c>
      <c r="F454" s="44"/>
    </row>
    <row r="455">
      <c r="A455" s="44"/>
      <c r="B455" s="44"/>
      <c r="C455" s="44"/>
      <c r="D455" s="38" t="s">
        <v>1214</v>
      </c>
      <c r="E455" s="38" t="s">
        <v>1215</v>
      </c>
      <c r="F455" s="38" t="s">
        <v>1216</v>
      </c>
      <c r="G455" s="38" t="s">
        <v>915</v>
      </c>
    </row>
    <row r="456">
      <c r="A456" s="47" t="s">
        <v>1217</v>
      </c>
      <c r="B456" s="38" t="s">
        <v>91</v>
      </c>
      <c r="C456" s="38">
        <v>2.0</v>
      </c>
      <c r="D456" s="38" t="s">
        <v>123</v>
      </c>
      <c r="E456" s="38" t="s">
        <v>1218</v>
      </c>
      <c r="F456" s="38" t="s">
        <v>1219</v>
      </c>
      <c r="G456" s="1" t="s">
        <v>1220</v>
      </c>
    </row>
    <row r="457">
      <c r="A457" s="41"/>
      <c r="B457" s="38" t="s">
        <v>94</v>
      </c>
      <c r="C457" s="38">
        <v>2.0</v>
      </c>
      <c r="D457" s="38" t="s">
        <v>123</v>
      </c>
      <c r="E457" s="38" t="s">
        <v>1218</v>
      </c>
      <c r="F457" s="38" t="s">
        <v>1219</v>
      </c>
    </row>
    <row r="458">
      <c r="A458" s="44"/>
      <c r="B458" s="38" t="s">
        <v>308</v>
      </c>
      <c r="C458" s="38">
        <v>4.0</v>
      </c>
      <c r="D458" s="38" t="s">
        <v>1221</v>
      </c>
      <c r="E458" s="38" t="s">
        <v>1222</v>
      </c>
      <c r="F458" s="38" t="s">
        <v>1223</v>
      </c>
      <c r="G458" s="38" t="s">
        <v>1224</v>
      </c>
    </row>
    <row r="459">
      <c r="A459" s="44"/>
      <c r="B459" s="44"/>
      <c r="C459" s="44"/>
      <c r="D459" s="38" t="s">
        <v>1225</v>
      </c>
      <c r="E459" s="38" t="s">
        <v>1226</v>
      </c>
      <c r="F459" s="44"/>
      <c r="G459" s="38" t="s">
        <v>1224</v>
      </c>
    </row>
    <row r="460">
      <c r="A460" s="44"/>
      <c r="B460" s="47" t="s">
        <v>1227</v>
      </c>
      <c r="C460" s="47" t="s">
        <v>1228</v>
      </c>
      <c r="D460" s="38" t="s">
        <v>1229</v>
      </c>
      <c r="E460" s="47" t="s">
        <v>1230</v>
      </c>
      <c r="F460" s="44"/>
      <c r="G460" s="38" t="s">
        <v>144</v>
      </c>
    </row>
    <row r="461">
      <c r="A461" s="44"/>
      <c r="B461" s="47" t="s">
        <v>1231</v>
      </c>
      <c r="C461" s="47" t="s">
        <v>1232</v>
      </c>
      <c r="D461" s="38" t="s">
        <v>1233</v>
      </c>
      <c r="E461" s="38" t="s">
        <v>1234</v>
      </c>
      <c r="F461" s="44"/>
      <c r="G461" s="38" t="s">
        <v>144</v>
      </c>
    </row>
    <row r="462">
      <c r="A462" s="44"/>
      <c r="B462" s="47"/>
      <c r="C462" s="38" t="s">
        <v>1235</v>
      </c>
      <c r="D462" s="38" t="s">
        <v>1236</v>
      </c>
      <c r="E462" s="38" t="s">
        <v>1234</v>
      </c>
      <c r="F462" s="44"/>
      <c r="G462" s="38" t="s">
        <v>144</v>
      </c>
    </row>
    <row r="463">
      <c r="B463" s="38" t="s">
        <v>246</v>
      </c>
      <c r="C463" s="38">
        <v>4.0</v>
      </c>
      <c r="D463" s="38" t="s">
        <v>1237</v>
      </c>
      <c r="E463" s="118" t="s">
        <v>1238</v>
      </c>
      <c r="F463" s="38" t="s">
        <v>1239</v>
      </c>
    </row>
    <row r="464">
      <c r="A464" s="5"/>
      <c r="B464" s="47" t="s">
        <v>1240</v>
      </c>
      <c r="C464" s="38" t="s">
        <v>1241</v>
      </c>
      <c r="D464" s="47" t="s">
        <v>1242</v>
      </c>
      <c r="E464" s="47" t="s">
        <v>1243</v>
      </c>
      <c r="F464" s="38"/>
      <c r="G464" s="42" t="s">
        <v>1244</v>
      </c>
    </row>
    <row r="465">
      <c r="A465" s="119"/>
      <c r="B465" s="47"/>
      <c r="C465" s="44"/>
      <c r="D465" s="47" t="s">
        <v>1245</v>
      </c>
      <c r="E465" s="38" t="s">
        <v>1246</v>
      </c>
      <c r="F465" s="44"/>
      <c r="G465" s="42" t="s">
        <v>1244</v>
      </c>
    </row>
    <row r="466">
      <c r="A466" s="120"/>
      <c r="B466" s="38" t="s">
        <v>1247</v>
      </c>
      <c r="C466" s="121" t="s">
        <v>1248</v>
      </c>
      <c r="D466" s="121" t="s">
        <v>1249</v>
      </c>
      <c r="E466" s="38" t="s">
        <v>1250</v>
      </c>
      <c r="F466" s="38" t="s">
        <v>1251</v>
      </c>
      <c r="G466" s="38" t="s">
        <v>1244</v>
      </c>
    </row>
    <row r="467">
      <c r="A467" s="122"/>
      <c r="B467" s="38" t="s">
        <v>1252</v>
      </c>
      <c r="C467" s="38"/>
      <c r="D467" s="121"/>
      <c r="E467" s="38" t="s">
        <v>1253</v>
      </c>
      <c r="F467" s="38" t="s">
        <v>535</v>
      </c>
      <c r="G467" s="38" t="s">
        <v>1244</v>
      </c>
    </row>
    <row r="468">
      <c r="A468" s="5"/>
      <c r="B468" s="38" t="s">
        <v>647</v>
      </c>
      <c r="C468" s="38" t="s">
        <v>1254</v>
      </c>
      <c r="D468" s="38" t="s">
        <v>1255</v>
      </c>
      <c r="E468" s="42" t="s">
        <v>1256</v>
      </c>
      <c r="F468" s="117" t="s">
        <v>1257</v>
      </c>
      <c r="G468" s="42" t="s">
        <v>1244</v>
      </c>
    </row>
    <row r="469">
      <c r="A469" s="122"/>
      <c r="B469" s="38" t="s">
        <v>1252</v>
      </c>
      <c r="C469" s="38" t="s">
        <v>1258</v>
      </c>
      <c r="D469" s="38" t="s">
        <v>1259</v>
      </c>
      <c r="E469" s="42" t="s">
        <v>1256</v>
      </c>
      <c r="F469" s="117"/>
      <c r="G469" s="42" t="s">
        <v>1244</v>
      </c>
    </row>
    <row r="470">
      <c r="A470" s="44"/>
      <c r="B470" s="38" t="s">
        <v>876</v>
      </c>
      <c r="C470" s="38">
        <v>2.0</v>
      </c>
      <c r="D470" s="38" t="s">
        <v>494</v>
      </c>
      <c r="E470" s="38" t="s">
        <v>1260</v>
      </c>
      <c r="F470" s="38" t="s">
        <v>1261</v>
      </c>
      <c r="G470" s="38" t="s">
        <v>1262</v>
      </c>
      <c r="H470" s="44"/>
    </row>
    <row r="471">
      <c r="A471" s="44"/>
      <c r="B471" s="38"/>
      <c r="C471" s="38"/>
      <c r="D471" s="38"/>
      <c r="E471" s="38" t="s">
        <v>1260</v>
      </c>
      <c r="F471" s="38" t="s">
        <v>1263</v>
      </c>
      <c r="G471" s="38"/>
      <c r="H471" s="44"/>
    </row>
    <row r="472">
      <c r="A472" s="44"/>
      <c r="B472" s="38" t="s">
        <v>1264</v>
      </c>
      <c r="C472" s="38">
        <v>4.0</v>
      </c>
      <c r="D472" s="38" t="s">
        <v>86</v>
      </c>
      <c r="E472" s="38" t="s">
        <v>1265</v>
      </c>
      <c r="F472" s="38" t="s">
        <v>1266</v>
      </c>
      <c r="G472" s="38" t="s">
        <v>348</v>
      </c>
    </row>
    <row r="473">
      <c r="D473" s="1" t="s">
        <v>1267</v>
      </c>
      <c r="E473" s="1" t="s">
        <v>1268</v>
      </c>
    </row>
    <row r="474">
      <c r="B474" s="4" t="s">
        <v>1269</v>
      </c>
      <c r="E474" s="1" t="s">
        <v>974</v>
      </c>
      <c r="F474" s="1" t="s">
        <v>1270</v>
      </c>
    </row>
    <row r="475">
      <c r="B475" s="38" t="s">
        <v>1271</v>
      </c>
      <c r="C475" s="38">
        <v>4.0</v>
      </c>
      <c r="D475" s="38" t="s">
        <v>86</v>
      </c>
      <c r="E475" s="38" t="s">
        <v>1272</v>
      </c>
      <c r="F475" s="38" t="s">
        <v>1273</v>
      </c>
      <c r="G475" s="38" t="s">
        <v>348</v>
      </c>
    </row>
    <row r="476">
      <c r="B476" s="38" t="s">
        <v>1183</v>
      </c>
      <c r="C476" s="38">
        <v>2.0</v>
      </c>
      <c r="D476" s="38" t="s">
        <v>553</v>
      </c>
      <c r="E476" s="38" t="s">
        <v>1274</v>
      </c>
      <c r="F476" s="38" t="s">
        <v>1275</v>
      </c>
    </row>
    <row r="477">
      <c r="B477" s="38" t="s">
        <v>128</v>
      </c>
      <c r="C477" s="38">
        <v>2.0</v>
      </c>
      <c r="D477" s="38" t="s">
        <v>553</v>
      </c>
      <c r="E477" s="38" t="s">
        <v>1276</v>
      </c>
      <c r="F477" s="38" t="s">
        <v>1275</v>
      </c>
    </row>
    <row r="478">
      <c r="B478" s="38" t="s">
        <v>1277</v>
      </c>
      <c r="C478" s="38">
        <v>2.0</v>
      </c>
      <c r="D478" s="38" t="s">
        <v>1278</v>
      </c>
      <c r="E478" s="38" t="s">
        <v>1279</v>
      </c>
      <c r="F478" s="38" t="s">
        <v>175</v>
      </c>
      <c r="G478" s="38" t="s">
        <v>722</v>
      </c>
    </row>
    <row r="479">
      <c r="B479" s="38"/>
      <c r="C479" s="38"/>
      <c r="D479" s="38" t="s">
        <v>1280</v>
      </c>
      <c r="E479" s="38" t="s">
        <v>1279</v>
      </c>
      <c r="F479" s="38" t="s">
        <v>1281</v>
      </c>
      <c r="G479" s="38" t="s">
        <v>722</v>
      </c>
    </row>
    <row r="480">
      <c r="A480" s="44"/>
      <c r="B480" s="123" t="s">
        <v>1282</v>
      </c>
      <c r="C480" s="124" t="s">
        <v>1283</v>
      </c>
      <c r="D480" s="44"/>
      <c r="E480" s="38" t="s">
        <v>1284</v>
      </c>
      <c r="F480" s="38" t="s">
        <v>1026</v>
      </c>
    </row>
    <row r="481">
      <c r="B481" s="38" t="s">
        <v>1285</v>
      </c>
      <c r="C481" s="38">
        <v>4.0</v>
      </c>
      <c r="D481" s="38" t="s">
        <v>553</v>
      </c>
      <c r="E481" s="38" t="s">
        <v>1286</v>
      </c>
      <c r="F481" s="38" t="s">
        <v>1287</v>
      </c>
    </row>
    <row r="482">
      <c r="B482" s="38" t="s">
        <v>875</v>
      </c>
      <c r="C482" s="38">
        <v>4.0</v>
      </c>
      <c r="D482" s="38" t="s">
        <v>1288</v>
      </c>
      <c r="E482" s="38" t="s">
        <v>1289</v>
      </c>
      <c r="F482" s="38" t="s">
        <v>1290</v>
      </c>
      <c r="G482" s="38" t="s">
        <v>1291</v>
      </c>
    </row>
    <row r="483">
      <c r="B483" s="44"/>
      <c r="C483" s="38" t="s">
        <v>1292</v>
      </c>
      <c r="D483" s="38" t="s">
        <v>1293</v>
      </c>
      <c r="E483" s="38" t="s">
        <v>1294</v>
      </c>
      <c r="F483" s="38" t="s">
        <v>1295</v>
      </c>
      <c r="G483" s="38" t="s">
        <v>809</v>
      </c>
    </row>
    <row r="484">
      <c r="B484" s="38" t="s">
        <v>1296</v>
      </c>
      <c r="C484" s="38">
        <v>2.0</v>
      </c>
      <c r="D484" s="38" t="s">
        <v>1297</v>
      </c>
      <c r="E484" s="38" t="s">
        <v>1298</v>
      </c>
      <c r="F484" s="38" t="s">
        <v>1299</v>
      </c>
    </row>
    <row r="485">
      <c r="A485" s="4" t="s">
        <v>1300</v>
      </c>
      <c r="B485" s="38" t="s">
        <v>214</v>
      </c>
      <c r="C485" s="38">
        <v>4.0</v>
      </c>
      <c r="D485" s="38" t="s">
        <v>211</v>
      </c>
      <c r="E485" s="38" t="s">
        <v>1301</v>
      </c>
      <c r="F485" s="44"/>
    </row>
    <row r="486">
      <c r="A486" s="4" t="s">
        <v>1302</v>
      </c>
      <c r="B486" s="38" t="s">
        <v>103</v>
      </c>
      <c r="C486" s="38">
        <v>4.0</v>
      </c>
      <c r="D486" s="38" t="s">
        <v>211</v>
      </c>
      <c r="E486" s="38" t="s">
        <v>1303</v>
      </c>
      <c r="F486" s="38" t="s">
        <v>1304</v>
      </c>
      <c r="G486" s="1" t="s">
        <v>132</v>
      </c>
    </row>
    <row r="487">
      <c r="B487" s="38" t="s">
        <v>122</v>
      </c>
      <c r="C487" s="38">
        <v>4.0</v>
      </c>
      <c r="D487" s="38" t="s">
        <v>1305</v>
      </c>
      <c r="E487" s="118" t="s">
        <v>1306</v>
      </c>
      <c r="F487" s="38" t="s">
        <v>1307</v>
      </c>
    </row>
    <row r="488">
      <c r="B488" s="38" t="s">
        <v>153</v>
      </c>
      <c r="C488" s="38">
        <v>4.0</v>
      </c>
      <c r="D488" s="38" t="s">
        <v>1308</v>
      </c>
      <c r="E488" s="38" t="s">
        <v>1309</v>
      </c>
      <c r="F488" s="38" t="s">
        <v>1310</v>
      </c>
      <c r="G488" s="38" t="s">
        <v>1311</v>
      </c>
    </row>
    <row r="489">
      <c r="B489" s="38"/>
      <c r="C489" s="38"/>
      <c r="D489" s="38" t="s">
        <v>1312</v>
      </c>
      <c r="E489" s="38" t="s">
        <v>1309</v>
      </c>
      <c r="F489" s="38" t="s">
        <v>1313</v>
      </c>
      <c r="G489" s="38" t="s">
        <v>1311</v>
      </c>
    </row>
    <row r="490">
      <c r="B490" s="38" t="s">
        <v>416</v>
      </c>
      <c r="C490" s="38">
        <v>4.0</v>
      </c>
      <c r="D490" s="38" t="s">
        <v>1314</v>
      </c>
      <c r="E490" s="47" t="s">
        <v>1315</v>
      </c>
      <c r="F490" s="38" t="s">
        <v>1316</v>
      </c>
    </row>
    <row r="491">
      <c r="A491" s="44"/>
      <c r="B491" s="38" t="s">
        <v>1317</v>
      </c>
      <c r="C491" s="38">
        <v>2.0</v>
      </c>
      <c r="D491" s="38" t="s">
        <v>1318</v>
      </c>
      <c r="E491" s="91" t="s">
        <v>1319</v>
      </c>
      <c r="F491" s="38" t="s">
        <v>1320</v>
      </c>
      <c r="G491" s="38" t="s">
        <v>1321</v>
      </c>
    </row>
    <row r="492">
      <c r="A492" s="44"/>
      <c r="B492" s="38" t="s">
        <v>1322</v>
      </c>
      <c r="C492" s="38">
        <v>2.0</v>
      </c>
      <c r="D492" s="38" t="s">
        <v>1318</v>
      </c>
      <c r="E492" s="91" t="s">
        <v>1319</v>
      </c>
      <c r="F492" s="44"/>
      <c r="G492" s="38" t="s">
        <v>1321</v>
      </c>
    </row>
    <row r="493">
      <c r="A493" s="44"/>
      <c r="B493" s="38" t="s">
        <v>1322</v>
      </c>
      <c r="C493" s="38">
        <v>1.0</v>
      </c>
      <c r="D493" s="38" t="s">
        <v>1318</v>
      </c>
      <c r="E493" s="91" t="s">
        <v>1319</v>
      </c>
      <c r="F493" s="38" t="s">
        <v>1323</v>
      </c>
      <c r="G493" s="38" t="s">
        <v>1321</v>
      </c>
    </row>
    <row r="494">
      <c r="B494" s="38"/>
      <c r="C494" s="38"/>
      <c r="D494" s="38" t="s">
        <v>1324</v>
      </c>
      <c r="E494" s="91" t="s">
        <v>1319</v>
      </c>
      <c r="F494" s="38" t="s">
        <v>1325</v>
      </c>
      <c r="G494" s="38" t="s">
        <v>1326</v>
      </c>
    </row>
    <row r="495">
      <c r="A495" s="38" t="s">
        <v>133</v>
      </c>
      <c r="B495" s="38" t="s">
        <v>1327</v>
      </c>
      <c r="C495" s="38">
        <v>4.0</v>
      </c>
      <c r="D495" s="38" t="s">
        <v>211</v>
      </c>
      <c r="E495" s="38" t="s">
        <v>1328</v>
      </c>
      <c r="F495" s="38" t="s">
        <v>1329</v>
      </c>
    </row>
    <row r="496">
      <c r="A496" s="38" t="s">
        <v>133</v>
      </c>
      <c r="B496" s="38" t="s">
        <v>333</v>
      </c>
      <c r="C496" s="38">
        <v>4.0</v>
      </c>
      <c r="D496" s="38" t="s">
        <v>211</v>
      </c>
      <c r="E496" s="38" t="s">
        <v>1330</v>
      </c>
      <c r="F496" s="38" t="s">
        <v>1331</v>
      </c>
    </row>
    <row r="497">
      <c r="A497" s="38" t="s">
        <v>1332</v>
      </c>
      <c r="B497" s="47" t="s">
        <v>1333</v>
      </c>
      <c r="C497" s="47" t="s">
        <v>1334</v>
      </c>
      <c r="D497" s="38" t="s">
        <v>1335</v>
      </c>
      <c r="E497" s="38" t="s">
        <v>1336</v>
      </c>
      <c r="F497" s="38" t="s">
        <v>809</v>
      </c>
    </row>
    <row r="498">
      <c r="A498" s="65">
        <v>45791.0</v>
      </c>
      <c r="B498" s="47"/>
      <c r="C498" s="47" t="s">
        <v>1337</v>
      </c>
      <c r="D498" s="47" t="s">
        <v>647</v>
      </c>
      <c r="E498" s="47" t="s">
        <v>1338</v>
      </c>
      <c r="F498" s="38" t="s">
        <v>809</v>
      </c>
    </row>
    <row r="499">
      <c r="B499" s="44"/>
      <c r="C499" s="44"/>
      <c r="D499" s="38" t="s">
        <v>1339</v>
      </c>
      <c r="E499" s="38" t="s">
        <v>1340</v>
      </c>
      <c r="F499" s="38" t="s">
        <v>1326</v>
      </c>
    </row>
    <row r="500">
      <c r="A500" s="8"/>
      <c r="B500" s="47" t="s">
        <v>1341</v>
      </c>
      <c r="C500" s="47" t="s">
        <v>1342</v>
      </c>
      <c r="D500" s="47" t="s">
        <v>1343</v>
      </c>
      <c r="E500" s="47" t="s">
        <v>1344</v>
      </c>
      <c r="F500" s="38" t="s">
        <v>1345</v>
      </c>
    </row>
    <row r="501">
      <c r="A501" s="8"/>
      <c r="B501" s="38" t="s">
        <v>1346</v>
      </c>
      <c r="C501" s="44"/>
      <c r="D501" s="47" t="s">
        <v>1347</v>
      </c>
      <c r="E501" s="47" t="s">
        <v>1344</v>
      </c>
      <c r="F501" s="38" t="s">
        <v>1345</v>
      </c>
    </row>
    <row r="502">
      <c r="A502" s="8"/>
      <c r="B502" s="44"/>
      <c r="C502" s="44"/>
      <c r="D502" s="38" t="s">
        <v>1348</v>
      </c>
      <c r="E502" s="47" t="s">
        <v>1344</v>
      </c>
      <c r="F502" s="38" t="s">
        <v>1345</v>
      </c>
    </row>
    <row r="503">
      <c r="B503" s="1" t="s">
        <v>1349</v>
      </c>
      <c r="C503" s="1">
        <v>4.0</v>
      </c>
      <c r="D503" s="1" t="s">
        <v>1350</v>
      </c>
      <c r="E503" s="1" t="s">
        <v>1351</v>
      </c>
      <c r="F503" s="22" t="s">
        <v>1352</v>
      </c>
    </row>
    <row r="504">
      <c r="B504" s="38" t="s">
        <v>1353</v>
      </c>
      <c r="C504" s="38" t="s">
        <v>1354</v>
      </c>
      <c r="D504" s="38" t="s">
        <v>1355</v>
      </c>
      <c r="E504" s="42" t="s">
        <v>1351</v>
      </c>
      <c r="F504" s="42" t="s">
        <v>1356</v>
      </c>
      <c r="G504" s="38"/>
    </row>
    <row r="505">
      <c r="B505" s="38" t="s">
        <v>58</v>
      </c>
      <c r="C505" s="38">
        <v>4.0</v>
      </c>
      <c r="D505" s="38" t="s">
        <v>545</v>
      </c>
      <c r="E505" s="38" t="s">
        <v>325</v>
      </c>
      <c r="F505" s="38" t="s">
        <v>1357</v>
      </c>
    </row>
    <row r="506">
      <c r="A506" s="4" t="s">
        <v>1358</v>
      </c>
      <c r="B506" s="47" t="s">
        <v>354</v>
      </c>
      <c r="C506" s="38">
        <v>2.0</v>
      </c>
      <c r="D506" s="47" t="s">
        <v>1359</v>
      </c>
      <c r="E506" s="38" t="s">
        <v>1360</v>
      </c>
      <c r="F506" s="44"/>
      <c r="G506" s="1" t="s">
        <v>132</v>
      </c>
    </row>
    <row r="507">
      <c r="A507" s="38" t="s">
        <v>1361</v>
      </c>
      <c r="B507" s="38" t="s">
        <v>1362</v>
      </c>
      <c r="C507" s="38" t="s">
        <v>1363</v>
      </c>
      <c r="D507" s="38" t="s">
        <v>1364</v>
      </c>
      <c r="E507" s="38" t="s">
        <v>1294</v>
      </c>
      <c r="F507" s="38" t="s">
        <v>1365</v>
      </c>
    </row>
    <row r="508">
      <c r="A508" s="44"/>
      <c r="B508" s="44"/>
      <c r="C508" s="44"/>
      <c r="D508" s="38" t="s">
        <v>1366</v>
      </c>
      <c r="E508" s="38" t="s">
        <v>1294</v>
      </c>
      <c r="F508" s="38" t="s">
        <v>1365</v>
      </c>
    </row>
    <row r="509">
      <c r="A509" s="44"/>
      <c r="B509" s="44"/>
      <c r="C509" s="38"/>
      <c r="D509" s="38" t="s">
        <v>1367</v>
      </c>
      <c r="E509" s="38" t="s">
        <v>1294</v>
      </c>
      <c r="F509" s="38" t="s">
        <v>1365</v>
      </c>
    </row>
    <row r="510">
      <c r="A510" s="8"/>
      <c r="B510" s="44"/>
      <c r="C510" s="38"/>
      <c r="D510" s="38" t="s">
        <v>1368</v>
      </c>
      <c r="E510" s="38" t="s">
        <v>1294</v>
      </c>
      <c r="F510" s="38" t="s">
        <v>1369</v>
      </c>
    </row>
    <row r="511">
      <c r="A511" s="33" t="s">
        <v>1370</v>
      </c>
      <c r="B511" s="38" t="s">
        <v>1371</v>
      </c>
      <c r="C511" s="38" t="s">
        <v>1372</v>
      </c>
      <c r="D511" s="125" t="s">
        <v>1373</v>
      </c>
      <c r="E511" s="38" t="s">
        <v>1374</v>
      </c>
      <c r="F511" s="44"/>
      <c r="G511" s="38" t="s">
        <v>1375</v>
      </c>
    </row>
    <row r="512">
      <c r="B512" s="38" t="s">
        <v>1376</v>
      </c>
      <c r="C512" s="38" t="s">
        <v>1377</v>
      </c>
      <c r="D512" s="38" t="s">
        <v>701</v>
      </c>
      <c r="E512" s="38" t="s">
        <v>1374</v>
      </c>
      <c r="F512" s="38" t="s">
        <v>1378</v>
      </c>
      <c r="G512" s="38" t="s">
        <v>1375</v>
      </c>
    </row>
    <row r="513">
      <c r="B513" s="38"/>
      <c r="C513" s="38" t="s">
        <v>1379</v>
      </c>
      <c r="D513" s="38" t="s">
        <v>1380</v>
      </c>
      <c r="E513" s="38" t="s">
        <v>1374</v>
      </c>
      <c r="F513" s="38" t="s">
        <v>1381</v>
      </c>
      <c r="G513" s="38" t="s">
        <v>1375</v>
      </c>
    </row>
    <row r="514">
      <c r="A514" s="38" t="s">
        <v>133</v>
      </c>
      <c r="B514" s="38" t="s">
        <v>718</v>
      </c>
      <c r="C514" s="38">
        <v>4.0</v>
      </c>
      <c r="D514" s="38" t="s">
        <v>1382</v>
      </c>
      <c r="E514" s="38" t="s">
        <v>1383</v>
      </c>
      <c r="F514" s="44"/>
    </row>
    <row r="515">
      <c r="A515" s="38" t="s">
        <v>133</v>
      </c>
      <c r="B515" s="38" t="s">
        <v>283</v>
      </c>
      <c r="C515" s="38">
        <v>4.0</v>
      </c>
      <c r="D515" s="38" t="s">
        <v>1384</v>
      </c>
      <c r="E515" s="38" t="s">
        <v>1385</v>
      </c>
      <c r="F515" s="38" t="s">
        <v>1386</v>
      </c>
    </row>
    <row r="516">
      <c r="B516" s="38" t="s">
        <v>1010</v>
      </c>
      <c r="C516" s="38">
        <v>4.0</v>
      </c>
      <c r="D516" s="38" t="s">
        <v>1387</v>
      </c>
      <c r="E516" s="38" t="s">
        <v>1294</v>
      </c>
      <c r="F516" s="38" t="s">
        <v>441</v>
      </c>
      <c r="G516" s="38" t="s">
        <v>1365</v>
      </c>
    </row>
    <row r="517">
      <c r="B517" s="38"/>
      <c r="C517" s="38"/>
      <c r="D517" s="38" t="s">
        <v>1388</v>
      </c>
      <c r="E517" s="38" t="s">
        <v>1294</v>
      </c>
      <c r="F517" s="38" t="s">
        <v>1378</v>
      </c>
      <c r="G517" s="38" t="s">
        <v>1365</v>
      </c>
    </row>
    <row r="518">
      <c r="B518" s="38" t="s">
        <v>1006</v>
      </c>
      <c r="C518" s="38">
        <v>1.0</v>
      </c>
      <c r="D518" s="38" t="s">
        <v>1389</v>
      </c>
      <c r="E518" s="38" t="s">
        <v>1390</v>
      </c>
      <c r="F518" s="38" t="s">
        <v>353</v>
      </c>
      <c r="G518" s="38" t="s">
        <v>1391</v>
      </c>
    </row>
    <row r="519">
      <c r="B519" s="38" t="s">
        <v>25</v>
      </c>
      <c r="C519" s="38">
        <v>4.0</v>
      </c>
      <c r="D519" s="38" t="s">
        <v>291</v>
      </c>
      <c r="E519" s="38" t="s">
        <v>1392</v>
      </c>
      <c r="F519" s="38" t="s">
        <v>348</v>
      </c>
      <c r="G519" s="38" t="s">
        <v>1393</v>
      </c>
    </row>
    <row r="520">
      <c r="A520" s="1" t="s">
        <v>133</v>
      </c>
      <c r="B520" s="38" t="s">
        <v>219</v>
      </c>
      <c r="C520" s="38">
        <v>4.0</v>
      </c>
      <c r="D520" s="38" t="s">
        <v>232</v>
      </c>
      <c r="E520" s="38" t="s">
        <v>1394</v>
      </c>
      <c r="F520" s="38" t="s">
        <v>338</v>
      </c>
      <c r="G520" s="38" t="s">
        <v>1395</v>
      </c>
    </row>
    <row r="521">
      <c r="B521" s="38" t="s">
        <v>1396</v>
      </c>
      <c r="C521" s="47" t="s">
        <v>1397</v>
      </c>
      <c r="D521" s="47" t="s">
        <v>1398</v>
      </c>
      <c r="E521" s="47" t="s">
        <v>1279</v>
      </c>
      <c r="F521" s="38" t="s">
        <v>1399</v>
      </c>
    </row>
    <row r="522">
      <c r="A522" s="44"/>
      <c r="B522" s="38" t="s">
        <v>1400</v>
      </c>
      <c r="C522" s="38">
        <v>4.0</v>
      </c>
      <c r="D522" s="38" t="s">
        <v>36</v>
      </c>
      <c r="E522" s="39" t="s">
        <v>1401</v>
      </c>
      <c r="F522" s="38" t="s">
        <v>1402</v>
      </c>
      <c r="G522" s="38" t="s">
        <v>1403</v>
      </c>
    </row>
    <row r="523">
      <c r="A523" s="5" t="s">
        <v>133</v>
      </c>
      <c r="B523" s="38" t="s">
        <v>41</v>
      </c>
      <c r="C523" s="38">
        <v>4.0</v>
      </c>
      <c r="D523" s="38" t="s">
        <v>1404</v>
      </c>
      <c r="E523" s="38" t="s">
        <v>1072</v>
      </c>
      <c r="F523" s="38" t="s">
        <v>1405</v>
      </c>
      <c r="G523" s="38" t="s">
        <v>1076</v>
      </c>
    </row>
    <row r="524">
      <c r="A524" s="44"/>
      <c r="B524" s="59" t="s">
        <v>1406</v>
      </c>
      <c r="C524" s="44"/>
      <c r="D524" s="44"/>
      <c r="E524" s="38" t="s">
        <v>1072</v>
      </c>
      <c r="F524" s="38" t="s">
        <v>143</v>
      </c>
      <c r="G524" s="38" t="s">
        <v>1076</v>
      </c>
    </row>
    <row r="525">
      <c r="A525" s="44"/>
      <c r="B525" s="38" t="s">
        <v>1407</v>
      </c>
      <c r="C525" s="38">
        <v>4.0</v>
      </c>
      <c r="D525" s="38" t="s">
        <v>1305</v>
      </c>
      <c r="E525" s="38" t="s">
        <v>1072</v>
      </c>
      <c r="F525" s="38" t="s">
        <v>1408</v>
      </c>
      <c r="G525" s="38" t="s">
        <v>1076</v>
      </c>
    </row>
    <row r="526">
      <c r="A526" s="44"/>
      <c r="B526" s="38" t="s">
        <v>1409</v>
      </c>
      <c r="C526" s="38">
        <v>2.0</v>
      </c>
      <c r="D526" s="38" t="s">
        <v>1410</v>
      </c>
      <c r="E526" s="38" t="s">
        <v>1411</v>
      </c>
      <c r="F526" s="38" t="s">
        <v>1412</v>
      </c>
    </row>
    <row r="527">
      <c r="A527" s="1" t="s">
        <v>1413</v>
      </c>
      <c r="B527" s="1" t="s">
        <v>1414</v>
      </c>
      <c r="D527" s="1" t="s">
        <v>1415</v>
      </c>
      <c r="E527" s="1" t="s">
        <v>1416</v>
      </c>
      <c r="F527" s="1" t="s">
        <v>1417</v>
      </c>
      <c r="G527" s="1" t="s">
        <v>1418</v>
      </c>
      <c r="H527" s="1" t="s">
        <v>144</v>
      </c>
    </row>
    <row r="528">
      <c r="A528" s="126">
        <v>45474.0</v>
      </c>
      <c r="D528" s="1"/>
      <c r="E528" s="1" t="s">
        <v>1416</v>
      </c>
      <c r="F528" s="1" t="s">
        <v>1419</v>
      </c>
      <c r="G528" s="1" t="s">
        <v>1418</v>
      </c>
      <c r="H528" s="1" t="s">
        <v>144</v>
      </c>
    </row>
    <row r="529">
      <c r="A529" s="19"/>
      <c r="B529" s="44"/>
      <c r="C529" s="38" t="s">
        <v>1420</v>
      </c>
      <c r="D529" s="38" t="s">
        <v>1421</v>
      </c>
      <c r="E529" s="38" t="s">
        <v>1294</v>
      </c>
      <c r="F529" s="38" t="s">
        <v>1422</v>
      </c>
    </row>
    <row r="530">
      <c r="A530" s="38" t="s">
        <v>1423</v>
      </c>
      <c r="B530" s="47" t="s">
        <v>1424</v>
      </c>
      <c r="C530" s="38" t="s">
        <v>1425</v>
      </c>
      <c r="D530" s="47" t="s">
        <v>1426</v>
      </c>
      <c r="E530" s="47" t="s">
        <v>1427</v>
      </c>
      <c r="F530" s="47" t="s">
        <v>1428</v>
      </c>
      <c r="G530" s="38" t="s">
        <v>1429</v>
      </c>
    </row>
    <row r="531">
      <c r="A531" s="65">
        <v>45810.0</v>
      </c>
      <c r="B531" s="44"/>
      <c r="C531" s="47"/>
      <c r="D531" s="47" t="s">
        <v>1430</v>
      </c>
      <c r="E531" s="47" t="s">
        <v>1427</v>
      </c>
      <c r="F531" s="47" t="s">
        <v>1242</v>
      </c>
      <c r="G531" s="38" t="s">
        <v>1429</v>
      </c>
    </row>
    <row r="532">
      <c r="A532" s="65"/>
      <c r="B532" s="44"/>
      <c r="C532" s="47"/>
      <c r="D532" s="47"/>
      <c r="E532" s="47" t="s">
        <v>1427</v>
      </c>
      <c r="F532" s="38" t="s">
        <v>1431</v>
      </c>
      <c r="G532" s="38" t="s">
        <v>1429</v>
      </c>
    </row>
    <row r="533">
      <c r="B533" s="38" t="s">
        <v>1432</v>
      </c>
      <c r="C533" s="38">
        <v>4.0</v>
      </c>
      <c r="D533" s="38" t="s">
        <v>206</v>
      </c>
      <c r="E533" s="38" t="s">
        <v>1433</v>
      </c>
      <c r="F533" s="38" t="s">
        <v>1434</v>
      </c>
    </row>
    <row r="534">
      <c r="A534" s="19">
        <v>45811.0</v>
      </c>
      <c r="B534" s="1" t="s">
        <v>1435</v>
      </c>
      <c r="C534" s="1" t="s">
        <v>1436</v>
      </c>
      <c r="D534" s="1" t="s">
        <v>1437</v>
      </c>
      <c r="E534" s="1" t="s">
        <v>1438</v>
      </c>
    </row>
    <row r="535">
      <c r="C535" s="1" t="s">
        <v>1439</v>
      </c>
      <c r="D535" s="1" t="s">
        <v>1440</v>
      </c>
      <c r="E535" s="1" t="s">
        <v>1441</v>
      </c>
      <c r="F535" s="1" t="s">
        <v>1442</v>
      </c>
    </row>
    <row r="536">
      <c r="A536" s="38" t="s">
        <v>133</v>
      </c>
      <c r="B536" s="38" t="s">
        <v>495</v>
      </c>
      <c r="C536" s="38">
        <v>2.0</v>
      </c>
      <c r="D536" s="38" t="s">
        <v>315</v>
      </c>
      <c r="E536" s="38" t="s">
        <v>1443</v>
      </c>
      <c r="F536" s="38" t="s">
        <v>1444</v>
      </c>
    </row>
    <row r="537">
      <c r="A537" s="44"/>
      <c r="B537" s="38" t="s">
        <v>439</v>
      </c>
      <c r="C537" s="38">
        <v>2.0</v>
      </c>
      <c r="D537" s="38" t="s">
        <v>315</v>
      </c>
      <c r="E537" s="38" t="s">
        <v>1443</v>
      </c>
      <c r="F537" s="38" t="s">
        <v>1444</v>
      </c>
    </row>
    <row r="538">
      <c r="A538" s="127">
        <v>45817.0</v>
      </c>
      <c r="B538" s="38" t="s">
        <v>1445</v>
      </c>
      <c r="C538" s="44"/>
      <c r="D538" s="128" t="s">
        <v>1446</v>
      </c>
      <c r="E538" s="47" t="s">
        <v>1447</v>
      </c>
      <c r="F538" s="44"/>
    </row>
    <row r="539">
      <c r="A539" s="44"/>
      <c r="B539" s="38" t="s">
        <v>1448</v>
      </c>
      <c r="C539" s="44"/>
      <c r="D539" s="128" t="s">
        <v>1449</v>
      </c>
      <c r="E539" s="47" t="s">
        <v>1447</v>
      </c>
      <c r="F539" s="44"/>
    </row>
    <row r="540">
      <c r="A540" s="44"/>
      <c r="B540" s="38" t="s">
        <v>1450</v>
      </c>
      <c r="C540" s="44"/>
      <c r="D540" s="38" t="s">
        <v>1451</v>
      </c>
      <c r="E540" s="47" t="s">
        <v>1447</v>
      </c>
      <c r="F540" s="44"/>
    </row>
    <row r="541">
      <c r="A541" s="44"/>
      <c r="B541" s="38" t="s">
        <v>1452</v>
      </c>
      <c r="C541" s="44"/>
      <c r="D541" s="38" t="s">
        <v>1453</v>
      </c>
      <c r="E541" s="47" t="s">
        <v>1447</v>
      </c>
      <c r="F541" s="44"/>
    </row>
    <row r="542">
      <c r="A542" s="44"/>
      <c r="B542" s="47" t="s">
        <v>1454</v>
      </c>
      <c r="C542" s="47">
        <v>2.0</v>
      </c>
      <c r="D542" s="38" t="s">
        <v>1455</v>
      </c>
      <c r="E542" s="38" t="s">
        <v>1456</v>
      </c>
      <c r="F542" s="38" t="s">
        <v>1457</v>
      </c>
    </row>
    <row r="543">
      <c r="A543" s="44"/>
      <c r="B543" s="47" t="s">
        <v>1409</v>
      </c>
      <c r="C543" s="47">
        <v>2.0</v>
      </c>
      <c r="D543" s="38" t="s">
        <v>1455</v>
      </c>
      <c r="E543" s="38" t="s">
        <v>1458</v>
      </c>
      <c r="F543" s="38" t="s">
        <v>1457</v>
      </c>
    </row>
    <row r="544">
      <c r="A544" s="38" t="s">
        <v>1459</v>
      </c>
      <c r="B544" s="38" t="s">
        <v>1460</v>
      </c>
      <c r="C544" s="99" t="s">
        <v>1461</v>
      </c>
      <c r="D544" s="47" t="s">
        <v>1462</v>
      </c>
      <c r="E544" s="47" t="s">
        <v>1463</v>
      </c>
      <c r="F544" s="38" t="s">
        <v>1464</v>
      </c>
    </row>
    <row r="545">
      <c r="A545" s="65">
        <v>45819.0</v>
      </c>
      <c r="B545" s="44"/>
      <c r="C545" s="38" t="s">
        <v>1465</v>
      </c>
      <c r="D545" s="47"/>
      <c r="E545" s="47" t="s">
        <v>1463</v>
      </c>
      <c r="F545" s="38" t="s">
        <v>1464</v>
      </c>
    </row>
    <row r="546">
      <c r="A546" s="44"/>
      <c r="B546" s="44"/>
      <c r="C546" s="99" t="s">
        <v>1466</v>
      </c>
      <c r="D546" s="47"/>
      <c r="E546" s="47" t="s">
        <v>1467</v>
      </c>
      <c r="F546" s="38" t="s">
        <v>1464</v>
      </c>
    </row>
    <row r="547">
      <c r="B547" s="38" t="s">
        <v>1468</v>
      </c>
      <c r="C547" s="38">
        <v>2.0</v>
      </c>
      <c r="D547" s="38" t="s">
        <v>1014</v>
      </c>
      <c r="E547" s="38" t="s">
        <v>1469</v>
      </c>
      <c r="F547" s="38" t="s">
        <v>1470</v>
      </c>
    </row>
    <row r="548">
      <c r="A548" s="8"/>
      <c r="B548" s="47" t="s">
        <v>1471</v>
      </c>
      <c r="C548" s="47" t="s">
        <v>1472</v>
      </c>
      <c r="D548" s="38" t="s">
        <v>1473</v>
      </c>
      <c r="E548" s="47" t="s">
        <v>392</v>
      </c>
      <c r="F548" s="38" t="s">
        <v>393</v>
      </c>
    </row>
    <row r="549">
      <c r="A549" s="8"/>
      <c r="B549" s="47" t="s">
        <v>1474</v>
      </c>
      <c r="C549" s="44"/>
      <c r="D549" s="38" t="s">
        <v>1475</v>
      </c>
      <c r="E549" s="47" t="s">
        <v>392</v>
      </c>
      <c r="F549" s="38" t="s">
        <v>393</v>
      </c>
    </row>
    <row r="550">
      <c r="A550" s="38" t="s">
        <v>1476</v>
      </c>
      <c r="B550" s="47" t="s">
        <v>1477</v>
      </c>
      <c r="C550" s="47" t="s">
        <v>1478</v>
      </c>
      <c r="D550" s="47" t="s">
        <v>1479</v>
      </c>
      <c r="E550" s="47" t="s">
        <v>1480</v>
      </c>
      <c r="F550" s="38" t="s">
        <v>1481</v>
      </c>
      <c r="G550" s="44"/>
      <c r="H550" s="38" t="s">
        <v>1482</v>
      </c>
    </row>
    <row r="551">
      <c r="A551" s="65">
        <v>45819.0</v>
      </c>
      <c r="B551" s="38" t="s">
        <v>1483</v>
      </c>
      <c r="C551" s="44"/>
      <c r="D551" s="47" t="s">
        <v>1439</v>
      </c>
      <c r="E551" s="47" t="s">
        <v>1480</v>
      </c>
      <c r="F551" s="44"/>
      <c r="G551" s="44"/>
      <c r="H551" s="38" t="s">
        <v>1482</v>
      </c>
    </row>
    <row r="552">
      <c r="A552" s="19"/>
      <c r="B552" s="38"/>
      <c r="C552" s="38" t="s">
        <v>1484</v>
      </c>
      <c r="D552" s="38" t="s">
        <v>1485</v>
      </c>
      <c r="E552" s="47" t="s">
        <v>1480</v>
      </c>
      <c r="F552" s="129"/>
      <c r="G552" s="44"/>
      <c r="H552" s="44"/>
      <c r="I552" s="1"/>
    </row>
    <row r="553">
      <c r="A553" s="19"/>
      <c r="B553" s="38" t="s">
        <v>1486</v>
      </c>
      <c r="C553" s="99" t="s">
        <v>1487</v>
      </c>
      <c r="D553" s="38" t="s">
        <v>1488</v>
      </c>
      <c r="E553" s="47" t="s">
        <v>1480</v>
      </c>
      <c r="F553" s="129" t="s">
        <v>1489</v>
      </c>
      <c r="G553" s="44"/>
      <c r="H553" s="38" t="s">
        <v>1490</v>
      </c>
      <c r="I553" s="1"/>
    </row>
    <row r="554">
      <c r="B554" s="38" t="s">
        <v>283</v>
      </c>
      <c r="C554" s="38">
        <v>4.0</v>
      </c>
      <c r="D554" s="38" t="s">
        <v>1491</v>
      </c>
      <c r="E554" s="47" t="s">
        <v>1492</v>
      </c>
      <c r="F554" s="38" t="s">
        <v>1493</v>
      </c>
    </row>
    <row r="555">
      <c r="A555" s="130"/>
      <c r="B555" s="131" t="s">
        <v>1096</v>
      </c>
      <c r="C555" s="131">
        <v>2.0</v>
      </c>
      <c r="D555" s="131" t="s">
        <v>719</v>
      </c>
      <c r="E555" s="131" t="s">
        <v>413</v>
      </c>
      <c r="F555" s="131" t="s">
        <v>1494</v>
      </c>
    </row>
    <row r="556">
      <c r="A556" s="130"/>
      <c r="B556" s="131" t="s">
        <v>1159</v>
      </c>
      <c r="C556" s="131">
        <v>2.0</v>
      </c>
      <c r="D556" s="131" t="s">
        <v>719</v>
      </c>
      <c r="E556" s="131" t="s">
        <v>413</v>
      </c>
      <c r="F556" s="131" t="s">
        <v>1494</v>
      </c>
    </row>
    <row r="557">
      <c r="B557" s="38" t="s">
        <v>1317</v>
      </c>
      <c r="C557" s="38">
        <v>2.0</v>
      </c>
      <c r="D557" s="38" t="s">
        <v>1495</v>
      </c>
      <c r="E557" s="38" t="s">
        <v>1496</v>
      </c>
      <c r="F557" s="38" t="s">
        <v>1497</v>
      </c>
      <c r="G557" s="38" t="s">
        <v>1498</v>
      </c>
    </row>
    <row r="558">
      <c r="B558" s="38" t="s">
        <v>755</v>
      </c>
      <c r="C558" s="38">
        <v>4.0</v>
      </c>
      <c r="D558" s="38" t="s">
        <v>1499</v>
      </c>
      <c r="E558" s="38" t="s">
        <v>1500</v>
      </c>
      <c r="F558" s="38" t="s">
        <v>1501</v>
      </c>
    </row>
    <row r="559">
      <c r="B559" s="44"/>
      <c r="C559" s="38" t="s">
        <v>1502</v>
      </c>
      <c r="D559" s="38" t="s">
        <v>1503</v>
      </c>
      <c r="E559" s="38" t="s">
        <v>1500</v>
      </c>
      <c r="F559" s="38" t="s">
        <v>1501</v>
      </c>
    </row>
    <row r="560">
      <c r="B560" s="38"/>
      <c r="C560" s="38"/>
      <c r="D560" s="38" t="s">
        <v>1504</v>
      </c>
      <c r="E560" s="38" t="s">
        <v>1500</v>
      </c>
      <c r="F560" s="44"/>
    </row>
    <row r="561">
      <c r="A561" s="4" t="s">
        <v>1505</v>
      </c>
      <c r="B561" s="38" t="s">
        <v>188</v>
      </c>
      <c r="C561" s="38">
        <v>4.0</v>
      </c>
      <c r="D561" s="38" t="s">
        <v>211</v>
      </c>
      <c r="E561" s="38" t="s">
        <v>325</v>
      </c>
      <c r="F561" s="38" t="s">
        <v>1506</v>
      </c>
      <c r="G561" s="1" t="s">
        <v>1507</v>
      </c>
    </row>
    <row r="562">
      <c r="B562" s="44"/>
      <c r="C562" s="44"/>
      <c r="D562" s="44"/>
      <c r="E562" s="38" t="s">
        <v>1508</v>
      </c>
      <c r="F562" s="38" t="s">
        <v>1509</v>
      </c>
      <c r="G562" s="38" t="s">
        <v>242</v>
      </c>
    </row>
    <row r="563">
      <c r="A563" s="44"/>
      <c r="B563" s="38" t="s">
        <v>271</v>
      </c>
      <c r="C563" s="38">
        <v>4.0</v>
      </c>
      <c r="D563" s="38" t="s">
        <v>1510</v>
      </c>
      <c r="E563" s="38" t="s">
        <v>1511</v>
      </c>
      <c r="F563" s="38" t="s">
        <v>1304</v>
      </c>
    </row>
    <row r="564">
      <c r="A564" s="4" t="s">
        <v>1512</v>
      </c>
      <c r="B564" s="38" t="s">
        <v>1513</v>
      </c>
      <c r="C564" s="38">
        <v>4.0</v>
      </c>
      <c r="D564" s="38" t="s">
        <v>402</v>
      </c>
      <c r="E564" s="132" t="s">
        <v>1514</v>
      </c>
      <c r="F564" s="38" t="s">
        <v>1515</v>
      </c>
      <c r="G564" s="1" t="s">
        <v>971</v>
      </c>
    </row>
    <row r="565">
      <c r="B565" s="38" t="s">
        <v>219</v>
      </c>
      <c r="C565" s="38">
        <v>4.0</v>
      </c>
      <c r="D565" s="38" t="s">
        <v>545</v>
      </c>
      <c r="E565" s="38" t="s">
        <v>1516</v>
      </c>
      <c r="F565" s="38" t="s">
        <v>1517</v>
      </c>
    </row>
    <row r="566">
      <c r="A566" s="38" t="s">
        <v>1518</v>
      </c>
      <c r="B566" s="44"/>
      <c r="C566" s="38" t="s">
        <v>1519</v>
      </c>
      <c r="D566" s="133" t="s">
        <v>1520</v>
      </c>
      <c r="E566" s="134" t="s">
        <v>1521</v>
      </c>
      <c r="F566" s="47" t="s">
        <v>1522</v>
      </c>
    </row>
    <row r="567">
      <c r="A567" s="65">
        <v>45838.0</v>
      </c>
      <c r="B567" s="38" t="s">
        <v>1523</v>
      </c>
      <c r="C567" s="38" t="s">
        <v>1524</v>
      </c>
      <c r="D567" s="133" t="s">
        <v>1525</v>
      </c>
      <c r="E567" s="134" t="s">
        <v>1526</v>
      </c>
      <c r="F567" s="47" t="s">
        <v>1522</v>
      </c>
    </row>
    <row r="568">
      <c r="A568" s="44"/>
      <c r="B568" s="44"/>
      <c r="C568" s="44"/>
      <c r="D568" s="133" t="s">
        <v>1527</v>
      </c>
      <c r="E568" s="134" t="s">
        <v>1526</v>
      </c>
      <c r="F568" s="38" t="s">
        <v>1522</v>
      </c>
    </row>
    <row r="569">
      <c r="A569" s="44"/>
      <c r="B569" s="44"/>
      <c r="C569" s="44"/>
      <c r="D569" s="133" t="s">
        <v>1528</v>
      </c>
      <c r="E569" s="134" t="s">
        <v>1526</v>
      </c>
      <c r="F569" s="38" t="s">
        <v>1522</v>
      </c>
    </row>
    <row r="570">
      <c r="A570" s="44"/>
      <c r="B570" s="44"/>
      <c r="C570" s="133" t="s">
        <v>1529</v>
      </c>
      <c r="D570" s="99" t="s">
        <v>1530</v>
      </c>
      <c r="E570" s="134" t="s">
        <v>1526</v>
      </c>
      <c r="F570" s="38" t="s">
        <v>1522</v>
      </c>
    </row>
    <row r="571">
      <c r="A571" s="44"/>
      <c r="B571" s="44"/>
      <c r="C571" s="44"/>
      <c r="D571" s="135" t="s">
        <v>1531</v>
      </c>
      <c r="E571" s="134" t="s">
        <v>1526</v>
      </c>
      <c r="F571" s="38" t="s">
        <v>1522</v>
      </c>
    </row>
    <row r="572">
      <c r="A572" s="44"/>
      <c r="B572" s="44"/>
      <c r="C572" s="44"/>
      <c r="D572" s="135" t="s">
        <v>1532</v>
      </c>
      <c r="E572" s="134" t="s">
        <v>1526</v>
      </c>
      <c r="F572" s="38" t="s">
        <v>1522</v>
      </c>
    </row>
    <row r="573">
      <c r="A573" s="38" t="s">
        <v>133</v>
      </c>
      <c r="B573" s="38" t="s">
        <v>122</v>
      </c>
      <c r="C573" s="38">
        <v>4.0</v>
      </c>
      <c r="D573" s="38" t="s">
        <v>123</v>
      </c>
      <c r="E573" s="38" t="s">
        <v>1533</v>
      </c>
      <c r="F573" s="38" t="s">
        <v>1534</v>
      </c>
    </row>
    <row r="574">
      <c r="A574" s="38" t="s">
        <v>1535</v>
      </c>
      <c r="B574" s="38" t="s">
        <v>1536</v>
      </c>
      <c r="C574" s="38" t="s">
        <v>1537</v>
      </c>
      <c r="D574" s="38" t="s">
        <v>1538</v>
      </c>
      <c r="E574" s="38" t="s">
        <v>1539</v>
      </c>
      <c r="F574" s="44"/>
    </row>
    <row r="575">
      <c r="A575" s="44"/>
      <c r="B575" s="38" t="s">
        <v>1540</v>
      </c>
      <c r="C575" s="47" t="s">
        <v>1541</v>
      </c>
      <c r="D575" s="47" t="s">
        <v>1542</v>
      </c>
      <c r="E575" s="47" t="s">
        <v>1543</v>
      </c>
      <c r="F575" s="44"/>
    </row>
    <row r="576">
      <c r="A576" s="4" t="s">
        <v>1544</v>
      </c>
      <c r="B576" s="38" t="s">
        <v>1317</v>
      </c>
      <c r="C576" s="38">
        <v>4.0</v>
      </c>
      <c r="D576" s="38" t="s">
        <v>123</v>
      </c>
      <c r="E576" s="38" t="s">
        <v>325</v>
      </c>
      <c r="F576" s="38" t="s">
        <v>1545</v>
      </c>
      <c r="G576" s="1" t="s">
        <v>126</v>
      </c>
    </row>
    <row r="577">
      <c r="B577" s="44"/>
      <c r="C577" s="44"/>
      <c r="D577" s="112" t="s">
        <v>1546</v>
      </c>
      <c r="E577" s="38" t="s">
        <v>1547</v>
      </c>
      <c r="F577" s="44"/>
    </row>
    <row r="578">
      <c r="B578" s="44"/>
      <c r="C578" s="44"/>
      <c r="D578" s="136" t="s">
        <v>1548</v>
      </c>
      <c r="E578" s="38" t="s">
        <v>1549</v>
      </c>
      <c r="F578" s="44"/>
    </row>
    <row r="579">
      <c r="B579" s="38" t="s">
        <v>308</v>
      </c>
      <c r="C579" s="38">
        <v>4.0</v>
      </c>
      <c r="D579" s="38" t="s">
        <v>1550</v>
      </c>
      <c r="E579" s="38" t="s">
        <v>1551</v>
      </c>
      <c r="F579" s="38" t="s">
        <v>1552</v>
      </c>
    </row>
    <row r="580">
      <c r="B580" s="1" t="s">
        <v>1553</v>
      </c>
      <c r="C580" s="1" t="s">
        <v>1554</v>
      </c>
      <c r="D580" s="1" t="s">
        <v>1555</v>
      </c>
      <c r="E580" s="1" t="s">
        <v>1556</v>
      </c>
      <c r="F580" s="1" t="s">
        <v>535</v>
      </c>
    </row>
    <row r="581">
      <c r="B581" s="137"/>
      <c r="C581" s="137" t="s">
        <v>1557</v>
      </c>
      <c r="D581" s="38" t="s">
        <v>1558</v>
      </c>
      <c r="E581" s="38" t="s">
        <v>1559</v>
      </c>
      <c r="F581" s="38" t="s">
        <v>1560</v>
      </c>
    </row>
    <row r="582">
      <c r="B582" s="44"/>
      <c r="C582" s="38" t="s">
        <v>1561</v>
      </c>
      <c r="D582" s="38" t="s">
        <v>1562</v>
      </c>
      <c r="E582" s="38" t="s">
        <v>1559</v>
      </c>
      <c r="F582" s="44"/>
    </row>
    <row r="583">
      <c r="A583" s="44"/>
      <c r="B583" s="47" t="s">
        <v>47</v>
      </c>
      <c r="C583" s="38">
        <v>1.0</v>
      </c>
      <c r="D583" s="47" t="s">
        <v>1563</v>
      </c>
      <c r="E583" s="38" t="s">
        <v>1564</v>
      </c>
      <c r="F583" s="38" t="s">
        <v>1565</v>
      </c>
    </row>
    <row r="584">
      <c r="A584" s="38" t="s">
        <v>1566</v>
      </c>
      <c r="B584" s="38" t="s">
        <v>1567</v>
      </c>
      <c r="C584" s="47" t="s">
        <v>1568</v>
      </c>
      <c r="D584" s="38" t="s">
        <v>1569</v>
      </c>
      <c r="E584" s="47" t="s">
        <v>1570</v>
      </c>
      <c r="F584" s="38" t="s">
        <v>1571</v>
      </c>
    </row>
    <row r="585">
      <c r="A585" s="44"/>
      <c r="B585" s="38" t="s">
        <v>1572</v>
      </c>
      <c r="C585" s="38" t="s">
        <v>1573</v>
      </c>
      <c r="D585" s="44"/>
      <c r="E585" s="47" t="s">
        <v>1570</v>
      </c>
      <c r="F585" s="38" t="s">
        <v>1571</v>
      </c>
    </row>
    <row r="586">
      <c r="B586" s="38"/>
      <c r="C586" s="38"/>
      <c r="D586" s="38" t="s">
        <v>1574</v>
      </c>
      <c r="E586" s="47" t="s">
        <v>1570</v>
      </c>
      <c r="F586" s="38" t="s">
        <v>1571</v>
      </c>
    </row>
    <row r="587">
      <c r="B587" s="38" t="s">
        <v>1575</v>
      </c>
      <c r="C587" s="38">
        <v>2.0</v>
      </c>
      <c r="D587" s="38" t="s">
        <v>211</v>
      </c>
      <c r="E587" s="39" t="s">
        <v>1576</v>
      </c>
      <c r="F587" s="38" t="s">
        <v>1577</v>
      </c>
    </row>
    <row r="588">
      <c r="B588" s="38" t="s">
        <v>28</v>
      </c>
      <c r="C588" s="38">
        <v>4.0</v>
      </c>
      <c r="D588" s="38" t="s">
        <v>229</v>
      </c>
      <c r="E588" s="38" t="s">
        <v>1578</v>
      </c>
      <c r="F588" s="44"/>
    </row>
    <row r="589">
      <c r="B589" s="38" t="s">
        <v>85</v>
      </c>
      <c r="C589" s="38">
        <v>2.0</v>
      </c>
      <c r="D589" s="38" t="s">
        <v>1579</v>
      </c>
      <c r="E589" s="38" t="s">
        <v>1580</v>
      </c>
      <c r="F589" s="38" t="s">
        <v>1581</v>
      </c>
      <c r="G589" s="38" t="s">
        <v>1582</v>
      </c>
    </row>
    <row r="590">
      <c r="B590" s="38" t="s">
        <v>842</v>
      </c>
      <c r="C590" s="38">
        <v>1.0</v>
      </c>
      <c r="D590" s="38" t="s">
        <v>1583</v>
      </c>
      <c r="E590" s="101" t="s">
        <v>1584</v>
      </c>
      <c r="F590" s="38" t="s">
        <v>1585</v>
      </c>
    </row>
    <row r="591">
      <c r="B591" s="74" t="s">
        <v>1586</v>
      </c>
      <c r="C591" s="44"/>
      <c r="D591" s="44"/>
      <c r="E591" s="38" t="s">
        <v>1587</v>
      </c>
      <c r="F591" s="38" t="s">
        <v>1588</v>
      </c>
    </row>
    <row r="592">
      <c r="B592" s="74" t="s">
        <v>1589</v>
      </c>
      <c r="C592" s="44"/>
      <c r="D592" s="44"/>
      <c r="E592" s="38" t="s">
        <v>1590</v>
      </c>
      <c r="F592" s="38" t="s">
        <v>1588</v>
      </c>
    </row>
    <row r="593">
      <c r="B593" s="38" t="s">
        <v>1057</v>
      </c>
      <c r="C593" s="38">
        <v>2.0</v>
      </c>
      <c r="D593" s="38" t="s">
        <v>343</v>
      </c>
      <c r="E593" s="38" t="s">
        <v>1590</v>
      </c>
      <c r="F593" s="38" t="s">
        <v>1588</v>
      </c>
    </row>
    <row r="594">
      <c r="B594" s="38" t="s">
        <v>1055</v>
      </c>
      <c r="C594" s="38">
        <v>2.0</v>
      </c>
      <c r="D594" s="38" t="s">
        <v>343</v>
      </c>
      <c r="E594" s="38" t="s">
        <v>1590</v>
      </c>
      <c r="F594" s="38" t="s">
        <v>1588</v>
      </c>
    </row>
    <row r="595">
      <c r="B595" s="38" t="s">
        <v>1591</v>
      </c>
      <c r="C595" s="44"/>
      <c r="D595" s="38" t="s">
        <v>1592</v>
      </c>
      <c r="E595" s="38" t="s">
        <v>1590</v>
      </c>
      <c r="F595" s="38" t="s">
        <v>1593</v>
      </c>
    </row>
    <row r="596">
      <c r="B596" s="38"/>
      <c r="C596" s="44"/>
      <c r="D596" s="38" t="s">
        <v>1594</v>
      </c>
      <c r="E596" s="38" t="s">
        <v>1590</v>
      </c>
      <c r="F596" s="38" t="s">
        <v>1595</v>
      </c>
      <c r="G596" s="38" t="s">
        <v>1596</v>
      </c>
    </row>
    <row r="597">
      <c r="B597" s="38" t="s">
        <v>1597</v>
      </c>
      <c r="C597" s="38">
        <v>2.0</v>
      </c>
      <c r="D597" s="38" t="s">
        <v>1598</v>
      </c>
      <c r="E597" s="38" t="s">
        <v>1590</v>
      </c>
      <c r="F597" s="38" t="s">
        <v>1595</v>
      </c>
      <c r="G597" s="38" t="s">
        <v>1596</v>
      </c>
    </row>
    <row r="598">
      <c r="B598" s="38"/>
      <c r="C598" s="44"/>
      <c r="D598" s="38" t="s">
        <v>1599</v>
      </c>
      <c r="E598" s="38" t="s">
        <v>1590</v>
      </c>
      <c r="F598" s="38" t="s">
        <v>1595</v>
      </c>
      <c r="G598" s="38" t="s">
        <v>1596</v>
      </c>
    </row>
    <row r="599">
      <c r="B599" s="47" t="s">
        <v>1600</v>
      </c>
      <c r="C599" s="44"/>
      <c r="D599" s="44"/>
      <c r="E599" s="47" t="s">
        <v>325</v>
      </c>
      <c r="F599" s="38" t="s">
        <v>1601</v>
      </c>
      <c r="G599" s="38" t="s">
        <v>1602</v>
      </c>
    </row>
    <row r="600">
      <c r="B600" s="47" t="s">
        <v>1603</v>
      </c>
      <c r="C600" s="44"/>
      <c r="D600" s="44"/>
      <c r="E600" s="47" t="s">
        <v>325</v>
      </c>
      <c r="F600" s="44"/>
      <c r="G600" s="38" t="s">
        <v>1602</v>
      </c>
    </row>
    <row r="601">
      <c r="A601" s="8"/>
      <c r="B601" s="15"/>
      <c r="C601" s="8"/>
      <c r="D601" s="8"/>
      <c r="E601" s="15" t="s">
        <v>325</v>
      </c>
      <c r="F601" s="5" t="s">
        <v>1604</v>
      </c>
      <c r="G601" s="5"/>
    </row>
    <row r="602">
      <c r="A602" s="8"/>
      <c r="B602" s="38" t="s">
        <v>43</v>
      </c>
      <c r="C602" s="38">
        <v>2.0</v>
      </c>
      <c r="D602" s="38" t="s">
        <v>1193</v>
      </c>
      <c r="E602" s="47" t="s">
        <v>325</v>
      </c>
      <c r="F602" s="38" t="s">
        <v>1605</v>
      </c>
      <c r="G602" s="38" t="s">
        <v>1602</v>
      </c>
    </row>
    <row r="603">
      <c r="A603" s="8"/>
      <c r="B603" s="38" t="s">
        <v>47</v>
      </c>
      <c r="C603" s="38">
        <v>2.0</v>
      </c>
      <c r="D603" s="38" t="s">
        <v>1193</v>
      </c>
      <c r="E603" s="47" t="s">
        <v>325</v>
      </c>
      <c r="F603" s="44"/>
      <c r="G603" s="38" t="s">
        <v>1602</v>
      </c>
    </row>
    <row r="604">
      <c r="B604" s="47" t="s">
        <v>1606</v>
      </c>
      <c r="C604" s="47" t="s">
        <v>1607</v>
      </c>
      <c r="D604" s="38" t="s">
        <v>1608</v>
      </c>
      <c r="E604" s="42" t="s">
        <v>1609</v>
      </c>
      <c r="F604" s="44"/>
      <c r="G604" s="44"/>
    </row>
    <row r="605">
      <c r="C605" s="1" t="s">
        <v>1610</v>
      </c>
      <c r="D605" s="1" t="s">
        <v>1611</v>
      </c>
      <c r="E605" s="1" t="s">
        <v>1612</v>
      </c>
    </row>
    <row r="606">
      <c r="C606" s="1"/>
      <c r="D606" s="1" t="s">
        <v>1613</v>
      </c>
      <c r="E606" s="1" t="s">
        <v>1614</v>
      </c>
    </row>
    <row r="607">
      <c r="A607" s="38" t="s">
        <v>1615</v>
      </c>
      <c r="B607" s="38" t="s">
        <v>1616</v>
      </c>
      <c r="C607" s="38" t="s">
        <v>1617</v>
      </c>
      <c r="D607" s="38" t="s">
        <v>1618</v>
      </c>
      <c r="E607" s="47" t="s">
        <v>1619</v>
      </c>
      <c r="F607" s="44"/>
    </row>
    <row r="608">
      <c r="A608" s="65">
        <v>45841.0</v>
      </c>
      <c r="B608" s="38" t="s">
        <v>1620</v>
      </c>
      <c r="C608" s="38" t="s">
        <v>1621</v>
      </c>
      <c r="D608" s="44"/>
      <c r="E608" s="47" t="s">
        <v>1619</v>
      </c>
      <c r="F608" s="47" t="s">
        <v>1475</v>
      </c>
    </row>
    <row r="609">
      <c r="B609" s="44"/>
      <c r="C609" s="44"/>
      <c r="D609" s="38" t="s">
        <v>1622</v>
      </c>
      <c r="E609" s="38" t="s">
        <v>1623</v>
      </c>
      <c r="F609" s="44"/>
    </row>
    <row r="610">
      <c r="B610" s="4" t="s">
        <v>107</v>
      </c>
      <c r="C610" s="4">
        <v>2.0</v>
      </c>
      <c r="D610" s="4" t="s">
        <v>189</v>
      </c>
      <c r="E610" s="1" t="s">
        <v>1624</v>
      </c>
      <c r="F610" s="1" t="s">
        <v>175</v>
      </c>
    </row>
    <row r="611">
      <c r="A611" s="130"/>
      <c r="B611" s="131" t="s">
        <v>1625</v>
      </c>
      <c r="C611" s="131" t="s">
        <v>1626</v>
      </c>
      <c r="D611" s="131" t="s">
        <v>1627</v>
      </c>
      <c r="E611" s="138" t="s">
        <v>1570</v>
      </c>
      <c r="F611" s="131" t="s">
        <v>1571</v>
      </c>
    </row>
    <row r="612">
      <c r="B612" s="1" t="s">
        <v>1628</v>
      </c>
      <c r="C612" s="4" t="s">
        <v>1629</v>
      </c>
      <c r="D612" s="1" t="s">
        <v>1630</v>
      </c>
      <c r="E612" s="4" t="s">
        <v>1570</v>
      </c>
      <c r="F612" s="4"/>
    </row>
    <row r="613">
      <c r="B613" s="4" t="s">
        <v>1631</v>
      </c>
      <c r="C613" s="4" t="s">
        <v>1632</v>
      </c>
      <c r="D613" s="4" t="s">
        <v>1633</v>
      </c>
      <c r="E613" s="4" t="s">
        <v>1570</v>
      </c>
      <c r="F613" s="4"/>
      <c r="H613" s="139"/>
      <c r="I613" s="140"/>
    </row>
    <row r="614">
      <c r="F614" s="4"/>
      <c r="H614" s="139"/>
      <c r="I614" s="140"/>
    </row>
    <row r="615">
      <c r="F615" s="4"/>
      <c r="H615" s="139"/>
      <c r="I615" s="140"/>
    </row>
    <row r="616">
      <c r="D616" s="1" t="s">
        <v>1634</v>
      </c>
      <c r="E616" s="1" t="s">
        <v>1635</v>
      </c>
    </row>
    <row r="617">
      <c r="B617" s="38" t="s">
        <v>1636</v>
      </c>
      <c r="C617" s="44"/>
      <c r="D617" s="44"/>
      <c r="E617" s="47" t="s">
        <v>1637</v>
      </c>
      <c r="F617" s="44"/>
    </row>
    <row r="618">
      <c r="B618" s="38" t="s">
        <v>1638</v>
      </c>
      <c r="C618" s="44"/>
      <c r="D618" s="44"/>
      <c r="E618" s="47" t="s">
        <v>1637</v>
      </c>
      <c r="F618" s="44"/>
    </row>
    <row r="619">
      <c r="B619" s="38" t="s">
        <v>1639</v>
      </c>
      <c r="C619" s="44"/>
      <c r="D619" s="44"/>
      <c r="E619" s="47" t="s">
        <v>1637</v>
      </c>
      <c r="F619" s="44"/>
    </row>
    <row r="620">
      <c r="B620" s="44"/>
      <c r="C620" s="47" t="s">
        <v>1640</v>
      </c>
      <c r="D620" s="47" t="s">
        <v>1641</v>
      </c>
      <c r="E620" s="38" t="s">
        <v>1642</v>
      </c>
      <c r="F620" s="38" t="s">
        <v>1643</v>
      </c>
    </row>
    <row r="621">
      <c r="B621" s="44"/>
      <c r="C621" s="47" t="s">
        <v>1644</v>
      </c>
      <c r="D621" s="47" t="s">
        <v>1645</v>
      </c>
      <c r="E621" s="38" t="s">
        <v>1646</v>
      </c>
      <c r="F621" s="38" t="s">
        <v>1643</v>
      </c>
    </row>
    <row r="622">
      <c r="B622" s="59" t="s">
        <v>1647</v>
      </c>
      <c r="C622" s="44"/>
      <c r="D622" s="38" t="s">
        <v>1648</v>
      </c>
      <c r="E622" s="38" t="s">
        <v>1649</v>
      </c>
      <c r="F622" s="38" t="s">
        <v>1650</v>
      </c>
    </row>
    <row r="623">
      <c r="B623" s="59"/>
      <c r="C623" s="44"/>
      <c r="D623" s="38" t="s">
        <v>1651</v>
      </c>
      <c r="E623" s="38" t="s">
        <v>1649</v>
      </c>
      <c r="F623" s="38" t="s">
        <v>1650</v>
      </c>
    </row>
    <row r="624">
      <c r="A624" s="44"/>
      <c r="B624" s="38" t="s">
        <v>1652</v>
      </c>
      <c r="C624" s="38">
        <v>2.0</v>
      </c>
      <c r="D624" s="38" t="s">
        <v>1653</v>
      </c>
      <c r="E624" s="38" t="s">
        <v>1654</v>
      </c>
      <c r="F624" s="38" t="s">
        <v>1655</v>
      </c>
      <c r="G624" s="38" t="s">
        <v>1656</v>
      </c>
    </row>
    <row r="625">
      <c r="A625" s="141">
        <v>45694.0</v>
      </c>
      <c r="B625" s="44"/>
      <c r="C625" s="38" t="s">
        <v>1657</v>
      </c>
      <c r="D625" s="38" t="s">
        <v>1658</v>
      </c>
      <c r="E625" s="38" t="s">
        <v>1659</v>
      </c>
      <c r="F625" s="94" t="s">
        <v>1105</v>
      </c>
    </row>
    <row r="626">
      <c r="B626" s="44"/>
      <c r="C626" s="38" t="s">
        <v>372</v>
      </c>
      <c r="D626" s="38" t="s">
        <v>1660</v>
      </c>
      <c r="E626" s="38" t="s">
        <v>1374</v>
      </c>
      <c r="F626" s="38" t="s">
        <v>1661</v>
      </c>
    </row>
    <row r="627">
      <c r="B627" s="44"/>
      <c r="C627" s="38">
        <v>4.0</v>
      </c>
      <c r="D627" s="38" t="s">
        <v>1662</v>
      </c>
      <c r="E627" s="38" t="s">
        <v>1663</v>
      </c>
      <c r="F627" s="38" t="s">
        <v>1664</v>
      </c>
      <c r="G627" s="38" t="s">
        <v>1665</v>
      </c>
    </row>
    <row r="628">
      <c r="B628" s="44"/>
      <c r="C628" s="38">
        <v>20.0</v>
      </c>
      <c r="D628" s="47" t="s">
        <v>1666</v>
      </c>
      <c r="E628" s="38" t="s">
        <v>1663</v>
      </c>
      <c r="F628" s="38" t="s">
        <v>1667</v>
      </c>
      <c r="G628" s="38" t="s">
        <v>1665</v>
      </c>
    </row>
    <row r="629">
      <c r="B629" s="44"/>
      <c r="C629" s="38"/>
      <c r="D629" s="47"/>
      <c r="E629" s="38" t="s">
        <v>1663</v>
      </c>
      <c r="F629" s="38" t="s">
        <v>1668</v>
      </c>
      <c r="G629" s="38" t="s">
        <v>1665</v>
      </c>
    </row>
    <row r="630">
      <c r="B630" s="44"/>
      <c r="C630" s="38"/>
      <c r="D630" s="47"/>
      <c r="E630" s="38" t="s">
        <v>1663</v>
      </c>
      <c r="F630" s="38" t="s">
        <v>1669</v>
      </c>
      <c r="G630" s="38" t="s">
        <v>1665</v>
      </c>
    </row>
    <row r="631">
      <c r="B631" s="44"/>
      <c r="C631" s="38">
        <v>20.0</v>
      </c>
      <c r="D631" s="47" t="s">
        <v>1666</v>
      </c>
      <c r="E631" s="40" t="s">
        <v>1670</v>
      </c>
      <c r="F631" s="38" t="s">
        <v>1671</v>
      </c>
      <c r="G631" s="38" t="s">
        <v>1672</v>
      </c>
    </row>
    <row r="632">
      <c r="A632" s="44"/>
      <c r="B632" s="44"/>
      <c r="C632" s="44"/>
      <c r="D632" s="38" t="s">
        <v>1673</v>
      </c>
      <c r="E632" s="38" t="s">
        <v>1674</v>
      </c>
      <c r="F632" s="40" t="s">
        <v>1675</v>
      </c>
    </row>
    <row r="633">
      <c r="A633" s="44"/>
      <c r="B633" s="44"/>
      <c r="C633" s="38">
        <v>2.0</v>
      </c>
      <c r="D633" s="38" t="s">
        <v>1676</v>
      </c>
      <c r="E633" s="38" t="s">
        <v>1674</v>
      </c>
      <c r="F633" s="38" t="s">
        <v>1675</v>
      </c>
    </row>
    <row r="634">
      <c r="B634" s="38" t="s">
        <v>416</v>
      </c>
      <c r="C634" s="38">
        <v>4.0</v>
      </c>
      <c r="D634" s="38" t="s">
        <v>1382</v>
      </c>
      <c r="E634" s="38" t="s">
        <v>1677</v>
      </c>
      <c r="F634" s="38" t="s">
        <v>1678</v>
      </c>
    </row>
    <row r="635">
      <c r="A635" s="44"/>
      <c r="B635" s="38" t="s">
        <v>188</v>
      </c>
      <c r="C635" s="38">
        <v>2.0</v>
      </c>
      <c r="D635" s="38" t="s">
        <v>1679</v>
      </c>
      <c r="E635" s="38" t="s">
        <v>1680</v>
      </c>
      <c r="F635" s="38" t="s">
        <v>1681</v>
      </c>
    </row>
    <row r="636">
      <c r="B636" s="47" t="s">
        <v>1682</v>
      </c>
      <c r="C636" s="47" t="s">
        <v>1683</v>
      </c>
      <c r="D636" s="47" t="s">
        <v>1684</v>
      </c>
      <c r="E636" s="47" t="s">
        <v>1685</v>
      </c>
      <c r="F636" s="44"/>
    </row>
    <row r="637">
      <c r="B637" s="38" t="s">
        <v>1686</v>
      </c>
      <c r="C637" s="38" t="s">
        <v>1687</v>
      </c>
      <c r="D637" s="38" t="s">
        <v>1688</v>
      </c>
      <c r="E637" s="47" t="s">
        <v>1685</v>
      </c>
      <c r="F637" s="44"/>
    </row>
    <row r="638">
      <c r="B638" s="47" t="s">
        <v>1689</v>
      </c>
      <c r="C638" s="38" t="s">
        <v>1690</v>
      </c>
      <c r="D638" s="47" t="s">
        <v>1691</v>
      </c>
      <c r="E638" s="47" t="s">
        <v>1685</v>
      </c>
      <c r="F638" s="44"/>
    </row>
    <row r="639">
      <c r="B639" s="47" t="s">
        <v>1692</v>
      </c>
      <c r="C639" s="44"/>
      <c r="D639" s="47" t="s">
        <v>1693</v>
      </c>
      <c r="E639" s="47" t="s">
        <v>1685</v>
      </c>
      <c r="F639" s="44"/>
    </row>
    <row r="640">
      <c r="B640" s="38" t="s">
        <v>1694</v>
      </c>
      <c r="C640" s="38" t="s">
        <v>1695</v>
      </c>
      <c r="D640" s="38" t="s">
        <v>1696</v>
      </c>
      <c r="E640" s="38" t="s">
        <v>1697</v>
      </c>
      <c r="F640" s="44"/>
    </row>
    <row r="641">
      <c r="B641" s="38" t="s">
        <v>1698</v>
      </c>
      <c r="C641" s="38" t="s">
        <v>1699</v>
      </c>
      <c r="D641" s="47" t="s">
        <v>1700</v>
      </c>
      <c r="E641" s="38" t="s">
        <v>1701</v>
      </c>
      <c r="F641" s="38" t="s">
        <v>1675</v>
      </c>
    </row>
    <row r="642">
      <c r="B642" s="38"/>
      <c r="C642" s="38"/>
      <c r="D642" s="38" t="s">
        <v>1702</v>
      </c>
      <c r="E642" s="38" t="s">
        <v>1701</v>
      </c>
      <c r="F642" s="38" t="s">
        <v>1675</v>
      </c>
    </row>
    <row r="643">
      <c r="B643" s="38" t="s">
        <v>271</v>
      </c>
      <c r="C643" s="38">
        <v>4.0</v>
      </c>
      <c r="D643" s="38" t="s">
        <v>289</v>
      </c>
      <c r="E643" s="38" t="s">
        <v>1703</v>
      </c>
      <c r="F643" s="38" t="s">
        <v>1704</v>
      </c>
      <c r="G643" s="38" t="s">
        <v>1105</v>
      </c>
    </row>
    <row r="644">
      <c r="A644" s="44"/>
      <c r="B644" s="44"/>
      <c r="C644" s="38" t="s">
        <v>1705</v>
      </c>
      <c r="D644" s="47" t="s">
        <v>1706</v>
      </c>
      <c r="E644" s="38" t="s">
        <v>1707</v>
      </c>
      <c r="F644" s="38" t="s">
        <v>1650</v>
      </c>
    </row>
    <row r="645">
      <c r="B645" s="47" t="s">
        <v>1708</v>
      </c>
      <c r="C645" s="44"/>
      <c r="D645" s="44"/>
      <c r="E645" s="47" t="s">
        <v>1709</v>
      </c>
      <c r="F645" s="38" t="s">
        <v>1710</v>
      </c>
      <c r="G645" s="38" t="s">
        <v>1711</v>
      </c>
    </row>
    <row r="646">
      <c r="B646" s="47" t="s">
        <v>52</v>
      </c>
      <c r="C646" s="47">
        <v>4.0</v>
      </c>
      <c r="D646" s="38" t="s">
        <v>1712</v>
      </c>
      <c r="E646" s="47" t="s">
        <v>1709</v>
      </c>
      <c r="F646" s="38" t="s">
        <v>1713</v>
      </c>
      <c r="G646" s="38" t="s">
        <v>1711</v>
      </c>
    </row>
    <row r="647">
      <c r="B647" s="38" t="s">
        <v>1714</v>
      </c>
      <c r="C647" s="38">
        <v>1.0</v>
      </c>
      <c r="D647" s="38" t="s">
        <v>1715</v>
      </c>
      <c r="E647" s="38" t="s">
        <v>1716</v>
      </c>
      <c r="F647" s="38" t="s">
        <v>1717</v>
      </c>
    </row>
    <row r="648">
      <c r="B648" s="142" t="s">
        <v>1718</v>
      </c>
      <c r="C648" s="1" t="s">
        <v>1719</v>
      </c>
      <c r="D648" s="1" t="s">
        <v>1720</v>
      </c>
      <c r="E648" s="1" t="s">
        <v>1721</v>
      </c>
      <c r="F648" s="1" t="s">
        <v>1722</v>
      </c>
    </row>
    <row r="649">
      <c r="B649" s="142" t="s">
        <v>1723</v>
      </c>
      <c r="C649" s="1" t="s">
        <v>1724</v>
      </c>
      <c r="D649" s="1" t="s">
        <v>1720</v>
      </c>
      <c r="E649" s="1" t="s">
        <v>1721</v>
      </c>
      <c r="F649" s="1" t="s">
        <v>1722</v>
      </c>
    </row>
    <row r="650">
      <c r="B650" s="143"/>
      <c r="C650" s="1">
        <v>20.0</v>
      </c>
      <c r="D650" s="1" t="s">
        <v>1725</v>
      </c>
      <c r="E650" s="1" t="s">
        <v>1721</v>
      </c>
      <c r="F650" s="1" t="s">
        <v>1678</v>
      </c>
    </row>
    <row r="651">
      <c r="B651" s="143"/>
      <c r="D651" s="1" t="s">
        <v>1726</v>
      </c>
      <c r="E651" s="1" t="s">
        <v>1721</v>
      </c>
      <c r="F651" s="1" t="s">
        <v>1727</v>
      </c>
    </row>
    <row r="652">
      <c r="B652" s="143"/>
      <c r="D652" s="1" t="s">
        <v>1728</v>
      </c>
      <c r="E652" s="1" t="s">
        <v>1721</v>
      </c>
      <c r="F652" s="1" t="s">
        <v>1727</v>
      </c>
    </row>
    <row r="653">
      <c r="B653" s="143"/>
      <c r="C653" s="1">
        <v>1.0</v>
      </c>
      <c r="D653" s="1" t="s">
        <v>1729</v>
      </c>
      <c r="E653" s="1" t="s">
        <v>1721</v>
      </c>
      <c r="F653" s="1" t="s">
        <v>1727</v>
      </c>
    </row>
    <row r="654">
      <c r="A654" s="44"/>
      <c r="B654" s="44"/>
      <c r="C654" s="65">
        <v>45853.0</v>
      </c>
      <c r="D654" s="38" t="s">
        <v>1730</v>
      </c>
      <c r="E654" s="38" t="s">
        <v>1731</v>
      </c>
      <c r="F654" s="38" t="s">
        <v>1732</v>
      </c>
      <c r="G654" s="38" t="s">
        <v>144</v>
      </c>
    </row>
    <row r="655">
      <c r="A655" s="44"/>
      <c r="B655" s="44"/>
      <c r="C655" s="65">
        <v>45853.0</v>
      </c>
      <c r="D655" s="38" t="s">
        <v>1733</v>
      </c>
      <c r="E655" s="38" t="s">
        <v>1734</v>
      </c>
      <c r="F655" s="44"/>
    </row>
    <row r="656">
      <c r="B656" s="44"/>
      <c r="C656" s="65">
        <v>45853.0</v>
      </c>
      <c r="D656" s="38" t="s">
        <v>1735</v>
      </c>
      <c r="E656" s="38" t="s">
        <v>1736</v>
      </c>
      <c r="F656" s="38" t="s">
        <v>1737</v>
      </c>
      <c r="G656" s="1" t="s">
        <v>1738</v>
      </c>
    </row>
    <row r="657">
      <c r="B657" s="38" t="s">
        <v>1739</v>
      </c>
      <c r="C657" s="47" t="s">
        <v>1740</v>
      </c>
      <c r="D657" s="47" t="s">
        <v>1741</v>
      </c>
      <c r="E657" s="47" t="s">
        <v>1742</v>
      </c>
      <c r="F657" s="38" t="s">
        <v>1743</v>
      </c>
    </row>
    <row r="658">
      <c r="B658" s="47"/>
      <c r="C658" s="47"/>
      <c r="D658" s="38" t="s">
        <v>1744</v>
      </c>
      <c r="E658" s="47" t="s">
        <v>1742</v>
      </c>
      <c r="F658" s="44"/>
    </row>
    <row r="659">
      <c r="B659" s="144" t="s">
        <v>1745</v>
      </c>
      <c r="C659" s="145" t="s">
        <v>1746</v>
      </c>
      <c r="D659" s="145" t="s">
        <v>1747</v>
      </c>
      <c r="E659" s="145" t="s">
        <v>1748</v>
      </c>
      <c r="F659" s="145" t="s">
        <v>1749</v>
      </c>
      <c r="G659" s="145"/>
    </row>
    <row r="660">
      <c r="B660" s="146"/>
      <c r="C660" s="147"/>
      <c r="D660" s="148">
        <v>45961.0</v>
      </c>
      <c r="E660" s="145" t="s">
        <v>1750</v>
      </c>
      <c r="F660" s="147" t="s">
        <v>1751</v>
      </c>
      <c r="G660" s="147"/>
    </row>
    <row r="661">
      <c r="E661" s="149" t="s">
        <v>1752</v>
      </c>
    </row>
    <row r="662">
      <c r="E662" s="149" t="s">
        <v>1753</v>
      </c>
    </row>
    <row r="663">
      <c r="A663" s="44"/>
      <c r="B663" s="38" t="s">
        <v>58</v>
      </c>
      <c r="C663" s="38">
        <v>4.0</v>
      </c>
      <c r="D663" s="38" t="s">
        <v>1754</v>
      </c>
      <c r="E663" s="38" t="s">
        <v>1755</v>
      </c>
      <c r="F663" s="38" t="s">
        <v>1756</v>
      </c>
    </row>
    <row r="664">
      <c r="B664" s="5" t="s">
        <v>1757</v>
      </c>
      <c r="C664" s="5">
        <v>2.0</v>
      </c>
      <c r="D664" s="5" t="s">
        <v>408</v>
      </c>
      <c r="E664" s="150" t="s">
        <v>1758</v>
      </c>
      <c r="F664" s="5" t="s">
        <v>1759</v>
      </c>
      <c r="G664" s="22" t="s">
        <v>1760</v>
      </c>
    </row>
    <row r="665">
      <c r="B665" s="5" t="s">
        <v>1761</v>
      </c>
      <c r="C665" s="5">
        <v>2.0</v>
      </c>
      <c r="D665" s="5" t="s">
        <v>408</v>
      </c>
      <c r="E665" s="150" t="s">
        <v>1762</v>
      </c>
      <c r="F665" s="22" t="s">
        <v>1763</v>
      </c>
      <c r="G665" s="1" t="s">
        <v>1764</v>
      </c>
      <c r="H665" s="1" t="s">
        <v>1765</v>
      </c>
    </row>
    <row r="666">
      <c r="B666" s="5" t="s">
        <v>35</v>
      </c>
      <c r="C666" s="5">
        <v>2.0</v>
      </c>
      <c r="D666" s="5" t="s">
        <v>408</v>
      </c>
      <c r="E666" s="150" t="s">
        <v>1758</v>
      </c>
      <c r="F666" s="5" t="s">
        <v>1766</v>
      </c>
    </row>
    <row r="667">
      <c r="B667" s="5" t="s">
        <v>416</v>
      </c>
      <c r="C667" s="5">
        <v>2.0</v>
      </c>
      <c r="D667" s="5" t="s">
        <v>408</v>
      </c>
      <c r="E667" s="150" t="s">
        <v>1758</v>
      </c>
      <c r="F667" s="5" t="s">
        <v>1766</v>
      </c>
    </row>
    <row r="668">
      <c r="B668" s="38" t="s">
        <v>88</v>
      </c>
      <c r="C668" s="38">
        <v>4.0</v>
      </c>
      <c r="D668" s="38" t="s">
        <v>399</v>
      </c>
      <c r="E668" s="132" t="s">
        <v>1758</v>
      </c>
      <c r="F668" s="38" t="s">
        <v>1767</v>
      </c>
      <c r="G668" s="38" t="s">
        <v>1768</v>
      </c>
      <c r="H668" s="1" t="s">
        <v>1769</v>
      </c>
    </row>
    <row r="669">
      <c r="B669" s="1" t="s">
        <v>1770</v>
      </c>
      <c r="D669" s="1" t="s">
        <v>1771</v>
      </c>
      <c r="E669" s="150" t="s">
        <v>1758</v>
      </c>
    </row>
    <row r="670">
      <c r="B670" s="1" t="s">
        <v>1772</v>
      </c>
      <c r="E670" s="150" t="s">
        <v>1758</v>
      </c>
    </row>
    <row r="671">
      <c r="B671" s="38" t="s">
        <v>1296</v>
      </c>
      <c r="C671" s="38">
        <v>4.0</v>
      </c>
      <c r="D671" s="38" t="s">
        <v>1133</v>
      </c>
      <c r="E671" s="38" t="s">
        <v>1773</v>
      </c>
      <c r="F671" s="38" t="s">
        <v>1774</v>
      </c>
    </row>
    <row r="672">
      <c r="B672" s="38" t="s">
        <v>1775</v>
      </c>
      <c r="C672" s="47" t="s">
        <v>1776</v>
      </c>
      <c r="D672" s="47" t="s">
        <v>1777</v>
      </c>
      <c r="E672" s="38" t="s">
        <v>1778</v>
      </c>
      <c r="F672" s="44"/>
    </row>
    <row r="673">
      <c r="B673" s="44"/>
      <c r="C673" s="47" t="s">
        <v>1779</v>
      </c>
      <c r="D673" s="47" t="s">
        <v>1780</v>
      </c>
      <c r="E673" s="38" t="s">
        <v>1778</v>
      </c>
      <c r="F673" s="44"/>
    </row>
    <row r="674">
      <c r="B674" s="38" t="s">
        <v>623</v>
      </c>
      <c r="C674" s="38">
        <v>2.0</v>
      </c>
      <c r="D674" s="38" t="s">
        <v>719</v>
      </c>
      <c r="E674" s="38" t="s">
        <v>720</v>
      </c>
      <c r="F674" s="38" t="s">
        <v>1781</v>
      </c>
    </row>
    <row r="675">
      <c r="B675" s="38" t="s">
        <v>41</v>
      </c>
      <c r="C675" s="38">
        <v>4.0</v>
      </c>
      <c r="D675" s="38" t="s">
        <v>294</v>
      </c>
      <c r="E675" s="38" t="s">
        <v>1782</v>
      </c>
      <c r="F675" s="38" t="s">
        <v>1783</v>
      </c>
    </row>
    <row r="676">
      <c r="B676" s="47" t="s">
        <v>88</v>
      </c>
      <c r="C676" s="38">
        <v>1.0</v>
      </c>
      <c r="D676" s="47" t="s">
        <v>123</v>
      </c>
      <c r="E676" s="47" t="s">
        <v>1784</v>
      </c>
      <c r="F676" s="38" t="s">
        <v>175</v>
      </c>
      <c r="G676" s="38" t="s">
        <v>1785</v>
      </c>
    </row>
    <row r="677">
      <c r="B677" s="44"/>
      <c r="C677" s="44"/>
      <c r="D677" s="44"/>
      <c r="E677" s="47" t="s">
        <v>1784</v>
      </c>
      <c r="F677" s="38" t="s">
        <v>1786</v>
      </c>
      <c r="G677" s="38" t="s">
        <v>1785</v>
      </c>
    </row>
    <row r="678">
      <c r="B678" s="38" t="s">
        <v>1137</v>
      </c>
      <c r="C678" s="38">
        <v>2.0</v>
      </c>
      <c r="D678" s="38" t="s">
        <v>1237</v>
      </c>
      <c r="E678" s="38" t="s">
        <v>1015</v>
      </c>
      <c r="F678" s="38" t="s">
        <v>1787</v>
      </c>
    </row>
    <row r="679">
      <c r="A679" s="44"/>
      <c r="B679" s="38" t="s">
        <v>58</v>
      </c>
      <c r="C679" s="38">
        <v>1.0</v>
      </c>
      <c r="D679" s="38" t="s">
        <v>1788</v>
      </c>
      <c r="E679" s="38" t="s">
        <v>325</v>
      </c>
      <c r="F679" s="38" t="s">
        <v>1789</v>
      </c>
    </row>
    <row r="680">
      <c r="B680" s="1" t="s">
        <v>1790</v>
      </c>
      <c r="E680" s="1" t="s">
        <v>1736</v>
      </c>
    </row>
    <row r="681">
      <c r="A681" s="44"/>
      <c r="B681" s="47"/>
      <c r="C681" s="151" t="s">
        <v>1791</v>
      </c>
      <c r="D681" s="151" t="s">
        <v>1792</v>
      </c>
      <c r="E681" s="47" t="s">
        <v>1793</v>
      </c>
      <c r="F681" s="44"/>
    </row>
    <row r="682">
      <c r="A682" s="44"/>
      <c r="B682" s="47"/>
      <c r="C682" s="151" t="s">
        <v>1791</v>
      </c>
      <c r="D682" s="151" t="s">
        <v>1792</v>
      </c>
      <c r="E682" s="47" t="s">
        <v>1793</v>
      </c>
      <c r="F682" s="44"/>
    </row>
    <row r="683">
      <c r="A683" s="44"/>
      <c r="B683" s="44"/>
      <c r="C683" s="151" t="s">
        <v>1794</v>
      </c>
      <c r="D683" s="151" t="s">
        <v>1794</v>
      </c>
      <c r="E683" s="47" t="s">
        <v>1793</v>
      </c>
      <c r="F683" s="44"/>
    </row>
    <row r="684">
      <c r="B684" s="38" t="s">
        <v>1795</v>
      </c>
      <c r="C684" s="38">
        <v>1.0</v>
      </c>
      <c r="D684" s="38" t="s">
        <v>1796</v>
      </c>
      <c r="E684" s="38" t="s">
        <v>1797</v>
      </c>
      <c r="F684" s="38"/>
    </row>
    <row r="685">
      <c r="B685" s="38" t="s">
        <v>1798</v>
      </c>
      <c r="C685" s="38">
        <v>1.0</v>
      </c>
      <c r="D685" s="38" t="s">
        <v>1796</v>
      </c>
      <c r="E685" s="38" t="s">
        <v>1797</v>
      </c>
      <c r="F685" s="38"/>
    </row>
    <row r="686">
      <c r="A686" s="1" t="s">
        <v>1799</v>
      </c>
      <c r="B686" s="38" t="s">
        <v>1800</v>
      </c>
      <c r="C686" s="38" t="s">
        <v>1801</v>
      </c>
      <c r="D686" s="97" t="s">
        <v>1802</v>
      </c>
      <c r="E686" s="38" t="s">
        <v>1803</v>
      </c>
      <c r="F686" s="38" t="s">
        <v>1804</v>
      </c>
    </row>
    <row r="687">
      <c r="A687" s="24"/>
      <c r="C687" s="1" t="s">
        <v>1805</v>
      </c>
      <c r="D687" s="1" t="s">
        <v>1806</v>
      </c>
      <c r="E687" s="10" t="s">
        <v>1807</v>
      </c>
      <c r="F687" s="152" t="s">
        <v>1808</v>
      </c>
    </row>
    <row r="688">
      <c r="A688" s="24"/>
      <c r="B688" s="19">
        <v>45562.0</v>
      </c>
      <c r="C688" s="1" t="s">
        <v>1809</v>
      </c>
      <c r="D688" s="1"/>
      <c r="E688" s="10" t="s">
        <v>1810</v>
      </c>
      <c r="F688" s="153">
        <v>45541.0</v>
      </c>
    </row>
    <row r="689">
      <c r="A689" s="44"/>
      <c r="B689" s="44"/>
      <c r="C689" s="65">
        <v>45569.0</v>
      </c>
      <c r="D689" s="38" t="s">
        <v>1811</v>
      </c>
      <c r="E689" s="99" t="s">
        <v>1812</v>
      </c>
      <c r="F689" s="117" t="s">
        <v>1813</v>
      </c>
      <c r="G689" s="42" t="s">
        <v>1105</v>
      </c>
    </row>
    <row r="690">
      <c r="A690" s="38"/>
      <c r="B690" s="38"/>
      <c r="C690" s="65">
        <v>45574.0</v>
      </c>
      <c r="D690" s="42" t="s">
        <v>1814</v>
      </c>
      <c r="E690" s="117" t="s">
        <v>1815</v>
      </c>
      <c r="F690" s="154" t="s">
        <v>1816</v>
      </c>
      <c r="G690" s="38" t="s">
        <v>1817</v>
      </c>
    </row>
    <row r="691">
      <c r="A691" s="24"/>
      <c r="C691" s="19">
        <v>45608.0</v>
      </c>
      <c r="D691" s="1" t="s">
        <v>1818</v>
      </c>
      <c r="E691" s="155" t="s">
        <v>1819</v>
      </c>
      <c r="F691" s="152"/>
    </row>
    <row r="692">
      <c r="B692" s="38" t="s">
        <v>170</v>
      </c>
      <c r="C692" s="38">
        <v>4.0</v>
      </c>
      <c r="D692" s="38" t="s">
        <v>1820</v>
      </c>
      <c r="E692" s="38" t="s">
        <v>1821</v>
      </c>
      <c r="F692" s="38" t="s">
        <v>1822</v>
      </c>
      <c r="G692" s="38" t="s">
        <v>1817</v>
      </c>
    </row>
    <row r="693">
      <c r="B693" s="156" t="s">
        <v>1823</v>
      </c>
      <c r="E693" s="1" t="s">
        <v>1824</v>
      </c>
      <c r="F693" s="1" t="s">
        <v>143</v>
      </c>
      <c r="G693" s="1" t="s">
        <v>1825</v>
      </c>
    </row>
    <row r="694">
      <c r="B694" s="157" t="s">
        <v>1826</v>
      </c>
      <c r="E694" s="1" t="s">
        <v>1827</v>
      </c>
      <c r="F694" s="1" t="s">
        <v>1828</v>
      </c>
    </row>
    <row r="695">
      <c r="B695" s="157"/>
      <c r="D695" s="1" t="s">
        <v>1829</v>
      </c>
      <c r="E695" s="1" t="s">
        <v>1827</v>
      </c>
      <c r="F695" s="1"/>
    </row>
    <row r="696">
      <c r="B696" s="157"/>
      <c r="D696" s="1" t="s">
        <v>1830</v>
      </c>
      <c r="E696" s="1" t="s">
        <v>1827</v>
      </c>
      <c r="F696" s="1"/>
    </row>
    <row r="697">
      <c r="B697" s="1" t="s">
        <v>153</v>
      </c>
      <c r="C697" s="1">
        <v>2.0</v>
      </c>
      <c r="D697" s="1" t="s">
        <v>1831</v>
      </c>
      <c r="E697" s="1" t="s">
        <v>1832</v>
      </c>
      <c r="F697" s="1" t="s">
        <v>1833</v>
      </c>
    </row>
    <row r="698">
      <c r="B698" s="1" t="s">
        <v>94</v>
      </c>
      <c r="C698" s="1">
        <v>2.0</v>
      </c>
      <c r="D698" s="1" t="s">
        <v>1831</v>
      </c>
      <c r="E698" s="1" t="s">
        <v>1832</v>
      </c>
    </row>
    <row r="699">
      <c r="B699" s="38" t="s">
        <v>439</v>
      </c>
      <c r="C699" s="38">
        <v>2.0</v>
      </c>
      <c r="D699" s="38" t="s">
        <v>1834</v>
      </c>
      <c r="E699" s="38" t="s">
        <v>1835</v>
      </c>
      <c r="F699" s="38" t="s">
        <v>1836</v>
      </c>
    </row>
    <row r="700">
      <c r="B700" s="1" t="s">
        <v>122</v>
      </c>
      <c r="C700" s="1">
        <v>2.0</v>
      </c>
      <c r="D700" s="1" t="s">
        <v>294</v>
      </c>
      <c r="E700" s="1" t="s">
        <v>800</v>
      </c>
      <c r="F700" s="1" t="s">
        <v>1837</v>
      </c>
    </row>
    <row r="701">
      <c r="B701" s="38" t="s">
        <v>25</v>
      </c>
      <c r="C701" s="38">
        <v>4.0</v>
      </c>
      <c r="D701" s="38" t="s">
        <v>289</v>
      </c>
      <c r="E701" s="38" t="s">
        <v>1838</v>
      </c>
      <c r="F701" s="38" t="s">
        <v>1839</v>
      </c>
      <c r="G701" s="38" t="s">
        <v>1840</v>
      </c>
    </row>
    <row r="702">
      <c r="B702" s="38" t="s">
        <v>166</v>
      </c>
      <c r="C702" s="38">
        <v>2.0</v>
      </c>
      <c r="D702" s="38" t="s">
        <v>211</v>
      </c>
      <c r="E702" s="38" t="s">
        <v>1782</v>
      </c>
      <c r="F702" s="38" t="s">
        <v>1841</v>
      </c>
    </row>
    <row r="703">
      <c r="A703" s="44"/>
      <c r="B703" s="38" t="s">
        <v>107</v>
      </c>
      <c r="C703" s="38">
        <v>2.0</v>
      </c>
      <c r="D703" s="38" t="s">
        <v>1842</v>
      </c>
      <c r="E703" s="38" t="s">
        <v>325</v>
      </c>
      <c r="F703" s="38" t="s">
        <v>1843</v>
      </c>
    </row>
    <row r="704">
      <c r="B704" s="38" t="s">
        <v>1006</v>
      </c>
      <c r="C704" s="38">
        <v>1.0</v>
      </c>
      <c r="D704" s="38" t="s">
        <v>1844</v>
      </c>
      <c r="E704" s="38" t="s">
        <v>1845</v>
      </c>
      <c r="F704" s="38" t="s">
        <v>1846</v>
      </c>
    </row>
    <row r="705">
      <c r="A705" s="44"/>
      <c r="B705" s="38" t="s">
        <v>333</v>
      </c>
      <c r="C705" s="38">
        <v>1.0</v>
      </c>
      <c r="D705" s="38" t="s">
        <v>1847</v>
      </c>
      <c r="E705" s="38" t="s">
        <v>1848</v>
      </c>
      <c r="F705" s="38" t="s">
        <v>1849</v>
      </c>
    </row>
    <row r="706">
      <c r="B706" s="38" t="s">
        <v>1850</v>
      </c>
      <c r="C706" s="38">
        <v>4.0</v>
      </c>
      <c r="D706" s="38" t="s">
        <v>1851</v>
      </c>
      <c r="E706" s="38" t="s">
        <v>1852</v>
      </c>
      <c r="F706" s="38" t="s">
        <v>1853</v>
      </c>
    </row>
    <row r="707">
      <c r="A707" s="44"/>
      <c r="B707" s="38" t="s">
        <v>1854</v>
      </c>
      <c r="C707" s="38">
        <v>2.0</v>
      </c>
      <c r="D707" s="38" t="s">
        <v>36</v>
      </c>
      <c r="E707" s="38" t="s">
        <v>1855</v>
      </c>
      <c r="F707" s="44"/>
    </row>
    <row r="708">
      <c r="A708" s="44"/>
      <c r="B708" s="38" t="s">
        <v>219</v>
      </c>
      <c r="C708" s="38">
        <v>4.0</v>
      </c>
      <c r="D708" s="38" t="s">
        <v>1510</v>
      </c>
      <c r="E708" s="38" t="s">
        <v>1856</v>
      </c>
      <c r="F708" s="38" t="s">
        <v>1857</v>
      </c>
    </row>
    <row r="709">
      <c r="A709" s="44"/>
      <c r="B709" s="47" t="s">
        <v>85</v>
      </c>
      <c r="C709" s="38">
        <v>1.0</v>
      </c>
      <c r="D709" s="38" t="s">
        <v>1858</v>
      </c>
      <c r="E709" s="47" t="s">
        <v>1580</v>
      </c>
      <c r="F709" s="38" t="s">
        <v>1859</v>
      </c>
      <c r="G709" s="38" t="s">
        <v>1860</v>
      </c>
    </row>
    <row r="710">
      <c r="B710" s="38" t="s">
        <v>647</v>
      </c>
      <c r="C710" s="47" t="s">
        <v>1861</v>
      </c>
      <c r="D710" s="47" t="s">
        <v>1862</v>
      </c>
      <c r="E710" s="38" t="s">
        <v>1863</v>
      </c>
      <c r="F710" s="44"/>
    </row>
    <row r="711">
      <c r="B711" s="44"/>
      <c r="C711" s="47" t="s">
        <v>1864</v>
      </c>
      <c r="D711" s="47" t="s">
        <v>1865</v>
      </c>
      <c r="E711" s="38" t="s">
        <v>1866</v>
      </c>
      <c r="F711" s="44"/>
    </row>
    <row r="712">
      <c r="B712" s="1" t="s">
        <v>1867</v>
      </c>
      <c r="C712" s="4" t="s">
        <v>1868</v>
      </c>
      <c r="D712" s="4" t="s">
        <v>1869</v>
      </c>
      <c r="E712" s="1" t="s">
        <v>1870</v>
      </c>
    </row>
    <row r="713">
      <c r="A713" s="44"/>
      <c r="B713" s="38" t="s">
        <v>1871</v>
      </c>
      <c r="C713" s="38">
        <v>4.0</v>
      </c>
      <c r="D713" s="38" t="s">
        <v>1872</v>
      </c>
      <c r="E713" s="38" t="s">
        <v>1873</v>
      </c>
      <c r="F713" s="38" t="s">
        <v>1874</v>
      </c>
    </row>
    <row r="714">
      <c r="A714" s="1" t="s">
        <v>1875</v>
      </c>
      <c r="B714" s="158" t="s">
        <v>1876</v>
      </c>
      <c r="C714" s="159" t="s">
        <v>1877</v>
      </c>
      <c r="D714" s="160" t="s">
        <v>1878</v>
      </c>
      <c r="E714" s="1" t="s">
        <v>1879</v>
      </c>
      <c r="F714" s="1" t="s">
        <v>1880</v>
      </c>
      <c r="G714" s="1" t="s">
        <v>1418</v>
      </c>
      <c r="H714" s="1" t="s">
        <v>144</v>
      </c>
    </row>
    <row r="715">
      <c r="B715" s="161" t="s">
        <v>1881</v>
      </c>
      <c r="C715" s="162"/>
      <c r="D715" s="163" t="s">
        <v>1882</v>
      </c>
      <c r="E715" s="1" t="s">
        <v>1879</v>
      </c>
      <c r="F715" s="1" t="s">
        <v>1883</v>
      </c>
      <c r="G715" s="1" t="s">
        <v>1418</v>
      </c>
      <c r="H715" s="1" t="s">
        <v>144</v>
      </c>
    </row>
    <row r="716">
      <c r="B716" s="5" t="s">
        <v>1884</v>
      </c>
      <c r="C716" s="163" t="s">
        <v>1885</v>
      </c>
      <c r="D716" s="158" t="s">
        <v>1886</v>
      </c>
      <c r="E716" s="1" t="s">
        <v>1879</v>
      </c>
      <c r="F716" s="1" t="s">
        <v>896</v>
      </c>
      <c r="G716" s="1" t="s">
        <v>1418</v>
      </c>
      <c r="H716" s="1" t="s">
        <v>144</v>
      </c>
    </row>
    <row r="717">
      <c r="B717" s="5"/>
      <c r="C717" s="163"/>
      <c r="D717" s="158"/>
      <c r="E717" s="1" t="s">
        <v>1879</v>
      </c>
      <c r="F717" s="1" t="s">
        <v>1887</v>
      </c>
      <c r="G717" s="1" t="s">
        <v>1418</v>
      </c>
      <c r="H717" s="1" t="s">
        <v>144</v>
      </c>
    </row>
    <row r="718">
      <c r="B718" s="164" t="s">
        <v>1888</v>
      </c>
      <c r="C718" s="44"/>
      <c r="D718" s="38" t="s">
        <v>1889</v>
      </c>
      <c r="E718" s="38" t="s">
        <v>1890</v>
      </c>
      <c r="F718" s="38" t="s">
        <v>1891</v>
      </c>
    </row>
    <row r="719">
      <c r="B719" s="38" t="s">
        <v>1892</v>
      </c>
      <c r="C719" s="38">
        <v>1.0</v>
      </c>
      <c r="D719" s="38" t="s">
        <v>1893</v>
      </c>
      <c r="E719" s="38" t="s">
        <v>1894</v>
      </c>
      <c r="F719" s="38" t="s">
        <v>1895</v>
      </c>
    </row>
    <row r="720">
      <c r="B720" s="74" t="s">
        <v>1896</v>
      </c>
      <c r="C720" s="44"/>
      <c r="D720" s="38">
        <v>2.0</v>
      </c>
      <c r="E720" s="38" t="s">
        <v>1897</v>
      </c>
      <c r="F720" s="38" t="s">
        <v>1898</v>
      </c>
    </row>
    <row r="721">
      <c r="B721" s="105" t="s">
        <v>1899</v>
      </c>
      <c r="C721" s="44"/>
      <c r="D721" s="38">
        <v>2.0</v>
      </c>
      <c r="E721" s="38" t="s">
        <v>1897</v>
      </c>
      <c r="F721" s="38" t="s">
        <v>1900</v>
      </c>
    </row>
    <row r="722">
      <c r="B722" s="38" t="s">
        <v>789</v>
      </c>
      <c r="C722" s="38">
        <v>4.0</v>
      </c>
      <c r="D722" s="38" t="s">
        <v>216</v>
      </c>
      <c r="E722" s="38" t="s">
        <v>1901</v>
      </c>
      <c r="F722" s="38" t="s">
        <v>1902</v>
      </c>
    </row>
    <row r="723">
      <c r="B723" s="38" t="s">
        <v>1903</v>
      </c>
      <c r="C723" s="38">
        <v>4.0</v>
      </c>
      <c r="D723" s="38" t="s">
        <v>1904</v>
      </c>
      <c r="E723" s="38" t="s">
        <v>1901</v>
      </c>
      <c r="F723" s="38" t="s">
        <v>1902</v>
      </c>
    </row>
    <row r="724">
      <c r="B724" s="38" t="s">
        <v>170</v>
      </c>
      <c r="C724" s="38">
        <v>4.0</v>
      </c>
      <c r="D724" s="38" t="s">
        <v>1858</v>
      </c>
      <c r="E724" s="38" t="s">
        <v>1905</v>
      </c>
      <c r="F724" s="38" t="s">
        <v>1906</v>
      </c>
    </row>
    <row r="725">
      <c r="B725" s="38" t="s">
        <v>1159</v>
      </c>
      <c r="C725" s="38">
        <v>4.0</v>
      </c>
      <c r="D725" s="38" t="s">
        <v>315</v>
      </c>
      <c r="E725" s="38" t="s">
        <v>1782</v>
      </c>
      <c r="F725" s="38" t="s">
        <v>1907</v>
      </c>
    </row>
    <row r="726">
      <c r="B726" s="38" t="s">
        <v>25</v>
      </c>
      <c r="C726" s="38">
        <v>4.0</v>
      </c>
      <c r="D726" s="38" t="s">
        <v>545</v>
      </c>
      <c r="E726" s="38" t="s">
        <v>1782</v>
      </c>
      <c r="F726" s="38" t="s">
        <v>1841</v>
      </c>
    </row>
    <row r="727">
      <c r="B727" s="38" t="s">
        <v>25</v>
      </c>
      <c r="C727" s="38">
        <v>1.0</v>
      </c>
      <c r="D727" s="38" t="s">
        <v>1908</v>
      </c>
      <c r="E727" s="38" t="s">
        <v>1782</v>
      </c>
      <c r="F727" s="38" t="s">
        <v>1907</v>
      </c>
    </row>
    <row r="728">
      <c r="B728" s="44"/>
      <c r="C728" s="44"/>
      <c r="D728" s="38" t="s">
        <v>1909</v>
      </c>
      <c r="E728" s="38" t="s">
        <v>1910</v>
      </c>
      <c r="F728" s="38" t="s">
        <v>144</v>
      </c>
    </row>
    <row r="729">
      <c r="B729" s="44"/>
      <c r="C729" s="44"/>
      <c r="D729" s="65">
        <v>45897.0</v>
      </c>
      <c r="E729" s="38" t="s">
        <v>1911</v>
      </c>
      <c r="F729" s="38" t="s">
        <v>1912</v>
      </c>
    </row>
    <row r="730">
      <c r="B730" s="38" t="s">
        <v>1100</v>
      </c>
      <c r="C730" s="38">
        <v>1.0</v>
      </c>
      <c r="D730" s="38" t="s">
        <v>1913</v>
      </c>
      <c r="E730" s="38" t="s">
        <v>1914</v>
      </c>
      <c r="F730" s="38" t="s">
        <v>1915</v>
      </c>
    </row>
    <row r="731">
      <c r="B731" s="1" t="s">
        <v>647</v>
      </c>
      <c r="D731" s="1" t="s">
        <v>1916</v>
      </c>
      <c r="E731" s="1" t="s">
        <v>741</v>
      </c>
    </row>
    <row r="732">
      <c r="B732" s="1" t="s">
        <v>1917</v>
      </c>
      <c r="D732" s="1"/>
      <c r="E732" s="1" t="s">
        <v>741</v>
      </c>
    </row>
    <row r="733">
      <c r="B733" s="1" t="s">
        <v>535</v>
      </c>
      <c r="C733" s="165" t="s">
        <v>1918</v>
      </c>
      <c r="D733" s="161" t="s">
        <v>1919</v>
      </c>
      <c r="E733" s="1" t="s">
        <v>1920</v>
      </c>
    </row>
    <row r="734">
      <c r="B734" s="1" t="s">
        <v>1921</v>
      </c>
      <c r="D734" s="161" t="s">
        <v>1922</v>
      </c>
      <c r="E734" s="1" t="s">
        <v>1920</v>
      </c>
    </row>
    <row r="735">
      <c r="B735" s="38" t="s">
        <v>1923</v>
      </c>
      <c r="C735" s="38" t="s">
        <v>1775</v>
      </c>
      <c r="D735" s="166"/>
      <c r="E735" s="38" t="s">
        <v>1924</v>
      </c>
      <c r="F735" s="44"/>
    </row>
    <row r="736">
      <c r="B736" s="44"/>
      <c r="C736" s="38" t="s">
        <v>1925</v>
      </c>
      <c r="D736" s="167" t="s">
        <v>1926</v>
      </c>
      <c r="E736" s="38" t="s">
        <v>1924</v>
      </c>
      <c r="F736" s="44"/>
    </row>
    <row r="737">
      <c r="B737" s="38" t="s">
        <v>982</v>
      </c>
      <c r="C737" s="38">
        <v>2.0</v>
      </c>
      <c r="D737" s="38" t="s">
        <v>1927</v>
      </c>
      <c r="E737" s="38" t="s">
        <v>1928</v>
      </c>
      <c r="F737" s="38" t="s">
        <v>1929</v>
      </c>
    </row>
    <row r="738">
      <c r="A738" s="4" t="s">
        <v>1930</v>
      </c>
      <c r="B738" s="38" t="s">
        <v>1931</v>
      </c>
      <c r="C738" s="38">
        <v>4.0</v>
      </c>
      <c r="D738" s="38" t="s">
        <v>545</v>
      </c>
      <c r="E738" s="38" t="s">
        <v>1782</v>
      </c>
      <c r="F738" s="38" t="s">
        <v>1907</v>
      </c>
    </row>
    <row r="739">
      <c r="A739" s="4" t="s">
        <v>1932</v>
      </c>
      <c r="B739" s="38" t="s">
        <v>91</v>
      </c>
      <c r="C739" s="38">
        <v>4.0</v>
      </c>
      <c r="D739" s="38" t="s">
        <v>50</v>
      </c>
      <c r="E739" s="38" t="s">
        <v>1933</v>
      </c>
      <c r="F739" s="38" t="s">
        <v>1907</v>
      </c>
      <c r="G739" s="168">
        <v>1.1752797E7</v>
      </c>
      <c r="H739" s="1" t="s">
        <v>784</v>
      </c>
      <c r="I739" s="1" t="s">
        <v>1934</v>
      </c>
      <c r="J739" s="1" t="s">
        <v>1935</v>
      </c>
      <c r="K739" s="1" t="s">
        <v>1936</v>
      </c>
    </row>
    <row r="740">
      <c r="A740" s="44"/>
      <c r="B740" s="38" t="s">
        <v>718</v>
      </c>
      <c r="C740" s="38">
        <v>2.0</v>
      </c>
      <c r="D740" s="38" t="s">
        <v>1937</v>
      </c>
      <c r="E740" s="38" t="s">
        <v>720</v>
      </c>
      <c r="F740" s="38" t="s">
        <v>1938</v>
      </c>
    </row>
    <row r="741">
      <c r="B741" s="1" t="s">
        <v>439</v>
      </c>
      <c r="C741" s="1">
        <v>2.0</v>
      </c>
      <c r="D741" s="1" t="s">
        <v>814</v>
      </c>
      <c r="E741" s="1" t="s">
        <v>1870</v>
      </c>
      <c r="F741" s="1" t="s">
        <v>1939</v>
      </c>
    </row>
    <row r="742">
      <c r="B742" s="1" t="s">
        <v>495</v>
      </c>
      <c r="C742" s="1">
        <v>2.0</v>
      </c>
      <c r="D742" s="1" t="s">
        <v>814</v>
      </c>
      <c r="E742" s="1" t="s">
        <v>1940</v>
      </c>
      <c r="F742" s="1" t="s">
        <v>1941</v>
      </c>
    </row>
    <row r="743">
      <c r="B743" s="38" t="s">
        <v>25</v>
      </c>
      <c r="C743" s="38">
        <v>1.0</v>
      </c>
      <c r="D743" s="38" t="s">
        <v>300</v>
      </c>
      <c r="E743" s="38" t="s">
        <v>1272</v>
      </c>
      <c r="F743" s="38" t="s">
        <v>1942</v>
      </c>
    </row>
    <row r="744">
      <c r="B744" s="38" t="s">
        <v>1943</v>
      </c>
      <c r="C744" s="38" t="s">
        <v>1944</v>
      </c>
      <c r="D744" s="38" t="s">
        <v>1945</v>
      </c>
      <c r="E744" s="38" t="s">
        <v>1946</v>
      </c>
      <c r="F744" s="38" t="s">
        <v>1947</v>
      </c>
      <c r="G744" s="38" t="s">
        <v>1948</v>
      </c>
    </row>
    <row r="745">
      <c r="B745" s="47" t="s">
        <v>1949</v>
      </c>
      <c r="C745" s="44"/>
      <c r="D745" s="44"/>
      <c r="E745" s="38" t="s">
        <v>1220</v>
      </c>
      <c r="F745" s="44"/>
    </row>
    <row r="746">
      <c r="B746" s="47" t="s">
        <v>1950</v>
      </c>
      <c r="C746" s="44"/>
      <c r="D746" s="44"/>
      <c r="E746" s="38" t="s">
        <v>1220</v>
      </c>
      <c r="F746" s="44"/>
    </row>
    <row r="747">
      <c r="A747" s="44"/>
      <c r="B747" s="38" t="s">
        <v>1096</v>
      </c>
      <c r="C747" s="38">
        <v>2.0</v>
      </c>
      <c r="D747" s="38" t="s">
        <v>1951</v>
      </c>
      <c r="E747" s="38" t="s">
        <v>1782</v>
      </c>
      <c r="F747" s="38" t="s">
        <v>1952</v>
      </c>
    </row>
    <row r="748">
      <c r="A748" s="44"/>
      <c r="B748" s="38" t="s">
        <v>1159</v>
      </c>
      <c r="C748" s="38">
        <v>2.0</v>
      </c>
      <c r="D748" s="38" t="s">
        <v>1951</v>
      </c>
      <c r="E748" s="38" t="s">
        <v>1782</v>
      </c>
      <c r="F748" s="38" t="s">
        <v>1952</v>
      </c>
    </row>
    <row r="749">
      <c r="B749" s="38" t="s">
        <v>94</v>
      </c>
      <c r="C749" s="38">
        <v>2.0</v>
      </c>
      <c r="D749" s="38" t="s">
        <v>1953</v>
      </c>
      <c r="E749" s="38" t="s">
        <v>1782</v>
      </c>
      <c r="F749" s="38" t="s">
        <v>1907</v>
      </c>
    </row>
    <row r="750">
      <c r="B750" s="47" t="s">
        <v>1177</v>
      </c>
      <c r="C750" s="38" t="s">
        <v>1954</v>
      </c>
      <c r="D750" s="47" t="s">
        <v>1174</v>
      </c>
      <c r="E750" s="47" t="s">
        <v>1173</v>
      </c>
      <c r="F750" s="38" t="s">
        <v>1955</v>
      </c>
    </row>
    <row r="751">
      <c r="B751" s="1" t="s">
        <v>1956</v>
      </c>
      <c r="C751" s="1" t="s">
        <v>1957</v>
      </c>
      <c r="D751" s="1" t="s">
        <v>1958</v>
      </c>
      <c r="E751" s="4" t="s">
        <v>1173</v>
      </c>
      <c r="F751" s="1"/>
    </row>
    <row r="752">
      <c r="A752" s="38" t="s">
        <v>133</v>
      </c>
      <c r="B752" s="38" t="s">
        <v>166</v>
      </c>
      <c r="C752" s="38">
        <v>2.0</v>
      </c>
      <c r="D752" s="38" t="s">
        <v>672</v>
      </c>
      <c r="E752" s="38" t="s">
        <v>325</v>
      </c>
      <c r="F752" s="38" t="s">
        <v>1959</v>
      </c>
    </row>
    <row r="753">
      <c r="A753" s="38" t="s">
        <v>133</v>
      </c>
      <c r="B753" s="38" t="s">
        <v>170</v>
      </c>
      <c r="C753" s="38">
        <v>2.0</v>
      </c>
      <c r="D753" s="38" t="s">
        <v>672</v>
      </c>
      <c r="E753" s="38" t="s">
        <v>325</v>
      </c>
      <c r="F753" s="38" t="s">
        <v>1959</v>
      </c>
    </row>
    <row r="754">
      <c r="A754" s="38" t="s">
        <v>133</v>
      </c>
      <c r="B754" s="38" t="s">
        <v>210</v>
      </c>
      <c r="C754" s="38">
        <v>2.0</v>
      </c>
      <c r="D754" s="38" t="s">
        <v>672</v>
      </c>
      <c r="E754" s="38" t="s">
        <v>325</v>
      </c>
      <c r="F754" s="38" t="s">
        <v>1960</v>
      </c>
    </row>
    <row r="755">
      <c r="A755" s="38" t="s">
        <v>133</v>
      </c>
      <c r="B755" s="38" t="s">
        <v>214</v>
      </c>
      <c r="C755" s="38">
        <v>2.0</v>
      </c>
      <c r="D755" s="38" t="s">
        <v>672</v>
      </c>
      <c r="E755" s="38" t="s">
        <v>325</v>
      </c>
      <c r="F755" s="38" t="s">
        <v>1960</v>
      </c>
    </row>
    <row r="756">
      <c r="A756" s="38" t="s">
        <v>1961</v>
      </c>
      <c r="B756" s="38" t="s">
        <v>1432</v>
      </c>
      <c r="C756" s="38">
        <v>4.0</v>
      </c>
      <c r="D756" s="38" t="s">
        <v>408</v>
      </c>
      <c r="E756" s="38" t="s">
        <v>1962</v>
      </c>
      <c r="F756" s="38" t="s">
        <v>1963</v>
      </c>
    </row>
    <row r="757">
      <c r="A757" s="44"/>
      <c r="B757" s="38" t="s">
        <v>512</v>
      </c>
      <c r="C757" s="38">
        <v>2.0</v>
      </c>
      <c r="D757" s="38" t="s">
        <v>1964</v>
      </c>
      <c r="E757" s="38" t="s">
        <v>1965</v>
      </c>
      <c r="F757" s="38" t="s">
        <v>1966</v>
      </c>
    </row>
    <row r="758">
      <c r="B758" s="38" t="s">
        <v>1967</v>
      </c>
      <c r="C758" s="38">
        <v>4.0</v>
      </c>
      <c r="D758" s="38" t="s">
        <v>1968</v>
      </c>
      <c r="E758" s="38" t="s">
        <v>1782</v>
      </c>
      <c r="F758" s="38" t="s">
        <v>1907</v>
      </c>
    </row>
    <row r="759">
      <c r="B759" s="44"/>
      <c r="C759" s="105" t="s">
        <v>1969</v>
      </c>
      <c r="D759" s="47" t="s">
        <v>1970</v>
      </c>
      <c r="E759" s="38" t="s">
        <v>1971</v>
      </c>
      <c r="F759" s="38" t="s">
        <v>1972</v>
      </c>
      <c r="G759" s="44"/>
      <c r="H759" s="44"/>
      <c r="I759" s="44"/>
    </row>
    <row r="760">
      <c r="B760" s="44"/>
      <c r="C760" s="169" t="s">
        <v>1973</v>
      </c>
      <c r="D760" s="44"/>
      <c r="E760" s="38" t="s">
        <v>1974</v>
      </c>
      <c r="F760" s="44"/>
      <c r="G760" s="44"/>
      <c r="H760" s="44"/>
      <c r="I760" s="44"/>
    </row>
    <row r="761">
      <c r="B761" s="47" t="s">
        <v>1975</v>
      </c>
      <c r="C761" s="38" t="s">
        <v>1976</v>
      </c>
      <c r="D761" s="38" t="s">
        <v>535</v>
      </c>
      <c r="E761" s="38" t="s">
        <v>1977</v>
      </c>
      <c r="F761" s="38" t="s">
        <v>1978</v>
      </c>
    </row>
    <row r="762">
      <c r="B762" s="38" t="s">
        <v>85</v>
      </c>
      <c r="C762" s="38">
        <v>4.0</v>
      </c>
      <c r="D762" s="38" t="s">
        <v>1979</v>
      </c>
      <c r="E762" s="47" t="s">
        <v>1980</v>
      </c>
      <c r="F762" s="44"/>
    </row>
    <row r="763">
      <c r="A763" s="1"/>
      <c r="B763" s="34" t="s">
        <v>1981</v>
      </c>
      <c r="C763" s="20" t="s">
        <v>1982</v>
      </c>
      <c r="D763" s="51" t="s">
        <v>1983</v>
      </c>
      <c r="E763" s="20" t="s">
        <v>1984</v>
      </c>
      <c r="F763" s="170" t="s">
        <v>1985</v>
      </c>
      <c r="G763" s="170" t="s">
        <v>1985</v>
      </c>
    </row>
    <row r="764">
      <c r="A764" s="1" t="s">
        <v>1986</v>
      </c>
      <c r="B764" s="1" t="s">
        <v>1987</v>
      </c>
      <c r="D764" s="4" t="s">
        <v>1988</v>
      </c>
      <c r="E764" s="1" t="s">
        <v>1989</v>
      </c>
      <c r="F764" s="1" t="s">
        <v>1990</v>
      </c>
      <c r="G764" s="170" t="s">
        <v>1985</v>
      </c>
    </row>
    <row r="765">
      <c r="A765" s="1"/>
      <c r="B765" s="1"/>
      <c r="D765" s="171" t="s">
        <v>1991</v>
      </c>
      <c r="E765" s="1" t="s">
        <v>1810</v>
      </c>
      <c r="G765" s="170" t="s">
        <v>1985</v>
      </c>
    </row>
    <row r="766">
      <c r="A766" s="1"/>
      <c r="B766" s="1"/>
      <c r="D766" s="171"/>
      <c r="E766" s="1" t="s">
        <v>1992</v>
      </c>
      <c r="G766" s="170" t="s">
        <v>1985</v>
      </c>
    </row>
    <row r="767">
      <c r="B767" s="38" t="s">
        <v>153</v>
      </c>
      <c r="C767" s="38">
        <v>2.0</v>
      </c>
      <c r="D767" s="38" t="s">
        <v>1993</v>
      </c>
      <c r="E767" s="39" t="s">
        <v>1994</v>
      </c>
      <c r="F767" s="44"/>
    </row>
    <row r="768">
      <c r="B768" s="38" t="s">
        <v>94</v>
      </c>
      <c r="C768" s="38">
        <v>2.0</v>
      </c>
      <c r="D768" s="38" t="s">
        <v>1993</v>
      </c>
      <c r="E768" s="39" t="s">
        <v>1995</v>
      </c>
      <c r="F768" s="44"/>
    </row>
    <row r="769">
      <c r="B769" s="38" t="s">
        <v>28</v>
      </c>
      <c r="C769" s="38">
        <v>4.0</v>
      </c>
      <c r="D769" s="38" t="s">
        <v>433</v>
      </c>
      <c r="E769" s="38" t="s">
        <v>1996</v>
      </c>
      <c r="F769" s="38" t="s">
        <v>1997</v>
      </c>
    </row>
    <row r="770">
      <c r="B770" s="1" t="s">
        <v>1998</v>
      </c>
      <c r="E770" s="1" t="s">
        <v>1999</v>
      </c>
      <c r="F770" s="1" t="s">
        <v>2000</v>
      </c>
    </row>
    <row r="771">
      <c r="B771" s="1" t="s">
        <v>2001</v>
      </c>
      <c r="E771" s="1" t="s">
        <v>1999</v>
      </c>
      <c r="F771" s="1"/>
    </row>
    <row r="772">
      <c r="B772" s="1" t="s">
        <v>2002</v>
      </c>
      <c r="C772" s="1" t="s">
        <v>2003</v>
      </c>
      <c r="E772" s="1" t="s">
        <v>1999</v>
      </c>
      <c r="F772" s="1"/>
    </row>
    <row r="773">
      <c r="B773" s="1"/>
      <c r="E773" s="1" t="s">
        <v>1999</v>
      </c>
      <c r="F773" s="1"/>
    </row>
    <row r="774">
      <c r="A774" s="44"/>
      <c r="B774" s="38" t="s">
        <v>495</v>
      </c>
      <c r="C774" s="38">
        <v>4.0</v>
      </c>
      <c r="D774" s="38" t="s">
        <v>2004</v>
      </c>
      <c r="E774" s="38" t="s">
        <v>2005</v>
      </c>
      <c r="F774" s="38" t="s">
        <v>2006</v>
      </c>
      <c r="G774" s="1" t="s">
        <v>2007</v>
      </c>
      <c r="H774" s="1" t="s">
        <v>2008</v>
      </c>
    </row>
    <row r="775">
      <c r="A775" s="38" t="s">
        <v>2009</v>
      </c>
      <c r="B775" s="172" t="s">
        <v>2010</v>
      </c>
      <c r="C775" s="44"/>
      <c r="D775" s="44"/>
      <c r="E775" s="91" t="s">
        <v>2011</v>
      </c>
      <c r="F775" s="38" t="s">
        <v>2012</v>
      </c>
    </row>
    <row r="776">
      <c r="A776" s="44"/>
      <c r="B776" s="38" t="s">
        <v>2013</v>
      </c>
      <c r="C776" s="38">
        <v>2.0</v>
      </c>
      <c r="D776" s="38" t="s">
        <v>1382</v>
      </c>
      <c r="E776" s="38" t="s">
        <v>450</v>
      </c>
      <c r="F776" s="38" t="s">
        <v>2014</v>
      </c>
    </row>
    <row r="777">
      <c r="B777" s="44"/>
      <c r="C777" s="105" t="s">
        <v>1969</v>
      </c>
      <c r="D777" s="47" t="s">
        <v>1970</v>
      </c>
      <c r="E777" s="38" t="s">
        <v>2015</v>
      </c>
      <c r="F777" s="44"/>
    </row>
    <row r="778">
      <c r="A778" s="173" t="s">
        <v>2016</v>
      </c>
      <c r="B778" s="38" t="s">
        <v>755</v>
      </c>
      <c r="C778" s="38">
        <v>4.0</v>
      </c>
      <c r="D778" s="38" t="s">
        <v>2017</v>
      </c>
      <c r="E778" s="38" t="s">
        <v>2018</v>
      </c>
      <c r="F778" s="38" t="s">
        <v>1952</v>
      </c>
      <c r="G778" s="1" t="s">
        <v>2019</v>
      </c>
    </row>
    <row r="779">
      <c r="B779" s="38" t="s">
        <v>1409</v>
      </c>
      <c r="C779" s="38">
        <v>2.0</v>
      </c>
      <c r="D779" s="38" t="s">
        <v>408</v>
      </c>
      <c r="E779" s="38" t="s">
        <v>325</v>
      </c>
      <c r="F779" s="38" t="s">
        <v>2020</v>
      </c>
    </row>
    <row r="780">
      <c r="B780" s="38" t="s">
        <v>1454</v>
      </c>
      <c r="C780" s="38">
        <v>2.0</v>
      </c>
      <c r="D780" s="38" t="s">
        <v>408</v>
      </c>
      <c r="E780" s="38" t="s">
        <v>325</v>
      </c>
      <c r="F780" s="38" t="s">
        <v>2020</v>
      </c>
    </row>
    <row r="781">
      <c r="B781" s="38" t="s">
        <v>183</v>
      </c>
      <c r="C781" s="38">
        <v>2.0</v>
      </c>
      <c r="D781" s="38" t="s">
        <v>2021</v>
      </c>
      <c r="E781" s="38" t="s">
        <v>2022</v>
      </c>
      <c r="F781" s="38" t="s">
        <v>2023</v>
      </c>
    </row>
    <row r="782">
      <c r="B782" s="38" t="s">
        <v>2024</v>
      </c>
      <c r="C782" s="38">
        <v>4.0</v>
      </c>
      <c r="D782" s="38" t="s">
        <v>2025</v>
      </c>
      <c r="E782" s="38" t="s">
        <v>2026</v>
      </c>
      <c r="F782" s="38" t="s">
        <v>2027</v>
      </c>
    </row>
    <row r="783">
      <c r="B783" s="38" t="s">
        <v>2028</v>
      </c>
      <c r="C783" s="38">
        <v>6.0</v>
      </c>
      <c r="D783" s="38" t="s">
        <v>2029</v>
      </c>
      <c r="E783" s="38" t="s">
        <v>514</v>
      </c>
      <c r="F783" s="38" t="s">
        <v>2030</v>
      </c>
    </row>
    <row r="784">
      <c r="A784" s="4" t="s">
        <v>2031</v>
      </c>
      <c r="B784" s="38" t="s">
        <v>623</v>
      </c>
      <c r="C784" s="38">
        <v>2.0</v>
      </c>
      <c r="D784" s="38" t="s">
        <v>2032</v>
      </c>
      <c r="E784" s="38" t="s">
        <v>325</v>
      </c>
      <c r="F784" s="38" t="s">
        <v>2033</v>
      </c>
    </row>
    <row r="785">
      <c r="A785" s="4" t="s">
        <v>2031</v>
      </c>
      <c r="B785" s="38" t="s">
        <v>97</v>
      </c>
      <c r="C785" s="38">
        <v>2.0</v>
      </c>
      <c r="D785" s="38" t="s">
        <v>2032</v>
      </c>
      <c r="E785" s="38" t="s">
        <v>325</v>
      </c>
      <c r="F785" s="38" t="s">
        <v>2033</v>
      </c>
    </row>
    <row r="786">
      <c r="A786" s="173" t="s">
        <v>2034</v>
      </c>
      <c r="B786" s="38" t="s">
        <v>2035</v>
      </c>
      <c r="C786" s="38">
        <v>4.0</v>
      </c>
      <c r="D786" s="38" t="s">
        <v>684</v>
      </c>
      <c r="E786" s="38" t="s">
        <v>2036</v>
      </c>
      <c r="F786" s="38" t="s">
        <v>1952</v>
      </c>
      <c r="G786" s="1" t="s">
        <v>2037</v>
      </c>
    </row>
    <row r="787">
      <c r="A787" s="8"/>
      <c r="B787" s="38" t="s">
        <v>205</v>
      </c>
      <c r="C787" s="38">
        <v>4.0</v>
      </c>
      <c r="D787" s="38" t="s">
        <v>289</v>
      </c>
      <c r="E787" s="38" t="s">
        <v>1782</v>
      </c>
      <c r="F787" s="38" t="s">
        <v>2038</v>
      </c>
    </row>
    <row r="788">
      <c r="A788" s="8"/>
      <c r="B788" s="38" t="s">
        <v>77</v>
      </c>
      <c r="C788" s="38">
        <v>4.0</v>
      </c>
      <c r="D788" s="38" t="s">
        <v>2039</v>
      </c>
      <c r="E788" s="38" t="s">
        <v>1782</v>
      </c>
      <c r="F788" s="38" t="s">
        <v>2038</v>
      </c>
    </row>
    <row r="789">
      <c r="A789" s="4" t="s">
        <v>2040</v>
      </c>
      <c r="B789" s="38" t="s">
        <v>1761</v>
      </c>
      <c r="C789" s="38">
        <v>4.0</v>
      </c>
      <c r="D789" s="38" t="s">
        <v>684</v>
      </c>
      <c r="E789" s="38" t="s">
        <v>2041</v>
      </c>
      <c r="F789" s="38" t="s">
        <v>2038</v>
      </c>
      <c r="G789" s="1" t="s">
        <v>784</v>
      </c>
    </row>
    <row r="790">
      <c r="A790" s="8"/>
      <c r="B790" s="38" t="s">
        <v>205</v>
      </c>
      <c r="C790" s="38">
        <v>4.0</v>
      </c>
      <c r="D790" s="38" t="s">
        <v>2042</v>
      </c>
      <c r="E790" s="38" t="s">
        <v>1782</v>
      </c>
      <c r="F790" s="38" t="s">
        <v>2038</v>
      </c>
    </row>
    <row r="791">
      <c r="A791" s="44"/>
      <c r="B791" s="38" t="s">
        <v>1798</v>
      </c>
      <c r="C791" s="38">
        <v>1.0</v>
      </c>
      <c r="D791" s="38" t="s">
        <v>2043</v>
      </c>
      <c r="E791" s="38" t="s">
        <v>2044</v>
      </c>
      <c r="F791" s="38" t="s">
        <v>2045</v>
      </c>
    </row>
    <row r="792">
      <c r="A792" s="44"/>
      <c r="B792" s="38" t="s">
        <v>1795</v>
      </c>
      <c r="C792" s="38">
        <v>1.0</v>
      </c>
      <c r="D792" s="38" t="s">
        <v>2043</v>
      </c>
      <c r="E792" s="38" t="s">
        <v>2046</v>
      </c>
      <c r="F792" s="44"/>
    </row>
    <row r="793">
      <c r="A793" s="44"/>
      <c r="B793" s="38" t="s">
        <v>2047</v>
      </c>
      <c r="C793" s="47" t="s">
        <v>2048</v>
      </c>
      <c r="D793" s="47" t="s">
        <v>2049</v>
      </c>
      <c r="E793" s="39" t="s">
        <v>2050</v>
      </c>
      <c r="F793" s="38" t="s">
        <v>2051</v>
      </c>
    </row>
    <row r="794">
      <c r="B794" s="47" t="s">
        <v>2052</v>
      </c>
      <c r="C794" s="38">
        <v>2.0</v>
      </c>
      <c r="D794" s="38" t="s">
        <v>2053</v>
      </c>
      <c r="E794" s="38" t="s">
        <v>873</v>
      </c>
      <c r="F794" s="38" t="s">
        <v>2054</v>
      </c>
      <c r="G794" s="38" t="s">
        <v>2055</v>
      </c>
    </row>
    <row r="795">
      <c r="B795" s="47" t="s">
        <v>2056</v>
      </c>
      <c r="C795" s="38">
        <v>2.0</v>
      </c>
      <c r="D795" s="38" t="s">
        <v>2053</v>
      </c>
      <c r="E795" s="38" t="s">
        <v>873</v>
      </c>
      <c r="F795" s="38" t="s">
        <v>2057</v>
      </c>
      <c r="G795" s="38" t="s">
        <v>2055</v>
      </c>
    </row>
    <row r="796">
      <c r="B796" s="38" t="s">
        <v>405</v>
      </c>
      <c r="C796" s="38">
        <v>2.0</v>
      </c>
      <c r="D796" s="38" t="s">
        <v>2058</v>
      </c>
      <c r="E796" s="38" t="s">
        <v>2059</v>
      </c>
      <c r="F796" s="38" t="s">
        <v>2060</v>
      </c>
      <c r="G796" s="38" t="s">
        <v>2055</v>
      </c>
    </row>
    <row r="797">
      <c r="B797" s="38" t="s">
        <v>52</v>
      </c>
      <c r="C797" s="38">
        <v>2.0</v>
      </c>
      <c r="D797" s="38" t="s">
        <v>2058</v>
      </c>
      <c r="E797" s="38" t="s">
        <v>873</v>
      </c>
      <c r="F797" s="44"/>
      <c r="G797" s="38" t="s">
        <v>2055</v>
      </c>
    </row>
    <row r="798">
      <c r="A798" s="44"/>
      <c r="B798" s="38" t="s">
        <v>81</v>
      </c>
      <c r="C798" s="38">
        <v>4.0</v>
      </c>
      <c r="D798" s="38" t="s">
        <v>2061</v>
      </c>
      <c r="E798" s="38" t="s">
        <v>1272</v>
      </c>
      <c r="F798" s="38" t="s">
        <v>1942</v>
      </c>
    </row>
    <row r="799">
      <c r="A799" s="47" t="s">
        <v>2062</v>
      </c>
      <c r="B799" s="38" t="s">
        <v>333</v>
      </c>
      <c r="C799" s="38" t="s">
        <v>2063</v>
      </c>
      <c r="D799" s="38" t="s">
        <v>2064</v>
      </c>
      <c r="E799" s="38" t="s">
        <v>2065</v>
      </c>
      <c r="F799" s="38" t="s">
        <v>2066</v>
      </c>
      <c r="G799" s="4" t="s">
        <v>2067</v>
      </c>
      <c r="H799" s="174" t="s">
        <v>2068</v>
      </c>
    </row>
    <row r="800">
      <c r="A800" s="38" t="s">
        <v>2069</v>
      </c>
      <c r="B800" s="38" t="s">
        <v>333</v>
      </c>
      <c r="C800" s="38" t="s">
        <v>2063</v>
      </c>
      <c r="D800" s="38" t="s">
        <v>2064</v>
      </c>
      <c r="E800" s="38" t="s">
        <v>2070</v>
      </c>
      <c r="F800" s="38" t="s">
        <v>2071</v>
      </c>
      <c r="G800" s="4" t="s">
        <v>2072</v>
      </c>
    </row>
    <row r="801">
      <c r="A801" s="44"/>
      <c r="B801" s="38" t="s">
        <v>28</v>
      </c>
      <c r="C801" s="38">
        <v>4.0</v>
      </c>
      <c r="D801" s="38" t="s">
        <v>2073</v>
      </c>
      <c r="E801" s="38" t="s">
        <v>2074</v>
      </c>
      <c r="F801" s="38" t="s">
        <v>1997</v>
      </c>
    </row>
    <row r="802">
      <c r="A802" s="44"/>
      <c r="B802" s="38" t="s">
        <v>28</v>
      </c>
      <c r="C802" s="38">
        <v>4.0</v>
      </c>
      <c r="D802" s="38" t="s">
        <v>2075</v>
      </c>
      <c r="E802" s="38" t="s">
        <v>2076</v>
      </c>
      <c r="F802" s="38" t="s">
        <v>1997</v>
      </c>
    </row>
    <row r="803">
      <c r="A803" s="44"/>
      <c r="B803" s="38" t="s">
        <v>122</v>
      </c>
      <c r="C803" s="38">
        <v>4.0</v>
      </c>
      <c r="D803" s="38" t="s">
        <v>2077</v>
      </c>
      <c r="E803" s="118" t="s">
        <v>2078</v>
      </c>
      <c r="F803" s="38" t="s">
        <v>2079</v>
      </c>
    </row>
    <row r="804">
      <c r="A804" s="4" t="s">
        <v>2080</v>
      </c>
      <c r="B804" s="38" t="s">
        <v>85</v>
      </c>
      <c r="C804" s="38">
        <v>2.0</v>
      </c>
      <c r="D804" s="38" t="s">
        <v>417</v>
      </c>
      <c r="E804" s="38" t="s">
        <v>2081</v>
      </c>
      <c r="F804" s="38" t="s">
        <v>2082</v>
      </c>
    </row>
    <row r="805">
      <c r="A805" s="1" t="s">
        <v>997</v>
      </c>
      <c r="B805" s="38" t="s">
        <v>31</v>
      </c>
      <c r="C805" s="38">
        <v>2.0</v>
      </c>
      <c r="D805" s="38" t="s">
        <v>417</v>
      </c>
      <c r="E805" s="38" t="s">
        <v>325</v>
      </c>
      <c r="F805" s="38" t="s">
        <v>2082</v>
      </c>
    </row>
    <row r="806">
      <c r="B806" s="4" t="s">
        <v>2083</v>
      </c>
      <c r="C806" s="175" t="s">
        <v>2084</v>
      </c>
      <c r="D806" s="175" t="s">
        <v>2085</v>
      </c>
      <c r="E806" s="1" t="s">
        <v>1940</v>
      </c>
      <c r="F806" s="1" t="s">
        <v>2086</v>
      </c>
    </row>
    <row r="807">
      <c r="B807" s="4" t="s">
        <v>2087</v>
      </c>
      <c r="C807" s="4" t="s">
        <v>2088</v>
      </c>
      <c r="E807" s="1" t="s">
        <v>1940</v>
      </c>
      <c r="F807" s="1" t="s">
        <v>2089</v>
      </c>
    </row>
    <row r="808">
      <c r="B808" s="1"/>
      <c r="C808" s="176"/>
      <c r="E808" s="1" t="s">
        <v>1940</v>
      </c>
    </row>
    <row r="809">
      <c r="B809" s="44"/>
      <c r="C809" s="177" t="s">
        <v>2090</v>
      </c>
      <c r="D809" s="177" t="s">
        <v>2091</v>
      </c>
      <c r="E809" s="38" t="s">
        <v>2092</v>
      </c>
      <c r="F809" s="38" t="s">
        <v>2093</v>
      </c>
    </row>
    <row r="810">
      <c r="B810" s="38" t="s">
        <v>354</v>
      </c>
      <c r="C810" s="38">
        <v>4.0</v>
      </c>
      <c r="D810" s="38" t="s">
        <v>2094</v>
      </c>
      <c r="E810" s="38" t="s">
        <v>2095</v>
      </c>
      <c r="F810" s="38" t="s">
        <v>2096</v>
      </c>
    </row>
    <row r="811">
      <c r="B811" s="38" t="s">
        <v>479</v>
      </c>
      <c r="C811" s="38">
        <v>4.0</v>
      </c>
      <c r="D811" s="38" t="s">
        <v>2097</v>
      </c>
      <c r="E811" s="38" t="s">
        <v>2098</v>
      </c>
      <c r="F811" s="38" t="s">
        <v>2099</v>
      </c>
    </row>
    <row r="812">
      <c r="B812" s="44"/>
      <c r="C812" s="44"/>
      <c r="D812" s="38" t="s">
        <v>2100</v>
      </c>
      <c r="E812" s="38" t="s">
        <v>2101</v>
      </c>
      <c r="F812" s="38" t="s">
        <v>2102</v>
      </c>
    </row>
    <row r="813">
      <c r="A813" s="44"/>
      <c r="B813" s="38" t="s">
        <v>2103</v>
      </c>
      <c r="C813" s="178" t="s">
        <v>2104</v>
      </c>
      <c r="D813" s="179" t="s">
        <v>2105</v>
      </c>
      <c r="E813" s="38" t="s">
        <v>1701</v>
      </c>
      <c r="F813" s="38" t="s">
        <v>2106</v>
      </c>
      <c r="G813" s="38" t="s">
        <v>2107</v>
      </c>
    </row>
    <row r="814">
      <c r="A814" s="178" t="s">
        <v>133</v>
      </c>
      <c r="B814" s="38" t="s">
        <v>2108</v>
      </c>
      <c r="C814" s="38">
        <v>4.0</v>
      </c>
      <c r="D814" s="38" t="s">
        <v>672</v>
      </c>
      <c r="E814" s="38" t="s">
        <v>325</v>
      </c>
      <c r="F814" s="38" t="s">
        <v>2109</v>
      </c>
    </row>
    <row r="815">
      <c r="A815" s="1" t="s">
        <v>1961</v>
      </c>
      <c r="B815" s="1" t="s">
        <v>31</v>
      </c>
      <c r="C815" s="1">
        <v>4.0</v>
      </c>
      <c r="D815" s="1" t="s">
        <v>2110</v>
      </c>
      <c r="E815" s="1" t="s">
        <v>325</v>
      </c>
      <c r="F815" s="1" t="s">
        <v>2111</v>
      </c>
    </row>
    <row r="816">
      <c r="C816" s="1" t="s">
        <v>647</v>
      </c>
      <c r="D816" s="1" t="s">
        <v>2112</v>
      </c>
      <c r="E816" s="1" t="s">
        <v>2113</v>
      </c>
    </row>
    <row r="817">
      <c r="A817" s="44"/>
      <c r="B817" s="38" t="s">
        <v>1454</v>
      </c>
      <c r="C817" s="38">
        <v>4.0</v>
      </c>
      <c r="D817" s="38" t="s">
        <v>2114</v>
      </c>
      <c r="E817" s="38" t="s">
        <v>2115</v>
      </c>
      <c r="F817" s="180" t="s">
        <v>2116</v>
      </c>
      <c r="G817" s="38" t="s">
        <v>2117</v>
      </c>
    </row>
    <row r="818">
      <c r="B818" s="44"/>
      <c r="C818" s="44"/>
      <c r="D818" s="38" t="s">
        <v>2118</v>
      </c>
      <c r="E818" s="38" t="s">
        <v>2119</v>
      </c>
      <c r="F818" s="44"/>
    </row>
    <row r="819">
      <c r="B819" s="38" t="s">
        <v>28</v>
      </c>
      <c r="C819" s="38">
        <v>4.0</v>
      </c>
      <c r="D819" s="38" t="s">
        <v>2039</v>
      </c>
      <c r="E819" s="38" t="s">
        <v>1782</v>
      </c>
      <c r="F819" s="38" t="s">
        <v>2038</v>
      </c>
    </row>
    <row r="820">
      <c r="B820" s="38" t="s">
        <v>122</v>
      </c>
      <c r="C820" s="38">
        <v>4.0</v>
      </c>
      <c r="D820" s="38" t="s">
        <v>2039</v>
      </c>
      <c r="E820" s="38" t="s">
        <v>1782</v>
      </c>
      <c r="F820" s="38" t="s">
        <v>2120</v>
      </c>
    </row>
    <row r="821">
      <c r="B821" s="38" t="s">
        <v>22</v>
      </c>
      <c r="C821" s="38">
        <v>4.0</v>
      </c>
      <c r="D821" s="38" t="s">
        <v>2121</v>
      </c>
      <c r="E821" s="38" t="s">
        <v>2122</v>
      </c>
      <c r="F821" s="38" t="s">
        <v>2123</v>
      </c>
    </row>
    <row r="822">
      <c r="B822" s="38" t="s">
        <v>22</v>
      </c>
      <c r="C822" s="38">
        <v>4.0</v>
      </c>
      <c r="D822" s="38" t="s">
        <v>2124</v>
      </c>
      <c r="E822" s="38" t="s">
        <v>2125</v>
      </c>
      <c r="F822" s="38" t="s">
        <v>2123</v>
      </c>
    </row>
    <row r="823">
      <c r="A823" s="4" t="s">
        <v>2126</v>
      </c>
      <c r="B823" s="38" t="s">
        <v>140</v>
      </c>
      <c r="C823" s="38">
        <v>4.0</v>
      </c>
      <c r="D823" s="38" t="s">
        <v>672</v>
      </c>
      <c r="E823" s="38" t="s">
        <v>2127</v>
      </c>
      <c r="F823" s="38" t="s">
        <v>2128</v>
      </c>
      <c r="G823" s="4" t="s">
        <v>2129</v>
      </c>
      <c r="H823" s="1" t="s">
        <v>2130</v>
      </c>
      <c r="I823" s="1" t="s">
        <v>1507</v>
      </c>
    </row>
    <row r="824">
      <c r="A824" s="5" t="s">
        <v>2131</v>
      </c>
      <c r="B824" s="38" t="s">
        <v>25</v>
      </c>
      <c r="C824" s="38">
        <v>4.0</v>
      </c>
      <c r="D824" s="38" t="s">
        <v>672</v>
      </c>
      <c r="E824" s="38" t="s">
        <v>2132</v>
      </c>
      <c r="F824" s="38" t="s">
        <v>2120</v>
      </c>
      <c r="G824" s="1" t="s">
        <v>784</v>
      </c>
    </row>
    <row r="825">
      <c r="A825" s="44"/>
      <c r="B825" s="38" t="s">
        <v>214</v>
      </c>
      <c r="C825" s="38">
        <v>2.0</v>
      </c>
      <c r="D825" s="38" t="s">
        <v>465</v>
      </c>
      <c r="E825" s="38" t="s">
        <v>325</v>
      </c>
      <c r="F825" s="38" t="s">
        <v>2133</v>
      </c>
    </row>
    <row r="826">
      <c r="A826" s="44"/>
      <c r="B826" s="38" t="s">
        <v>210</v>
      </c>
      <c r="C826" s="38">
        <v>2.0</v>
      </c>
      <c r="D826" s="38" t="s">
        <v>465</v>
      </c>
      <c r="E826" s="38" t="s">
        <v>325</v>
      </c>
      <c r="F826" s="38" t="s">
        <v>2133</v>
      </c>
    </row>
    <row r="827">
      <c r="B827" s="38" t="s">
        <v>1409</v>
      </c>
      <c r="C827" s="38">
        <v>2.0</v>
      </c>
      <c r="D827" s="38" t="s">
        <v>2134</v>
      </c>
      <c r="E827" s="38" t="s">
        <v>2135</v>
      </c>
      <c r="F827" s="38" t="s">
        <v>2136</v>
      </c>
    </row>
    <row r="828">
      <c r="B828" s="38" t="s">
        <v>1454</v>
      </c>
      <c r="C828" s="38">
        <v>2.0</v>
      </c>
      <c r="D828" s="38" t="s">
        <v>2134</v>
      </c>
      <c r="E828" s="38" t="s">
        <v>2137</v>
      </c>
      <c r="F828" s="38" t="s">
        <v>2136</v>
      </c>
    </row>
    <row r="829">
      <c r="B829" s="38" t="s">
        <v>22</v>
      </c>
      <c r="C829" s="38">
        <v>4.0</v>
      </c>
      <c r="D829" s="38" t="s">
        <v>1979</v>
      </c>
      <c r="E829" s="38" t="s">
        <v>2138</v>
      </c>
      <c r="F829" s="38"/>
    </row>
    <row r="830">
      <c r="A830" s="5" t="s">
        <v>2139</v>
      </c>
      <c r="B830" s="38" t="s">
        <v>2140</v>
      </c>
      <c r="C830" s="38">
        <v>4.0</v>
      </c>
      <c r="D830" s="38" t="s">
        <v>2141</v>
      </c>
      <c r="E830" s="38" t="s">
        <v>2142</v>
      </c>
      <c r="F830" s="38" t="s">
        <v>2143</v>
      </c>
    </row>
    <row r="831">
      <c r="A831" s="5" t="s">
        <v>2144</v>
      </c>
      <c r="B831" s="38" t="s">
        <v>2145</v>
      </c>
      <c r="C831" s="38">
        <v>4.0</v>
      </c>
      <c r="D831" s="38" t="s">
        <v>2146</v>
      </c>
      <c r="E831" s="38" t="s">
        <v>2147</v>
      </c>
      <c r="F831" s="38" t="s">
        <v>2148</v>
      </c>
      <c r="G831" s="38" t="s">
        <v>2149</v>
      </c>
      <c r="H831" s="1" t="s">
        <v>2150</v>
      </c>
      <c r="K831" s="75" t="s">
        <v>2151</v>
      </c>
    </row>
    <row r="832">
      <c r="A832" s="4" t="s">
        <v>2152</v>
      </c>
      <c r="B832" s="38" t="s">
        <v>2153</v>
      </c>
      <c r="C832" s="38">
        <v>4.0</v>
      </c>
      <c r="D832" s="38" t="s">
        <v>2154</v>
      </c>
      <c r="E832" s="38" t="s">
        <v>2155</v>
      </c>
      <c r="F832" s="38" t="s">
        <v>2156</v>
      </c>
      <c r="G832" s="38" t="s">
        <v>2149</v>
      </c>
      <c r="H832" s="1" t="s">
        <v>2157</v>
      </c>
      <c r="K832" s="181" t="s">
        <v>2158</v>
      </c>
    </row>
    <row r="833">
      <c r="A833" s="5" t="s">
        <v>133</v>
      </c>
      <c r="B833" s="38" t="s">
        <v>2159</v>
      </c>
      <c r="C833" s="38">
        <v>4.0</v>
      </c>
      <c r="D833" s="38" t="s">
        <v>2160</v>
      </c>
      <c r="E833" s="91" t="s">
        <v>2011</v>
      </c>
      <c r="F833" s="38" t="s">
        <v>2012</v>
      </c>
    </row>
    <row r="834">
      <c r="A834" s="5" t="s">
        <v>133</v>
      </c>
      <c r="B834" s="38" t="s">
        <v>88</v>
      </c>
      <c r="C834" s="38">
        <v>4.0</v>
      </c>
      <c r="D834" s="38" t="s">
        <v>2161</v>
      </c>
      <c r="E834" s="91" t="s">
        <v>2011</v>
      </c>
      <c r="F834" s="38" t="s">
        <v>2012</v>
      </c>
    </row>
    <row r="835">
      <c r="A835" s="47"/>
      <c r="B835" s="47"/>
      <c r="C835" s="47"/>
      <c r="D835" s="38" t="s">
        <v>2162</v>
      </c>
      <c r="E835" s="91" t="s">
        <v>2011</v>
      </c>
      <c r="F835" s="38" t="s">
        <v>2163</v>
      </c>
      <c r="G835" s="38" t="s">
        <v>2164</v>
      </c>
    </row>
    <row r="836">
      <c r="A836" s="5" t="s">
        <v>133</v>
      </c>
      <c r="B836" s="38" t="s">
        <v>25</v>
      </c>
      <c r="C836" s="38">
        <v>4.0</v>
      </c>
      <c r="D836" s="38" t="s">
        <v>672</v>
      </c>
      <c r="E836" s="38" t="s">
        <v>2165</v>
      </c>
      <c r="F836" s="38" t="s">
        <v>2166</v>
      </c>
    </row>
    <row r="837">
      <c r="A837" s="8"/>
      <c r="B837" s="38" t="s">
        <v>430</v>
      </c>
      <c r="C837" s="38">
        <v>4.0</v>
      </c>
      <c r="D837" s="38" t="s">
        <v>2167</v>
      </c>
      <c r="E837" s="39" t="s">
        <v>2168</v>
      </c>
      <c r="F837" s="38" t="s">
        <v>2169</v>
      </c>
    </row>
    <row r="838">
      <c r="A838" s="8"/>
      <c r="B838" s="38"/>
      <c r="C838" s="38"/>
      <c r="D838" s="38"/>
      <c r="E838" s="39" t="s">
        <v>2170</v>
      </c>
      <c r="F838" s="38"/>
      <c r="J838" s="1"/>
    </row>
    <row r="839">
      <c r="A839" s="38" t="s">
        <v>133</v>
      </c>
      <c r="B839" s="38" t="s">
        <v>271</v>
      </c>
      <c r="C839" s="38">
        <v>4.0</v>
      </c>
      <c r="D839" s="38" t="s">
        <v>2171</v>
      </c>
      <c r="E839" s="38" t="s">
        <v>2172</v>
      </c>
      <c r="F839" s="38"/>
    </row>
    <row r="840">
      <c r="A840" s="38" t="s">
        <v>133</v>
      </c>
      <c r="B840" s="38" t="s">
        <v>266</v>
      </c>
      <c r="C840" s="38">
        <v>4.0</v>
      </c>
      <c r="D840" s="38" t="s">
        <v>2173</v>
      </c>
      <c r="E840" s="38" t="s">
        <v>2174</v>
      </c>
      <c r="F840" s="38" t="s">
        <v>2175</v>
      </c>
    </row>
    <row r="841">
      <c r="A841" s="38" t="s">
        <v>133</v>
      </c>
      <c r="B841" s="38" t="s">
        <v>354</v>
      </c>
      <c r="C841" s="38">
        <v>4.0</v>
      </c>
      <c r="D841" s="38" t="s">
        <v>2176</v>
      </c>
      <c r="E841" s="38" t="s">
        <v>2177</v>
      </c>
      <c r="F841" s="38"/>
    </row>
    <row r="842">
      <c r="A842" s="47" t="s">
        <v>2178</v>
      </c>
      <c r="B842" s="47" t="s">
        <v>354</v>
      </c>
      <c r="C842" s="47">
        <v>4.0</v>
      </c>
      <c r="D842" s="47" t="s">
        <v>2176</v>
      </c>
      <c r="E842" s="38" t="s">
        <v>2179</v>
      </c>
      <c r="F842" s="47"/>
    </row>
    <row r="843">
      <c r="A843" s="38" t="s">
        <v>133</v>
      </c>
      <c r="B843" s="38" t="s">
        <v>342</v>
      </c>
      <c r="C843" s="38">
        <v>4.0</v>
      </c>
      <c r="D843" s="38" t="s">
        <v>672</v>
      </c>
      <c r="E843" s="38" t="s">
        <v>327</v>
      </c>
      <c r="F843" s="38" t="s">
        <v>2180</v>
      </c>
    </row>
    <row r="844">
      <c r="A844" s="1" t="s">
        <v>133</v>
      </c>
      <c r="B844" s="38" t="s">
        <v>333</v>
      </c>
      <c r="C844" s="38">
        <v>4.0</v>
      </c>
      <c r="D844" s="38" t="s">
        <v>2181</v>
      </c>
      <c r="E844" s="38" t="s">
        <v>2182</v>
      </c>
      <c r="F844" s="38" t="s">
        <v>2183</v>
      </c>
      <c r="H844" s="1" t="s">
        <v>2184</v>
      </c>
    </row>
    <row r="845">
      <c r="A845" s="1" t="s">
        <v>133</v>
      </c>
      <c r="B845" s="38" t="s">
        <v>333</v>
      </c>
      <c r="C845" s="38">
        <v>4.0</v>
      </c>
      <c r="D845" s="38" t="s">
        <v>2181</v>
      </c>
      <c r="E845" s="38" t="s">
        <v>2185</v>
      </c>
      <c r="F845" s="38" t="s">
        <v>2186</v>
      </c>
      <c r="H845" s="109" t="s">
        <v>2187</v>
      </c>
    </row>
    <row r="846">
      <c r="A846" s="1" t="s">
        <v>133</v>
      </c>
      <c r="B846" s="38" t="s">
        <v>283</v>
      </c>
      <c r="C846" s="38">
        <v>4.0</v>
      </c>
      <c r="D846" s="38" t="s">
        <v>2188</v>
      </c>
      <c r="E846" s="38" t="s">
        <v>2189</v>
      </c>
      <c r="F846" s="38" t="s">
        <v>2190</v>
      </c>
      <c r="G846" s="38" t="s">
        <v>2191</v>
      </c>
    </row>
    <row r="847">
      <c r="B847" s="38" t="s">
        <v>77</v>
      </c>
      <c r="C847" s="38">
        <v>4.0</v>
      </c>
      <c r="D847" s="38" t="s">
        <v>2192</v>
      </c>
      <c r="E847" s="38" t="s">
        <v>2193</v>
      </c>
      <c r="F847" s="38" t="s">
        <v>2194</v>
      </c>
    </row>
    <row r="848">
      <c r="A848" s="47" t="s">
        <v>1113</v>
      </c>
      <c r="B848" s="38" t="s">
        <v>77</v>
      </c>
      <c r="C848" s="38">
        <v>2.0</v>
      </c>
      <c r="D848" s="38" t="s">
        <v>2192</v>
      </c>
      <c r="E848" s="38" t="s">
        <v>2195</v>
      </c>
      <c r="F848" s="38" t="s">
        <v>2196</v>
      </c>
    </row>
    <row r="849">
      <c r="A849" s="47" t="s">
        <v>1113</v>
      </c>
      <c r="B849" s="47" t="s">
        <v>271</v>
      </c>
      <c r="C849" s="38">
        <v>4.0</v>
      </c>
      <c r="D849" s="38" t="s">
        <v>2197</v>
      </c>
      <c r="E849" s="38" t="s">
        <v>2198</v>
      </c>
      <c r="F849" s="38" t="s">
        <v>2199</v>
      </c>
    </row>
    <row r="850">
      <c r="A850" s="47" t="s">
        <v>1113</v>
      </c>
      <c r="B850" s="47" t="s">
        <v>271</v>
      </c>
      <c r="C850" s="38">
        <v>4.0</v>
      </c>
      <c r="D850" s="38" t="s">
        <v>2197</v>
      </c>
      <c r="E850" s="38" t="s">
        <v>2200</v>
      </c>
      <c r="F850" s="38" t="s">
        <v>2201</v>
      </c>
    </row>
    <row r="851">
      <c r="A851" s="47"/>
      <c r="B851" s="47" t="s">
        <v>271</v>
      </c>
      <c r="C851" s="38">
        <v>4.0</v>
      </c>
      <c r="D851" s="38" t="s">
        <v>2197</v>
      </c>
      <c r="E851" s="38" t="s">
        <v>2202</v>
      </c>
      <c r="F851" s="38" t="s">
        <v>2199</v>
      </c>
    </row>
    <row r="852">
      <c r="A852" s="47" t="s">
        <v>1113</v>
      </c>
      <c r="B852" s="47" t="s">
        <v>271</v>
      </c>
      <c r="C852" s="38">
        <v>4.0</v>
      </c>
      <c r="D852" s="38" t="s">
        <v>2197</v>
      </c>
      <c r="E852" s="38" t="s">
        <v>2203</v>
      </c>
      <c r="F852" s="38" t="s">
        <v>2196</v>
      </c>
    </row>
    <row r="853">
      <c r="A853" s="4" t="s">
        <v>2204</v>
      </c>
      <c r="B853" s="38" t="s">
        <v>91</v>
      </c>
      <c r="C853" s="38">
        <v>4.0</v>
      </c>
      <c r="D853" s="38" t="s">
        <v>2205</v>
      </c>
      <c r="E853" s="38" t="s">
        <v>2206</v>
      </c>
      <c r="F853" s="38" t="s">
        <v>2207</v>
      </c>
    </row>
    <row r="854">
      <c r="A854" s="4"/>
      <c r="B854" s="38" t="s">
        <v>339</v>
      </c>
      <c r="C854" s="38">
        <v>2.0</v>
      </c>
      <c r="D854" s="38" t="s">
        <v>2208</v>
      </c>
      <c r="E854" s="38" t="s">
        <v>2209</v>
      </c>
      <c r="F854" s="38" t="s">
        <v>2207</v>
      </c>
    </row>
    <row r="855">
      <c r="A855" s="4" t="s">
        <v>2210</v>
      </c>
      <c r="B855" s="38" t="s">
        <v>339</v>
      </c>
      <c r="C855" s="38">
        <v>4.0</v>
      </c>
      <c r="D855" s="38" t="s">
        <v>2208</v>
      </c>
      <c r="E855" s="38" t="s">
        <v>2211</v>
      </c>
      <c r="F855" s="38" t="s">
        <v>2207</v>
      </c>
    </row>
    <row r="856">
      <c r="A856" s="38" t="s">
        <v>133</v>
      </c>
      <c r="B856" s="38" t="s">
        <v>430</v>
      </c>
      <c r="C856" s="47">
        <v>4.0</v>
      </c>
      <c r="D856" s="38" t="s">
        <v>2212</v>
      </c>
      <c r="E856" s="38" t="s">
        <v>2213</v>
      </c>
      <c r="F856" s="44"/>
    </row>
    <row r="857">
      <c r="A857" s="131" t="s">
        <v>133</v>
      </c>
      <c r="B857" s="131" t="s">
        <v>25</v>
      </c>
      <c r="C857" s="131">
        <v>4.0</v>
      </c>
      <c r="D857" s="131" t="s">
        <v>2214</v>
      </c>
      <c r="E857" s="131" t="s">
        <v>2215</v>
      </c>
      <c r="F857" s="131"/>
      <c r="G857" s="5"/>
      <c r="H857" s="5"/>
    </row>
    <row r="858">
      <c r="A858" s="47" t="s">
        <v>1113</v>
      </c>
      <c r="B858" s="38" t="s">
        <v>2216</v>
      </c>
      <c r="C858" s="38">
        <v>4.0</v>
      </c>
      <c r="D858" s="38" t="s">
        <v>2039</v>
      </c>
      <c r="E858" s="38" t="s">
        <v>2217</v>
      </c>
      <c r="F858" s="38" t="s">
        <v>2218</v>
      </c>
    </row>
    <row r="859">
      <c r="B859" s="38" t="s">
        <v>439</v>
      </c>
      <c r="C859" s="38">
        <v>2.0</v>
      </c>
      <c r="D859" s="38" t="s">
        <v>2219</v>
      </c>
      <c r="E859" s="38" t="s">
        <v>2220</v>
      </c>
      <c r="F859" s="38" t="s">
        <v>2221</v>
      </c>
    </row>
    <row r="860">
      <c r="A860" s="4" t="s">
        <v>2222</v>
      </c>
      <c r="B860" s="38" t="s">
        <v>416</v>
      </c>
      <c r="C860" s="38">
        <v>4.0</v>
      </c>
      <c r="D860" s="38" t="s">
        <v>2214</v>
      </c>
      <c r="E860" s="49" t="s">
        <v>2223</v>
      </c>
      <c r="F860" s="38" t="s">
        <v>2224</v>
      </c>
    </row>
    <row r="861">
      <c r="A861" s="38" t="s">
        <v>133</v>
      </c>
      <c r="B861" s="38" t="s">
        <v>1513</v>
      </c>
      <c r="C861" s="38">
        <v>4.0</v>
      </c>
      <c r="D861" s="38" t="s">
        <v>672</v>
      </c>
      <c r="E861" s="39" t="s">
        <v>2225</v>
      </c>
      <c r="F861" s="38" t="s">
        <v>2226</v>
      </c>
    </row>
    <row r="862">
      <c r="A862" s="47"/>
      <c r="B862" s="38" t="s">
        <v>333</v>
      </c>
      <c r="C862" s="38">
        <v>1.0</v>
      </c>
      <c r="D862" s="38" t="s">
        <v>2227</v>
      </c>
      <c r="E862" s="38" t="s">
        <v>2228</v>
      </c>
      <c r="F862" s="38" t="s">
        <v>2229</v>
      </c>
    </row>
    <row r="863">
      <c r="A863" s="38" t="s">
        <v>133</v>
      </c>
      <c r="B863" s="38" t="s">
        <v>2230</v>
      </c>
      <c r="C863" s="38">
        <v>2.0</v>
      </c>
      <c r="D863" s="38" t="s">
        <v>672</v>
      </c>
      <c r="E863" s="38" t="s">
        <v>2231</v>
      </c>
      <c r="F863" s="38" t="s">
        <v>2232</v>
      </c>
    </row>
    <row r="864">
      <c r="A864" s="38" t="s">
        <v>133</v>
      </c>
      <c r="B864" s="38" t="s">
        <v>2233</v>
      </c>
      <c r="C864" s="38">
        <v>2.0</v>
      </c>
      <c r="D864" s="38" t="s">
        <v>672</v>
      </c>
      <c r="E864" s="38" t="s">
        <v>2231</v>
      </c>
      <c r="F864" s="38" t="s">
        <v>2232</v>
      </c>
    </row>
    <row r="865">
      <c r="A865" s="47" t="s">
        <v>1113</v>
      </c>
      <c r="B865" s="38" t="s">
        <v>1400</v>
      </c>
      <c r="C865" s="38">
        <v>4.0</v>
      </c>
      <c r="D865" s="38" t="s">
        <v>2234</v>
      </c>
      <c r="E865" s="38" t="s">
        <v>2235</v>
      </c>
      <c r="F865" s="38" t="s">
        <v>2236</v>
      </c>
      <c r="G865" s="38" t="s">
        <v>2237</v>
      </c>
    </row>
    <row r="866">
      <c r="A866" s="47" t="s">
        <v>1113</v>
      </c>
      <c r="B866" s="38" t="s">
        <v>512</v>
      </c>
      <c r="C866" s="38">
        <v>2.0</v>
      </c>
      <c r="D866" s="38" t="s">
        <v>513</v>
      </c>
      <c r="E866" s="38" t="s">
        <v>2238</v>
      </c>
      <c r="F866" s="38" t="s">
        <v>2239</v>
      </c>
    </row>
    <row r="867">
      <c r="A867" s="38" t="s">
        <v>133</v>
      </c>
      <c r="B867" s="38" t="s">
        <v>2240</v>
      </c>
      <c r="C867" s="38">
        <v>2.0</v>
      </c>
      <c r="D867" s="38" t="s">
        <v>2241</v>
      </c>
      <c r="E867" s="47" t="s">
        <v>325</v>
      </c>
      <c r="F867" s="38" t="s">
        <v>2242</v>
      </c>
    </row>
    <row r="868">
      <c r="A868" s="38" t="s">
        <v>133</v>
      </c>
      <c r="B868" s="38" t="s">
        <v>2243</v>
      </c>
      <c r="C868" s="38">
        <v>2.0</v>
      </c>
      <c r="D868" s="38" t="s">
        <v>684</v>
      </c>
      <c r="E868" s="47" t="s">
        <v>325</v>
      </c>
      <c r="F868" s="38" t="s">
        <v>2242</v>
      </c>
    </row>
    <row r="869">
      <c r="A869" s="38" t="s">
        <v>1113</v>
      </c>
      <c r="B869" s="38" t="s">
        <v>2244</v>
      </c>
      <c r="C869" s="38">
        <v>20.0</v>
      </c>
      <c r="D869" s="38" t="s">
        <v>2245</v>
      </c>
      <c r="E869" s="47" t="s">
        <v>2246</v>
      </c>
      <c r="F869" s="38" t="s">
        <v>2247</v>
      </c>
    </row>
    <row r="870">
      <c r="A870" s="182" t="s">
        <v>2248</v>
      </c>
      <c r="B870" s="38" t="s">
        <v>2249</v>
      </c>
      <c r="C870" s="38">
        <v>4.0</v>
      </c>
      <c r="D870" s="38" t="s">
        <v>672</v>
      </c>
      <c r="E870" s="38" t="s">
        <v>325</v>
      </c>
      <c r="F870" s="38" t="s">
        <v>2250</v>
      </c>
    </row>
    <row r="871">
      <c r="A871" s="38" t="s">
        <v>133</v>
      </c>
      <c r="B871" s="38" t="s">
        <v>128</v>
      </c>
      <c r="C871" s="38">
        <v>4.0</v>
      </c>
      <c r="D871" s="38" t="s">
        <v>672</v>
      </c>
      <c r="E871" s="38" t="s">
        <v>2251</v>
      </c>
      <c r="F871" s="38" t="s">
        <v>2252</v>
      </c>
    </row>
    <row r="872">
      <c r="A872" s="38" t="s">
        <v>133</v>
      </c>
      <c r="B872" s="38" t="s">
        <v>122</v>
      </c>
      <c r="C872" s="38">
        <v>4.0</v>
      </c>
      <c r="D872" s="38" t="s">
        <v>2253</v>
      </c>
      <c r="E872" s="38" t="s">
        <v>2254</v>
      </c>
      <c r="F872" s="38" t="s">
        <v>2252</v>
      </c>
      <c r="G872" s="8"/>
    </row>
    <row r="873">
      <c r="A873" s="44"/>
      <c r="B873" s="38" t="s">
        <v>1454</v>
      </c>
      <c r="C873" s="38">
        <v>2.0</v>
      </c>
      <c r="D873" s="38" t="s">
        <v>2255</v>
      </c>
      <c r="E873" s="38" t="s">
        <v>2256</v>
      </c>
      <c r="F873" s="38" t="s">
        <v>2257</v>
      </c>
      <c r="G873" s="183"/>
      <c r="H873" s="1" t="s">
        <v>2258</v>
      </c>
    </row>
    <row r="874">
      <c r="A874" s="4" t="s">
        <v>2259</v>
      </c>
      <c r="B874" s="4" t="s">
        <v>2260</v>
      </c>
      <c r="C874" s="1">
        <v>4.0</v>
      </c>
      <c r="D874" s="4" t="s">
        <v>2261</v>
      </c>
      <c r="E874" s="4" t="s">
        <v>325</v>
      </c>
      <c r="F874" s="4"/>
      <c r="G874" s="183"/>
    </row>
    <row r="875">
      <c r="A875" s="4" t="s">
        <v>2259</v>
      </c>
      <c r="B875" s="38" t="s">
        <v>2260</v>
      </c>
      <c r="C875" s="38">
        <v>2.0</v>
      </c>
      <c r="D875" s="38" t="s">
        <v>2261</v>
      </c>
      <c r="E875" s="38" t="s">
        <v>325</v>
      </c>
      <c r="F875" s="38" t="s">
        <v>2262</v>
      </c>
      <c r="G875" s="183"/>
    </row>
    <row r="876">
      <c r="B876" s="38" t="s">
        <v>2263</v>
      </c>
      <c r="C876" s="38">
        <v>2.0</v>
      </c>
      <c r="D876" s="38" t="s">
        <v>2264</v>
      </c>
      <c r="E876" s="38" t="s">
        <v>325</v>
      </c>
      <c r="F876" s="38" t="s">
        <v>2262</v>
      </c>
      <c r="G876" s="183"/>
    </row>
    <row r="877">
      <c r="B877" s="4" t="s">
        <v>2263</v>
      </c>
      <c r="C877" s="1">
        <v>4.0</v>
      </c>
      <c r="D877" s="4" t="s">
        <v>2264</v>
      </c>
      <c r="E877" s="4" t="s">
        <v>325</v>
      </c>
      <c r="F877" s="4"/>
      <c r="G877" s="183"/>
    </row>
    <row r="878">
      <c r="B878" s="1" t="s">
        <v>2265</v>
      </c>
      <c r="C878" s="1">
        <v>2.0</v>
      </c>
      <c r="D878" s="1" t="s">
        <v>2266</v>
      </c>
      <c r="E878" s="4" t="s">
        <v>325</v>
      </c>
      <c r="G878" s="183"/>
    </row>
    <row r="879">
      <c r="A879" s="44"/>
      <c r="B879" s="38" t="s">
        <v>2267</v>
      </c>
      <c r="C879" s="38">
        <v>2.0</v>
      </c>
      <c r="D879" s="38" t="s">
        <v>2268</v>
      </c>
      <c r="E879" s="38" t="s">
        <v>2269</v>
      </c>
      <c r="F879" s="38" t="s">
        <v>2270</v>
      </c>
      <c r="G879" s="183"/>
    </row>
    <row r="880">
      <c r="A880" s="44"/>
      <c r="B880" s="38" t="s">
        <v>2265</v>
      </c>
      <c r="C880" s="38">
        <v>2.0</v>
      </c>
      <c r="D880" s="38" t="s">
        <v>2266</v>
      </c>
      <c r="E880" s="38" t="s">
        <v>2271</v>
      </c>
      <c r="F880" s="38" t="s">
        <v>2270</v>
      </c>
      <c r="G880" s="183"/>
    </row>
    <row r="881">
      <c r="A881" s="47"/>
      <c r="B881" s="38" t="s">
        <v>2267</v>
      </c>
      <c r="C881" s="38">
        <v>2.0</v>
      </c>
      <c r="D881" s="38" t="s">
        <v>2268</v>
      </c>
      <c r="E881" s="38" t="s">
        <v>2272</v>
      </c>
      <c r="F881" s="38" t="s">
        <v>2273</v>
      </c>
      <c r="G881" s="183"/>
    </row>
    <row r="882">
      <c r="A882" s="47"/>
      <c r="B882" s="38" t="s">
        <v>2265</v>
      </c>
      <c r="C882" s="38">
        <v>2.0</v>
      </c>
      <c r="D882" s="38" t="s">
        <v>2266</v>
      </c>
      <c r="E882" s="38" t="s">
        <v>2272</v>
      </c>
      <c r="F882" s="38" t="s">
        <v>2273</v>
      </c>
      <c r="G882" s="183"/>
    </row>
    <row r="883">
      <c r="A883" s="44"/>
      <c r="B883" s="38" t="s">
        <v>2274</v>
      </c>
      <c r="C883" s="38">
        <v>2.0</v>
      </c>
      <c r="D883" s="38" t="s">
        <v>2275</v>
      </c>
      <c r="E883" s="38" t="s">
        <v>2256</v>
      </c>
      <c r="F883" s="38" t="s">
        <v>2257</v>
      </c>
    </row>
    <row r="884">
      <c r="A884" s="47" t="s">
        <v>1113</v>
      </c>
      <c r="B884" s="38" t="s">
        <v>2276</v>
      </c>
      <c r="C884" s="38">
        <v>4.0</v>
      </c>
      <c r="D884" s="38" t="s">
        <v>2277</v>
      </c>
      <c r="E884" s="38" t="s">
        <v>2278</v>
      </c>
      <c r="F884" s="38" t="s">
        <v>2279</v>
      </c>
    </row>
    <row r="885">
      <c r="A885" s="47"/>
      <c r="B885" s="38" t="s">
        <v>439</v>
      </c>
      <c r="C885" s="47">
        <v>2.0</v>
      </c>
      <c r="D885" s="38" t="s">
        <v>2280</v>
      </c>
      <c r="E885" s="38" t="s">
        <v>2281</v>
      </c>
      <c r="F885" s="38" t="s">
        <v>2282</v>
      </c>
    </row>
    <row r="886">
      <c r="A886" s="4" t="s">
        <v>1113</v>
      </c>
      <c r="B886" s="1" t="s">
        <v>718</v>
      </c>
      <c r="C886" s="1">
        <v>4.0</v>
      </c>
      <c r="D886" s="1" t="s">
        <v>2283</v>
      </c>
      <c r="E886" s="1" t="s">
        <v>1920</v>
      </c>
      <c r="F886" s="1" t="s">
        <v>2284</v>
      </c>
    </row>
    <row r="887">
      <c r="A887" s="47" t="s">
        <v>1113</v>
      </c>
      <c r="B887" s="38" t="s">
        <v>2285</v>
      </c>
      <c r="C887" s="38">
        <v>4.0</v>
      </c>
      <c r="D887" s="38" t="s">
        <v>2286</v>
      </c>
      <c r="E887" s="38" t="s">
        <v>2287</v>
      </c>
      <c r="F887" s="44"/>
    </row>
    <row r="888">
      <c r="A888" s="47" t="s">
        <v>1113</v>
      </c>
      <c r="B888" s="38" t="s">
        <v>2288</v>
      </c>
      <c r="C888" s="38">
        <v>4.0</v>
      </c>
      <c r="D888" s="38" t="s">
        <v>2289</v>
      </c>
      <c r="E888" s="38" t="s">
        <v>2290</v>
      </c>
      <c r="F888" s="38" t="s">
        <v>2291</v>
      </c>
    </row>
    <row r="889">
      <c r="B889" s="38" t="s">
        <v>2292</v>
      </c>
      <c r="C889" s="38">
        <v>4.0</v>
      </c>
      <c r="D889" s="38" t="s">
        <v>2293</v>
      </c>
      <c r="E889" s="38" t="s">
        <v>2294</v>
      </c>
      <c r="F889" s="38" t="s">
        <v>2295</v>
      </c>
    </row>
    <row r="890">
      <c r="A890" s="47" t="s">
        <v>1113</v>
      </c>
      <c r="B890" s="38" t="s">
        <v>1296</v>
      </c>
      <c r="C890" s="38">
        <v>4.0</v>
      </c>
      <c r="D890" s="38" t="s">
        <v>2296</v>
      </c>
      <c r="E890" s="38" t="s">
        <v>2297</v>
      </c>
      <c r="F890" s="38" t="s">
        <v>2298</v>
      </c>
      <c r="G890" s="44"/>
      <c r="H890" s="44"/>
    </row>
    <row r="891">
      <c r="A891" s="47"/>
      <c r="B891" s="38"/>
      <c r="C891" s="38"/>
      <c r="D891" s="38"/>
      <c r="E891" s="38" t="s">
        <v>2299</v>
      </c>
      <c r="F891" s="38" t="s">
        <v>2300</v>
      </c>
      <c r="G891" s="44"/>
      <c r="H891" s="38" t="s">
        <v>2298</v>
      </c>
    </row>
    <row r="892">
      <c r="A892" s="47"/>
      <c r="B892" s="47" t="s">
        <v>2301</v>
      </c>
      <c r="C892" s="38">
        <v>4.0</v>
      </c>
      <c r="D892" s="38" t="s">
        <v>2302</v>
      </c>
      <c r="E892" s="40" t="s">
        <v>2303</v>
      </c>
      <c r="F892" s="40" t="s">
        <v>2194</v>
      </c>
    </row>
    <row r="893">
      <c r="A893" s="47" t="s">
        <v>1113</v>
      </c>
      <c r="B893" s="47" t="s">
        <v>2301</v>
      </c>
      <c r="C893" s="38">
        <v>4.0</v>
      </c>
      <c r="D893" s="38" t="s">
        <v>2302</v>
      </c>
      <c r="E893" s="40" t="s">
        <v>2304</v>
      </c>
      <c r="F893" s="40" t="s">
        <v>2298</v>
      </c>
    </row>
    <row r="894">
      <c r="A894" s="47" t="s">
        <v>1113</v>
      </c>
      <c r="B894" s="47" t="s">
        <v>2305</v>
      </c>
      <c r="C894" s="38">
        <v>4.0</v>
      </c>
      <c r="D894" s="38" t="s">
        <v>2306</v>
      </c>
      <c r="E894" s="38" t="s">
        <v>2307</v>
      </c>
      <c r="F894" s="38" t="s">
        <v>1672</v>
      </c>
    </row>
    <row r="895">
      <c r="A895" s="47" t="s">
        <v>1113</v>
      </c>
      <c r="B895" s="38" t="s">
        <v>2308</v>
      </c>
      <c r="C895" s="38">
        <v>4.0</v>
      </c>
      <c r="D895" s="38" t="s">
        <v>2309</v>
      </c>
      <c r="E895" s="38" t="s">
        <v>2310</v>
      </c>
      <c r="F895" s="38" t="s">
        <v>2298</v>
      </c>
    </row>
    <row r="896">
      <c r="A896" s="47" t="s">
        <v>1113</v>
      </c>
      <c r="B896" s="38" t="s">
        <v>140</v>
      </c>
      <c r="C896" s="38">
        <v>2.0</v>
      </c>
      <c r="D896" s="38" t="s">
        <v>2311</v>
      </c>
      <c r="E896" s="38" t="s">
        <v>2312</v>
      </c>
      <c r="F896" s="38" t="s">
        <v>2196</v>
      </c>
    </row>
    <row r="897">
      <c r="A897" s="47" t="s">
        <v>1113</v>
      </c>
      <c r="B897" s="38" t="s">
        <v>2313</v>
      </c>
      <c r="C897" s="38">
        <v>4.0</v>
      </c>
      <c r="D897" s="38" t="s">
        <v>2314</v>
      </c>
      <c r="E897" s="38" t="s">
        <v>2315</v>
      </c>
      <c r="F897" s="38" t="s">
        <v>2229</v>
      </c>
    </row>
    <row r="898">
      <c r="A898" s="47" t="s">
        <v>1113</v>
      </c>
      <c r="B898" s="38" t="s">
        <v>2159</v>
      </c>
      <c r="C898" s="38">
        <v>4.0</v>
      </c>
      <c r="D898" s="38" t="s">
        <v>2316</v>
      </c>
      <c r="E898" s="38" t="s">
        <v>1141</v>
      </c>
      <c r="F898" s="38" t="s">
        <v>2317</v>
      </c>
      <c r="G898" s="38" t="s">
        <v>2318</v>
      </c>
    </row>
    <row r="899">
      <c r="A899" s="4" t="s">
        <v>1113</v>
      </c>
      <c r="B899" s="1" t="s">
        <v>411</v>
      </c>
      <c r="C899" s="1">
        <v>4.0</v>
      </c>
      <c r="D899" s="1" t="s">
        <v>2319</v>
      </c>
      <c r="E899" s="4" t="s">
        <v>325</v>
      </c>
    </row>
    <row r="900">
      <c r="A900" s="4" t="s">
        <v>1113</v>
      </c>
      <c r="B900" s="1" t="s">
        <v>183</v>
      </c>
      <c r="C900" s="1">
        <v>4.0</v>
      </c>
      <c r="D900" s="1" t="s">
        <v>2320</v>
      </c>
      <c r="E900" s="4" t="s">
        <v>325</v>
      </c>
    </row>
    <row r="901">
      <c r="A901" s="47" t="s">
        <v>1113</v>
      </c>
      <c r="B901" s="38" t="s">
        <v>81</v>
      </c>
      <c r="C901" s="38">
        <v>4.0</v>
      </c>
      <c r="D901" s="38" t="s">
        <v>2321</v>
      </c>
      <c r="E901" s="38" t="s">
        <v>2322</v>
      </c>
      <c r="F901" s="38" t="s">
        <v>2169</v>
      </c>
    </row>
    <row r="902">
      <c r="A902" s="38"/>
      <c r="B902" s="38" t="s">
        <v>283</v>
      </c>
      <c r="C902" s="38">
        <v>4.0</v>
      </c>
      <c r="D902" s="38" t="s">
        <v>2323</v>
      </c>
      <c r="E902" s="39" t="s">
        <v>2324</v>
      </c>
      <c r="F902" s="38" t="s">
        <v>2325</v>
      </c>
    </row>
    <row r="903">
      <c r="A903" s="47" t="s">
        <v>1113</v>
      </c>
      <c r="B903" s="38" t="s">
        <v>81</v>
      </c>
      <c r="C903" s="38">
        <v>4.0</v>
      </c>
      <c r="D903" s="38" t="s">
        <v>2326</v>
      </c>
      <c r="E903" s="38" t="s">
        <v>2327</v>
      </c>
      <c r="F903" s="38" t="s">
        <v>2328</v>
      </c>
    </row>
    <row r="904">
      <c r="A904" s="47" t="s">
        <v>1113</v>
      </c>
      <c r="B904" s="38" t="s">
        <v>2329</v>
      </c>
      <c r="C904" s="38">
        <v>4.0</v>
      </c>
      <c r="D904" s="38" t="s">
        <v>2330</v>
      </c>
      <c r="E904" s="38" t="s">
        <v>2331</v>
      </c>
      <c r="F904" s="38" t="s">
        <v>2332</v>
      </c>
    </row>
    <row r="905">
      <c r="A905" s="47" t="s">
        <v>1113</v>
      </c>
      <c r="B905" s="38" t="s">
        <v>2333</v>
      </c>
      <c r="C905" s="38">
        <v>4.0</v>
      </c>
      <c r="D905" s="38" t="s">
        <v>2334</v>
      </c>
      <c r="E905" s="91" t="s">
        <v>2335</v>
      </c>
      <c r="F905" s="38" t="s">
        <v>2336</v>
      </c>
    </row>
    <row r="906">
      <c r="A906" s="47" t="s">
        <v>1113</v>
      </c>
      <c r="B906" s="38" t="s">
        <v>41</v>
      </c>
      <c r="C906" s="38">
        <v>4.0</v>
      </c>
      <c r="D906" s="38" t="s">
        <v>2337</v>
      </c>
      <c r="E906" s="38" t="s">
        <v>2338</v>
      </c>
      <c r="F906" s="38" t="s">
        <v>2239</v>
      </c>
    </row>
    <row r="907">
      <c r="A907" s="47"/>
      <c r="B907" s="38"/>
      <c r="C907" s="38"/>
      <c r="D907" s="38" t="s">
        <v>2339</v>
      </c>
      <c r="E907" s="38" t="s">
        <v>633</v>
      </c>
      <c r="F907" s="38" t="s">
        <v>2239</v>
      </c>
    </row>
    <row r="908">
      <c r="A908" s="47" t="s">
        <v>1113</v>
      </c>
      <c r="B908" s="38" t="s">
        <v>2276</v>
      </c>
      <c r="C908" s="38">
        <v>4.0</v>
      </c>
      <c r="D908" s="38" t="s">
        <v>2340</v>
      </c>
      <c r="E908" s="39" t="s">
        <v>2341</v>
      </c>
      <c r="F908" s="38" t="s">
        <v>2342</v>
      </c>
    </row>
    <row r="909">
      <c r="A909" s="173" t="s">
        <v>2343</v>
      </c>
      <c r="B909" s="38" t="s">
        <v>271</v>
      </c>
      <c r="C909" s="38">
        <v>4.0</v>
      </c>
      <c r="D909" s="38" t="s">
        <v>2171</v>
      </c>
      <c r="E909" s="38" t="s">
        <v>2344</v>
      </c>
      <c r="F909" s="38" t="s">
        <v>2194</v>
      </c>
      <c r="G909" s="1" t="s">
        <v>2345</v>
      </c>
    </row>
    <row r="910">
      <c r="A910" s="4" t="s">
        <v>2346</v>
      </c>
      <c r="B910" s="38" t="s">
        <v>2347</v>
      </c>
      <c r="C910" s="38">
        <v>4.0</v>
      </c>
      <c r="D910" s="38" t="s">
        <v>2160</v>
      </c>
      <c r="E910" s="38" t="s">
        <v>418</v>
      </c>
      <c r="F910" s="38" t="s">
        <v>2120</v>
      </c>
      <c r="G910" s="1" t="s">
        <v>2348</v>
      </c>
    </row>
    <row r="911">
      <c r="A911" s="4" t="s">
        <v>2349</v>
      </c>
      <c r="B911" s="38" t="s">
        <v>128</v>
      </c>
      <c r="C911" s="38">
        <v>4.0</v>
      </c>
      <c r="D911" s="38" t="s">
        <v>2350</v>
      </c>
      <c r="E911" s="47" t="s">
        <v>2351</v>
      </c>
      <c r="F911" s="38"/>
      <c r="G911" s="168">
        <v>1.1674819E7</v>
      </c>
      <c r="H911" s="1" t="s">
        <v>2352</v>
      </c>
      <c r="I911" s="1" t="s">
        <v>2353</v>
      </c>
    </row>
    <row r="912">
      <c r="B912" s="38" t="s">
        <v>2354</v>
      </c>
      <c r="C912" s="44"/>
      <c r="D912" s="38" t="s">
        <v>2355</v>
      </c>
      <c r="E912" s="38" t="s">
        <v>1141</v>
      </c>
      <c r="F912" s="38" t="s">
        <v>2318</v>
      </c>
    </row>
    <row r="913">
      <c r="B913" s="38"/>
      <c r="C913" s="44"/>
      <c r="D913" s="38" t="s">
        <v>2356</v>
      </c>
      <c r="E913" s="38" t="s">
        <v>1141</v>
      </c>
      <c r="F913" s="38" t="s">
        <v>2318</v>
      </c>
    </row>
    <row r="914">
      <c r="B914" s="38"/>
      <c r="C914" s="44"/>
      <c r="D914" s="38" t="s">
        <v>1144</v>
      </c>
      <c r="E914" s="38" t="s">
        <v>1141</v>
      </c>
      <c r="F914" s="38" t="s">
        <v>2318</v>
      </c>
    </row>
    <row r="915">
      <c r="B915" s="38"/>
      <c r="C915" s="44"/>
      <c r="D915" s="38" t="s">
        <v>2357</v>
      </c>
      <c r="E915" s="38" t="s">
        <v>1141</v>
      </c>
      <c r="F915" s="38" t="s">
        <v>2318</v>
      </c>
    </row>
    <row r="916">
      <c r="A916" s="38" t="s">
        <v>2358</v>
      </c>
      <c r="B916" s="38" t="s">
        <v>188</v>
      </c>
      <c r="C916" s="38">
        <v>2.0</v>
      </c>
      <c r="D916" s="90" t="s">
        <v>2359</v>
      </c>
      <c r="E916" s="91" t="s">
        <v>2360</v>
      </c>
      <c r="F916" s="38" t="s">
        <v>2361</v>
      </c>
    </row>
    <row r="917">
      <c r="A917" s="38" t="s">
        <v>2358</v>
      </c>
      <c r="B917" s="38" t="s">
        <v>107</v>
      </c>
      <c r="C917" s="38">
        <v>2.0</v>
      </c>
      <c r="D917" s="90" t="s">
        <v>2362</v>
      </c>
      <c r="E917" s="91" t="s">
        <v>2363</v>
      </c>
      <c r="F917" s="38" t="s">
        <v>2364</v>
      </c>
    </row>
    <row r="918">
      <c r="B918" s="38" t="s">
        <v>2365</v>
      </c>
      <c r="C918" s="38">
        <v>4.0</v>
      </c>
      <c r="D918" s="38" t="s">
        <v>737</v>
      </c>
      <c r="E918" s="38" t="s">
        <v>2366</v>
      </c>
      <c r="F918" s="38" t="s">
        <v>2332</v>
      </c>
    </row>
    <row r="919">
      <c r="A919" s="4" t="s">
        <v>2367</v>
      </c>
      <c r="B919" s="38" t="s">
        <v>88</v>
      </c>
      <c r="C919" s="38">
        <v>4.0</v>
      </c>
      <c r="D919" s="38" t="s">
        <v>672</v>
      </c>
      <c r="E919" s="38" t="s">
        <v>418</v>
      </c>
      <c r="F919" s="38" t="s">
        <v>2368</v>
      </c>
      <c r="G919" s="1" t="s">
        <v>2348</v>
      </c>
    </row>
    <row r="920">
      <c r="A920" s="5" t="s">
        <v>2369</v>
      </c>
      <c r="B920" s="38" t="s">
        <v>25</v>
      </c>
      <c r="C920" s="38">
        <v>4.0</v>
      </c>
      <c r="D920" s="38" t="s">
        <v>672</v>
      </c>
      <c r="E920" s="38" t="s">
        <v>2370</v>
      </c>
      <c r="F920" s="38" t="s">
        <v>2120</v>
      </c>
      <c r="G920" s="1" t="s">
        <v>2371</v>
      </c>
    </row>
    <row r="921">
      <c r="B921" s="38" t="s">
        <v>25</v>
      </c>
      <c r="C921" s="38">
        <v>4.0</v>
      </c>
      <c r="D921" s="38" t="s">
        <v>2039</v>
      </c>
      <c r="E921" s="38" t="s">
        <v>418</v>
      </c>
      <c r="F921" s="38" t="s">
        <v>2120</v>
      </c>
    </row>
    <row r="922">
      <c r="B922" s="38" t="s">
        <v>333</v>
      </c>
      <c r="C922" s="38">
        <v>4.0</v>
      </c>
      <c r="D922" s="38" t="s">
        <v>2039</v>
      </c>
      <c r="E922" s="38" t="s">
        <v>418</v>
      </c>
      <c r="F922" s="38" t="s">
        <v>2120</v>
      </c>
    </row>
    <row r="923">
      <c r="A923" s="38" t="s">
        <v>2372</v>
      </c>
      <c r="B923" s="38" t="s">
        <v>789</v>
      </c>
      <c r="C923" s="38">
        <v>4.0</v>
      </c>
      <c r="D923" s="38" t="s">
        <v>2219</v>
      </c>
      <c r="E923" s="38" t="s">
        <v>2373</v>
      </c>
      <c r="F923" s="38" t="s">
        <v>2374</v>
      </c>
    </row>
    <row r="924">
      <c r="B924" s="38" t="s">
        <v>25</v>
      </c>
      <c r="C924" s="38">
        <v>4.0</v>
      </c>
      <c r="D924" s="38" t="s">
        <v>27</v>
      </c>
      <c r="E924" s="38" t="s">
        <v>2375</v>
      </c>
      <c r="F924" s="44"/>
    </row>
    <row r="925">
      <c r="B925" s="38" t="s">
        <v>2376</v>
      </c>
      <c r="C925" s="38"/>
      <c r="D925" s="38" t="s">
        <v>2377</v>
      </c>
      <c r="E925" s="38" t="s">
        <v>2378</v>
      </c>
      <c r="F925" s="38" t="s">
        <v>2379</v>
      </c>
    </row>
    <row r="926">
      <c r="B926" s="44"/>
      <c r="C926" s="38" t="s">
        <v>2380</v>
      </c>
      <c r="D926" s="94" t="s">
        <v>2381</v>
      </c>
      <c r="E926" s="38" t="s">
        <v>2382</v>
      </c>
      <c r="F926" s="38" t="s">
        <v>2383</v>
      </c>
    </row>
    <row r="927">
      <c r="B927" s="38" t="s">
        <v>2384</v>
      </c>
      <c r="C927" s="44"/>
      <c r="D927" s="94"/>
      <c r="E927" s="38" t="s">
        <v>2382</v>
      </c>
      <c r="F927" s="38" t="s">
        <v>2383</v>
      </c>
    </row>
    <row r="928">
      <c r="A928" s="5" t="s">
        <v>133</v>
      </c>
      <c r="B928" s="38" t="s">
        <v>2385</v>
      </c>
      <c r="C928" s="38">
        <v>4.0</v>
      </c>
      <c r="D928" s="38" t="s">
        <v>672</v>
      </c>
      <c r="E928" s="38" t="s">
        <v>2386</v>
      </c>
      <c r="F928" s="38" t="s">
        <v>2136</v>
      </c>
    </row>
    <row r="929">
      <c r="A929" s="44"/>
      <c r="B929" s="38" t="s">
        <v>25</v>
      </c>
      <c r="C929" s="38">
        <v>4.0</v>
      </c>
      <c r="D929" s="38" t="s">
        <v>412</v>
      </c>
      <c r="E929" s="38" t="s">
        <v>2387</v>
      </c>
      <c r="F929" s="38" t="s">
        <v>2388</v>
      </c>
    </row>
    <row r="930">
      <c r="B930" s="38" t="s">
        <v>416</v>
      </c>
      <c r="C930" s="38">
        <v>4.0</v>
      </c>
      <c r="D930" s="38" t="s">
        <v>2389</v>
      </c>
      <c r="E930" s="38" t="s">
        <v>2390</v>
      </c>
      <c r="F930" s="38" t="s">
        <v>2201</v>
      </c>
    </row>
    <row r="931">
      <c r="B931" s="38" t="s">
        <v>91</v>
      </c>
      <c r="C931" s="38">
        <v>2.0</v>
      </c>
      <c r="D931" s="38" t="s">
        <v>2391</v>
      </c>
      <c r="E931" s="38" t="s">
        <v>2392</v>
      </c>
      <c r="F931" s="44"/>
    </row>
    <row r="932">
      <c r="B932" s="38" t="s">
        <v>94</v>
      </c>
      <c r="C932" s="38">
        <v>2.0</v>
      </c>
      <c r="D932" s="38" t="s">
        <v>2391</v>
      </c>
      <c r="E932" s="38" t="s">
        <v>2392</v>
      </c>
      <c r="F932" s="44"/>
    </row>
    <row r="933">
      <c r="B933" s="38" t="s">
        <v>91</v>
      </c>
      <c r="C933" s="38">
        <v>2.0</v>
      </c>
      <c r="D933" s="38" t="s">
        <v>2391</v>
      </c>
      <c r="E933" s="38" t="s">
        <v>2393</v>
      </c>
      <c r="F933" s="38" t="s">
        <v>2394</v>
      </c>
    </row>
    <row r="934">
      <c r="B934" s="38" t="s">
        <v>94</v>
      </c>
      <c r="C934" s="38">
        <v>2.0</v>
      </c>
      <c r="D934" s="38" t="s">
        <v>2391</v>
      </c>
      <c r="E934" s="38" t="s">
        <v>413</v>
      </c>
      <c r="F934" s="38" t="s">
        <v>2394</v>
      </c>
    </row>
    <row r="935">
      <c r="B935" s="44"/>
      <c r="C935" s="44"/>
      <c r="D935" s="38" t="s">
        <v>2395</v>
      </c>
      <c r="E935" s="38" t="s">
        <v>2396</v>
      </c>
      <c r="F935" s="38" t="s">
        <v>2397</v>
      </c>
    </row>
    <row r="936">
      <c r="B936" s="38" t="s">
        <v>91</v>
      </c>
      <c r="C936" s="38">
        <v>4.0</v>
      </c>
      <c r="D936" s="38" t="s">
        <v>2039</v>
      </c>
      <c r="E936" s="38" t="s">
        <v>418</v>
      </c>
      <c r="F936" s="38" t="s">
        <v>2120</v>
      </c>
    </row>
    <row r="937">
      <c r="A937" s="4" t="s">
        <v>2398</v>
      </c>
      <c r="B937" s="38" t="s">
        <v>25</v>
      </c>
      <c r="C937" s="38">
        <v>6.0</v>
      </c>
      <c r="D937" s="38" t="s">
        <v>672</v>
      </c>
      <c r="E937" s="38" t="s">
        <v>418</v>
      </c>
      <c r="F937" s="38" t="s">
        <v>2368</v>
      </c>
      <c r="G937" s="1" t="s">
        <v>2348</v>
      </c>
    </row>
    <row r="938">
      <c r="B938" s="38" t="s">
        <v>205</v>
      </c>
      <c r="C938" s="38">
        <v>4.0</v>
      </c>
      <c r="D938" s="38" t="s">
        <v>2039</v>
      </c>
      <c r="E938" s="38" t="s">
        <v>418</v>
      </c>
      <c r="F938" s="38" t="s">
        <v>2368</v>
      </c>
    </row>
    <row r="939">
      <c r="B939" s="38" t="s">
        <v>205</v>
      </c>
      <c r="C939" s="38">
        <v>4.0</v>
      </c>
      <c r="D939" s="38" t="s">
        <v>433</v>
      </c>
      <c r="E939" s="38" t="s">
        <v>418</v>
      </c>
      <c r="F939" s="38" t="s">
        <v>2368</v>
      </c>
    </row>
    <row r="940">
      <c r="A940" s="44"/>
      <c r="B940" s="38" t="s">
        <v>85</v>
      </c>
      <c r="C940" s="38">
        <v>4.0</v>
      </c>
      <c r="D940" s="38" t="s">
        <v>2039</v>
      </c>
      <c r="E940" s="38" t="s">
        <v>418</v>
      </c>
      <c r="F940" s="38" t="s">
        <v>2399</v>
      </c>
    </row>
    <row r="941">
      <c r="A941" s="4" t="s">
        <v>2400</v>
      </c>
      <c r="B941" s="38" t="s">
        <v>2401</v>
      </c>
      <c r="C941" s="38">
        <v>4.0</v>
      </c>
      <c r="D941" s="38" t="s">
        <v>672</v>
      </c>
      <c r="E941" s="38" t="s">
        <v>418</v>
      </c>
      <c r="F941" s="38" t="s">
        <v>2399</v>
      </c>
    </row>
    <row r="942">
      <c r="A942" s="44"/>
      <c r="B942" s="38" t="s">
        <v>31</v>
      </c>
      <c r="C942" s="38">
        <v>4.0</v>
      </c>
      <c r="D942" s="38" t="s">
        <v>2061</v>
      </c>
      <c r="E942" s="38" t="s">
        <v>2402</v>
      </c>
      <c r="F942" s="184" t="s">
        <v>2403</v>
      </c>
      <c r="G942" s="38" t="s">
        <v>2404</v>
      </c>
    </row>
    <row r="943">
      <c r="A943" s="44"/>
      <c r="B943" s="38" t="s">
        <v>271</v>
      </c>
      <c r="C943" s="38">
        <v>4.0</v>
      </c>
      <c r="D943" s="38" t="s">
        <v>2405</v>
      </c>
      <c r="E943" s="38" t="s">
        <v>2402</v>
      </c>
      <c r="F943" s="184" t="s">
        <v>2403</v>
      </c>
      <c r="G943" s="38" t="s">
        <v>2404</v>
      </c>
    </row>
    <row r="944">
      <c r="B944" s="38" t="s">
        <v>25</v>
      </c>
      <c r="C944" s="38">
        <v>4.0</v>
      </c>
      <c r="D944" s="38" t="s">
        <v>2021</v>
      </c>
      <c r="E944" s="38" t="s">
        <v>1272</v>
      </c>
      <c r="F944" s="38" t="s">
        <v>2406</v>
      </c>
    </row>
    <row r="945">
      <c r="B945" s="47" t="s">
        <v>2407</v>
      </c>
      <c r="C945" s="47" t="s">
        <v>2408</v>
      </c>
      <c r="D945" s="38" t="s">
        <v>2409</v>
      </c>
      <c r="E945" s="38" t="s">
        <v>2410</v>
      </c>
      <c r="F945" s="44"/>
    </row>
    <row r="946">
      <c r="B946" s="47" t="s">
        <v>2411</v>
      </c>
      <c r="C946" s="47" t="s">
        <v>2412</v>
      </c>
      <c r="D946" s="38" t="s">
        <v>2413</v>
      </c>
      <c r="E946" s="47" t="s">
        <v>2414</v>
      </c>
      <c r="F946" s="44"/>
    </row>
    <row r="947">
      <c r="B947" s="44"/>
      <c r="C947" s="99" t="s">
        <v>2415</v>
      </c>
      <c r="D947" s="90" t="s">
        <v>2416</v>
      </c>
      <c r="E947" s="38" t="s">
        <v>2417</v>
      </c>
      <c r="F947" s="38" t="s">
        <v>2318</v>
      </c>
    </row>
    <row r="948">
      <c r="D948" s="185"/>
      <c r="E948" s="1" t="s">
        <v>2418</v>
      </c>
    </row>
    <row r="949">
      <c r="A949" s="38" t="s">
        <v>2419</v>
      </c>
      <c r="B949" s="38" t="s">
        <v>2420</v>
      </c>
      <c r="C949" s="38">
        <v>4.0</v>
      </c>
      <c r="D949" s="38" t="s">
        <v>2421</v>
      </c>
      <c r="E949" s="39" t="s">
        <v>1401</v>
      </c>
      <c r="F949" s="38" t="s">
        <v>2422</v>
      </c>
    </row>
    <row r="950">
      <c r="A950" s="38" t="s">
        <v>156</v>
      </c>
      <c r="B950" s="38" t="s">
        <v>43</v>
      </c>
      <c r="C950" s="38">
        <v>2.0</v>
      </c>
      <c r="D950" s="38" t="s">
        <v>2423</v>
      </c>
      <c r="E950" s="38" t="s">
        <v>2424</v>
      </c>
      <c r="F950" s="38" t="s">
        <v>2425</v>
      </c>
    </row>
    <row r="951">
      <c r="A951" s="38" t="s">
        <v>2426</v>
      </c>
      <c r="B951" s="38" t="s">
        <v>47</v>
      </c>
      <c r="C951" s="38">
        <v>2.0</v>
      </c>
      <c r="D951" s="38" t="s">
        <v>2423</v>
      </c>
      <c r="E951" s="38" t="s">
        <v>2424</v>
      </c>
      <c r="F951" s="38" t="s">
        <v>2425</v>
      </c>
    </row>
    <row r="952">
      <c r="A952" s="5" t="s">
        <v>133</v>
      </c>
      <c r="B952" s="38" t="s">
        <v>183</v>
      </c>
      <c r="C952" s="38">
        <v>4.0</v>
      </c>
      <c r="D952" s="38" t="s">
        <v>672</v>
      </c>
      <c r="E952" s="47" t="s">
        <v>2427</v>
      </c>
      <c r="F952" s="38" t="s">
        <v>2428</v>
      </c>
    </row>
    <row r="953">
      <c r="B953" s="38" t="s">
        <v>354</v>
      </c>
      <c r="C953" s="38">
        <v>2.0</v>
      </c>
      <c r="D953" s="38" t="s">
        <v>408</v>
      </c>
      <c r="E953" s="38" t="s">
        <v>2429</v>
      </c>
      <c r="F953" s="38" t="s">
        <v>2430</v>
      </c>
    </row>
    <row r="954">
      <c r="B954" s="38" t="s">
        <v>479</v>
      </c>
      <c r="C954" s="38">
        <v>2.0</v>
      </c>
      <c r="D954" s="38" t="s">
        <v>408</v>
      </c>
      <c r="E954" s="38" t="s">
        <v>2429</v>
      </c>
      <c r="F954" s="38" t="s">
        <v>2430</v>
      </c>
    </row>
    <row r="955">
      <c r="B955" s="38"/>
      <c r="C955" s="38"/>
      <c r="D955" s="38"/>
      <c r="E955" s="38" t="s">
        <v>633</v>
      </c>
      <c r="F955" s="38" t="s">
        <v>2431</v>
      </c>
      <c r="G955" s="38" t="s">
        <v>2432</v>
      </c>
    </row>
    <row r="956">
      <c r="A956" s="1" t="s">
        <v>133</v>
      </c>
      <c r="B956" s="38" t="s">
        <v>28</v>
      </c>
      <c r="C956" s="38">
        <v>4.0</v>
      </c>
      <c r="D956" s="38" t="s">
        <v>672</v>
      </c>
      <c r="E956" s="38" t="s">
        <v>2433</v>
      </c>
      <c r="F956" s="44"/>
    </row>
    <row r="957">
      <c r="B957" s="38" t="s">
        <v>271</v>
      </c>
      <c r="C957" s="38">
        <v>4.0</v>
      </c>
      <c r="D957" s="38" t="s">
        <v>291</v>
      </c>
      <c r="E957" s="38" t="s">
        <v>2434</v>
      </c>
      <c r="F957" s="38" t="s">
        <v>2435</v>
      </c>
    </row>
    <row r="958">
      <c r="B958" s="38" t="s">
        <v>2436</v>
      </c>
      <c r="C958" s="44"/>
      <c r="D958" s="38" t="s">
        <v>2437</v>
      </c>
      <c r="E958" s="47" t="s">
        <v>2438</v>
      </c>
      <c r="F958" s="38" t="s">
        <v>144</v>
      </c>
    </row>
    <row r="959">
      <c r="B959" s="44"/>
      <c r="C959" s="44"/>
      <c r="D959" s="38" t="s">
        <v>2439</v>
      </c>
      <c r="E959" s="47" t="s">
        <v>2438</v>
      </c>
      <c r="F959" s="38" t="s">
        <v>144</v>
      </c>
    </row>
    <row r="960">
      <c r="B960" s="44"/>
      <c r="C960" s="44"/>
      <c r="D960" s="47" t="s">
        <v>2440</v>
      </c>
      <c r="E960" s="47" t="s">
        <v>2438</v>
      </c>
      <c r="F960" s="38" t="s">
        <v>144</v>
      </c>
    </row>
    <row r="961">
      <c r="A961" s="44"/>
      <c r="B961" s="44"/>
      <c r="C961" s="44"/>
      <c r="D961" s="38" t="s">
        <v>2441</v>
      </c>
      <c r="E961" s="99" t="s">
        <v>2442</v>
      </c>
      <c r="F961" s="38" t="s">
        <v>2397</v>
      </c>
    </row>
    <row r="962">
      <c r="A962" s="44"/>
      <c r="B962" s="44"/>
      <c r="C962" s="44"/>
      <c r="D962" s="38" t="s">
        <v>2443</v>
      </c>
      <c r="E962" s="99" t="s">
        <v>2444</v>
      </c>
      <c r="F962" s="38" t="s">
        <v>2397</v>
      </c>
    </row>
    <row r="963">
      <c r="A963" s="44"/>
      <c r="B963" s="44"/>
      <c r="C963" s="44"/>
      <c r="D963" s="38" t="s">
        <v>2445</v>
      </c>
      <c r="E963" s="99" t="s">
        <v>2446</v>
      </c>
      <c r="F963" s="38" t="s">
        <v>2397</v>
      </c>
    </row>
    <row r="964">
      <c r="A964" s="44"/>
      <c r="B964" s="38" t="s">
        <v>81</v>
      </c>
      <c r="C964" s="38">
        <v>4.0</v>
      </c>
      <c r="D964" s="38" t="s">
        <v>2061</v>
      </c>
      <c r="E964" s="38" t="s">
        <v>2447</v>
      </c>
      <c r="F964" s="38" t="s">
        <v>2448</v>
      </c>
      <c r="G964" s="38" t="s">
        <v>2449</v>
      </c>
    </row>
    <row r="965">
      <c r="B965" s="38" t="s">
        <v>1400</v>
      </c>
      <c r="C965" s="38">
        <v>4.0</v>
      </c>
      <c r="D965" s="38" t="s">
        <v>412</v>
      </c>
      <c r="E965" s="38" t="s">
        <v>2450</v>
      </c>
      <c r="F965" s="47" t="s">
        <v>2451</v>
      </c>
    </row>
    <row r="966">
      <c r="B966" s="38" t="s">
        <v>1327</v>
      </c>
      <c r="C966" s="38">
        <v>2.0</v>
      </c>
      <c r="D966" s="38" t="s">
        <v>2296</v>
      </c>
      <c r="E966" s="38" t="s">
        <v>2452</v>
      </c>
      <c r="F966" s="38" t="s">
        <v>2453</v>
      </c>
    </row>
    <row r="967">
      <c r="B967" s="38" t="s">
        <v>875</v>
      </c>
      <c r="C967" s="38">
        <v>2.0</v>
      </c>
      <c r="D967" s="38" t="s">
        <v>2296</v>
      </c>
      <c r="E967" s="38" t="s">
        <v>2452</v>
      </c>
      <c r="F967" s="38" t="s">
        <v>2453</v>
      </c>
    </row>
    <row r="968">
      <c r="A968" s="44"/>
      <c r="B968" s="38" t="s">
        <v>354</v>
      </c>
      <c r="C968" s="38">
        <v>2.0</v>
      </c>
      <c r="D968" s="38" t="s">
        <v>2454</v>
      </c>
      <c r="E968" s="38" t="s">
        <v>2455</v>
      </c>
      <c r="F968" s="38" t="s">
        <v>2456</v>
      </c>
    </row>
    <row r="969">
      <c r="A969" s="44"/>
      <c r="B969" s="38" t="s">
        <v>479</v>
      </c>
      <c r="C969" s="38">
        <v>2.0</v>
      </c>
      <c r="D969" s="38" t="s">
        <v>2454</v>
      </c>
      <c r="E969" s="38" t="s">
        <v>2455</v>
      </c>
      <c r="F969" s="38" t="s">
        <v>2456</v>
      </c>
    </row>
    <row r="970">
      <c r="B970" s="47" t="s">
        <v>411</v>
      </c>
      <c r="C970" s="47">
        <v>4.0</v>
      </c>
      <c r="D970" s="47" t="s">
        <v>2457</v>
      </c>
      <c r="E970" s="47" t="s">
        <v>2458</v>
      </c>
      <c r="F970" s="38" t="s">
        <v>2459</v>
      </c>
    </row>
    <row r="971">
      <c r="A971" s="44"/>
      <c r="B971" s="38" t="s">
        <v>2460</v>
      </c>
      <c r="C971" s="38"/>
      <c r="D971" s="38"/>
      <c r="E971" s="39" t="s">
        <v>2461</v>
      </c>
      <c r="F971" s="38" t="s">
        <v>2462</v>
      </c>
    </row>
    <row r="972">
      <c r="A972" s="38" t="s">
        <v>2372</v>
      </c>
      <c r="B972" s="38" t="s">
        <v>416</v>
      </c>
      <c r="C972" s="38">
        <v>4.0</v>
      </c>
      <c r="D972" s="38" t="s">
        <v>672</v>
      </c>
      <c r="E972" s="38" t="s">
        <v>2463</v>
      </c>
      <c r="F972" s="38" t="s">
        <v>2464</v>
      </c>
    </row>
    <row r="973">
      <c r="B973" s="38" t="s">
        <v>2465</v>
      </c>
      <c r="C973" s="38">
        <v>2.0</v>
      </c>
      <c r="D973" s="38" t="s">
        <v>2094</v>
      </c>
      <c r="E973" s="38" t="s">
        <v>2466</v>
      </c>
      <c r="F973" s="38" t="s">
        <v>2467</v>
      </c>
    </row>
    <row r="974">
      <c r="B974" s="38" t="s">
        <v>2468</v>
      </c>
      <c r="C974" s="38">
        <v>2.0</v>
      </c>
      <c r="D974" s="38" t="s">
        <v>2094</v>
      </c>
      <c r="E974" s="38" t="s">
        <v>2466</v>
      </c>
      <c r="F974" s="38" t="s">
        <v>2467</v>
      </c>
    </row>
    <row r="975">
      <c r="A975" s="44"/>
      <c r="B975" s="38" t="s">
        <v>122</v>
      </c>
      <c r="C975" s="38">
        <v>4.0</v>
      </c>
      <c r="D975" s="38" t="s">
        <v>2021</v>
      </c>
      <c r="E975" s="38" t="s">
        <v>2469</v>
      </c>
      <c r="F975" s="38" t="s">
        <v>2470</v>
      </c>
    </row>
    <row r="976">
      <c r="A976" s="38" t="s">
        <v>133</v>
      </c>
      <c r="B976" s="38" t="s">
        <v>205</v>
      </c>
      <c r="C976" s="38">
        <v>4.0</v>
      </c>
      <c r="D976" s="38" t="s">
        <v>2171</v>
      </c>
      <c r="E976" s="38" t="s">
        <v>2471</v>
      </c>
      <c r="F976" s="44"/>
    </row>
    <row r="977">
      <c r="A977" s="38" t="s">
        <v>133</v>
      </c>
      <c r="B977" s="38" t="s">
        <v>2333</v>
      </c>
      <c r="C977" s="38">
        <v>4.0</v>
      </c>
      <c r="D977" s="38" t="s">
        <v>2171</v>
      </c>
      <c r="E977" s="39" t="s">
        <v>2472</v>
      </c>
      <c r="F977" s="38" t="s">
        <v>1912</v>
      </c>
    </row>
    <row r="978">
      <c r="A978" s="44"/>
      <c r="B978" s="38" t="s">
        <v>354</v>
      </c>
      <c r="C978" s="38">
        <v>4.0</v>
      </c>
      <c r="D978" s="38" t="s">
        <v>2473</v>
      </c>
      <c r="E978" s="39" t="s">
        <v>2474</v>
      </c>
      <c r="F978" s="38" t="s">
        <v>1912</v>
      </c>
    </row>
    <row r="979">
      <c r="B979" s="38" t="s">
        <v>271</v>
      </c>
      <c r="C979" s="38">
        <v>4.0</v>
      </c>
      <c r="D979" s="38" t="s">
        <v>2475</v>
      </c>
      <c r="E979" s="38" t="s">
        <v>2476</v>
      </c>
      <c r="F979" s="38" t="s">
        <v>2477</v>
      </c>
      <c r="G979" s="38" t="s">
        <v>2478</v>
      </c>
    </row>
    <row r="980">
      <c r="B980" s="38" t="s">
        <v>411</v>
      </c>
      <c r="C980" s="38">
        <v>4.0</v>
      </c>
      <c r="D980" s="38" t="s">
        <v>2479</v>
      </c>
      <c r="E980" s="38" t="s">
        <v>2480</v>
      </c>
      <c r="F980" s="38" t="s">
        <v>2332</v>
      </c>
    </row>
    <row r="981">
      <c r="B981" s="38" t="s">
        <v>25</v>
      </c>
      <c r="C981" s="38">
        <v>4.0</v>
      </c>
      <c r="D981" s="38" t="s">
        <v>2481</v>
      </c>
      <c r="E981" s="38" t="s">
        <v>2482</v>
      </c>
      <c r="F981" s="38" t="s">
        <v>2483</v>
      </c>
    </row>
    <row r="982">
      <c r="B982" s="38" t="s">
        <v>25</v>
      </c>
      <c r="C982" s="38">
        <v>4.0</v>
      </c>
      <c r="D982" s="38" t="s">
        <v>291</v>
      </c>
      <c r="E982" s="38" t="s">
        <v>2050</v>
      </c>
      <c r="F982" s="38" t="s">
        <v>2484</v>
      </c>
    </row>
    <row r="983">
      <c r="A983" s="44"/>
      <c r="B983" s="38" t="s">
        <v>25</v>
      </c>
      <c r="C983" s="38">
        <v>4.0</v>
      </c>
      <c r="D983" s="38" t="s">
        <v>291</v>
      </c>
      <c r="E983" s="38" t="s">
        <v>2485</v>
      </c>
      <c r="F983" s="38" t="s">
        <v>2486</v>
      </c>
    </row>
    <row r="984">
      <c r="A984" s="4" t="s">
        <v>2487</v>
      </c>
      <c r="B984" s="38" t="s">
        <v>2488</v>
      </c>
      <c r="C984" s="38">
        <v>4.0</v>
      </c>
      <c r="D984" s="38" t="s">
        <v>2171</v>
      </c>
      <c r="E984" s="38" t="s">
        <v>418</v>
      </c>
      <c r="F984" s="38" t="s">
        <v>2399</v>
      </c>
    </row>
    <row r="985">
      <c r="A985" s="1" t="s">
        <v>133</v>
      </c>
      <c r="B985" s="38" t="s">
        <v>77</v>
      </c>
      <c r="C985" s="38">
        <v>4.0</v>
      </c>
      <c r="D985" s="38" t="s">
        <v>2489</v>
      </c>
      <c r="E985" s="38" t="s">
        <v>2490</v>
      </c>
      <c r="F985" s="38" t="s">
        <v>2491</v>
      </c>
    </row>
    <row r="986">
      <c r="B986" s="38" t="s">
        <v>183</v>
      </c>
      <c r="C986" s="38">
        <v>4.0</v>
      </c>
      <c r="D986" s="38" t="s">
        <v>2492</v>
      </c>
      <c r="E986" s="38" t="s">
        <v>2493</v>
      </c>
      <c r="F986" s="38" t="s">
        <v>2494</v>
      </c>
    </row>
    <row r="987">
      <c r="B987" s="38" t="s">
        <v>1264</v>
      </c>
      <c r="C987" s="38">
        <v>4.0</v>
      </c>
      <c r="D987" s="38" t="s">
        <v>672</v>
      </c>
      <c r="E987" s="47" t="s">
        <v>2495</v>
      </c>
      <c r="F987" s="38" t="s">
        <v>208</v>
      </c>
    </row>
    <row r="988">
      <c r="B988" s="186" t="s">
        <v>2496</v>
      </c>
      <c r="D988" s="1" t="s">
        <v>2497</v>
      </c>
      <c r="G988" s="1" t="s">
        <v>2498</v>
      </c>
    </row>
    <row r="989">
      <c r="B989" s="44"/>
      <c r="C989" s="44"/>
      <c r="D989" s="38" t="s">
        <v>2499</v>
      </c>
      <c r="E989" s="94" t="s">
        <v>2500</v>
      </c>
      <c r="F989" s="38" t="s">
        <v>2501</v>
      </c>
    </row>
    <row r="990">
      <c r="B990" s="38" t="s">
        <v>1407</v>
      </c>
      <c r="C990" s="38">
        <v>4.0</v>
      </c>
      <c r="D990" s="38" t="s">
        <v>408</v>
      </c>
      <c r="E990" s="39" t="s">
        <v>2502</v>
      </c>
      <c r="F990" s="38" t="s">
        <v>2503</v>
      </c>
    </row>
    <row r="991">
      <c r="B991" s="38" t="s">
        <v>271</v>
      </c>
      <c r="C991" s="38">
        <v>2.0</v>
      </c>
      <c r="D991" s="38" t="s">
        <v>27</v>
      </c>
      <c r="E991" s="38" t="s">
        <v>2504</v>
      </c>
      <c r="F991" s="38" t="s">
        <v>2462</v>
      </c>
    </row>
    <row r="992">
      <c r="A992" s="38" t="s">
        <v>2505</v>
      </c>
      <c r="B992" s="38" t="s">
        <v>261</v>
      </c>
      <c r="C992" s="38">
        <v>4.0</v>
      </c>
      <c r="D992" s="38" t="s">
        <v>2506</v>
      </c>
      <c r="E992" s="39" t="s">
        <v>1401</v>
      </c>
      <c r="F992" s="38" t="s">
        <v>2507</v>
      </c>
      <c r="G992" s="38" t="s">
        <v>2508</v>
      </c>
    </row>
    <row r="993">
      <c r="A993" s="38" t="s">
        <v>2505</v>
      </c>
      <c r="B993" s="38" t="s">
        <v>147</v>
      </c>
      <c r="C993" s="38">
        <v>4.0</v>
      </c>
      <c r="D993" s="38" t="s">
        <v>1058</v>
      </c>
      <c r="E993" s="39" t="s">
        <v>1401</v>
      </c>
      <c r="F993" s="38" t="s">
        <v>208</v>
      </c>
      <c r="G993" s="38" t="s">
        <v>2508</v>
      </c>
    </row>
    <row r="994">
      <c r="A994" s="38" t="s">
        <v>2505</v>
      </c>
      <c r="B994" s="38" t="s">
        <v>205</v>
      </c>
      <c r="C994" s="38">
        <v>4.0</v>
      </c>
      <c r="D994" s="38" t="s">
        <v>2509</v>
      </c>
      <c r="E994" s="39" t="s">
        <v>1401</v>
      </c>
      <c r="F994" s="38" t="s">
        <v>353</v>
      </c>
      <c r="G994" s="38" t="s">
        <v>2508</v>
      </c>
    </row>
    <row r="995">
      <c r="B995" s="38" t="s">
        <v>2510</v>
      </c>
      <c r="C995" s="38" t="s">
        <v>2511</v>
      </c>
      <c r="D995" s="38" t="s">
        <v>2512</v>
      </c>
      <c r="E995" s="38" t="s">
        <v>2513</v>
      </c>
      <c r="F995" s="38" t="s">
        <v>2501</v>
      </c>
    </row>
    <row r="996">
      <c r="B996" s="38" t="s">
        <v>2514</v>
      </c>
      <c r="C996" s="38" t="s">
        <v>1252</v>
      </c>
      <c r="D996" s="38" t="s">
        <v>2515</v>
      </c>
      <c r="E996" s="38" t="s">
        <v>2513</v>
      </c>
      <c r="F996" s="38" t="s">
        <v>2501</v>
      </c>
    </row>
    <row r="997">
      <c r="A997" s="7"/>
      <c r="B997" s="38" t="s">
        <v>2516</v>
      </c>
      <c r="C997" s="47" t="s">
        <v>2517</v>
      </c>
      <c r="D997" s="38" t="s">
        <v>2518</v>
      </c>
      <c r="E997" s="47" t="s">
        <v>2290</v>
      </c>
      <c r="F997" s="38" t="s">
        <v>1252</v>
      </c>
    </row>
    <row r="998">
      <c r="B998" s="44"/>
      <c r="C998" s="47" t="s">
        <v>2519</v>
      </c>
      <c r="D998" s="47" t="s">
        <v>2520</v>
      </c>
      <c r="E998" s="47" t="s">
        <v>2290</v>
      </c>
      <c r="F998" s="44"/>
    </row>
    <row r="999">
      <c r="B999" s="38" t="s">
        <v>2521</v>
      </c>
      <c r="C999" s="38">
        <v>4.0</v>
      </c>
      <c r="D999" s="38" t="s">
        <v>2522</v>
      </c>
      <c r="E999" s="38" t="s">
        <v>2504</v>
      </c>
      <c r="F999" s="38" t="s">
        <v>218</v>
      </c>
      <c r="G999" s="38" t="s">
        <v>2462</v>
      </c>
    </row>
    <row r="1000">
      <c r="B1000" s="4" t="s">
        <v>2523</v>
      </c>
      <c r="C1000" s="1">
        <v>4.0</v>
      </c>
      <c r="D1000" s="1" t="s">
        <v>2524</v>
      </c>
      <c r="E1000" s="1" t="s">
        <v>325</v>
      </c>
      <c r="F1000" s="1" t="s">
        <v>2525</v>
      </c>
    </row>
    <row r="1001">
      <c r="B1001" s="1" t="s">
        <v>58</v>
      </c>
      <c r="C1001" s="1">
        <v>4.0</v>
      </c>
      <c r="D1001" s="1" t="s">
        <v>2526</v>
      </c>
      <c r="E1001" s="1" t="s">
        <v>325</v>
      </c>
      <c r="F1001" s="1" t="s">
        <v>2525</v>
      </c>
    </row>
    <row r="1002">
      <c r="B1002" s="1" t="s">
        <v>2527</v>
      </c>
      <c r="C1002" s="1">
        <v>4.0</v>
      </c>
      <c r="D1002" s="1" t="s">
        <v>174</v>
      </c>
      <c r="E1002" s="1" t="s">
        <v>325</v>
      </c>
      <c r="F1002" s="1" t="s">
        <v>2525</v>
      </c>
      <c r="M1002" s="187">
        <v>1.16</v>
      </c>
    </row>
    <row r="1003">
      <c r="C1003" s="1">
        <v>20.0</v>
      </c>
      <c r="D1003" s="1" t="s">
        <v>1830</v>
      </c>
      <c r="E1003" s="1" t="s">
        <v>325</v>
      </c>
      <c r="F1003" s="1" t="s">
        <v>2525</v>
      </c>
      <c r="M1003" s="188">
        <v>9.93</v>
      </c>
    </row>
    <row r="1004">
      <c r="A1004" s="2" t="s">
        <v>133</v>
      </c>
      <c r="B1004" s="38" t="s">
        <v>85</v>
      </c>
      <c r="C1004" s="38">
        <v>2.0</v>
      </c>
      <c r="D1004" s="38" t="s">
        <v>2489</v>
      </c>
      <c r="E1004" s="38" t="s">
        <v>2528</v>
      </c>
      <c r="F1004" s="38" t="s">
        <v>2529</v>
      </c>
      <c r="M1004" s="187">
        <v>14.21</v>
      </c>
    </row>
    <row r="1005">
      <c r="A1005" s="38" t="s">
        <v>133</v>
      </c>
      <c r="B1005" s="38" t="s">
        <v>31</v>
      </c>
      <c r="C1005" s="38">
        <v>2.0</v>
      </c>
      <c r="D1005" s="38" t="s">
        <v>2489</v>
      </c>
      <c r="E1005" s="38" t="s">
        <v>325</v>
      </c>
      <c r="F1005" s="38" t="s">
        <v>2529</v>
      </c>
    </row>
    <row r="1006">
      <c r="B1006" s="1" t="s">
        <v>733</v>
      </c>
      <c r="C1006" s="1">
        <v>4.0</v>
      </c>
      <c r="D1006" s="1" t="s">
        <v>2405</v>
      </c>
      <c r="E1006" s="1" t="s">
        <v>2530</v>
      </c>
      <c r="F1006" s="1" t="s">
        <v>2531</v>
      </c>
    </row>
    <row r="1007">
      <c r="B1007" s="1" t="s">
        <v>733</v>
      </c>
      <c r="C1007" s="1">
        <v>4.0</v>
      </c>
      <c r="D1007" s="1" t="s">
        <v>2532</v>
      </c>
      <c r="E1007" s="1" t="s">
        <v>2530</v>
      </c>
      <c r="F1007" s="1" t="s">
        <v>2533</v>
      </c>
      <c r="G1007" s="1" t="s">
        <v>2534</v>
      </c>
    </row>
    <row r="1008">
      <c r="B1008" s="1"/>
      <c r="C1008" s="1"/>
      <c r="D1008" s="1"/>
      <c r="E1008" s="1" t="s">
        <v>2530</v>
      </c>
      <c r="F1008" s="1" t="s">
        <v>2535</v>
      </c>
      <c r="G1008" s="1"/>
    </row>
    <row r="1009">
      <c r="B1009" s="1" t="s">
        <v>2536</v>
      </c>
      <c r="C1009" s="1"/>
      <c r="D1009" s="1" t="s">
        <v>2537</v>
      </c>
      <c r="E1009" s="1" t="s">
        <v>2530</v>
      </c>
      <c r="F1009" s="1"/>
      <c r="G1009" s="1"/>
    </row>
    <row r="1010">
      <c r="B1010" s="38" t="s">
        <v>2276</v>
      </c>
      <c r="C1010" s="38">
        <v>4.0</v>
      </c>
      <c r="D1010" s="38" t="s">
        <v>2538</v>
      </c>
      <c r="E1010" s="38" t="s">
        <v>2539</v>
      </c>
      <c r="F1010" s="38" t="s">
        <v>2540</v>
      </c>
      <c r="G1010" s="38" t="s">
        <v>2541</v>
      </c>
    </row>
    <row r="1011">
      <c r="B1011" s="38"/>
      <c r="C1011" s="38"/>
      <c r="D1011" s="38" t="s">
        <v>2542</v>
      </c>
      <c r="E1011" s="38" t="s">
        <v>2543</v>
      </c>
      <c r="F1011" s="38" t="s">
        <v>2544</v>
      </c>
      <c r="G1011" s="38" t="s">
        <v>2541</v>
      </c>
    </row>
    <row r="1012">
      <c r="A1012" s="44"/>
      <c r="B1012" s="189" t="s">
        <v>2545</v>
      </c>
      <c r="C1012" s="44"/>
      <c r="D1012" s="44"/>
      <c r="E1012" s="38" t="s">
        <v>2546</v>
      </c>
      <c r="F1012" s="38" t="s">
        <v>2547</v>
      </c>
      <c r="G1012" s="44"/>
    </row>
    <row r="1013">
      <c r="A1013" s="38" t="s">
        <v>133</v>
      </c>
      <c r="B1013" s="38" t="s">
        <v>2548</v>
      </c>
      <c r="C1013" s="38">
        <v>4.0</v>
      </c>
      <c r="D1013" s="38" t="s">
        <v>672</v>
      </c>
      <c r="E1013" s="38" t="s">
        <v>2546</v>
      </c>
      <c r="F1013" s="38" t="s">
        <v>2549</v>
      </c>
      <c r="G1013" s="44"/>
    </row>
    <row r="1014">
      <c r="B1014" s="74" t="s">
        <v>2550</v>
      </c>
      <c r="C1014" s="44"/>
      <c r="D1014" s="44"/>
      <c r="E1014" s="38" t="s">
        <v>2551</v>
      </c>
      <c r="F1014" s="38" t="s">
        <v>2552</v>
      </c>
      <c r="G1014" s="38" t="s">
        <v>2553</v>
      </c>
    </row>
    <row r="1015">
      <c r="A1015" s="1" t="s">
        <v>133</v>
      </c>
      <c r="B1015" s="38" t="s">
        <v>283</v>
      </c>
      <c r="C1015" s="38">
        <v>4.0</v>
      </c>
      <c r="D1015" s="38" t="s">
        <v>50</v>
      </c>
      <c r="E1015" s="38" t="s">
        <v>2551</v>
      </c>
      <c r="F1015" s="44"/>
      <c r="G1015" s="38" t="s">
        <v>2553</v>
      </c>
    </row>
    <row r="1016">
      <c r="B1016" s="38"/>
      <c r="C1016" s="38">
        <v>4.0</v>
      </c>
      <c r="D1016" s="38" t="s">
        <v>2554</v>
      </c>
      <c r="E1016" s="38" t="s">
        <v>2551</v>
      </c>
      <c r="F1016" s="44"/>
      <c r="G1016" s="38" t="s">
        <v>2553</v>
      </c>
    </row>
    <row r="1017">
      <c r="B1017" s="38"/>
      <c r="C1017" s="38">
        <v>4.0</v>
      </c>
      <c r="D1017" s="38" t="s">
        <v>2555</v>
      </c>
      <c r="E1017" s="38" t="s">
        <v>2556</v>
      </c>
      <c r="F1017" s="38" t="s">
        <v>2557</v>
      </c>
      <c r="G1017" s="38" t="s">
        <v>2553</v>
      </c>
    </row>
    <row r="1018">
      <c r="B1018" s="190" t="s">
        <v>2558</v>
      </c>
      <c r="C1018" s="1" t="s">
        <v>2559</v>
      </c>
      <c r="D1018" s="1" t="s">
        <v>2560</v>
      </c>
      <c r="E1018" s="191" t="s">
        <v>2561</v>
      </c>
    </row>
    <row r="1019">
      <c r="A1019" s="38" t="s">
        <v>133</v>
      </c>
      <c r="B1019" s="38" t="s">
        <v>25</v>
      </c>
      <c r="C1019" s="38">
        <v>4.0</v>
      </c>
      <c r="D1019" s="38" t="s">
        <v>2032</v>
      </c>
      <c r="E1019" s="38" t="s">
        <v>2562</v>
      </c>
      <c r="F1019" s="38" t="s">
        <v>2563</v>
      </c>
    </row>
    <row r="1020">
      <c r="A1020" s="1" t="s">
        <v>2564</v>
      </c>
      <c r="B1020" s="38" t="s">
        <v>58</v>
      </c>
      <c r="C1020" s="38">
        <v>4.0</v>
      </c>
      <c r="D1020" s="47" t="s">
        <v>2489</v>
      </c>
      <c r="E1020" s="38" t="s">
        <v>2565</v>
      </c>
      <c r="F1020" s="38" t="s">
        <v>2566</v>
      </c>
    </row>
    <row r="1021">
      <c r="B1021" s="47" t="s">
        <v>2567</v>
      </c>
      <c r="C1021" s="44"/>
      <c r="D1021" s="44"/>
      <c r="E1021" s="38" t="s">
        <v>2568</v>
      </c>
      <c r="F1021" s="38" t="s">
        <v>175</v>
      </c>
      <c r="G1021" s="38" t="s">
        <v>2569</v>
      </c>
    </row>
    <row r="1022">
      <c r="A1022" s="1" t="s">
        <v>2564</v>
      </c>
      <c r="B1022" s="38" t="s">
        <v>333</v>
      </c>
      <c r="C1022" s="38">
        <v>4.0</v>
      </c>
      <c r="D1022" s="38" t="s">
        <v>2570</v>
      </c>
      <c r="E1022" s="38" t="s">
        <v>2568</v>
      </c>
      <c r="F1022" s="44"/>
      <c r="G1022" s="38" t="s">
        <v>2569</v>
      </c>
    </row>
    <row r="1023">
      <c r="A1023" s="38" t="s">
        <v>2259</v>
      </c>
      <c r="B1023" s="38" t="s">
        <v>1322</v>
      </c>
      <c r="C1023" s="38">
        <v>2.0</v>
      </c>
      <c r="D1023" s="38" t="s">
        <v>408</v>
      </c>
      <c r="E1023" s="38" t="s">
        <v>2571</v>
      </c>
      <c r="F1023" s="38" t="s">
        <v>2226</v>
      </c>
    </row>
    <row r="1024">
      <c r="A1024" s="38" t="s">
        <v>2572</v>
      </c>
      <c r="B1024" s="38" t="s">
        <v>2573</v>
      </c>
      <c r="C1024" s="38">
        <v>2.0</v>
      </c>
      <c r="D1024" s="38" t="s">
        <v>408</v>
      </c>
      <c r="E1024" s="38" t="s">
        <v>2571</v>
      </c>
      <c r="F1024" s="38" t="s">
        <v>2226</v>
      </c>
    </row>
    <row r="1025">
      <c r="A1025" s="4"/>
      <c r="B1025" s="47"/>
      <c r="C1025" s="47"/>
      <c r="D1025" s="47"/>
      <c r="E1025" s="38" t="s">
        <v>2571</v>
      </c>
      <c r="F1025" s="38" t="s">
        <v>2574</v>
      </c>
      <c r="G1025" s="38" t="s">
        <v>2575</v>
      </c>
    </row>
    <row r="1026">
      <c r="A1026" s="44"/>
      <c r="B1026" s="38" t="s">
        <v>2576</v>
      </c>
      <c r="C1026" s="38">
        <v>2.0</v>
      </c>
      <c r="D1026" s="38" t="s">
        <v>2577</v>
      </c>
      <c r="E1026" s="38" t="s">
        <v>2578</v>
      </c>
      <c r="F1026" s="38" t="s">
        <v>2579</v>
      </c>
      <c r="G1026" s="38" t="s">
        <v>2580</v>
      </c>
    </row>
    <row r="1027">
      <c r="A1027" s="44"/>
      <c r="B1027" s="38" t="s">
        <v>2581</v>
      </c>
      <c r="C1027" s="38">
        <v>2.0</v>
      </c>
      <c r="D1027" s="38" t="s">
        <v>2577</v>
      </c>
      <c r="E1027" s="38" t="s">
        <v>2578</v>
      </c>
      <c r="F1027" s="192" t="s">
        <v>2582</v>
      </c>
      <c r="G1027" s="44"/>
    </row>
    <row r="1028">
      <c r="A1028" s="44"/>
      <c r="B1028" s="38" t="s">
        <v>219</v>
      </c>
      <c r="C1028" s="38">
        <v>4.0</v>
      </c>
      <c r="D1028" s="38" t="s">
        <v>2583</v>
      </c>
      <c r="E1028" s="38" t="s">
        <v>2584</v>
      </c>
      <c r="F1028" s="38" t="s">
        <v>2585</v>
      </c>
      <c r="G1028" s="38" t="s">
        <v>2586</v>
      </c>
    </row>
    <row r="1029">
      <c r="A1029" s="44"/>
      <c r="B1029" s="44"/>
      <c r="C1029" s="44"/>
      <c r="D1029" s="38" t="s">
        <v>2587</v>
      </c>
      <c r="E1029" s="42" t="s">
        <v>2588</v>
      </c>
      <c r="F1029" s="38" t="s">
        <v>2589</v>
      </c>
      <c r="G1029" s="38" t="s">
        <v>1963</v>
      </c>
    </row>
    <row r="1030">
      <c r="B1030" s="38" t="s">
        <v>31</v>
      </c>
      <c r="C1030" s="38">
        <v>2.0</v>
      </c>
      <c r="D1030" s="38" t="s">
        <v>2590</v>
      </c>
      <c r="E1030" s="38" t="s">
        <v>2591</v>
      </c>
      <c r="F1030" s="38" t="s">
        <v>2201</v>
      </c>
    </row>
    <row r="1031">
      <c r="A1031" s="38" t="s">
        <v>2592</v>
      </c>
      <c r="B1031" s="38" t="s">
        <v>170</v>
      </c>
      <c r="C1031" s="38">
        <v>2.0</v>
      </c>
      <c r="D1031" s="38" t="s">
        <v>2593</v>
      </c>
      <c r="E1031" s="38" t="s">
        <v>2594</v>
      </c>
      <c r="F1031" s="38" t="s">
        <v>2595</v>
      </c>
    </row>
    <row r="1032">
      <c r="A1032" s="38" t="s">
        <v>2592</v>
      </c>
      <c r="B1032" s="38" t="s">
        <v>166</v>
      </c>
      <c r="C1032" s="38">
        <v>2.0</v>
      </c>
      <c r="D1032" s="38" t="s">
        <v>2593</v>
      </c>
      <c r="E1032" s="38" t="s">
        <v>413</v>
      </c>
      <c r="F1032" s="38" t="s">
        <v>2595</v>
      </c>
    </row>
    <row r="1033">
      <c r="B1033" s="38" t="s">
        <v>271</v>
      </c>
      <c r="C1033" s="38">
        <v>4.0</v>
      </c>
      <c r="D1033" s="38" t="s">
        <v>1979</v>
      </c>
      <c r="E1033" s="38" t="s">
        <v>2596</v>
      </c>
      <c r="F1033" s="38" t="s">
        <v>2597</v>
      </c>
    </row>
    <row r="1034">
      <c r="B1034" s="47" t="s">
        <v>214</v>
      </c>
      <c r="C1034" s="47">
        <v>2.0</v>
      </c>
      <c r="D1034" s="47" t="s">
        <v>465</v>
      </c>
      <c r="E1034" s="38" t="s">
        <v>2598</v>
      </c>
      <c r="F1034" s="38" t="s">
        <v>2599</v>
      </c>
    </row>
    <row r="1035">
      <c r="B1035" s="47" t="s">
        <v>210</v>
      </c>
      <c r="C1035" s="47">
        <v>2.0</v>
      </c>
      <c r="D1035" s="47" t="s">
        <v>465</v>
      </c>
      <c r="E1035" s="38" t="s">
        <v>2600</v>
      </c>
      <c r="F1035" s="38" t="s">
        <v>2599</v>
      </c>
    </row>
    <row r="1036">
      <c r="B1036" s="38" t="s">
        <v>271</v>
      </c>
      <c r="C1036" s="38">
        <v>4.0</v>
      </c>
      <c r="D1036" s="38" t="s">
        <v>2601</v>
      </c>
      <c r="E1036" s="38" t="s">
        <v>2602</v>
      </c>
      <c r="F1036" s="38"/>
    </row>
    <row r="1037">
      <c r="B1037" s="38" t="s">
        <v>2603</v>
      </c>
      <c r="C1037" s="38">
        <v>2.0</v>
      </c>
      <c r="D1037" s="38" t="s">
        <v>2604</v>
      </c>
      <c r="E1037" s="38" t="s">
        <v>2605</v>
      </c>
      <c r="F1037" s="38" t="s">
        <v>2606</v>
      </c>
    </row>
    <row r="1038">
      <c r="B1038" s="38" t="s">
        <v>2607</v>
      </c>
      <c r="C1038" s="38">
        <v>2.0</v>
      </c>
      <c r="D1038" s="38" t="s">
        <v>2604</v>
      </c>
      <c r="E1038" s="47" t="s">
        <v>325</v>
      </c>
      <c r="F1038" s="38" t="s">
        <v>2606</v>
      </c>
    </row>
    <row r="1039">
      <c r="B1039" s="38" t="s">
        <v>1409</v>
      </c>
      <c r="C1039" s="38">
        <v>2.0</v>
      </c>
      <c r="D1039" s="38" t="s">
        <v>2608</v>
      </c>
      <c r="E1039" s="38" t="s">
        <v>2609</v>
      </c>
      <c r="F1039" s="38" t="s">
        <v>2610</v>
      </c>
    </row>
    <row r="1040">
      <c r="B1040" s="38" t="s">
        <v>1454</v>
      </c>
      <c r="C1040" s="38">
        <v>2.0</v>
      </c>
      <c r="D1040" s="38" t="s">
        <v>2608</v>
      </c>
      <c r="E1040" s="47" t="s">
        <v>325</v>
      </c>
      <c r="F1040" s="38" t="s">
        <v>2610</v>
      </c>
    </row>
    <row r="1041">
      <c r="B1041" s="38" t="s">
        <v>28</v>
      </c>
      <c r="C1041" s="38">
        <v>4.0</v>
      </c>
      <c r="D1041" s="38" t="s">
        <v>412</v>
      </c>
      <c r="E1041" s="38" t="s">
        <v>2611</v>
      </c>
      <c r="F1041" s="38"/>
    </row>
    <row r="1042">
      <c r="A1042" s="38" t="s">
        <v>133</v>
      </c>
      <c r="B1042" s="38" t="s">
        <v>354</v>
      </c>
      <c r="C1042" s="38">
        <v>4.0</v>
      </c>
      <c r="D1042" s="38" t="s">
        <v>2171</v>
      </c>
      <c r="E1042" s="38" t="s">
        <v>2612</v>
      </c>
      <c r="F1042" s="38"/>
    </row>
    <row r="1043">
      <c r="A1043" s="38" t="s">
        <v>133</v>
      </c>
      <c r="B1043" s="38" t="s">
        <v>342</v>
      </c>
      <c r="C1043" s="38">
        <v>2.0</v>
      </c>
      <c r="D1043" s="38" t="s">
        <v>2570</v>
      </c>
      <c r="E1043" s="38" t="s">
        <v>2613</v>
      </c>
      <c r="F1043" s="38" t="s">
        <v>175</v>
      </c>
      <c r="G1043" s="38" t="s">
        <v>144</v>
      </c>
    </row>
    <row r="1044">
      <c r="A1044" s="38" t="s">
        <v>133</v>
      </c>
      <c r="B1044" s="38" t="s">
        <v>41</v>
      </c>
      <c r="C1044" s="38">
        <v>2.0</v>
      </c>
      <c r="D1044" s="38" t="s">
        <v>672</v>
      </c>
      <c r="E1044" s="38" t="s">
        <v>2613</v>
      </c>
      <c r="F1044" s="44"/>
      <c r="G1044" s="38" t="s">
        <v>144</v>
      </c>
    </row>
    <row r="1045">
      <c r="B1045" s="38" t="s">
        <v>25</v>
      </c>
      <c r="C1045" s="38">
        <v>1.0</v>
      </c>
      <c r="D1045" s="38" t="s">
        <v>1964</v>
      </c>
      <c r="E1045" s="38" t="s">
        <v>2614</v>
      </c>
      <c r="F1045" s="38" t="s">
        <v>1891</v>
      </c>
    </row>
    <row r="1046">
      <c r="A1046" s="1" t="s">
        <v>2615</v>
      </c>
      <c r="B1046" s="38" t="s">
        <v>41</v>
      </c>
      <c r="C1046" s="38">
        <v>4.0</v>
      </c>
      <c r="D1046" s="38" t="s">
        <v>2616</v>
      </c>
      <c r="E1046" s="38" t="s">
        <v>2617</v>
      </c>
      <c r="F1046" s="38" t="s">
        <v>2618</v>
      </c>
      <c r="G1046" s="174" t="s">
        <v>2619</v>
      </c>
    </row>
    <row r="1047">
      <c r="A1047" s="4" t="s">
        <v>2620</v>
      </c>
      <c r="B1047" s="38" t="s">
        <v>2621</v>
      </c>
      <c r="C1047" s="38">
        <v>4.0</v>
      </c>
      <c r="D1047" s="38" t="s">
        <v>672</v>
      </c>
      <c r="E1047" s="38" t="s">
        <v>2622</v>
      </c>
      <c r="F1047" s="47" t="s">
        <v>2623</v>
      </c>
      <c r="G1047" s="1" t="s">
        <v>2624</v>
      </c>
      <c r="H1047" s="1" t="s">
        <v>2625</v>
      </c>
    </row>
    <row r="1048">
      <c r="B1048" s="38" t="s">
        <v>2626</v>
      </c>
      <c r="C1048" s="44"/>
      <c r="D1048" s="44"/>
      <c r="E1048" s="38" t="s">
        <v>2627</v>
      </c>
      <c r="F1048" s="38" t="s">
        <v>2628</v>
      </c>
    </row>
    <row r="1049">
      <c r="B1049" s="38" t="s">
        <v>354</v>
      </c>
      <c r="C1049" s="38">
        <v>2.0</v>
      </c>
      <c r="D1049" s="38" t="s">
        <v>408</v>
      </c>
      <c r="E1049" s="38" t="s">
        <v>325</v>
      </c>
      <c r="F1049" s="38" t="s">
        <v>2629</v>
      </c>
    </row>
    <row r="1050">
      <c r="B1050" s="38" t="s">
        <v>479</v>
      </c>
      <c r="C1050" s="38">
        <v>2.0</v>
      </c>
      <c r="D1050" s="38" t="s">
        <v>408</v>
      </c>
      <c r="E1050" s="38" t="s">
        <v>325</v>
      </c>
      <c r="F1050" s="38" t="s">
        <v>2629</v>
      </c>
    </row>
    <row r="1051">
      <c r="A1051" s="38" t="s">
        <v>133</v>
      </c>
      <c r="B1051" s="38" t="s">
        <v>41</v>
      </c>
      <c r="C1051" s="38">
        <v>4.0</v>
      </c>
      <c r="D1051" s="38" t="s">
        <v>2171</v>
      </c>
      <c r="E1051" s="39" t="s">
        <v>2630</v>
      </c>
      <c r="F1051" s="38" t="s">
        <v>2631</v>
      </c>
    </row>
    <row r="1052">
      <c r="B1052" s="38" t="s">
        <v>219</v>
      </c>
      <c r="C1052" s="38">
        <v>4.0</v>
      </c>
      <c r="D1052" s="38" t="s">
        <v>2632</v>
      </c>
      <c r="E1052" s="38" t="s">
        <v>2633</v>
      </c>
      <c r="F1052" s="38" t="s">
        <v>1822</v>
      </c>
    </row>
    <row r="1053">
      <c r="B1053" s="38" t="s">
        <v>28</v>
      </c>
      <c r="C1053" s="38">
        <v>4.0</v>
      </c>
      <c r="D1053" s="38" t="s">
        <v>2039</v>
      </c>
      <c r="E1053" s="39" t="s">
        <v>2634</v>
      </c>
      <c r="F1053" s="38" t="s">
        <v>2635</v>
      </c>
    </row>
    <row r="1054">
      <c r="A1054" s="38" t="s">
        <v>133</v>
      </c>
      <c r="B1054" s="38" t="s">
        <v>205</v>
      </c>
      <c r="C1054" s="38">
        <v>4.0</v>
      </c>
      <c r="D1054" s="38" t="s">
        <v>2171</v>
      </c>
      <c r="E1054" s="38" t="s">
        <v>2546</v>
      </c>
      <c r="F1054" s="44"/>
    </row>
    <row r="1055">
      <c r="B1055" s="44"/>
      <c r="C1055" s="44"/>
      <c r="D1055" s="38" t="s">
        <v>2636</v>
      </c>
      <c r="E1055" s="47" t="s">
        <v>1773</v>
      </c>
      <c r="F1055" s="38" t="s">
        <v>2295</v>
      </c>
    </row>
    <row r="1056">
      <c r="B1056" s="44"/>
      <c r="C1056" s="44"/>
      <c r="D1056" s="38" t="s">
        <v>2637</v>
      </c>
      <c r="E1056" s="47" t="s">
        <v>1773</v>
      </c>
      <c r="F1056" s="38" t="s">
        <v>2295</v>
      </c>
    </row>
    <row r="1057">
      <c r="B1057" s="44"/>
      <c r="C1057" s="44"/>
      <c r="D1057" s="38" t="s">
        <v>2638</v>
      </c>
      <c r="E1057" s="47" t="s">
        <v>1773</v>
      </c>
      <c r="F1057" s="38" t="s">
        <v>2295</v>
      </c>
    </row>
    <row r="1058">
      <c r="B1058" s="1" t="s">
        <v>2639</v>
      </c>
      <c r="D1058" s="1" t="s">
        <v>2640</v>
      </c>
      <c r="E1058" s="1" t="s">
        <v>2641</v>
      </c>
    </row>
    <row r="1059">
      <c r="A1059" s="38" t="s">
        <v>133</v>
      </c>
      <c r="B1059" s="38" t="s">
        <v>2108</v>
      </c>
      <c r="C1059" s="38">
        <v>4.0</v>
      </c>
      <c r="D1059" s="38" t="s">
        <v>2642</v>
      </c>
      <c r="E1059" s="38" t="s">
        <v>2643</v>
      </c>
      <c r="F1059" s="38" t="s">
        <v>2644</v>
      </c>
    </row>
    <row r="1060">
      <c r="B1060" s="38" t="s">
        <v>25</v>
      </c>
      <c r="C1060" s="38">
        <v>4.0</v>
      </c>
      <c r="D1060" s="38" t="s">
        <v>27</v>
      </c>
      <c r="E1060" s="38" t="s">
        <v>1220</v>
      </c>
      <c r="F1060" s="38" t="s">
        <v>2645</v>
      </c>
    </row>
    <row r="1061">
      <c r="B1061" s="38" t="s">
        <v>2646</v>
      </c>
      <c r="C1061" s="44"/>
      <c r="D1061" s="38" t="s">
        <v>2647</v>
      </c>
      <c r="E1061" s="38" t="s">
        <v>2648</v>
      </c>
      <c r="F1061" s="38" t="s">
        <v>2649</v>
      </c>
    </row>
    <row r="1062">
      <c r="B1062" s="44"/>
      <c r="C1062" s="38" t="s">
        <v>2650</v>
      </c>
      <c r="D1062" s="38"/>
      <c r="E1062" s="38" t="s">
        <v>2648</v>
      </c>
      <c r="F1062" s="38" t="s">
        <v>2649</v>
      </c>
    </row>
    <row r="1063">
      <c r="A1063" s="38" t="s">
        <v>2505</v>
      </c>
      <c r="B1063" s="38" t="s">
        <v>219</v>
      </c>
      <c r="C1063" s="38">
        <v>4.0</v>
      </c>
      <c r="D1063" s="38" t="s">
        <v>2651</v>
      </c>
      <c r="E1063" s="38" t="s">
        <v>1401</v>
      </c>
      <c r="F1063" s="38" t="s">
        <v>2508</v>
      </c>
    </row>
    <row r="1064">
      <c r="B1064" s="38" t="s">
        <v>271</v>
      </c>
      <c r="C1064" s="38">
        <v>2.0</v>
      </c>
      <c r="D1064" s="38" t="s">
        <v>2489</v>
      </c>
      <c r="E1064" s="47" t="s">
        <v>2634</v>
      </c>
      <c r="F1064" s="38" t="s">
        <v>2635</v>
      </c>
    </row>
    <row r="1065">
      <c r="A1065" s="44"/>
      <c r="B1065" s="38" t="s">
        <v>214</v>
      </c>
      <c r="C1065" s="38">
        <v>2.0</v>
      </c>
      <c r="D1065" s="38" t="s">
        <v>2340</v>
      </c>
      <c r="E1065" s="39" t="s">
        <v>883</v>
      </c>
      <c r="F1065" s="38" t="s">
        <v>2652</v>
      </c>
    </row>
    <row r="1066">
      <c r="A1066" s="44"/>
      <c r="B1066" s="38" t="s">
        <v>210</v>
      </c>
      <c r="C1066" s="38">
        <v>2.0</v>
      </c>
      <c r="D1066" s="38" t="s">
        <v>2340</v>
      </c>
      <c r="E1066" s="39" t="s">
        <v>883</v>
      </c>
      <c r="F1066" s="38" t="s">
        <v>2652</v>
      </c>
    </row>
    <row r="1067">
      <c r="A1067" s="38" t="s">
        <v>133</v>
      </c>
      <c r="B1067" s="38" t="s">
        <v>876</v>
      </c>
      <c r="C1067" s="38">
        <v>4.0</v>
      </c>
      <c r="D1067" s="38" t="s">
        <v>2653</v>
      </c>
      <c r="E1067" s="38" t="s">
        <v>2654</v>
      </c>
      <c r="F1067" s="38" t="s">
        <v>2655</v>
      </c>
    </row>
    <row r="1068">
      <c r="A1068" s="1" t="s">
        <v>133</v>
      </c>
      <c r="B1068" s="38" t="s">
        <v>1513</v>
      </c>
      <c r="C1068" s="38">
        <v>4.0</v>
      </c>
      <c r="D1068" s="38" t="s">
        <v>2171</v>
      </c>
      <c r="E1068" s="38" t="s">
        <v>2656</v>
      </c>
      <c r="F1068" s="44"/>
    </row>
    <row r="1069">
      <c r="B1069" s="38" t="s">
        <v>25</v>
      </c>
      <c r="C1069" s="38">
        <v>4.0</v>
      </c>
      <c r="D1069" s="38" t="s">
        <v>2657</v>
      </c>
      <c r="E1069" s="38" t="s">
        <v>2658</v>
      </c>
      <c r="F1069" s="38"/>
    </row>
    <row r="1070">
      <c r="A1070" s="1" t="s">
        <v>133</v>
      </c>
      <c r="B1070" s="47" t="s">
        <v>210</v>
      </c>
      <c r="C1070" s="47">
        <v>2.0</v>
      </c>
      <c r="D1070" s="47" t="s">
        <v>672</v>
      </c>
      <c r="E1070" s="38" t="s">
        <v>2659</v>
      </c>
      <c r="F1070" s="38" t="s">
        <v>2660</v>
      </c>
    </row>
    <row r="1071">
      <c r="A1071" s="1" t="s">
        <v>133</v>
      </c>
      <c r="B1071" s="47" t="s">
        <v>214</v>
      </c>
      <c r="C1071" s="47">
        <v>2.0</v>
      </c>
      <c r="D1071" s="47" t="s">
        <v>672</v>
      </c>
      <c r="E1071" s="47" t="s">
        <v>325</v>
      </c>
      <c r="F1071" s="38" t="s">
        <v>2660</v>
      </c>
    </row>
    <row r="1072">
      <c r="A1072" s="4" t="s">
        <v>2661</v>
      </c>
      <c r="B1072" s="38" t="s">
        <v>2662</v>
      </c>
      <c r="C1072" s="38">
        <v>4.0</v>
      </c>
      <c r="D1072" s="38" t="s">
        <v>2160</v>
      </c>
      <c r="E1072" s="38" t="s">
        <v>418</v>
      </c>
      <c r="F1072" s="38" t="s">
        <v>2663</v>
      </c>
      <c r="G1072" s="1">
        <v>1.1351087E7</v>
      </c>
      <c r="H1072" s="1" t="s">
        <v>784</v>
      </c>
    </row>
    <row r="1073">
      <c r="B1073" s="47" t="s">
        <v>2664</v>
      </c>
      <c r="C1073" s="44"/>
      <c r="D1073" s="44"/>
      <c r="E1073" s="38" t="s">
        <v>2665</v>
      </c>
      <c r="F1073" s="44"/>
      <c r="G1073" s="38" t="s">
        <v>2666</v>
      </c>
    </row>
    <row r="1074">
      <c r="B1074" s="47" t="s">
        <v>2667</v>
      </c>
      <c r="C1074" s="44"/>
      <c r="D1074" s="44"/>
      <c r="E1074" s="38" t="s">
        <v>2665</v>
      </c>
      <c r="F1074" s="44"/>
      <c r="G1074" s="38" t="s">
        <v>2666</v>
      </c>
    </row>
    <row r="1075">
      <c r="B1075" s="38" t="s">
        <v>1057</v>
      </c>
      <c r="C1075" s="38">
        <v>2.0</v>
      </c>
      <c r="D1075" s="38" t="s">
        <v>2668</v>
      </c>
      <c r="E1075" s="38" t="s">
        <v>2665</v>
      </c>
      <c r="F1075" s="38" t="s">
        <v>175</v>
      </c>
      <c r="G1075" s="38" t="s">
        <v>2666</v>
      </c>
    </row>
    <row r="1076">
      <c r="B1076" s="38" t="s">
        <v>1055</v>
      </c>
      <c r="C1076" s="38">
        <v>2.0</v>
      </c>
      <c r="D1076" s="38" t="s">
        <v>2668</v>
      </c>
      <c r="E1076" s="38" t="s">
        <v>2665</v>
      </c>
      <c r="F1076" s="44"/>
      <c r="G1076" s="38" t="s">
        <v>2666</v>
      </c>
    </row>
    <row r="1077">
      <c r="B1077" s="38" t="s">
        <v>2669</v>
      </c>
      <c r="C1077" s="38"/>
      <c r="D1077" s="38"/>
      <c r="E1077" s="38" t="s">
        <v>2665</v>
      </c>
      <c r="F1077" s="44"/>
      <c r="G1077" s="38" t="s">
        <v>2666</v>
      </c>
    </row>
    <row r="1078">
      <c r="B1078" s="38" t="s">
        <v>333</v>
      </c>
      <c r="C1078" s="38">
        <v>4.0</v>
      </c>
      <c r="D1078" s="38" t="s">
        <v>2593</v>
      </c>
      <c r="E1078" s="38" t="s">
        <v>2670</v>
      </c>
      <c r="F1078" s="38" t="s">
        <v>2201</v>
      </c>
    </row>
    <row r="1079">
      <c r="A1079" s="38" t="s">
        <v>133</v>
      </c>
      <c r="B1079" s="38" t="s">
        <v>339</v>
      </c>
      <c r="C1079" s="38">
        <v>4.0</v>
      </c>
      <c r="D1079" s="38" t="s">
        <v>2671</v>
      </c>
      <c r="E1079" s="38" t="s">
        <v>2672</v>
      </c>
      <c r="F1079" s="38" t="s">
        <v>2673</v>
      </c>
    </row>
    <row r="1080">
      <c r="A1080" s="8"/>
      <c r="B1080" s="38"/>
      <c r="C1080" s="38"/>
      <c r="D1080" s="38"/>
      <c r="E1080" s="38" t="s">
        <v>2672</v>
      </c>
      <c r="F1080" s="38" t="s">
        <v>2674</v>
      </c>
      <c r="G1080" s="5"/>
    </row>
    <row r="1081">
      <c r="B1081" s="38" t="s">
        <v>876</v>
      </c>
      <c r="C1081" s="38">
        <v>4.0</v>
      </c>
      <c r="D1081" s="38" t="s">
        <v>2675</v>
      </c>
      <c r="E1081" s="38" t="s">
        <v>2676</v>
      </c>
      <c r="F1081" s="44"/>
    </row>
    <row r="1082">
      <c r="B1082" s="38" t="s">
        <v>219</v>
      </c>
      <c r="C1082" s="38">
        <v>4.0</v>
      </c>
      <c r="D1082" s="38" t="s">
        <v>2677</v>
      </c>
      <c r="E1082" s="38" t="s">
        <v>2676</v>
      </c>
      <c r="F1082" s="44"/>
    </row>
    <row r="1083">
      <c r="A1083" s="38" t="s">
        <v>2564</v>
      </c>
      <c r="B1083" s="38" t="s">
        <v>28</v>
      </c>
      <c r="C1083" s="38">
        <v>4.0</v>
      </c>
      <c r="D1083" s="38" t="s">
        <v>2171</v>
      </c>
      <c r="E1083" s="38" t="s">
        <v>2678</v>
      </c>
      <c r="F1083" s="38" t="s">
        <v>2679</v>
      </c>
    </row>
    <row r="1084">
      <c r="A1084" s="38"/>
      <c r="B1084" s="38" t="s">
        <v>1096</v>
      </c>
      <c r="C1084" s="38">
        <v>2.0</v>
      </c>
      <c r="D1084" s="38" t="s">
        <v>2094</v>
      </c>
      <c r="E1084" s="38" t="s">
        <v>2680</v>
      </c>
      <c r="F1084" s="38" t="s">
        <v>2681</v>
      </c>
    </row>
    <row r="1085">
      <c r="A1085" s="38"/>
      <c r="B1085" s="38" t="s">
        <v>103</v>
      </c>
      <c r="C1085" s="38">
        <v>2.0</v>
      </c>
      <c r="D1085" s="38" t="s">
        <v>2094</v>
      </c>
      <c r="E1085" s="38" t="s">
        <v>413</v>
      </c>
      <c r="F1085" s="38" t="s">
        <v>2681</v>
      </c>
    </row>
    <row r="1086">
      <c r="A1086" s="4" t="s">
        <v>2682</v>
      </c>
      <c r="B1086" s="38" t="s">
        <v>107</v>
      </c>
      <c r="C1086" s="38">
        <v>4.0</v>
      </c>
      <c r="D1086" s="38" t="s">
        <v>2683</v>
      </c>
      <c r="E1086" s="38" t="s">
        <v>418</v>
      </c>
      <c r="F1086" s="38" t="s">
        <v>2663</v>
      </c>
      <c r="G1086" s="1">
        <v>1.3274626E7</v>
      </c>
      <c r="H1086" s="1" t="s">
        <v>784</v>
      </c>
    </row>
    <row r="1087">
      <c r="A1087" s="44"/>
      <c r="B1087" s="38" t="s">
        <v>333</v>
      </c>
      <c r="C1087" s="38">
        <v>4.0</v>
      </c>
      <c r="D1087" s="38" t="s">
        <v>2479</v>
      </c>
      <c r="E1087" s="38" t="s">
        <v>1017</v>
      </c>
      <c r="F1087" s="38" t="s">
        <v>2501</v>
      </c>
    </row>
    <row r="1088">
      <c r="A1088" s="38" t="s">
        <v>133</v>
      </c>
      <c r="B1088" s="38" t="s">
        <v>1317</v>
      </c>
      <c r="C1088" s="38">
        <v>4.0</v>
      </c>
      <c r="D1088" s="38" t="s">
        <v>672</v>
      </c>
      <c r="E1088" s="38" t="s">
        <v>2684</v>
      </c>
      <c r="F1088" s="44"/>
    </row>
    <row r="1089">
      <c r="B1089" s="38" t="s">
        <v>876</v>
      </c>
      <c r="C1089" s="38">
        <v>4.0</v>
      </c>
      <c r="D1089" s="38" t="s">
        <v>2021</v>
      </c>
      <c r="E1089" s="38" t="s">
        <v>2685</v>
      </c>
      <c r="F1089" s="44"/>
    </row>
    <row r="1090">
      <c r="B1090" s="38" t="s">
        <v>25</v>
      </c>
      <c r="C1090" s="38">
        <v>2.0</v>
      </c>
      <c r="D1090" s="38" t="s">
        <v>2686</v>
      </c>
      <c r="E1090" s="38" t="s">
        <v>337</v>
      </c>
      <c r="F1090" s="38" t="s">
        <v>2687</v>
      </c>
    </row>
    <row r="1091">
      <c r="B1091" s="47" t="s">
        <v>2688</v>
      </c>
      <c r="C1091" s="38">
        <v>4.0</v>
      </c>
      <c r="D1091" s="38" t="s">
        <v>2689</v>
      </c>
      <c r="E1091" s="38" t="s">
        <v>2690</v>
      </c>
      <c r="F1091" s="44"/>
    </row>
    <row r="1092">
      <c r="B1092" s="38" t="s">
        <v>28</v>
      </c>
      <c r="C1092" s="38">
        <v>4.0</v>
      </c>
      <c r="D1092" s="38" t="s">
        <v>2691</v>
      </c>
      <c r="E1092" s="47" t="s">
        <v>2692</v>
      </c>
      <c r="F1092" s="44"/>
    </row>
    <row r="1093">
      <c r="B1093" s="38"/>
      <c r="C1093" s="38"/>
      <c r="D1093" s="38" t="s">
        <v>2693</v>
      </c>
      <c r="E1093" s="47" t="s">
        <v>2692</v>
      </c>
      <c r="F1093" s="38"/>
    </row>
    <row r="1094">
      <c r="A1094" s="44"/>
      <c r="B1094" s="38" t="s">
        <v>219</v>
      </c>
      <c r="C1094" s="38">
        <v>4.0</v>
      </c>
      <c r="D1094" s="38" t="s">
        <v>2694</v>
      </c>
      <c r="E1094" s="38" t="s">
        <v>2695</v>
      </c>
      <c r="F1094" s="184" t="s">
        <v>2696</v>
      </c>
      <c r="G1094" s="38" t="s">
        <v>2697</v>
      </c>
    </row>
    <row r="1095">
      <c r="A1095" s="38" t="s">
        <v>133</v>
      </c>
      <c r="B1095" s="38" t="s">
        <v>2698</v>
      </c>
      <c r="C1095" s="38">
        <v>4.0</v>
      </c>
      <c r="D1095" s="38" t="s">
        <v>2160</v>
      </c>
      <c r="E1095" s="38" t="s">
        <v>2699</v>
      </c>
      <c r="F1095" s="38" t="s">
        <v>2700</v>
      </c>
    </row>
    <row r="1096">
      <c r="A1096" s="38" t="s">
        <v>133</v>
      </c>
      <c r="B1096" s="38" t="s">
        <v>58</v>
      </c>
      <c r="C1096" s="38">
        <v>4.0</v>
      </c>
      <c r="D1096" s="38" t="s">
        <v>2171</v>
      </c>
      <c r="E1096" s="38" t="s">
        <v>325</v>
      </c>
      <c r="F1096" s="38" t="s">
        <v>2701</v>
      </c>
    </row>
    <row r="1097">
      <c r="B1097" s="1" t="s">
        <v>22</v>
      </c>
      <c r="C1097" s="1">
        <v>2.0</v>
      </c>
      <c r="D1097" s="1" t="s">
        <v>1979</v>
      </c>
      <c r="E1097" s="1" t="s">
        <v>2702</v>
      </c>
      <c r="F1097" s="1" t="s">
        <v>2703</v>
      </c>
    </row>
    <row r="1098">
      <c r="A1098" s="44"/>
      <c r="B1098" s="38" t="s">
        <v>2159</v>
      </c>
      <c r="C1098" s="38">
        <v>2.0</v>
      </c>
      <c r="D1098" s="38" t="s">
        <v>1305</v>
      </c>
      <c r="E1098" s="38" t="s">
        <v>2386</v>
      </c>
      <c r="F1098" s="38" t="s">
        <v>2704</v>
      </c>
      <c r="G1098" s="38" t="s">
        <v>2136</v>
      </c>
    </row>
    <row r="1099">
      <c r="B1099" s="38" t="s">
        <v>219</v>
      </c>
      <c r="C1099" s="38">
        <v>4.0</v>
      </c>
      <c r="D1099" s="38" t="s">
        <v>2705</v>
      </c>
      <c r="E1099" s="38" t="s">
        <v>2706</v>
      </c>
      <c r="F1099" s="38" t="s">
        <v>2707</v>
      </c>
      <c r="G1099" s="38" t="s">
        <v>2708</v>
      </c>
    </row>
    <row r="1100">
      <c r="B1100" s="38"/>
      <c r="C1100" s="38"/>
      <c r="D1100" s="38"/>
      <c r="E1100" s="38" t="s">
        <v>2709</v>
      </c>
      <c r="F1100" s="38" t="s">
        <v>175</v>
      </c>
      <c r="G1100" s="38" t="s">
        <v>2708</v>
      </c>
    </row>
    <row r="1101">
      <c r="A1101" s="44"/>
      <c r="B1101" s="38" t="s">
        <v>25</v>
      </c>
      <c r="C1101" s="38">
        <v>4.0</v>
      </c>
      <c r="D1101" s="38" t="s">
        <v>27</v>
      </c>
      <c r="E1101" s="38" t="s">
        <v>2710</v>
      </c>
      <c r="F1101" s="38" t="s">
        <v>2711</v>
      </c>
    </row>
    <row r="1102">
      <c r="A1102" s="44"/>
      <c r="B1102" s="38" t="s">
        <v>210</v>
      </c>
      <c r="C1102" s="38">
        <v>2.0</v>
      </c>
      <c r="D1102" s="38" t="s">
        <v>2340</v>
      </c>
      <c r="E1102" s="38" t="s">
        <v>2712</v>
      </c>
      <c r="F1102" s="38" t="s">
        <v>2713</v>
      </c>
    </row>
    <row r="1103">
      <c r="A1103" s="44"/>
      <c r="B1103" s="38" t="s">
        <v>214</v>
      </c>
      <c r="C1103" s="38">
        <v>2.0</v>
      </c>
      <c r="D1103" s="38" t="s">
        <v>2340</v>
      </c>
      <c r="E1103" s="38" t="s">
        <v>2714</v>
      </c>
      <c r="F1103" s="38" t="s">
        <v>2713</v>
      </c>
    </row>
    <row r="1104">
      <c r="A1104" s="4" t="s">
        <v>2715</v>
      </c>
      <c r="B1104" s="38" t="s">
        <v>430</v>
      </c>
      <c r="C1104" s="38">
        <v>4.0</v>
      </c>
      <c r="D1104" s="38" t="s">
        <v>672</v>
      </c>
      <c r="E1104" s="38" t="s">
        <v>2716</v>
      </c>
      <c r="F1104" s="38" t="s">
        <v>2717</v>
      </c>
    </row>
    <row r="1105">
      <c r="B1105" s="38" t="s">
        <v>183</v>
      </c>
      <c r="C1105" s="38">
        <v>4.0</v>
      </c>
      <c r="D1105" s="38" t="s">
        <v>2718</v>
      </c>
      <c r="E1105" s="38" t="s">
        <v>2719</v>
      </c>
      <c r="F1105" s="38" t="s">
        <v>2720</v>
      </c>
      <c r="G1105" s="4"/>
    </row>
    <row r="1106">
      <c r="A1106" s="47" t="s">
        <v>2721</v>
      </c>
      <c r="B1106" s="5" t="s">
        <v>77</v>
      </c>
      <c r="C1106" s="5">
        <v>4.0</v>
      </c>
      <c r="D1106" s="5" t="s">
        <v>2234</v>
      </c>
      <c r="E1106" s="5" t="s">
        <v>2722</v>
      </c>
      <c r="F1106" s="38" t="s">
        <v>2723</v>
      </c>
    </row>
    <row r="1107">
      <c r="B1107" s="44"/>
      <c r="C1107" s="38" t="s">
        <v>1775</v>
      </c>
      <c r="D1107" s="38" t="s">
        <v>2724</v>
      </c>
      <c r="E1107" s="38" t="s">
        <v>2725</v>
      </c>
      <c r="F1107" s="44"/>
    </row>
    <row r="1108">
      <c r="A1108" s="4" t="s">
        <v>2726</v>
      </c>
      <c r="B1108" s="38" t="s">
        <v>439</v>
      </c>
      <c r="C1108" s="38">
        <v>4.0</v>
      </c>
      <c r="D1108" s="38" t="s">
        <v>2727</v>
      </c>
      <c r="E1108" s="38" t="s">
        <v>418</v>
      </c>
      <c r="F1108" s="38" t="s">
        <v>2663</v>
      </c>
      <c r="G1108" s="1">
        <v>1.4098818E7</v>
      </c>
      <c r="H1108" s="1" t="s">
        <v>784</v>
      </c>
    </row>
    <row r="1109">
      <c r="B1109" s="38" t="s">
        <v>2728</v>
      </c>
      <c r="C1109" s="47">
        <v>4.0</v>
      </c>
      <c r="D1109" s="47" t="s">
        <v>1979</v>
      </c>
      <c r="E1109" s="47" t="s">
        <v>2596</v>
      </c>
      <c r="F1109" s="38" t="s">
        <v>2729</v>
      </c>
    </row>
    <row r="1110">
      <c r="A1110" s="44"/>
      <c r="B1110" s="38" t="s">
        <v>2730</v>
      </c>
      <c r="C1110" s="38">
        <v>1.0</v>
      </c>
      <c r="D1110" s="38" t="s">
        <v>2731</v>
      </c>
      <c r="E1110" s="38" t="s">
        <v>1814</v>
      </c>
      <c r="F1110" s="38" t="s">
        <v>2569</v>
      </c>
    </row>
    <row r="1111">
      <c r="A1111" s="44"/>
      <c r="B1111" s="38" t="s">
        <v>949</v>
      </c>
      <c r="C1111" s="38">
        <v>4.0</v>
      </c>
      <c r="D1111" s="38" t="s">
        <v>2731</v>
      </c>
      <c r="E1111" s="38" t="s">
        <v>2732</v>
      </c>
      <c r="F1111" s="38" t="s">
        <v>2569</v>
      </c>
    </row>
    <row r="1112">
      <c r="A1112" s="44"/>
      <c r="B1112" s="38" t="s">
        <v>2276</v>
      </c>
      <c r="C1112" s="38">
        <v>4.0</v>
      </c>
      <c r="D1112" s="38" t="s">
        <v>2340</v>
      </c>
      <c r="E1112" s="38" t="s">
        <v>2733</v>
      </c>
      <c r="F1112" s="38" t="s">
        <v>2734</v>
      </c>
    </row>
    <row r="1113">
      <c r="B1113" s="38" t="s">
        <v>982</v>
      </c>
      <c r="C1113" s="38">
        <v>4.0</v>
      </c>
      <c r="D1113" s="38" t="s">
        <v>2735</v>
      </c>
      <c r="E1113" s="38" t="s">
        <v>1928</v>
      </c>
      <c r="F1113" s="38" t="s">
        <v>2736</v>
      </c>
      <c r="G1113" s="38" t="s">
        <v>2737</v>
      </c>
    </row>
    <row r="1114">
      <c r="B1114" s="38"/>
      <c r="C1114" s="38"/>
      <c r="D1114" s="38"/>
      <c r="E1114" s="38" t="s">
        <v>1928</v>
      </c>
      <c r="F1114" s="38" t="s">
        <v>2738</v>
      </c>
      <c r="G1114" s="38" t="s">
        <v>2737</v>
      </c>
    </row>
    <row r="1115">
      <c r="A1115" s="1" t="s">
        <v>133</v>
      </c>
      <c r="B1115" s="38" t="s">
        <v>876</v>
      </c>
      <c r="C1115" s="38">
        <v>4.0</v>
      </c>
      <c r="D1115" s="38" t="s">
        <v>2171</v>
      </c>
      <c r="E1115" s="38" t="s">
        <v>2739</v>
      </c>
      <c r="F1115" s="38" t="s">
        <v>2740</v>
      </c>
    </row>
    <row r="1116">
      <c r="A1116" s="1" t="s">
        <v>133</v>
      </c>
      <c r="B1116" s="38" t="s">
        <v>88</v>
      </c>
      <c r="C1116" s="38">
        <v>2.0</v>
      </c>
      <c r="D1116" s="38" t="s">
        <v>672</v>
      </c>
      <c r="E1116" s="38" t="s">
        <v>2741</v>
      </c>
      <c r="F1116" s="38" t="s">
        <v>2462</v>
      </c>
    </row>
    <row r="1117">
      <c r="B1117" s="38" t="s">
        <v>333</v>
      </c>
      <c r="C1117" s="38">
        <v>2.0</v>
      </c>
      <c r="D1117" s="38" t="s">
        <v>672</v>
      </c>
      <c r="E1117" s="38" t="s">
        <v>2742</v>
      </c>
      <c r="F1117" s="38" t="s">
        <v>2462</v>
      </c>
    </row>
    <row r="1118">
      <c r="A1118" s="38" t="s">
        <v>2743</v>
      </c>
      <c r="B1118" s="38" t="s">
        <v>549</v>
      </c>
      <c r="C1118" s="38">
        <v>4.0</v>
      </c>
      <c r="D1118" s="38" t="s">
        <v>2061</v>
      </c>
      <c r="E1118" s="38" t="s">
        <v>1401</v>
      </c>
      <c r="F1118" s="38" t="s">
        <v>2744</v>
      </c>
    </row>
    <row r="1119">
      <c r="B1119" s="38" t="s">
        <v>205</v>
      </c>
      <c r="C1119" s="38">
        <v>2.0</v>
      </c>
      <c r="D1119" s="38" t="s">
        <v>433</v>
      </c>
      <c r="E1119" s="39" t="s">
        <v>2745</v>
      </c>
      <c r="F1119" s="38" t="s">
        <v>2746</v>
      </c>
    </row>
    <row r="1120">
      <c r="B1120" s="38" t="s">
        <v>52</v>
      </c>
      <c r="C1120" s="38">
        <v>4.0</v>
      </c>
      <c r="D1120" s="38" t="s">
        <v>2340</v>
      </c>
      <c r="E1120" s="38" t="s">
        <v>2498</v>
      </c>
      <c r="F1120" s="38" t="s">
        <v>2747</v>
      </c>
    </row>
    <row r="1121">
      <c r="A1121" s="1"/>
      <c r="B1121" s="1"/>
      <c r="C1121" s="1"/>
      <c r="D1121" s="1"/>
      <c r="E1121" s="1" t="s">
        <v>2498</v>
      </c>
      <c r="F1121" s="1" t="s">
        <v>2748</v>
      </c>
      <c r="G1121" s="1"/>
      <c r="H1121" s="1"/>
    </row>
    <row r="1122">
      <c r="B1122" s="38" t="s">
        <v>354</v>
      </c>
      <c r="C1122" s="38">
        <v>2.0</v>
      </c>
      <c r="D1122" s="38" t="s">
        <v>2421</v>
      </c>
      <c r="E1122" s="38" t="s">
        <v>2749</v>
      </c>
      <c r="F1122" s="38" t="s">
        <v>2750</v>
      </c>
    </row>
    <row r="1123">
      <c r="B1123" s="38" t="s">
        <v>479</v>
      </c>
      <c r="C1123" s="38">
        <v>2.0</v>
      </c>
      <c r="D1123" s="38" t="s">
        <v>2421</v>
      </c>
      <c r="E1123" s="38" t="s">
        <v>2751</v>
      </c>
      <c r="F1123" s="38" t="s">
        <v>2750</v>
      </c>
    </row>
    <row r="1124">
      <c r="B1124" s="38" t="s">
        <v>25</v>
      </c>
      <c r="C1124" s="38">
        <v>4.0</v>
      </c>
      <c r="D1124" s="38" t="s">
        <v>291</v>
      </c>
      <c r="E1124" s="38" t="s">
        <v>337</v>
      </c>
      <c r="F1124" s="38" t="s">
        <v>2687</v>
      </c>
    </row>
    <row r="1125">
      <c r="B1125" s="1" t="s">
        <v>2752</v>
      </c>
      <c r="E1125" s="1" t="s">
        <v>2753</v>
      </c>
    </row>
    <row r="1126">
      <c r="B1126" s="1"/>
      <c r="D1126" s="1" t="s">
        <v>2754</v>
      </c>
      <c r="E1126" s="1" t="s">
        <v>974</v>
      </c>
    </row>
    <row r="1127">
      <c r="B1127" s="38"/>
      <c r="C1127" s="44"/>
      <c r="D1127" s="38" t="s">
        <v>2755</v>
      </c>
      <c r="E1127" s="38" t="s">
        <v>974</v>
      </c>
      <c r="F1127" s="38" t="s">
        <v>2756</v>
      </c>
    </row>
    <row r="1128">
      <c r="A1128" s="1" t="s">
        <v>133</v>
      </c>
      <c r="B1128" s="38" t="s">
        <v>128</v>
      </c>
      <c r="C1128" s="38">
        <v>4.0</v>
      </c>
      <c r="D1128" s="38" t="s">
        <v>2032</v>
      </c>
      <c r="E1128" s="38" t="s">
        <v>2757</v>
      </c>
      <c r="F1128" s="38" t="s">
        <v>2758</v>
      </c>
    </row>
    <row r="1129">
      <c r="B1129" s="38" t="s">
        <v>219</v>
      </c>
      <c r="C1129" s="38">
        <v>4.0</v>
      </c>
      <c r="D1129" s="38" t="s">
        <v>2705</v>
      </c>
      <c r="E1129" s="38" t="s">
        <v>337</v>
      </c>
      <c r="F1129" s="38" t="s">
        <v>2687</v>
      </c>
    </row>
    <row r="1130">
      <c r="B1130" s="38" t="s">
        <v>2521</v>
      </c>
      <c r="C1130" s="38">
        <v>4.0</v>
      </c>
      <c r="D1130" s="38" t="s">
        <v>2759</v>
      </c>
      <c r="E1130" s="38" t="s">
        <v>2760</v>
      </c>
      <c r="F1130" s="38" t="s">
        <v>2761</v>
      </c>
    </row>
    <row r="1131">
      <c r="A1131" s="1" t="s">
        <v>133</v>
      </c>
      <c r="B1131" s="38" t="s">
        <v>718</v>
      </c>
      <c r="C1131" s="38">
        <v>4.0</v>
      </c>
      <c r="D1131" s="38" t="s">
        <v>672</v>
      </c>
      <c r="E1131" s="38" t="s">
        <v>2762</v>
      </c>
      <c r="F1131" s="38" t="s">
        <v>2763</v>
      </c>
    </row>
    <row r="1132">
      <c r="A1132" s="1" t="s">
        <v>133</v>
      </c>
      <c r="B1132" s="38" t="s">
        <v>718</v>
      </c>
      <c r="C1132" s="38">
        <v>4.0</v>
      </c>
      <c r="D1132" s="38" t="s">
        <v>672</v>
      </c>
      <c r="E1132" s="38" t="s">
        <v>450</v>
      </c>
      <c r="F1132" s="38" t="s">
        <v>2764</v>
      </c>
    </row>
    <row r="1133">
      <c r="A1133" s="44"/>
      <c r="B1133" s="38" t="s">
        <v>1162</v>
      </c>
      <c r="C1133" s="38">
        <v>4.0</v>
      </c>
      <c r="D1133" s="38" t="s">
        <v>408</v>
      </c>
      <c r="E1133" s="38" t="s">
        <v>2757</v>
      </c>
      <c r="F1133" s="38" t="s">
        <v>2765</v>
      </c>
    </row>
    <row r="1134">
      <c r="A1134" s="44"/>
      <c r="B1134" s="38" t="s">
        <v>25</v>
      </c>
      <c r="C1134" s="38">
        <v>4.0</v>
      </c>
      <c r="D1134" s="38" t="s">
        <v>291</v>
      </c>
      <c r="E1134" s="38" t="s">
        <v>2766</v>
      </c>
      <c r="F1134" s="38" t="s">
        <v>2136</v>
      </c>
    </row>
    <row r="1135">
      <c r="A1135" s="38" t="s">
        <v>133</v>
      </c>
      <c r="B1135" s="38" t="s">
        <v>1327</v>
      </c>
      <c r="C1135" s="38">
        <v>4.0</v>
      </c>
      <c r="D1135" s="38" t="s">
        <v>684</v>
      </c>
      <c r="E1135" s="38" t="s">
        <v>2767</v>
      </c>
      <c r="F1135" s="38" t="s">
        <v>2768</v>
      </c>
    </row>
    <row r="1136">
      <c r="B1136" s="38" t="s">
        <v>166</v>
      </c>
      <c r="C1136" s="38">
        <v>2.0</v>
      </c>
      <c r="D1136" s="38" t="s">
        <v>2593</v>
      </c>
      <c r="E1136" s="38" t="s">
        <v>2769</v>
      </c>
      <c r="F1136" s="38" t="s">
        <v>2770</v>
      </c>
    </row>
    <row r="1137">
      <c r="B1137" s="38" t="s">
        <v>170</v>
      </c>
      <c r="C1137" s="38">
        <v>2.0</v>
      </c>
      <c r="D1137" s="38" t="s">
        <v>2593</v>
      </c>
      <c r="E1137" s="38" t="s">
        <v>2771</v>
      </c>
      <c r="F1137" s="38" t="s">
        <v>2770</v>
      </c>
    </row>
    <row r="1138">
      <c r="A1138" s="38" t="s">
        <v>2772</v>
      </c>
      <c r="B1138" s="38" t="s">
        <v>219</v>
      </c>
      <c r="C1138" s="38">
        <v>4.0</v>
      </c>
      <c r="D1138" s="38" t="s">
        <v>2651</v>
      </c>
      <c r="E1138" s="38" t="s">
        <v>1401</v>
      </c>
      <c r="F1138" s="38" t="s">
        <v>2773</v>
      </c>
    </row>
    <row r="1139">
      <c r="A1139" s="38" t="s">
        <v>2772</v>
      </c>
      <c r="B1139" s="38" t="s">
        <v>2774</v>
      </c>
      <c r="C1139" s="38">
        <v>4.0</v>
      </c>
      <c r="D1139" s="38" t="s">
        <v>2775</v>
      </c>
      <c r="E1139" s="38" t="s">
        <v>1401</v>
      </c>
      <c r="F1139" s="38" t="s">
        <v>2773</v>
      </c>
    </row>
    <row r="1140">
      <c r="A1140" s="38" t="s">
        <v>2772</v>
      </c>
      <c r="B1140" s="38" t="s">
        <v>2776</v>
      </c>
      <c r="C1140" s="38">
        <v>8.0</v>
      </c>
      <c r="D1140" s="38" t="s">
        <v>2777</v>
      </c>
      <c r="E1140" s="38" t="s">
        <v>1401</v>
      </c>
      <c r="F1140" s="38" t="s">
        <v>2773</v>
      </c>
    </row>
    <row r="1141">
      <c r="A1141" s="38" t="s">
        <v>2772</v>
      </c>
      <c r="B1141" s="38" t="s">
        <v>549</v>
      </c>
      <c r="C1141" s="38">
        <v>4.0</v>
      </c>
      <c r="D1141" s="38" t="s">
        <v>2778</v>
      </c>
      <c r="E1141" s="38" t="s">
        <v>1401</v>
      </c>
      <c r="F1141" s="38" t="s">
        <v>2773</v>
      </c>
    </row>
    <row r="1142">
      <c r="A1142" s="38" t="s">
        <v>2772</v>
      </c>
      <c r="B1142" s="38" t="s">
        <v>2329</v>
      </c>
      <c r="C1142" s="38">
        <v>2.0</v>
      </c>
      <c r="D1142" s="38" t="s">
        <v>2779</v>
      </c>
      <c r="E1142" s="38" t="s">
        <v>1401</v>
      </c>
      <c r="F1142" s="38" t="s">
        <v>2773</v>
      </c>
    </row>
    <row r="1143">
      <c r="A1143" s="38" t="s">
        <v>2772</v>
      </c>
      <c r="B1143" s="38" t="s">
        <v>22</v>
      </c>
      <c r="C1143" s="38">
        <v>4.0</v>
      </c>
      <c r="D1143" s="38" t="s">
        <v>1237</v>
      </c>
      <c r="E1143" s="38" t="s">
        <v>1401</v>
      </c>
      <c r="F1143" s="38" t="s">
        <v>2773</v>
      </c>
    </row>
    <row r="1144">
      <c r="A1144" s="38" t="s">
        <v>2780</v>
      </c>
      <c r="B1144" s="38" t="s">
        <v>549</v>
      </c>
      <c r="C1144" s="38">
        <v>2.0</v>
      </c>
      <c r="D1144" s="38" t="s">
        <v>2061</v>
      </c>
      <c r="E1144" s="38" t="s">
        <v>1401</v>
      </c>
      <c r="F1144" s="38" t="s">
        <v>2781</v>
      </c>
    </row>
    <row r="1145">
      <c r="B1145" s="38" t="s">
        <v>122</v>
      </c>
      <c r="C1145" s="38">
        <v>4.0</v>
      </c>
      <c r="D1145" s="38" t="s">
        <v>2039</v>
      </c>
      <c r="E1145" s="38" t="s">
        <v>2782</v>
      </c>
      <c r="F1145" s="38" t="s">
        <v>2783</v>
      </c>
    </row>
    <row r="1146">
      <c r="A1146" s="5">
        <v>201671.0</v>
      </c>
      <c r="B1146" s="38" t="s">
        <v>88</v>
      </c>
      <c r="C1146" s="38">
        <v>4.0</v>
      </c>
      <c r="D1146" s="38" t="s">
        <v>672</v>
      </c>
      <c r="E1146" s="38" t="s">
        <v>2784</v>
      </c>
      <c r="F1146" s="38" t="s">
        <v>2252</v>
      </c>
    </row>
    <row r="1147">
      <c r="A1147" s="38" t="s">
        <v>2564</v>
      </c>
      <c r="B1147" s="38" t="s">
        <v>354</v>
      </c>
      <c r="C1147" s="38">
        <v>4.0</v>
      </c>
      <c r="D1147" s="38" t="s">
        <v>672</v>
      </c>
      <c r="E1147" s="38" t="s">
        <v>2785</v>
      </c>
      <c r="F1147" s="38" t="s">
        <v>2786</v>
      </c>
      <c r="G1147" s="44"/>
    </row>
    <row r="1148">
      <c r="B1148" s="38" t="s">
        <v>271</v>
      </c>
      <c r="C1148" s="38">
        <v>4.0</v>
      </c>
      <c r="D1148" s="38" t="s">
        <v>291</v>
      </c>
      <c r="E1148" s="38" t="s">
        <v>2787</v>
      </c>
      <c r="F1148" s="38" t="s">
        <v>2788</v>
      </c>
    </row>
    <row r="1149">
      <c r="A1149" s="38" t="s">
        <v>2564</v>
      </c>
      <c r="B1149" s="38" t="s">
        <v>214</v>
      </c>
      <c r="C1149" s="38">
        <v>2.0</v>
      </c>
      <c r="D1149" s="38" t="s">
        <v>672</v>
      </c>
      <c r="E1149" s="38" t="s">
        <v>2256</v>
      </c>
      <c r="F1149" s="38" t="s">
        <v>2789</v>
      </c>
    </row>
    <row r="1150">
      <c r="A1150" s="38" t="s">
        <v>2564</v>
      </c>
      <c r="B1150" s="38" t="s">
        <v>210</v>
      </c>
      <c r="C1150" s="38">
        <v>2.0</v>
      </c>
      <c r="D1150" s="38" t="s">
        <v>672</v>
      </c>
      <c r="E1150" s="38" t="s">
        <v>2256</v>
      </c>
      <c r="F1150" s="38" t="s">
        <v>2789</v>
      </c>
    </row>
    <row r="1151">
      <c r="A1151" s="38" t="s">
        <v>2564</v>
      </c>
      <c r="B1151" s="38" t="s">
        <v>2108</v>
      </c>
      <c r="C1151" s="38">
        <v>4.0</v>
      </c>
      <c r="D1151" s="38" t="s">
        <v>672</v>
      </c>
      <c r="E1151" s="38" t="s">
        <v>2790</v>
      </c>
      <c r="F1151" s="38" t="s">
        <v>2791</v>
      </c>
    </row>
    <row r="1152">
      <c r="B1152" s="38" t="s">
        <v>22</v>
      </c>
      <c r="C1152" s="38">
        <v>2.0</v>
      </c>
      <c r="D1152" s="38" t="s">
        <v>2792</v>
      </c>
      <c r="E1152" s="38" t="s">
        <v>2793</v>
      </c>
      <c r="F1152" s="38" t="s">
        <v>2734</v>
      </c>
    </row>
    <row r="1153">
      <c r="B1153" s="38" t="s">
        <v>25</v>
      </c>
      <c r="C1153" s="38">
        <v>4.0</v>
      </c>
      <c r="D1153" s="38" t="s">
        <v>291</v>
      </c>
      <c r="E1153" s="38" t="s">
        <v>2794</v>
      </c>
      <c r="F1153" s="38" t="s">
        <v>2734</v>
      </c>
    </row>
    <row r="1154">
      <c r="B1154" s="38" t="s">
        <v>261</v>
      </c>
      <c r="C1154" s="38">
        <v>4.0</v>
      </c>
      <c r="D1154" s="38" t="s">
        <v>2795</v>
      </c>
      <c r="E1154" s="38" t="s">
        <v>2796</v>
      </c>
      <c r="F1154" s="38" t="s">
        <v>2797</v>
      </c>
    </row>
    <row r="1155">
      <c r="A1155" s="44"/>
      <c r="B1155" s="38" t="s">
        <v>2798</v>
      </c>
      <c r="C1155" s="38">
        <v>2.0</v>
      </c>
      <c r="D1155" s="38" t="s">
        <v>412</v>
      </c>
      <c r="E1155" s="38" t="s">
        <v>2799</v>
      </c>
      <c r="F1155" s="44"/>
    </row>
    <row r="1156">
      <c r="A1156" s="38" t="s">
        <v>2564</v>
      </c>
      <c r="B1156" s="38" t="s">
        <v>2159</v>
      </c>
      <c r="C1156" s="38">
        <v>8.0</v>
      </c>
      <c r="D1156" s="38" t="s">
        <v>2160</v>
      </c>
      <c r="E1156" s="38" t="s">
        <v>1873</v>
      </c>
      <c r="F1156" s="38" t="s">
        <v>2800</v>
      </c>
    </row>
    <row r="1157">
      <c r="A1157" s="38" t="s">
        <v>997</v>
      </c>
      <c r="B1157" s="38" t="s">
        <v>271</v>
      </c>
      <c r="C1157" s="38">
        <v>4.0</v>
      </c>
      <c r="D1157" s="38" t="s">
        <v>672</v>
      </c>
      <c r="E1157" s="38" t="s">
        <v>2801</v>
      </c>
      <c r="F1157" s="44"/>
    </row>
    <row r="1158">
      <c r="B1158" s="38" t="s">
        <v>755</v>
      </c>
      <c r="C1158" s="38">
        <v>4.0</v>
      </c>
      <c r="D1158" s="38" t="s">
        <v>2421</v>
      </c>
      <c r="E1158" s="38" t="s">
        <v>2802</v>
      </c>
      <c r="F1158" s="38" t="s">
        <v>2803</v>
      </c>
    </row>
    <row r="1159">
      <c r="A1159" s="38" t="s">
        <v>997</v>
      </c>
      <c r="B1159" s="38" t="s">
        <v>354</v>
      </c>
      <c r="C1159" s="38">
        <v>2.0</v>
      </c>
      <c r="D1159" s="38" t="s">
        <v>2032</v>
      </c>
      <c r="E1159" s="38" t="s">
        <v>2804</v>
      </c>
      <c r="F1159" s="38" t="s">
        <v>2805</v>
      </c>
    </row>
    <row r="1160">
      <c r="A1160" s="38" t="s">
        <v>997</v>
      </c>
      <c r="B1160" s="38" t="s">
        <v>479</v>
      </c>
      <c r="C1160" s="38">
        <v>2.0</v>
      </c>
      <c r="D1160" s="38" t="s">
        <v>2032</v>
      </c>
      <c r="E1160" s="38" t="s">
        <v>2804</v>
      </c>
      <c r="F1160" s="38" t="s">
        <v>2805</v>
      </c>
    </row>
    <row r="1161">
      <c r="B1161" s="38" t="s">
        <v>122</v>
      </c>
      <c r="C1161" s="38">
        <v>4.0</v>
      </c>
      <c r="D1161" s="38" t="s">
        <v>2806</v>
      </c>
      <c r="E1161" s="38" t="s">
        <v>2807</v>
      </c>
      <c r="F1161" s="38" t="s">
        <v>2808</v>
      </c>
    </row>
    <row r="1162">
      <c r="B1162" s="38" t="s">
        <v>22</v>
      </c>
      <c r="C1162" s="38">
        <v>2.0</v>
      </c>
      <c r="D1162" s="38" t="s">
        <v>2473</v>
      </c>
      <c r="E1162" s="38" t="s">
        <v>138</v>
      </c>
      <c r="F1162" s="38" t="s">
        <v>2809</v>
      </c>
    </row>
    <row r="1163">
      <c r="A1163" s="138"/>
      <c r="B1163" s="138" t="s">
        <v>2810</v>
      </c>
      <c r="C1163" s="138" t="s">
        <v>1188</v>
      </c>
      <c r="D1163" s="131" t="s">
        <v>2811</v>
      </c>
      <c r="E1163" s="138" t="s">
        <v>1190</v>
      </c>
      <c r="F1163" s="131" t="s">
        <v>1252</v>
      </c>
      <c r="G1163" s="131" t="s">
        <v>2453</v>
      </c>
    </row>
    <row r="1164">
      <c r="A1164" s="193">
        <v>45974.0</v>
      </c>
      <c r="B1164" s="138" t="s">
        <v>2812</v>
      </c>
      <c r="C1164" s="138" t="s">
        <v>2813</v>
      </c>
      <c r="D1164" s="138" t="s">
        <v>1191</v>
      </c>
      <c r="E1164" s="138" t="s">
        <v>1190</v>
      </c>
      <c r="F1164" s="130"/>
      <c r="G1164" s="131" t="s">
        <v>2453</v>
      </c>
    </row>
    <row r="1165">
      <c r="B1165" s="38" t="s">
        <v>170</v>
      </c>
      <c r="C1165" s="38">
        <v>2.0</v>
      </c>
      <c r="D1165" s="38" t="s">
        <v>2814</v>
      </c>
      <c r="E1165" s="38" t="s">
        <v>2815</v>
      </c>
      <c r="F1165" s="38" t="s">
        <v>2816</v>
      </c>
    </row>
    <row r="1166">
      <c r="B1166" s="38" t="s">
        <v>949</v>
      </c>
      <c r="C1166" s="38">
        <v>4.0</v>
      </c>
      <c r="D1166" s="38" t="s">
        <v>2817</v>
      </c>
      <c r="E1166" s="194" t="s">
        <v>2818</v>
      </c>
      <c r="F1166" s="38" t="s">
        <v>2819</v>
      </c>
    </row>
    <row r="1167">
      <c r="A1167" s="8"/>
      <c r="B1167" s="38" t="s">
        <v>464</v>
      </c>
      <c r="C1167" s="38">
        <v>2.0</v>
      </c>
      <c r="D1167" s="38" t="s">
        <v>2421</v>
      </c>
      <c r="E1167" s="38" t="s">
        <v>2820</v>
      </c>
      <c r="F1167" s="38" t="s">
        <v>2821</v>
      </c>
    </row>
    <row r="1168">
      <c r="A1168" s="8"/>
      <c r="B1168" s="38" t="s">
        <v>460</v>
      </c>
      <c r="C1168" s="38">
        <v>2.0</v>
      </c>
      <c r="D1168" s="38" t="s">
        <v>2421</v>
      </c>
      <c r="E1168" s="38" t="s">
        <v>2820</v>
      </c>
      <c r="F1168" s="38" t="s">
        <v>2821</v>
      </c>
    </row>
    <row r="1169">
      <c r="B1169" s="38" t="s">
        <v>58</v>
      </c>
      <c r="C1169" s="38">
        <v>4.0</v>
      </c>
      <c r="D1169" s="38" t="s">
        <v>2479</v>
      </c>
      <c r="E1169" s="38" t="s">
        <v>2822</v>
      </c>
      <c r="F1169" s="44"/>
    </row>
    <row r="1170">
      <c r="A1170" s="5" t="s">
        <v>133</v>
      </c>
      <c r="B1170" s="38" t="s">
        <v>219</v>
      </c>
      <c r="C1170" s="38">
        <v>4.0</v>
      </c>
      <c r="D1170" s="38" t="s">
        <v>2489</v>
      </c>
      <c r="E1170" s="38" t="s">
        <v>2823</v>
      </c>
      <c r="F1170" s="44"/>
    </row>
    <row r="1171">
      <c r="A1171" s="5" t="s">
        <v>133</v>
      </c>
      <c r="B1171" s="38" t="s">
        <v>41</v>
      </c>
      <c r="C1171" s="38">
        <v>4.0</v>
      </c>
      <c r="D1171" s="38" t="s">
        <v>50</v>
      </c>
      <c r="E1171" s="38" t="s">
        <v>2824</v>
      </c>
      <c r="F1171" s="38" t="s">
        <v>2825</v>
      </c>
    </row>
    <row r="1172">
      <c r="A1172" s="44"/>
      <c r="B1172" s="38" t="s">
        <v>394</v>
      </c>
      <c r="C1172" s="38">
        <v>2.0</v>
      </c>
      <c r="D1172" s="38" t="s">
        <v>395</v>
      </c>
      <c r="E1172" s="38" t="s">
        <v>396</v>
      </c>
      <c r="F1172" s="38" t="s">
        <v>2826</v>
      </c>
      <c r="I1172" s="4"/>
    </row>
    <row r="1173">
      <c r="B1173" s="38" t="s">
        <v>43</v>
      </c>
      <c r="C1173" s="38">
        <v>2.0</v>
      </c>
      <c r="D1173" s="38" t="s">
        <v>2827</v>
      </c>
      <c r="E1173" s="38" t="s">
        <v>2828</v>
      </c>
      <c r="F1173" s="38" t="s">
        <v>2829</v>
      </c>
      <c r="I1173" s="4"/>
      <c r="J1173" s="4"/>
      <c r="K1173" s="4"/>
    </row>
    <row r="1174">
      <c r="B1174" s="38" t="s">
        <v>47</v>
      </c>
      <c r="C1174" s="38">
        <v>2.0</v>
      </c>
      <c r="D1174" s="38" t="s">
        <v>2827</v>
      </c>
      <c r="E1174" s="38" t="s">
        <v>2830</v>
      </c>
      <c r="F1174" s="38" t="s">
        <v>2829</v>
      </c>
      <c r="K1174" s="4"/>
    </row>
    <row r="1175">
      <c r="B1175" s="38" t="s">
        <v>25</v>
      </c>
      <c r="C1175" s="38">
        <v>4.0</v>
      </c>
      <c r="D1175" s="38" t="s">
        <v>2831</v>
      </c>
      <c r="E1175" s="38" t="s">
        <v>2832</v>
      </c>
      <c r="F1175" s="38" t="s">
        <v>2833</v>
      </c>
      <c r="G1175" s="38" t="s">
        <v>2834</v>
      </c>
    </row>
    <row r="1176">
      <c r="B1176" s="38" t="s">
        <v>2835</v>
      </c>
      <c r="C1176" s="38">
        <v>2.0</v>
      </c>
      <c r="D1176" s="38" t="s">
        <v>2836</v>
      </c>
      <c r="E1176" s="38" t="s">
        <v>2832</v>
      </c>
      <c r="F1176" s="38" t="s">
        <v>773</v>
      </c>
      <c r="G1176" s="38" t="s">
        <v>2834</v>
      </c>
    </row>
    <row r="1177">
      <c r="B1177" s="38"/>
      <c r="C1177" s="38" t="s">
        <v>2837</v>
      </c>
      <c r="D1177" s="38" t="s">
        <v>2838</v>
      </c>
      <c r="E1177" s="38" t="s">
        <v>2832</v>
      </c>
      <c r="F1177" s="38" t="s">
        <v>2839</v>
      </c>
      <c r="G1177" s="38" t="s">
        <v>2834</v>
      </c>
    </row>
    <row r="1178">
      <c r="B1178" s="38" t="s">
        <v>2840</v>
      </c>
      <c r="C1178" s="44"/>
      <c r="D1178" s="44"/>
      <c r="E1178" s="38" t="s">
        <v>2841</v>
      </c>
      <c r="F1178" s="38" t="s">
        <v>2842</v>
      </c>
    </row>
    <row r="1179">
      <c r="B1179" s="1" t="s">
        <v>2843</v>
      </c>
      <c r="E1179" s="1" t="s">
        <v>2844</v>
      </c>
    </row>
    <row r="1180">
      <c r="B1180" s="47" t="s">
        <v>527</v>
      </c>
      <c r="C1180" s="38" t="s">
        <v>2845</v>
      </c>
      <c r="D1180" s="22" t="s">
        <v>2846</v>
      </c>
      <c r="E1180" s="1" t="s">
        <v>2841</v>
      </c>
      <c r="F1180" s="38" t="s">
        <v>2842</v>
      </c>
    </row>
    <row r="1181">
      <c r="B1181" s="47" t="s">
        <v>532</v>
      </c>
      <c r="C1181" s="38" t="s">
        <v>2847</v>
      </c>
      <c r="E1181" s="1" t="s">
        <v>2841</v>
      </c>
      <c r="F1181" s="38" t="s">
        <v>2842</v>
      </c>
    </row>
    <row r="1182">
      <c r="B1182" s="38"/>
      <c r="C1182" s="38"/>
      <c r="D1182" s="38" t="s">
        <v>2848</v>
      </c>
      <c r="E1182" s="38" t="s">
        <v>1017</v>
      </c>
      <c r="F1182" s="38" t="s">
        <v>2849</v>
      </c>
    </row>
    <row r="1183">
      <c r="B1183" s="38" t="s">
        <v>63</v>
      </c>
      <c r="C1183" s="38">
        <v>4.0</v>
      </c>
      <c r="D1183" s="38" t="s">
        <v>2691</v>
      </c>
      <c r="E1183" s="38" t="s">
        <v>1017</v>
      </c>
      <c r="F1183" s="38" t="s">
        <v>2849</v>
      </c>
    </row>
    <row r="1184">
      <c r="B1184" s="195" t="s">
        <v>2850</v>
      </c>
      <c r="C1184" s="4" t="s">
        <v>2851</v>
      </c>
      <c r="D1184" s="4" t="s">
        <v>2852</v>
      </c>
      <c r="E1184" s="196" t="s">
        <v>2853</v>
      </c>
      <c r="F1184" s="1" t="s">
        <v>2854</v>
      </c>
      <c r="H1184" s="197" t="s">
        <v>2855</v>
      </c>
      <c r="I1184" s="1" t="s">
        <v>750</v>
      </c>
      <c r="J1184" s="1" t="s">
        <v>2856</v>
      </c>
      <c r="K1184" s="1" t="s">
        <v>2857</v>
      </c>
      <c r="L1184" s="1" t="s">
        <v>2858</v>
      </c>
      <c r="M1184" s="196"/>
    </row>
    <row r="1185">
      <c r="B1185" s="195" t="s">
        <v>2859</v>
      </c>
      <c r="C1185" s="4" t="s">
        <v>2860</v>
      </c>
      <c r="D1185" s="185"/>
      <c r="E1185" s="196" t="s">
        <v>2861</v>
      </c>
      <c r="H1185" s="64" t="s">
        <v>2862</v>
      </c>
      <c r="I1185" s="1" t="s">
        <v>2863</v>
      </c>
      <c r="J1185" s="1" t="s">
        <v>2864</v>
      </c>
      <c r="K1185" s="1" t="s">
        <v>2857</v>
      </c>
      <c r="L1185" s="1" t="s">
        <v>2865</v>
      </c>
      <c r="M1185" s="196"/>
    </row>
    <row r="1186">
      <c r="A1186" s="5" t="s">
        <v>133</v>
      </c>
      <c r="B1186" s="38" t="s">
        <v>333</v>
      </c>
      <c r="C1186" s="38">
        <v>4.0</v>
      </c>
      <c r="D1186" s="38" t="s">
        <v>2866</v>
      </c>
      <c r="E1186" s="38" t="s">
        <v>2867</v>
      </c>
      <c r="F1186" s="38" t="s">
        <v>2868</v>
      </c>
    </row>
    <row r="1187">
      <c r="B1187" s="38" t="s">
        <v>25</v>
      </c>
      <c r="C1187" s="38">
        <v>2.0</v>
      </c>
      <c r="D1187" s="38" t="s">
        <v>2691</v>
      </c>
      <c r="E1187" s="38" t="s">
        <v>2026</v>
      </c>
      <c r="F1187" s="38"/>
    </row>
    <row r="1188">
      <c r="B1188" s="1" t="s">
        <v>2869</v>
      </c>
      <c r="C1188" s="4" t="s">
        <v>2870</v>
      </c>
      <c r="E1188" s="196" t="s">
        <v>2853</v>
      </c>
      <c r="F1188" s="1" t="s">
        <v>2871</v>
      </c>
    </row>
    <row r="1189">
      <c r="C1189" s="4" t="s">
        <v>2872</v>
      </c>
      <c r="D1189" s="4" t="s">
        <v>2873</v>
      </c>
      <c r="E1189" s="196" t="s">
        <v>2861</v>
      </c>
    </row>
    <row r="1190">
      <c r="A1190" s="38" t="s">
        <v>2874</v>
      </c>
      <c r="B1190" s="38" t="s">
        <v>2875</v>
      </c>
      <c r="C1190" s="137" t="s">
        <v>2876</v>
      </c>
      <c r="D1190" s="137" t="s">
        <v>2877</v>
      </c>
      <c r="E1190" s="38" t="s">
        <v>2878</v>
      </c>
      <c r="F1190" s="38" t="s">
        <v>2879</v>
      </c>
    </row>
    <row r="1191">
      <c r="A1191" s="44"/>
      <c r="B1191" s="44"/>
      <c r="C1191" s="137" t="s">
        <v>2880</v>
      </c>
      <c r="D1191" s="137" t="s">
        <v>2881</v>
      </c>
      <c r="E1191" s="38" t="s">
        <v>2878</v>
      </c>
      <c r="F1191" s="38" t="s">
        <v>2879</v>
      </c>
    </row>
    <row r="1192">
      <c r="A1192" s="44"/>
      <c r="B1192" s="44"/>
      <c r="C1192" s="164" t="s">
        <v>2882</v>
      </c>
      <c r="D1192" s="44"/>
      <c r="E1192" s="38" t="s">
        <v>2878</v>
      </c>
      <c r="F1192" s="38" t="s">
        <v>2879</v>
      </c>
      <c r="G1192" s="5"/>
      <c r="H1192" s="5"/>
    </row>
    <row r="1193">
      <c r="B1193" s="38" t="s">
        <v>2883</v>
      </c>
      <c r="C1193" s="38">
        <v>2.0</v>
      </c>
      <c r="D1193" s="38" t="s">
        <v>2884</v>
      </c>
      <c r="E1193" s="38" t="s">
        <v>2885</v>
      </c>
      <c r="F1193" s="38" t="s">
        <v>2886</v>
      </c>
      <c r="G1193" s="38"/>
    </row>
    <row r="1194">
      <c r="B1194" s="38" t="s">
        <v>107</v>
      </c>
      <c r="C1194" s="38">
        <v>2.0</v>
      </c>
      <c r="D1194" s="38" t="s">
        <v>2884</v>
      </c>
      <c r="E1194" s="47" t="s">
        <v>2830</v>
      </c>
      <c r="F1194" s="38" t="s">
        <v>2886</v>
      </c>
      <c r="G1194" s="44"/>
    </row>
    <row r="1195">
      <c r="B1195" s="1" t="s">
        <v>2887</v>
      </c>
      <c r="C1195" s="163"/>
      <c r="D1195" s="158" t="s">
        <v>2888</v>
      </c>
      <c r="E1195" s="5" t="s">
        <v>2889</v>
      </c>
    </row>
    <row r="1196">
      <c r="B1196" s="198" t="s">
        <v>2890</v>
      </c>
      <c r="C1196" s="163"/>
      <c r="D1196" s="158" t="s">
        <v>2891</v>
      </c>
      <c r="E1196" s="5" t="s">
        <v>1734</v>
      </c>
    </row>
    <row r="1197">
      <c r="B1197" s="198" t="s">
        <v>2892</v>
      </c>
      <c r="C1197" s="158"/>
      <c r="D1197" s="163" t="s">
        <v>2893</v>
      </c>
      <c r="E1197" s="5" t="s">
        <v>1734</v>
      </c>
    </row>
    <row r="1198">
      <c r="B1198" s="199" t="s">
        <v>2894</v>
      </c>
      <c r="C1198" s="163" t="s">
        <v>2895</v>
      </c>
      <c r="D1198" s="158" t="s">
        <v>2896</v>
      </c>
      <c r="E1198" s="5" t="s">
        <v>1734</v>
      </c>
    </row>
    <row r="1199">
      <c r="C1199" s="1" t="s">
        <v>2897</v>
      </c>
      <c r="D1199" s="1" t="s">
        <v>2898</v>
      </c>
      <c r="E1199" s="5" t="s">
        <v>1734</v>
      </c>
    </row>
    <row r="1200">
      <c r="B1200" s="38" t="s">
        <v>25</v>
      </c>
      <c r="C1200" s="38">
        <v>4.0</v>
      </c>
      <c r="D1200" s="38" t="s">
        <v>1979</v>
      </c>
      <c r="E1200" s="38" t="s">
        <v>2899</v>
      </c>
      <c r="F1200" s="38"/>
    </row>
    <row r="1201">
      <c r="A1201" s="1" t="s">
        <v>133</v>
      </c>
      <c r="B1201" s="38" t="s">
        <v>479</v>
      </c>
      <c r="C1201" s="38">
        <v>2.0</v>
      </c>
      <c r="D1201" s="38" t="s">
        <v>2900</v>
      </c>
      <c r="E1201" s="38" t="s">
        <v>2901</v>
      </c>
      <c r="F1201" s="38" t="s">
        <v>2902</v>
      </c>
    </row>
    <row r="1202">
      <c r="A1202" s="1" t="s">
        <v>133</v>
      </c>
      <c r="B1202" s="38" t="s">
        <v>354</v>
      </c>
      <c r="C1202" s="38">
        <v>2.0</v>
      </c>
      <c r="D1202" s="38" t="s">
        <v>2900</v>
      </c>
      <c r="E1202" s="38" t="s">
        <v>2903</v>
      </c>
      <c r="F1202" s="38" t="s">
        <v>2902</v>
      </c>
    </row>
    <row r="1203">
      <c r="A1203" s="47" t="s">
        <v>2904</v>
      </c>
      <c r="B1203" s="38" t="s">
        <v>2276</v>
      </c>
      <c r="C1203" s="38">
        <v>4.0</v>
      </c>
      <c r="D1203" s="38" t="s">
        <v>2905</v>
      </c>
      <c r="E1203" s="38" t="s">
        <v>2906</v>
      </c>
      <c r="F1203" s="38" t="s">
        <v>2907</v>
      </c>
      <c r="G1203" s="181" t="s">
        <v>2908</v>
      </c>
    </row>
    <row r="1204">
      <c r="A1204" s="44"/>
      <c r="B1204" s="38" t="s">
        <v>416</v>
      </c>
      <c r="C1204" s="38">
        <v>4.0</v>
      </c>
      <c r="D1204" s="38" t="s">
        <v>2909</v>
      </c>
      <c r="E1204" s="38" t="s">
        <v>2910</v>
      </c>
      <c r="F1204" s="38" t="s">
        <v>2907</v>
      </c>
    </row>
    <row r="1205">
      <c r="A1205" s="4" t="s">
        <v>2911</v>
      </c>
      <c r="B1205" s="38" t="s">
        <v>38</v>
      </c>
      <c r="C1205" s="38">
        <v>4.0</v>
      </c>
      <c r="D1205" s="38" t="s">
        <v>2912</v>
      </c>
      <c r="E1205" s="38" t="s">
        <v>1017</v>
      </c>
      <c r="F1205" s="38" t="s">
        <v>2849</v>
      </c>
    </row>
    <row r="1206">
      <c r="A1206" s="1" t="s">
        <v>133</v>
      </c>
      <c r="B1206" s="1" t="s">
        <v>271</v>
      </c>
      <c r="C1206" s="1">
        <v>4.0</v>
      </c>
      <c r="D1206" s="1" t="s">
        <v>2913</v>
      </c>
      <c r="E1206" s="1" t="s">
        <v>2914</v>
      </c>
      <c r="F1206" s="1" t="s">
        <v>2915</v>
      </c>
      <c r="G1206" s="1" t="s">
        <v>2916</v>
      </c>
    </row>
    <row r="1207">
      <c r="B1207" s="38" t="s">
        <v>28</v>
      </c>
      <c r="C1207" s="38">
        <v>4.0</v>
      </c>
      <c r="D1207" s="38" t="s">
        <v>433</v>
      </c>
      <c r="E1207" s="38" t="s">
        <v>2917</v>
      </c>
      <c r="F1207" s="38"/>
    </row>
    <row r="1208">
      <c r="B1208" s="38" t="s">
        <v>2918</v>
      </c>
      <c r="C1208" s="38">
        <v>4.0</v>
      </c>
      <c r="D1208" s="38" t="s">
        <v>2919</v>
      </c>
      <c r="E1208" s="38" t="s">
        <v>514</v>
      </c>
      <c r="F1208" s="38" t="s">
        <v>2920</v>
      </c>
    </row>
    <row r="1209">
      <c r="B1209" s="38" t="s">
        <v>28</v>
      </c>
      <c r="C1209" s="38">
        <v>4.0</v>
      </c>
      <c r="D1209" s="38" t="s">
        <v>1979</v>
      </c>
      <c r="E1209" s="38" t="s">
        <v>325</v>
      </c>
      <c r="F1209" s="38" t="s">
        <v>2921</v>
      </c>
    </row>
    <row r="1210">
      <c r="A1210" s="44"/>
      <c r="B1210" s="44"/>
      <c r="C1210" s="38" t="s">
        <v>2922</v>
      </c>
      <c r="D1210" s="44"/>
      <c r="E1210" s="38" t="s">
        <v>2832</v>
      </c>
      <c r="F1210" s="38" t="s">
        <v>2834</v>
      </c>
    </row>
    <row r="1211">
      <c r="B1211" s="38" t="s">
        <v>354</v>
      </c>
      <c r="C1211" s="38">
        <v>4.0</v>
      </c>
      <c r="D1211" s="38" t="s">
        <v>2593</v>
      </c>
      <c r="E1211" s="38" t="s">
        <v>2923</v>
      </c>
      <c r="F1211" s="38" t="s">
        <v>2924</v>
      </c>
    </row>
    <row r="1212">
      <c r="B1212" s="38" t="s">
        <v>183</v>
      </c>
      <c r="C1212" s="38">
        <v>4.0</v>
      </c>
      <c r="D1212" s="38" t="s">
        <v>2021</v>
      </c>
      <c r="E1212" s="38" t="s">
        <v>2925</v>
      </c>
      <c r="F1212" s="44"/>
    </row>
    <row r="1213">
      <c r="B1213" s="38" t="s">
        <v>2926</v>
      </c>
      <c r="C1213" s="44"/>
      <c r="D1213" s="44"/>
      <c r="E1213" s="38" t="s">
        <v>1017</v>
      </c>
      <c r="F1213" s="38" t="s">
        <v>2849</v>
      </c>
    </row>
    <row r="1214">
      <c r="B1214" s="38" t="s">
        <v>1454</v>
      </c>
      <c r="C1214" s="38">
        <v>2.0</v>
      </c>
      <c r="D1214" s="38" t="s">
        <v>2927</v>
      </c>
      <c r="E1214" s="38" t="s">
        <v>2928</v>
      </c>
      <c r="F1214" s="38" t="s">
        <v>2929</v>
      </c>
    </row>
    <row r="1215">
      <c r="B1215" s="38" t="s">
        <v>1409</v>
      </c>
      <c r="C1215" s="38">
        <v>2.0</v>
      </c>
      <c r="D1215" s="38" t="s">
        <v>2927</v>
      </c>
      <c r="E1215" s="38" t="s">
        <v>2930</v>
      </c>
      <c r="F1215" s="38" t="s">
        <v>2929</v>
      </c>
    </row>
    <row r="1216">
      <c r="B1216" s="38" t="s">
        <v>140</v>
      </c>
      <c r="C1216" s="38">
        <v>4.0</v>
      </c>
      <c r="D1216" s="38" t="s">
        <v>2931</v>
      </c>
      <c r="E1216" s="38" t="s">
        <v>2932</v>
      </c>
      <c r="F1216" s="38" t="s">
        <v>2933</v>
      </c>
    </row>
    <row r="1217">
      <c r="B1217" s="38" t="s">
        <v>876</v>
      </c>
      <c r="C1217" s="38">
        <v>4.0</v>
      </c>
      <c r="D1217" s="38" t="s">
        <v>2934</v>
      </c>
      <c r="E1217" s="38" t="s">
        <v>2935</v>
      </c>
      <c r="F1217" s="38" t="s">
        <v>2936</v>
      </c>
    </row>
    <row r="1218">
      <c r="B1218" s="38" t="s">
        <v>52</v>
      </c>
      <c r="C1218" s="38">
        <v>2.0</v>
      </c>
      <c r="D1218" s="38" t="s">
        <v>2927</v>
      </c>
      <c r="E1218" s="38" t="s">
        <v>2937</v>
      </c>
      <c r="F1218" s="38" t="s">
        <v>2938</v>
      </c>
    </row>
    <row r="1219">
      <c r="B1219" s="38" t="s">
        <v>405</v>
      </c>
      <c r="C1219" s="38">
        <v>2.0</v>
      </c>
      <c r="D1219" s="38" t="s">
        <v>2927</v>
      </c>
      <c r="E1219" s="38" t="s">
        <v>2937</v>
      </c>
      <c r="F1219" s="38" t="s">
        <v>2938</v>
      </c>
    </row>
    <row r="1220">
      <c r="B1220" s="38" t="s">
        <v>166</v>
      </c>
      <c r="C1220" s="38">
        <v>2.0</v>
      </c>
      <c r="D1220" s="38" t="s">
        <v>408</v>
      </c>
      <c r="E1220" s="38" t="s">
        <v>2939</v>
      </c>
      <c r="F1220" s="38" t="s">
        <v>2940</v>
      </c>
    </row>
    <row r="1221">
      <c r="B1221" s="38" t="s">
        <v>170</v>
      </c>
      <c r="C1221" s="38">
        <v>2.0</v>
      </c>
      <c r="D1221" s="38" t="s">
        <v>408</v>
      </c>
      <c r="E1221" s="38" t="s">
        <v>2941</v>
      </c>
      <c r="F1221" s="38" t="s">
        <v>2940</v>
      </c>
    </row>
    <row r="1222">
      <c r="A1222" s="5" t="s">
        <v>133</v>
      </c>
      <c r="B1222" s="38" t="s">
        <v>394</v>
      </c>
      <c r="C1222" s="38">
        <v>4.0</v>
      </c>
      <c r="D1222" s="38" t="s">
        <v>684</v>
      </c>
      <c r="E1222" s="38" t="s">
        <v>2942</v>
      </c>
      <c r="F1222" s="38" t="s">
        <v>2943</v>
      </c>
    </row>
    <row r="1223">
      <c r="B1223" s="38" t="s">
        <v>81</v>
      </c>
      <c r="C1223" s="38">
        <v>4.0</v>
      </c>
      <c r="D1223" s="38" t="s">
        <v>2944</v>
      </c>
      <c r="E1223" s="38" t="s">
        <v>2945</v>
      </c>
      <c r="F1223" s="38" t="s">
        <v>2946</v>
      </c>
    </row>
    <row r="1224">
      <c r="B1224" s="38" t="s">
        <v>357</v>
      </c>
      <c r="C1224" s="38">
        <v>4.0</v>
      </c>
      <c r="D1224" s="38" t="s">
        <v>433</v>
      </c>
      <c r="E1224" s="38" t="s">
        <v>2947</v>
      </c>
      <c r="F1224" s="38"/>
    </row>
    <row r="1225">
      <c r="B1225" s="38" t="s">
        <v>122</v>
      </c>
      <c r="C1225" s="38">
        <v>4.0</v>
      </c>
      <c r="D1225" s="38" t="s">
        <v>2021</v>
      </c>
      <c r="E1225" s="38" t="s">
        <v>2948</v>
      </c>
      <c r="F1225" s="38" t="s">
        <v>2723</v>
      </c>
    </row>
    <row r="1226">
      <c r="B1226" s="1" t="s">
        <v>2949</v>
      </c>
      <c r="C1226" s="1">
        <v>88.0</v>
      </c>
      <c r="E1226" s="1" t="s">
        <v>2950</v>
      </c>
    </row>
    <row r="1227">
      <c r="B1227" s="1" t="s">
        <v>2951</v>
      </c>
      <c r="C1227" s="1">
        <v>11.5</v>
      </c>
      <c r="D1227" s="1"/>
      <c r="E1227" s="1" t="s">
        <v>2950</v>
      </c>
    </row>
    <row r="1228">
      <c r="B1228" s="1" t="s">
        <v>2952</v>
      </c>
      <c r="C1228" s="1">
        <v>22.0</v>
      </c>
      <c r="D1228" s="1"/>
      <c r="E1228" s="1" t="s">
        <v>2950</v>
      </c>
    </row>
    <row r="1229">
      <c r="B1229" s="1" t="s">
        <v>2953</v>
      </c>
      <c r="C1229" s="1">
        <v>6.6</v>
      </c>
      <c r="D1229" s="1"/>
      <c r="E1229" s="1" t="s">
        <v>2950</v>
      </c>
    </row>
    <row r="1230">
      <c r="A1230" s="1" t="s">
        <v>2954</v>
      </c>
      <c r="B1230" s="1" t="s">
        <v>2955</v>
      </c>
      <c r="C1230" s="1">
        <v>9.45</v>
      </c>
      <c r="D1230" s="1"/>
      <c r="E1230" s="1" t="s">
        <v>2950</v>
      </c>
    </row>
    <row r="1231">
      <c r="B1231" s="1" t="s">
        <v>2956</v>
      </c>
      <c r="C1231" s="1">
        <v>10.13</v>
      </c>
      <c r="D1231" s="1"/>
      <c r="E1231" s="1" t="s">
        <v>2950</v>
      </c>
    </row>
    <row r="1232">
      <c r="B1232" s="1" t="s">
        <v>2957</v>
      </c>
      <c r="C1232" s="1">
        <v>8.78</v>
      </c>
      <c r="D1232" s="1"/>
      <c r="E1232" s="1" t="s">
        <v>2950</v>
      </c>
    </row>
    <row r="1233">
      <c r="B1233" s="1" t="s">
        <v>2958</v>
      </c>
      <c r="C1233" s="1">
        <v>2.05</v>
      </c>
      <c r="D1233" s="1"/>
      <c r="E1233" s="1" t="s">
        <v>2950</v>
      </c>
    </row>
    <row r="1234">
      <c r="B1234" s="1" t="s">
        <v>2959</v>
      </c>
      <c r="C1234" s="1">
        <v>11.23</v>
      </c>
      <c r="D1234" s="1"/>
      <c r="E1234" s="1" t="s">
        <v>2950</v>
      </c>
    </row>
    <row r="1235">
      <c r="B1235" s="1" t="s">
        <v>2960</v>
      </c>
      <c r="C1235" s="1">
        <v>7.24</v>
      </c>
      <c r="D1235" s="1"/>
      <c r="E1235" s="1" t="s">
        <v>2950</v>
      </c>
    </row>
    <row r="1236">
      <c r="B1236" s="1" t="s">
        <v>2961</v>
      </c>
      <c r="C1236" s="1">
        <v>21.0</v>
      </c>
      <c r="D1236" s="1"/>
      <c r="E1236" s="1" t="s">
        <v>2950</v>
      </c>
    </row>
    <row r="1237">
      <c r="B1237" s="1" t="s">
        <v>2962</v>
      </c>
      <c r="C1237" s="1">
        <v>40.8</v>
      </c>
      <c r="D1237" s="1"/>
      <c r="E1237" s="1" t="s">
        <v>2950</v>
      </c>
    </row>
    <row r="1238">
      <c r="A1238" s="1" t="s">
        <v>2963</v>
      </c>
      <c r="B1238" s="1" t="s">
        <v>2964</v>
      </c>
      <c r="C1238" s="1">
        <v>7.5</v>
      </c>
      <c r="D1238" s="1"/>
      <c r="E1238" s="1" t="s">
        <v>2950</v>
      </c>
    </row>
    <row r="1239">
      <c r="B1239" s="1"/>
      <c r="C1239" s="1"/>
      <c r="D1239" s="1"/>
      <c r="E1239" s="1" t="s">
        <v>2950</v>
      </c>
    </row>
    <row r="1240">
      <c r="A1240" s="38" t="s">
        <v>2965</v>
      </c>
      <c r="B1240" s="38"/>
      <c r="C1240" s="44"/>
      <c r="D1240" s="38"/>
      <c r="E1240" s="38" t="s">
        <v>2950</v>
      </c>
      <c r="F1240" s="44"/>
    </row>
    <row r="1241">
      <c r="A1241" s="38" t="s">
        <v>2966</v>
      </c>
      <c r="B1241" s="38"/>
      <c r="C1241" s="44"/>
      <c r="D1241" s="38"/>
      <c r="E1241" s="38" t="s">
        <v>2950</v>
      </c>
      <c r="F1241" s="44"/>
    </row>
    <row r="1242">
      <c r="A1242" s="38" t="s">
        <v>2967</v>
      </c>
      <c r="B1242" s="38"/>
      <c r="C1242" s="44"/>
      <c r="D1242" s="38"/>
      <c r="E1242" s="38" t="s">
        <v>2950</v>
      </c>
      <c r="F1242" s="44"/>
    </row>
    <row r="1243">
      <c r="A1243" s="38" t="s">
        <v>2968</v>
      </c>
      <c r="B1243" s="38"/>
      <c r="C1243" s="44"/>
      <c r="D1243" s="38"/>
      <c r="E1243" s="38" t="s">
        <v>2950</v>
      </c>
      <c r="F1243" s="44"/>
    </row>
    <row r="1244">
      <c r="A1244" s="38" t="s">
        <v>2969</v>
      </c>
      <c r="B1244" s="38"/>
      <c r="C1244" s="44"/>
      <c r="D1244" s="38"/>
      <c r="E1244" s="38" t="s">
        <v>2950</v>
      </c>
      <c r="F1244" s="44"/>
    </row>
    <row r="1245">
      <c r="A1245" s="8"/>
      <c r="B1245" s="38" t="s">
        <v>22</v>
      </c>
      <c r="C1245" s="38">
        <v>4.0</v>
      </c>
      <c r="D1245" s="38" t="s">
        <v>2970</v>
      </c>
      <c r="E1245" s="38" t="s">
        <v>2971</v>
      </c>
      <c r="F1245" s="38" t="s">
        <v>2406</v>
      </c>
    </row>
    <row r="1246">
      <c r="A1246" s="1" t="s">
        <v>133</v>
      </c>
      <c r="B1246" s="38" t="s">
        <v>25</v>
      </c>
      <c r="C1246" s="38">
        <v>4.0</v>
      </c>
      <c r="D1246" s="38" t="s">
        <v>672</v>
      </c>
      <c r="E1246" s="38" t="s">
        <v>2972</v>
      </c>
      <c r="F1246" s="38" t="s">
        <v>2973</v>
      </c>
    </row>
    <row r="1247">
      <c r="A1247" s="44"/>
      <c r="B1247" s="44"/>
      <c r="C1247" s="44"/>
      <c r="D1247" s="38" t="s">
        <v>2974</v>
      </c>
      <c r="E1247" s="38" t="s">
        <v>1731</v>
      </c>
      <c r="F1247" s="38" t="s">
        <v>144</v>
      </c>
    </row>
    <row r="1248">
      <c r="B1248" s="1" t="s">
        <v>2975</v>
      </c>
      <c r="C1248" s="1" t="s">
        <v>2976</v>
      </c>
      <c r="E1248" s="1" t="s">
        <v>2977</v>
      </c>
    </row>
    <row r="1249">
      <c r="B1249" s="38" t="s">
        <v>2581</v>
      </c>
      <c r="C1249" s="38">
        <v>2.0</v>
      </c>
      <c r="D1249" s="38" t="s">
        <v>399</v>
      </c>
      <c r="E1249" s="38" t="s">
        <v>2978</v>
      </c>
      <c r="F1249" s="38" t="s">
        <v>2979</v>
      </c>
      <c r="G1249" s="1" t="s">
        <v>2980</v>
      </c>
    </row>
    <row r="1250">
      <c r="B1250" s="38" t="s">
        <v>2576</v>
      </c>
      <c r="C1250" s="38">
        <v>2.0</v>
      </c>
      <c r="D1250" s="38" t="s">
        <v>399</v>
      </c>
      <c r="E1250" s="38" t="s">
        <v>2978</v>
      </c>
      <c r="F1250" s="38" t="s">
        <v>2979</v>
      </c>
    </row>
    <row r="1251">
      <c r="A1251" s="44"/>
      <c r="B1251" s="38" t="s">
        <v>2981</v>
      </c>
      <c r="C1251" s="38">
        <v>2.0</v>
      </c>
      <c r="D1251" s="38" t="s">
        <v>2982</v>
      </c>
      <c r="E1251" s="38" t="s">
        <v>2983</v>
      </c>
      <c r="F1251" s="38" t="s">
        <v>2252</v>
      </c>
      <c r="G1251" s="112" t="s">
        <v>2984</v>
      </c>
    </row>
    <row r="1252">
      <c r="B1252" s="1" t="s">
        <v>2985</v>
      </c>
      <c r="D1252" s="175" t="s">
        <v>2986</v>
      </c>
      <c r="E1252" s="5" t="s">
        <v>2889</v>
      </c>
    </row>
    <row r="1253">
      <c r="B1253" s="199" t="s">
        <v>2987</v>
      </c>
      <c r="C1253" s="1" t="s">
        <v>2988</v>
      </c>
      <c r="D1253" s="200" t="s">
        <v>2989</v>
      </c>
      <c r="E1253" s="5" t="s">
        <v>2889</v>
      </c>
    </row>
    <row r="1254">
      <c r="D1254" s="1" t="s">
        <v>2990</v>
      </c>
      <c r="E1254" s="5" t="s">
        <v>2889</v>
      </c>
    </row>
    <row r="1255">
      <c r="D1255" s="1"/>
      <c r="E1255" s="5" t="s">
        <v>2889</v>
      </c>
    </row>
    <row r="1256">
      <c r="A1256" s="44"/>
      <c r="B1256" s="201"/>
      <c r="C1256" s="201"/>
      <c r="D1256" s="92" t="s">
        <v>2991</v>
      </c>
      <c r="E1256" s="38" t="s">
        <v>2992</v>
      </c>
      <c r="F1256" s="202"/>
      <c r="G1256" s="38" t="s">
        <v>2879</v>
      </c>
    </row>
    <row r="1257">
      <c r="A1257" s="44"/>
      <c r="B1257" s="201"/>
      <c r="C1257" s="201"/>
      <c r="D1257" s="92" t="s">
        <v>2993</v>
      </c>
      <c r="E1257" s="38" t="s">
        <v>2992</v>
      </c>
      <c r="F1257" s="44"/>
      <c r="G1257" s="38" t="s">
        <v>2879</v>
      </c>
    </row>
    <row r="1258">
      <c r="B1258" s="201"/>
      <c r="C1258" s="201"/>
      <c r="D1258" s="203">
        <v>46030.0</v>
      </c>
      <c r="E1258" s="38" t="s">
        <v>1294</v>
      </c>
      <c r="F1258" s="38" t="s">
        <v>2994</v>
      </c>
      <c r="G1258" s="38" t="s">
        <v>2995</v>
      </c>
    </row>
    <row r="1259">
      <c r="B1259" s="1" t="s">
        <v>2996</v>
      </c>
      <c r="C1259" s="158" t="s">
        <v>2997</v>
      </c>
      <c r="D1259" s="158" t="s">
        <v>2998</v>
      </c>
      <c r="E1259" s="1" t="s">
        <v>2999</v>
      </c>
    </row>
    <row r="1260">
      <c r="B1260" s="1" t="s">
        <v>1475</v>
      </c>
      <c r="D1260" s="163" t="s">
        <v>3000</v>
      </c>
      <c r="E1260" s="1" t="s">
        <v>3001</v>
      </c>
    </row>
    <row r="1261">
      <c r="A1261" s="1" t="s">
        <v>133</v>
      </c>
      <c r="B1261" s="38" t="s">
        <v>210</v>
      </c>
      <c r="C1261" s="38">
        <v>2.0</v>
      </c>
      <c r="D1261" s="38" t="s">
        <v>672</v>
      </c>
      <c r="E1261" s="38" t="s">
        <v>3002</v>
      </c>
      <c r="F1261" s="38" t="s">
        <v>3003</v>
      </c>
    </row>
    <row r="1262">
      <c r="A1262" s="1" t="s">
        <v>133</v>
      </c>
      <c r="B1262" s="38" t="s">
        <v>214</v>
      </c>
      <c r="C1262" s="38">
        <v>2.0</v>
      </c>
      <c r="D1262" s="38" t="s">
        <v>672</v>
      </c>
      <c r="E1262" s="38" t="s">
        <v>1098</v>
      </c>
      <c r="F1262" s="38" t="s">
        <v>3003</v>
      </c>
    </row>
    <row r="1263">
      <c r="B1263" s="38" t="s">
        <v>210</v>
      </c>
      <c r="C1263" s="38">
        <v>2.0</v>
      </c>
      <c r="D1263" s="38" t="s">
        <v>2423</v>
      </c>
      <c r="E1263" s="38" t="s">
        <v>1098</v>
      </c>
      <c r="F1263" s="38" t="s">
        <v>3004</v>
      </c>
    </row>
    <row r="1264">
      <c r="B1264" s="38" t="s">
        <v>214</v>
      </c>
      <c r="C1264" s="38">
        <v>2.0</v>
      </c>
      <c r="D1264" s="38" t="s">
        <v>2423</v>
      </c>
      <c r="E1264" s="38" t="s">
        <v>3005</v>
      </c>
      <c r="F1264" s="38" t="s">
        <v>3004</v>
      </c>
    </row>
    <row r="1265">
      <c r="A1265" s="1" t="s">
        <v>133</v>
      </c>
      <c r="B1265" s="38" t="s">
        <v>430</v>
      </c>
      <c r="C1265" s="38">
        <v>4.0</v>
      </c>
      <c r="D1265" s="38" t="s">
        <v>3006</v>
      </c>
      <c r="E1265" s="38" t="s">
        <v>3007</v>
      </c>
      <c r="F1265" s="38" t="s">
        <v>3008</v>
      </c>
    </row>
    <row r="1266">
      <c r="A1266" s="44"/>
      <c r="B1266" s="38" t="s">
        <v>28</v>
      </c>
      <c r="C1266" s="38">
        <v>2.0</v>
      </c>
      <c r="D1266" s="38" t="s">
        <v>2389</v>
      </c>
      <c r="E1266" s="38" t="s">
        <v>3009</v>
      </c>
      <c r="F1266" s="38"/>
    </row>
    <row r="1267">
      <c r="A1267" s="38" t="s">
        <v>133</v>
      </c>
      <c r="B1267" s="38" t="s">
        <v>333</v>
      </c>
      <c r="C1267" s="38">
        <v>4.0</v>
      </c>
      <c r="D1267" s="38" t="s">
        <v>427</v>
      </c>
      <c r="E1267" s="38" t="s">
        <v>325</v>
      </c>
      <c r="F1267" s="38" t="s">
        <v>3010</v>
      </c>
    </row>
    <row r="1268">
      <c r="A1268" s="44"/>
      <c r="B1268" s="38" t="s">
        <v>3011</v>
      </c>
      <c r="C1268" s="38" t="s">
        <v>3012</v>
      </c>
      <c r="D1268" s="38" t="s">
        <v>3013</v>
      </c>
      <c r="E1268" s="38" t="s">
        <v>3014</v>
      </c>
      <c r="F1268" s="38" t="s">
        <v>3015</v>
      </c>
    </row>
    <row r="1269">
      <c r="A1269" s="44"/>
      <c r="B1269" s="137" t="s">
        <v>3016</v>
      </c>
      <c r="C1269" s="97" t="s">
        <v>3017</v>
      </c>
      <c r="D1269" s="38" t="s">
        <v>3018</v>
      </c>
      <c r="E1269" s="38" t="s">
        <v>3014</v>
      </c>
      <c r="F1269" s="38" t="s">
        <v>3015</v>
      </c>
    </row>
    <row r="1270">
      <c r="A1270" s="44"/>
      <c r="B1270" s="137" t="s">
        <v>3019</v>
      </c>
      <c r="C1270" s="38" t="s">
        <v>3020</v>
      </c>
      <c r="D1270" s="44"/>
      <c r="E1270" s="38" t="s">
        <v>3014</v>
      </c>
      <c r="F1270" s="38" t="s">
        <v>3015</v>
      </c>
    </row>
    <row r="1271">
      <c r="A1271" s="38" t="s">
        <v>133</v>
      </c>
      <c r="B1271" s="38" t="s">
        <v>1892</v>
      </c>
      <c r="C1271" s="38">
        <v>2.0</v>
      </c>
      <c r="D1271" s="38" t="s">
        <v>672</v>
      </c>
      <c r="E1271" s="38" t="s">
        <v>3021</v>
      </c>
      <c r="F1271" s="38" t="s">
        <v>3022</v>
      </c>
    </row>
    <row r="1272">
      <c r="A1272" s="38" t="s">
        <v>133</v>
      </c>
      <c r="B1272" s="38" t="s">
        <v>3023</v>
      </c>
      <c r="C1272" s="38">
        <v>2.0</v>
      </c>
      <c r="D1272" s="38" t="s">
        <v>672</v>
      </c>
      <c r="E1272" s="38" t="s">
        <v>325</v>
      </c>
      <c r="F1272" s="38" t="s">
        <v>3022</v>
      </c>
    </row>
    <row r="1273">
      <c r="B1273" s="5" t="s">
        <v>3024</v>
      </c>
      <c r="C1273" s="8"/>
      <c r="D1273" s="8"/>
      <c r="E1273" s="5" t="s">
        <v>1230</v>
      </c>
      <c r="F1273" s="5" t="s">
        <v>3025</v>
      </c>
    </row>
    <row r="1274">
      <c r="A1274" s="204">
        <v>46000.0</v>
      </c>
      <c r="B1274" s="44"/>
      <c r="C1274" s="44"/>
      <c r="D1274" s="38" t="s">
        <v>3026</v>
      </c>
      <c r="E1274" s="38" t="s">
        <v>3027</v>
      </c>
      <c r="F1274" s="38" t="s">
        <v>3028</v>
      </c>
    </row>
    <row r="1275">
      <c r="B1275" s="97" t="s">
        <v>3029</v>
      </c>
      <c r="C1275" s="97" t="s">
        <v>3030</v>
      </c>
      <c r="D1275" s="38" t="s">
        <v>3031</v>
      </c>
      <c r="E1275" s="38" t="s">
        <v>3032</v>
      </c>
      <c r="F1275" s="38" t="s">
        <v>144</v>
      </c>
    </row>
    <row r="1276">
      <c r="B1276" s="97" t="s">
        <v>3033</v>
      </c>
      <c r="C1276" s="179"/>
      <c r="D1276" s="97" t="s">
        <v>3034</v>
      </c>
      <c r="E1276" s="38" t="s">
        <v>3035</v>
      </c>
      <c r="F1276" s="38" t="s">
        <v>3036</v>
      </c>
    </row>
    <row r="1277">
      <c r="B1277" s="38" t="s">
        <v>28</v>
      </c>
      <c r="C1277" s="38">
        <v>4.0</v>
      </c>
      <c r="D1277" s="38" t="s">
        <v>412</v>
      </c>
      <c r="E1277" s="38" t="s">
        <v>3037</v>
      </c>
      <c r="F1277" s="38" t="s">
        <v>3038</v>
      </c>
    </row>
    <row r="1278">
      <c r="A1278" s="38" t="s">
        <v>133</v>
      </c>
      <c r="B1278" s="38" t="s">
        <v>85</v>
      </c>
      <c r="C1278" s="38">
        <v>4.0</v>
      </c>
      <c r="D1278" s="38" t="s">
        <v>2219</v>
      </c>
      <c r="E1278" s="38" t="s">
        <v>3039</v>
      </c>
      <c r="F1278" s="38"/>
    </row>
    <row r="1279">
      <c r="A1279" s="38" t="s">
        <v>133</v>
      </c>
      <c r="B1279" s="38" t="s">
        <v>58</v>
      </c>
      <c r="C1279" s="38">
        <v>4.0</v>
      </c>
      <c r="D1279" s="38" t="s">
        <v>2171</v>
      </c>
      <c r="E1279" s="38" t="s">
        <v>3040</v>
      </c>
      <c r="F1279" s="38" t="s">
        <v>3041</v>
      </c>
    </row>
    <row r="1280">
      <c r="B1280" s="38" t="s">
        <v>755</v>
      </c>
      <c r="C1280" s="38">
        <v>4.0</v>
      </c>
      <c r="D1280" s="38" t="s">
        <v>2340</v>
      </c>
      <c r="E1280" s="38" t="s">
        <v>3042</v>
      </c>
      <c r="F1280" s="38" t="s">
        <v>3043</v>
      </c>
    </row>
    <row r="1281">
      <c r="B1281" s="38" t="s">
        <v>876</v>
      </c>
      <c r="C1281" s="38">
        <v>4.0</v>
      </c>
      <c r="D1281" s="38" t="s">
        <v>345</v>
      </c>
      <c r="E1281" s="38" t="s">
        <v>3044</v>
      </c>
      <c r="F1281" s="38" t="s">
        <v>3045</v>
      </c>
    </row>
    <row r="1282">
      <c r="B1282" s="38" t="s">
        <v>3046</v>
      </c>
      <c r="C1282" s="38" t="s">
        <v>3012</v>
      </c>
      <c r="D1282" s="38" t="s">
        <v>3047</v>
      </c>
      <c r="E1282" s="38" t="s">
        <v>3014</v>
      </c>
      <c r="F1282" s="38" t="s">
        <v>3015</v>
      </c>
    </row>
    <row r="1283">
      <c r="B1283" s="44"/>
      <c r="C1283" s="44"/>
      <c r="D1283" s="38" t="s">
        <v>3048</v>
      </c>
      <c r="E1283" s="38" t="s">
        <v>3014</v>
      </c>
      <c r="F1283" s="38" t="s">
        <v>3015</v>
      </c>
    </row>
    <row r="1284">
      <c r="B1284" s="38" t="s">
        <v>3049</v>
      </c>
      <c r="C1284" s="38" t="s">
        <v>3050</v>
      </c>
      <c r="D1284" s="205"/>
      <c r="E1284" s="38" t="s">
        <v>3051</v>
      </c>
      <c r="F1284" s="38" t="s">
        <v>3052</v>
      </c>
    </row>
    <row r="1285">
      <c r="B1285" s="38" t="s">
        <v>3053</v>
      </c>
      <c r="C1285" s="38" t="s">
        <v>3054</v>
      </c>
      <c r="D1285" s="38" t="s">
        <v>3055</v>
      </c>
      <c r="E1285" s="38" t="s">
        <v>3051</v>
      </c>
      <c r="F1285" s="38" t="s">
        <v>3052</v>
      </c>
    </row>
    <row r="1286">
      <c r="B1286" s="38" t="s">
        <v>3056</v>
      </c>
      <c r="C1286" s="38">
        <v>4.0</v>
      </c>
      <c r="D1286" s="38" t="s">
        <v>672</v>
      </c>
      <c r="E1286" s="38" t="s">
        <v>3057</v>
      </c>
      <c r="F1286" s="44"/>
    </row>
    <row r="1287">
      <c r="B1287" s="38" t="s">
        <v>52</v>
      </c>
      <c r="C1287" s="38">
        <v>2.0</v>
      </c>
      <c r="D1287" s="38" t="s">
        <v>3058</v>
      </c>
      <c r="E1287" s="38" t="s">
        <v>3059</v>
      </c>
      <c r="F1287" s="38" t="s">
        <v>2102</v>
      </c>
    </row>
    <row r="1288">
      <c r="B1288" s="38" t="s">
        <v>3060</v>
      </c>
      <c r="C1288" s="38">
        <v>2.0</v>
      </c>
      <c r="D1288" s="38" t="s">
        <v>3058</v>
      </c>
      <c r="E1288" s="38" t="s">
        <v>3059</v>
      </c>
      <c r="F1288" s="38" t="s">
        <v>2102</v>
      </c>
    </row>
    <row r="1289">
      <c r="B1289" s="38" t="s">
        <v>3061</v>
      </c>
      <c r="C1289" s="38">
        <v>1.0</v>
      </c>
      <c r="D1289" s="38" t="s">
        <v>3062</v>
      </c>
      <c r="E1289" s="38" t="s">
        <v>3063</v>
      </c>
      <c r="F1289" s="38" t="s">
        <v>3064</v>
      </c>
    </row>
    <row r="1290">
      <c r="A1290" s="206"/>
      <c r="B1290" s="207" t="s">
        <v>3065</v>
      </c>
      <c r="C1290" s="207" t="s">
        <v>3066</v>
      </c>
      <c r="D1290" s="207" t="s">
        <v>3067</v>
      </c>
      <c r="E1290" s="5" t="s">
        <v>2889</v>
      </c>
      <c r="F1290" s="208" t="s">
        <v>3068</v>
      </c>
    </row>
    <row r="1291">
      <c r="B1291" s="207" t="s">
        <v>3069</v>
      </c>
      <c r="C1291" s="207" t="s">
        <v>3070</v>
      </c>
      <c r="D1291" s="207" t="s">
        <v>3071</v>
      </c>
      <c r="E1291" s="5" t="s">
        <v>2889</v>
      </c>
    </row>
    <row r="1292">
      <c r="B1292" s="207" t="s">
        <v>3072</v>
      </c>
      <c r="C1292" s="207" t="s">
        <v>3073</v>
      </c>
      <c r="D1292" s="207" t="s">
        <v>3074</v>
      </c>
      <c r="E1292" s="5" t="s">
        <v>2889</v>
      </c>
    </row>
    <row r="1293">
      <c r="B1293" s="38" t="s">
        <v>1454</v>
      </c>
      <c r="C1293" s="38">
        <v>2.0</v>
      </c>
      <c r="D1293" s="38" t="s">
        <v>2423</v>
      </c>
      <c r="E1293" s="38" t="s">
        <v>3075</v>
      </c>
      <c r="F1293" s="38" t="s">
        <v>3076</v>
      </c>
    </row>
    <row r="1294">
      <c r="B1294" s="38" t="s">
        <v>1409</v>
      </c>
      <c r="C1294" s="38">
        <v>2.0</v>
      </c>
      <c r="D1294" s="38" t="s">
        <v>2423</v>
      </c>
      <c r="E1294" s="47" t="s">
        <v>3077</v>
      </c>
      <c r="F1294" s="38" t="s">
        <v>3076</v>
      </c>
    </row>
    <row r="1295">
      <c r="B1295" s="38" t="s">
        <v>128</v>
      </c>
      <c r="C1295" s="38">
        <v>2.0</v>
      </c>
      <c r="D1295" s="38" t="s">
        <v>408</v>
      </c>
      <c r="E1295" s="38" t="s">
        <v>3078</v>
      </c>
      <c r="F1295" s="38" t="s">
        <v>3079</v>
      </c>
    </row>
    <row r="1296">
      <c r="B1296" s="38" t="s">
        <v>1183</v>
      </c>
      <c r="C1296" s="38">
        <v>2.0</v>
      </c>
      <c r="D1296" s="38" t="s">
        <v>408</v>
      </c>
      <c r="E1296" s="38" t="s">
        <v>3075</v>
      </c>
      <c r="F1296" s="38" t="s">
        <v>3079</v>
      </c>
    </row>
    <row r="1297">
      <c r="B1297" s="155" t="s">
        <v>3080</v>
      </c>
      <c r="C1297" s="209" t="s">
        <v>3081</v>
      </c>
      <c r="D1297" s="210" t="s">
        <v>3082</v>
      </c>
      <c r="E1297" s="1" t="s">
        <v>3083</v>
      </c>
      <c r="F1297" s="199" t="s">
        <v>3084</v>
      </c>
      <c r="G1297" s="199" t="s">
        <v>3085</v>
      </c>
    </row>
    <row r="1298">
      <c r="B1298" s="211" t="s">
        <v>3086</v>
      </c>
      <c r="C1298" s="211" t="s">
        <v>3087</v>
      </c>
      <c r="D1298" s="211" t="s">
        <v>3088</v>
      </c>
      <c r="E1298" s="1" t="s">
        <v>3089</v>
      </c>
      <c r="F1298" s="212" t="s">
        <v>3090</v>
      </c>
    </row>
    <row r="1299">
      <c r="B1299" s="38" t="s">
        <v>876</v>
      </c>
      <c r="C1299" s="38">
        <v>4.0</v>
      </c>
      <c r="D1299" s="38" t="s">
        <v>3091</v>
      </c>
      <c r="E1299" s="38" t="s">
        <v>325</v>
      </c>
      <c r="F1299" s="38" t="s">
        <v>3092</v>
      </c>
    </row>
    <row r="1300">
      <c r="B1300" s="1" t="s">
        <v>3093</v>
      </c>
      <c r="C1300" s="1" t="s">
        <v>3094</v>
      </c>
      <c r="D1300" s="1" t="s">
        <v>3095</v>
      </c>
      <c r="E1300" s="1" t="s">
        <v>3096</v>
      </c>
    </row>
    <row r="1301">
      <c r="B1301" s="38" t="s">
        <v>22</v>
      </c>
      <c r="C1301" s="38">
        <v>4.0</v>
      </c>
      <c r="D1301" s="38" t="s">
        <v>2121</v>
      </c>
      <c r="E1301" s="38" t="s">
        <v>3097</v>
      </c>
      <c r="F1301" s="38"/>
    </row>
    <row r="1302">
      <c r="B1302" s="38" t="s">
        <v>1454</v>
      </c>
      <c r="C1302" s="38">
        <v>2.0</v>
      </c>
      <c r="D1302" s="38" t="s">
        <v>2927</v>
      </c>
      <c r="E1302" s="38" t="s">
        <v>3098</v>
      </c>
      <c r="F1302" s="38" t="s">
        <v>3099</v>
      </c>
    </row>
    <row r="1303">
      <c r="B1303" s="38" t="s">
        <v>1409</v>
      </c>
      <c r="C1303" s="38">
        <v>2.0</v>
      </c>
      <c r="D1303" s="38" t="s">
        <v>2927</v>
      </c>
      <c r="E1303" s="38" t="s">
        <v>3100</v>
      </c>
      <c r="F1303" s="38" t="s">
        <v>3099</v>
      </c>
    </row>
    <row r="1304">
      <c r="B1304" s="38" t="s">
        <v>276</v>
      </c>
      <c r="C1304" s="38">
        <v>4.0</v>
      </c>
      <c r="D1304" s="38" t="s">
        <v>3101</v>
      </c>
      <c r="E1304" s="38" t="s">
        <v>3102</v>
      </c>
      <c r="F1304" s="44"/>
    </row>
    <row r="1305">
      <c r="B1305" s="38" t="s">
        <v>58</v>
      </c>
      <c r="C1305" s="38">
        <v>4.0</v>
      </c>
      <c r="D1305" s="38" t="s">
        <v>2691</v>
      </c>
      <c r="E1305" s="38" t="s">
        <v>3103</v>
      </c>
      <c r="F1305" s="38" t="s">
        <v>3104</v>
      </c>
    </row>
    <row r="1306">
      <c r="A1306" s="44"/>
      <c r="B1306" s="38" t="s">
        <v>354</v>
      </c>
      <c r="C1306" s="38">
        <v>4.0</v>
      </c>
      <c r="D1306" s="38" t="s">
        <v>2691</v>
      </c>
      <c r="E1306" s="38" t="s">
        <v>3105</v>
      </c>
      <c r="F1306" s="38" t="s">
        <v>3106</v>
      </c>
    </row>
    <row r="1307">
      <c r="B1307" s="38" t="s">
        <v>411</v>
      </c>
      <c r="C1307" s="38">
        <v>2.0</v>
      </c>
      <c r="D1307" s="38" t="s">
        <v>2094</v>
      </c>
      <c r="E1307" s="38" t="s">
        <v>3107</v>
      </c>
      <c r="F1307" s="38" t="s">
        <v>3108</v>
      </c>
    </row>
    <row r="1308">
      <c r="B1308" s="38" t="s">
        <v>183</v>
      </c>
      <c r="C1308" s="38">
        <v>2.0</v>
      </c>
      <c r="D1308" s="38" t="s">
        <v>2094</v>
      </c>
      <c r="E1308" s="47" t="s">
        <v>3109</v>
      </c>
      <c r="F1308" s="38" t="s">
        <v>3108</v>
      </c>
    </row>
    <row r="1309">
      <c r="B1309" s="97" t="s">
        <v>3110</v>
      </c>
      <c r="C1309" s="97" t="s">
        <v>3111</v>
      </c>
      <c r="D1309" s="92" t="s">
        <v>3112</v>
      </c>
      <c r="E1309" s="38" t="s">
        <v>3032</v>
      </c>
      <c r="F1309" s="38" t="s">
        <v>3113</v>
      </c>
      <c r="G1309" s="1" t="s">
        <v>144</v>
      </c>
    </row>
    <row r="1310">
      <c r="B1310" s="38" t="s">
        <v>3114</v>
      </c>
      <c r="C1310" s="38" t="s">
        <v>3115</v>
      </c>
      <c r="D1310" s="44"/>
      <c r="E1310" s="38" t="s">
        <v>2290</v>
      </c>
      <c r="F1310" s="44"/>
    </row>
    <row r="1311">
      <c r="B1311" s="38" t="s">
        <v>3116</v>
      </c>
      <c r="C1311" s="38">
        <v>4.0</v>
      </c>
      <c r="D1311" s="38" t="s">
        <v>3117</v>
      </c>
      <c r="E1311" s="38" t="s">
        <v>1516</v>
      </c>
      <c r="F1311" s="44"/>
    </row>
    <row r="1312">
      <c r="A1312" s="44"/>
      <c r="B1312" s="38" t="s">
        <v>77</v>
      </c>
      <c r="C1312" s="38">
        <v>4.0</v>
      </c>
      <c r="D1312" s="38" t="s">
        <v>289</v>
      </c>
      <c r="E1312" s="38" t="s">
        <v>3118</v>
      </c>
      <c r="F1312" s="38" t="s">
        <v>3119</v>
      </c>
    </row>
    <row r="1313">
      <c r="B1313" s="38" t="s">
        <v>58</v>
      </c>
      <c r="C1313" s="38">
        <v>4.0</v>
      </c>
      <c r="D1313" s="38" t="s">
        <v>3120</v>
      </c>
      <c r="E1313" s="38" t="s">
        <v>3121</v>
      </c>
      <c r="F1313" s="38" t="s">
        <v>3122</v>
      </c>
    </row>
    <row r="1314">
      <c r="B1314" s="38" t="s">
        <v>88</v>
      </c>
      <c r="C1314" s="38">
        <v>4.0</v>
      </c>
      <c r="D1314" s="38" t="s">
        <v>684</v>
      </c>
      <c r="E1314" s="38" t="s">
        <v>413</v>
      </c>
      <c r="F1314" s="38" t="s">
        <v>2595</v>
      </c>
    </row>
    <row r="1315">
      <c r="B1315" s="38" t="s">
        <v>3123</v>
      </c>
      <c r="C1315" s="47" t="s">
        <v>3124</v>
      </c>
      <c r="D1315" s="47" t="s">
        <v>3125</v>
      </c>
      <c r="E1315" s="38" t="s">
        <v>3126</v>
      </c>
      <c r="F1315" s="38" t="s">
        <v>3127</v>
      </c>
    </row>
    <row r="1316">
      <c r="B1316" s="44"/>
      <c r="C1316" s="47" t="s">
        <v>3128</v>
      </c>
      <c r="D1316" s="47" t="s">
        <v>3129</v>
      </c>
      <c r="E1316" s="38" t="s">
        <v>3126</v>
      </c>
      <c r="F1316" s="38" t="s">
        <v>3127</v>
      </c>
    </row>
    <row r="1317">
      <c r="B1317" s="38" t="s">
        <v>1513</v>
      </c>
      <c r="C1317" s="38">
        <v>4.0</v>
      </c>
      <c r="D1317" s="38" t="s">
        <v>737</v>
      </c>
      <c r="E1317" s="38" t="s">
        <v>3130</v>
      </c>
      <c r="F1317" s="38"/>
    </row>
    <row r="1318">
      <c r="B1318" s="38" t="s">
        <v>416</v>
      </c>
      <c r="C1318" s="38">
        <v>4.0</v>
      </c>
      <c r="D1318" s="38" t="s">
        <v>3131</v>
      </c>
      <c r="E1318" s="38" t="s">
        <v>3132</v>
      </c>
      <c r="F1318" s="38" t="s">
        <v>3133</v>
      </c>
    </row>
    <row r="1319">
      <c r="B1319" s="38" t="s">
        <v>3134</v>
      </c>
      <c r="C1319" s="38">
        <v>4.0</v>
      </c>
      <c r="D1319" s="38" t="s">
        <v>3135</v>
      </c>
      <c r="E1319" s="38" t="s">
        <v>3132</v>
      </c>
      <c r="F1319" s="38" t="s">
        <v>3136</v>
      </c>
    </row>
    <row r="1320">
      <c r="B1320" s="131" t="s">
        <v>25</v>
      </c>
      <c r="C1320" s="131">
        <v>2.0</v>
      </c>
      <c r="D1320" s="131" t="s">
        <v>672</v>
      </c>
      <c r="E1320" s="131" t="s">
        <v>3137</v>
      </c>
      <c r="F1320" s="130"/>
    </row>
    <row r="1321">
      <c r="A1321" s="1" t="s">
        <v>3138</v>
      </c>
      <c r="B1321" s="38" t="s">
        <v>210</v>
      </c>
      <c r="C1321" s="38">
        <v>2.0</v>
      </c>
      <c r="D1321" s="38" t="s">
        <v>2421</v>
      </c>
      <c r="E1321" s="38" t="s">
        <v>3139</v>
      </c>
      <c r="F1321" s="38" t="s">
        <v>3140</v>
      </c>
    </row>
    <row r="1322">
      <c r="A1322" s="1" t="s">
        <v>3141</v>
      </c>
      <c r="B1322" s="38" t="s">
        <v>214</v>
      </c>
      <c r="C1322" s="38">
        <v>2.0</v>
      </c>
      <c r="D1322" s="38" t="s">
        <v>2421</v>
      </c>
      <c r="E1322" s="38" t="s">
        <v>3139</v>
      </c>
      <c r="F1322" s="38" t="s">
        <v>3140</v>
      </c>
    </row>
    <row r="1323">
      <c r="B1323" s="38" t="s">
        <v>183</v>
      </c>
      <c r="C1323" s="38">
        <v>4.0</v>
      </c>
      <c r="D1323" s="38" t="s">
        <v>27</v>
      </c>
      <c r="E1323" s="38" t="s">
        <v>3142</v>
      </c>
      <c r="F1323" s="38" t="s">
        <v>3143</v>
      </c>
    </row>
    <row r="1324">
      <c r="B1324" s="131" t="s">
        <v>718</v>
      </c>
      <c r="C1324" s="131">
        <v>4.0</v>
      </c>
      <c r="D1324" s="131" t="s">
        <v>3144</v>
      </c>
      <c r="E1324" s="131" t="s">
        <v>337</v>
      </c>
      <c r="F1324" s="131" t="s">
        <v>3145</v>
      </c>
    </row>
    <row r="1325">
      <c r="A1325" s="44"/>
      <c r="B1325" s="38" t="s">
        <v>205</v>
      </c>
      <c r="C1325" s="38">
        <v>4.0</v>
      </c>
      <c r="D1325" s="38" t="s">
        <v>2061</v>
      </c>
      <c r="E1325" s="38" t="s">
        <v>325</v>
      </c>
      <c r="F1325" s="38" t="s">
        <v>2645</v>
      </c>
      <c r="G1325" s="38" t="s">
        <v>3146</v>
      </c>
    </row>
    <row r="1326">
      <c r="B1326" s="1" t="s">
        <v>3147</v>
      </c>
      <c r="C1326" s="1" t="s">
        <v>3148</v>
      </c>
      <c r="E1326" s="1" t="s">
        <v>3149</v>
      </c>
    </row>
    <row r="1327">
      <c r="B1327" s="1" t="s">
        <v>3150</v>
      </c>
      <c r="C1327" s="1" t="s">
        <v>3151</v>
      </c>
      <c r="D1327" s="1" t="s">
        <v>3152</v>
      </c>
      <c r="E1327" s="1" t="s">
        <v>3149</v>
      </c>
    </row>
    <row r="1328">
      <c r="B1328" s="1" t="s">
        <v>3153</v>
      </c>
      <c r="C1328" s="1" t="s">
        <v>3154</v>
      </c>
      <c r="D1328" s="1" t="s">
        <v>3155</v>
      </c>
      <c r="E1328" s="1" t="s">
        <v>3149</v>
      </c>
    </row>
    <row r="1329">
      <c r="B1329" s="1" t="s">
        <v>3156</v>
      </c>
      <c r="C1329" s="1" t="s">
        <v>3157</v>
      </c>
      <c r="D1329" s="1"/>
      <c r="E1329" s="1" t="s">
        <v>3149</v>
      </c>
    </row>
    <row r="1330">
      <c r="B1330" s="1"/>
      <c r="C1330" s="1"/>
      <c r="D1330" s="1"/>
      <c r="E1330" s="1" t="s">
        <v>3158</v>
      </c>
      <c r="F1330" s="1" t="s">
        <v>3159</v>
      </c>
    </row>
    <row r="1331">
      <c r="B1331" s="1"/>
      <c r="C1331" s="1"/>
      <c r="D1331" s="1"/>
    </row>
    <row r="1332">
      <c r="C1332" s="1" t="s">
        <v>3160</v>
      </c>
      <c r="D1332" s="1" t="s">
        <v>3161</v>
      </c>
      <c r="E1332" s="1" t="s">
        <v>3162</v>
      </c>
      <c r="F1332" s="1" t="s">
        <v>3163</v>
      </c>
    </row>
    <row r="1333">
      <c r="D1333" s="1" t="s">
        <v>3164</v>
      </c>
      <c r="E1333" s="1" t="s">
        <v>3165</v>
      </c>
      <c r="F1333" s="1" t="s">
        <v>3166</v>
      </c>
    </row>
    <row r="1334">
      <c r="A1334" s="38" t="s">
        <v>3167</v>
      </c>
      <c r="B1334" s="38" t="s">
        <v>2869</v>
      </c>
      <c r="C1334" s="213" t="s">
        <v>3168</v>
      </c>
      <c r="D1334" s="137" t="s">
        <v>3169</v>
      </c>
      <c r="E1334" s="38" t="s">
        <v>3170</v>
      </c>
      <c r="F1334" s="38" t="s">
        <v>2995</v>
      </c>
    </row>
    <row r="1335">
      <c r="B1335" s="44"/>
      <c r="C1335" s="38" t="s">
        <v>3171</v>
      </c>
      <c r="D1335" s="38" t="s">
        <v>922</v>
      </c>
      <c r="E1335" s="38" t="s">
        <v>3172</v>
      </c>
      <c r="F1335" s="38" t="s">
        <v>3173</v>
      </c>
    </row>
    <row r="1336">
      <c r="B1336" s="38" t="s">
        <v>3174</v>
      </c>
      <c r="C1336" s="44"/>
      <c r="D1336" s="38" t="s">
        <v>3175</v>
      </c>
      <c r="E1336" s="38" t="s">
        <v>3172</v>
      </c>
      <c r="F1336" s="38" t="s">
        <v>3173</v>
      </c>
    </row>
    <row r="1337">
      <c r="B1337" s="38" t="s">
        <v>3176</v>
      </c>
      <c r="C1337" s="44"/>
      <c r="D1337" s="38" t="s">
        <v>3177</v>
      </c>
      <c r="E1337" s="38" t="s">
        <v>3172</v>
      </c>
      <c r="F1337" s="38" t="s">
        <v>3173</v>
      </c>
    </row>
    <row r="1338">
      <c r="B1338" s="38" t="s">
        <v>58</v>
      </c>
      <c r="C1338" s="38">
        <v>4.0</v>
      </c>
      <c r="D1338" s="38" t="s">
        <v>3178</v>
      </c>
      <c r="E1338" s="38" t="s">
        <v>3179</v>
      </c>
      <c r="F1338" s="38" t="s">
        <v>3180</v>
      </c>
    </row>
    <row r="1339">
      <c r="B1339" s="38" t="s">
        <v>1761</v>
      </c>
      <c r="C1339" s="38">
        <v>4.0</v>
      </c>
      <c r="D1339" s="38" t="s">
        <v>2421</v>
      </c>
      <c r="E1339" s="38" t="s">
        <v>3181</v>
      </c>
      <c r="F1339" s="38" t="s">
        <v>3182</v>
      </c>
    </row>
    <row r="1340">
      <c r="B1340" s="1" t="s">
        <v>1757</v>
      </c>
      <c r="C1340" s="1">
        <v>2.0</v>
      </c>
      <c r="D1340" s="1" t="s">
        <v>2421</v>
      </c>
      <c r="E1340" s="4" t="s">
        <v>3181</v>
      </c>
      <c r="F1340" s="4"/>
    </row>
    <row r="1341">
      <c r="B1341" s="38" t="s">
        <v>2329</v>
      </c>
      <c r="C1341" s="38">
        <v>4.0</v>
      </c>
      <c r="D1341" s="38" t="s">
        <v>3183</v>
      </c>
      <c r="E1341" s="38" t="s">
        <v>3184</v>
      </c>
      <c r="F1341" s="38" t="s">
        <v>3185</v>
      </c>
    </row>
    <row r="1342">
      <c r="B1342" s="44"/>
      <c r="C1342" s="44"/>
      <c r="D1342" s="38" t="s">
        <v>3186</v>
      </c>
      <c r="E1342" s="38" t="s">
        <v>2832</v>
      </c>
      <c r="F1342" s="38" t="s">
        <v>3187</v>
      </c>
    </row>
    <row r="1343">
      <c r="B1343" s="38" t="s">
        <v>122</v>
      </c>
      <c r="C1343" s="38">
        <v>4.0</v>
      </c>
      <c r="D1343" s="38" t="s">
        <v>2489</v>
      </c>
      <c r="E1343" s="38" t="s">
        <v>3188</v>
      </c>
      <c r="F1343" s="38" t="s">
        <v>3189</v>
      </c>
    </row>
    <row r="1344">
      <c r="B1344" s="155" t="s">
        <v>3190</v>
      </c>
      <c r="C1344" s="155" t="s">
        <v>3191</v>
      </c>
      <c r="D1344" s="155" t="s">
        <v>3192</v>
      </c>
      <c r="E1344" s="214" t="s">
        <v>3193</v>
      </c>
    </row>
    <row r="1345">
      <c r="B1345" s="155" t="s">
        <v>3194</v>
      </c>
      <c r="C1345" s="155" t="s">
        <v>3195</v>
      </c>
      <c r="D1345" s="155" t="s">
        <v>3196</v>
      </c>
      <c r="E1345" s="214" t="s">
        <v>3193</v>
      </c>
    </row>
    <row r="1346">
      <c r="C1346" s="155" t="s">
        <v>3197</v>
      </c>
      <c r="D1346" s="155" t="s">
        <v>3198</v>
      </c>
      <c r="E1346" s="214" t="s">
        <v>3193</v>
      </c>
    </row>
    <row r="1347">
      <c r="B1347" s="38" t="s">
        <v>1892</v>
      </c>
      <c r="C1347" s="38">
        <v>2.0</v>
      </c>
      <c r="D1347" s="38" t="s">
        <v>672</v>
      </c>
      <c r="E1347" s="38" t="s">
        <v>3199</v>
      </c>
      <c r="F1347" s="38" t="s">
        <v>3200</v>
      </c>
    </row>
    <row r="1348">
      <c r="B1348" s="38" t="s">
        <v>3023</v>
      </c>
      <c r="C1348" s="38">
        <v>2.0</v>
      </c>
      <c r="D1348" s="38" t="s">
        <v>672</v>
      </c>
      <c r="E1348" s="38" t="s">
        <v>325</v>
      </c>
      <c r="F1348" s="38" t="s">
        <v>3200</v>
      </c>
    </row>
    <row r="1349">
      <c r="B1349" s="38" t="s">
        <v>283</v>
      </c>
      <c r="C1349" s="38">
        <v>4.0</v>
      </c>
      <c r="D1349" s="38" t="s">
        <v>2691</v>
      </c>
      <c r="E1349" s="38" t="s">
        <v>3201</v>
      </c>
      <c r="F1349" s="38" t="s">
        <v>3202</v>
      </c>
    </row>
    <row r="1350">
      <c r="A1350" s="19">
        <v>46038.0</v>
      </c>
      <c r="B1350" s="158" t="s">
        <v>3203</v>
      </c>
      <c r="C1350" s="158" t="s">
        <v>3204</v>
      </c>
      <c r="D1350" s="1" t="s">
        <v>1475</v>
      </c>
      <c r="E1350" s="1" t="s">
        <v>3205</v>
      </c>
    </row>
    <row r="1351">
      <c r="B1351" s="163" t="s">
        <v>3206</v>
      </c>
      <c r="C1351" s="1" t="s">
        <v>3207</v>
      </c>
      <c r="D1351" s="1" t="s">
        <v>3208</v>
      </c>
      <c r="E1351" s="1" t="s">
        <v>3205</v>
      </c>
    </row>
    <row r="1352">
      <c r="B1352" s="163"/>
      <c r="C1352" s="1"/>
      <c r="D1352" s="1"/>
      <c r="E1352" s="1" t="s">
        <v>3205</v>
      </c>
    </row>
    <row r="1353">
      <c r="B1353" s="163"/>
      <c r="C1353" s="1"/>
      <c r="D1353" s="1" t="s">
        <v>3209</v>
      </c>
      <c r="E1353" s="1" t="s">
        <v>3210</v>
      </c>
    </row>
    <row r="1354">
      <c r="B1354" s="163"/>
      <c r="C1354" s="1"/>
      <c r="D1354" s="1"/>
      <c r="E1354" s="1" t="s">
        <v>3211</v>
      </c>
      <c r="F1354" s="1" t="s">
        <v>3212</v>
      </c>
    </row>
    <row r="1355">
      <c r="B1355" s="38" t="s">
        <v>58</v>
      </c>
      <c r="C1355" s="38">
        <v>4.0</v>
      </c>
      <c r="D1355" s="38" t="s">
        <v>672</v>
      </c>
      <c r="E1355" s="38" t="s">
        <v>3213</v>
      </c>
      <c r="F1355" s="38" t="s">
        <v>3214</v>
      </c>
    </row>
    <row r="1356">
      <c r="B1356" s="38" t="s">
        <v>1432</v>
      </c>
      <c r="C1356" s="38">
        <v>4.0</v>
      </c>
      <c r="D1356" s="38" t="s">
        <v>3215</v>
      </c>
      <c r="E1356" s="38" t="s">
        <v>3216</v>
      </c>
      <c r="F1356" s="38" t="s">
        <v>3217</v>
      </c>
    </row>
    <row r="1357">
      <c r="B1357" s="38" t="s">
        <v>3218</v>
      </c>
      <c r="C1357" s="44"/>
      <c r="D1357" s="44"/>
      <c r="E1357" s="38" t="s">
        <v>2614</v>
      </c>
      <c r="F1357" s="38" t="s">
        <v>3219</v>
      </c>
    </row>
    <row r="1358">
      <c r="B1358" s="38" t="s">
        <v>3220</v>
      </c>
      <c r="C1358" s="44"/>
      <c r="D1358" s="44"/>
      <c r="E1358" s="38" t="s">
        <v>2614</v>
      </c>
      <c r="F1358" s="38" t="s">
        <v>3219</v>
      </c>
    </row>
    <row r="1359">
      <c r="B1359" s="1" t="s">
        <v>3221</v>
      </c>
      <c r="D1359" s="1" t="s">
        <v>3222</v>
      </c>
      <c r="E1359" s="1" t="s">
        <v>3223</v>
      </c>
      <c r="F1359" s="1" t="s">
        <v>3224</v>
      </c>
    </row>
    <row r="1360">
      <c r="B1360" s="44"/>
      <c r="C1360" s="38" t="s">
        <v>3225</v>
      </c>
      <c r="D1360" s="38" t="s">
        <v>3226</v>
      </c>
      <c r="E1360" s="38" t="s">
        <v>2396</v>
      </c>
      <c r="F1360" s="38" t="s">
        <v>3227</v>
      </c>
    </row>
    <row r="1361">
      <c r="A1361" s="44"/>
      <c r="B1361" s="44"/>
      <c r="C1361" s="44"/>
      <c r="D1361" s="38" t="s">
        <v>3228</v>
      </c>
      <c r="E1361" s="38" t="s">
        <v>633</v>
      </c>
      <c r="F1361" s="38" t="s">
        <v>3229</v>
      </c>
    </row>
    <row r="1362">
      <c r="B1362" s="38" t="s">
        <v>3230</v>
      </c>
      <c r="C1362" s="44"/>
      <c r="D1362" s="38">
        <v>4.0</v>
      </c>
      <c r="E1362" s="38" t="s">
        <v>3231</v>
      </c>
      <c r="F1362" s="38" t="s">
        <v>3232</v>
      </c>
    </row>
    <row r="1363">
      <c r="B1363" s="44"/>
      <c r="C1363" s="44"/>
      <c r="D1363" s="38" t="s">
        <v>3233</v>
      </c>
      <c r="E1363" s="38" t="s">
        <v>3234</v>
      </c>
      <c r="F1363" s="38" t="s">
        <v>144</v>
      </c>
    </row>
    <row r="1364">
      <c r="A1364" s="199" t="s">
        <v>3235</v>
      </c>
      <c r="B1364" s="1" t="s">
        <v>3236</v>
      </c>
      <c r="C1364" s="215" t="s">
        <v>3237</v>
      </c>
      <c r="D1364" s="215" t="s">
        <v>3238</v>
      </c>
      <c r="E1364" s="5" t="s">
        <v>3239</v>
      </c>
      <c r="F1364" s="1" t="s">
        <v>3240</v>
      </c>
    </row>
    <row r="1365">
      <c r="B1365" s="1" t="s">
        <v>2887</v>
      </c>
      <c r="C1365" s="216" t="s">
        <v>3241</v>
      </c>
      <c r="D1365" s="216" t="s">
        <v>3242</v>
      </c>
      <c r="E1365" s="5" t="s">
        <v>3239</v>
      </c>
      <c r="F1365" s="1" t="s">
        <v>3243</v>
      </c>
    </row>
    <row r="1366">
      <c r="B1366" s="38" t="s">
        <v>85</v>
      </c>
      <c r="C1366" s="38">
        <v>2.0</v>
      </c>
      <c r="D1366" s="38" t="s">
        <v>2479</v>
      </c>
      <c r="E1366" s="38" t="s">
        <v>325</v>
      </c>
      <c r="F1366" s="38" t="s">
        <v>3244</v>
      </c>
    </row>
    <row r="1367">
      <c r="B1367" s="38" t="s">
        <v>31</v>
      </c>
      <c r="C1367" s="38">
        <v>2.0</v>
      </c>
      <c r="D1367" s="38" t="s">
        <v>2479</v>
      </c>
      <c r="E1367" s="38" t="s">
        <v>325</v>
      </c>
      <c r="F1367" s="38" t="s">
        <v>3244</v>
      </c>
    </row>
    <row r="1368">
      <c r="B1368" s="38" t="s">
        <v>219</v>
      </c>
      <c r="C1368" s="38">
        <v>4.0</v>
      </c>
      <c r="D1368" s="38" t="s">
        <v>2632</v>
      </c>
      <c r="E1368" s="38" t="s">
        <v>2386</v>
      </c>
      <c r="F1368" s="38" t="s">
        <v>3245</v>
      </c>
    </row>
    <row r="1369">
      <c r="B1369" s="1" t="s">
        <v>3246</v>
      </c>
      <c r="C1369" s="1" t="s">
        <v>3247</v>
      </c>
      <c r="D1369" s="1" t="s">
        <v>3248</v>
      </c>
      <c r="E1369" s="1" t="s">
        <v>3249</v>
      </c>
    </row>
    <row r="1370">
      <c r="B1370" s="1" t="s">
        <v>3250</v>
      </c>
      <c r="D1370" s="1" t="s">
        <v>3251</v>
      </c>
      <c r="E1370" s="1" t="s">
        <v>3252</v>
      </c>
    </row>
    <row r="1371">
      <c r="B1371" s="38" t="s">
        <v>982</v>
      </c>
      <c r="C1371" s="38">
        <v>4.0</v>
      </c>
      <c r="D1371" s="38" t="s">
        <v>3253</v>
      </c>
      <c r="E1371" s="38" t="s">
        <v>325</v>
      </c>
      <c r="F1371" s="38" t="s">
        <v>3254</v>
      </c>
    </row>
    <row r="1372">
      <c r="B1372" s="4" t="s">
        <v>3255</v>
      </c>
      <c r="C1372" s="175" t="s">
        <v>3256</v>
      </c>
      <c r="D1372" s="4" t="s">
        <v>3257</v>
      </c>
      <c r="E1372" s="1" t="s">
        <v>3258</v>
      </c>
      <c r="F1372" s="1" t="s">
        <v>3259</v>
      </c>
    </row>
    <row r="1373">
      <c r="B1373" s="4" t="s">
        <v>3260</v>
      </c>
      <c r="C1373" s="4" t="s">
        <v>3261</v>
      </c>
      <c r="D1373" s="4" t="s">
        <v>3262</v>
      </c>
      <c r="E1373" s="1" t="s">
        <v>3263</v>
      </c>
    </row>
    <row r="1374">
      <c r="B1374" s="1" t="s">
        <v>3264</v>
      </c>
      <c r="C1374" s="4"/>
      <c r="D1374" s="4"/>
      <c r="E1374" s="1" t="s">
        <v>3263</v>
      </c>
    </row>
    <row r="1375">
      <c r="B1375" s="1" t="s">
        <v>3265</v>
      </c>
      <c r="C1375" s="1" t="s">
        <v>3266</v>
      </c>
      <c r="D1375" s="4"/>
      <c r="E1375" s="1" t="s">
        <v>3263</v>
      </c>
      <c r="F1375" s="1" t="s">
        <v>1252</v>
      </c>
    </row>
    <row r="1376">
      <c r="A1376" s="44"/>
      <c r="B1376" s="112" t="s">
        <v>3267</v>
      </c>
      <c r="C1376" s="44"/>
      <c r="D1376" s="44"/>
      <c r="E1376" s="38" t="s">
        <v>1910</v>
      </c>
      <c r="F1376" s="38" t="s">
        <v>144</v>
      </c>
    </row>
    <row r="1377">
      <c r="A1377" s="44"/>
      <c r="B1377" s="217" t="s">
        <v>3268</v>
      </c>
      <c r="C1377" s="44"/>
      <c r="D1377" s="44"/>
      <c r="E1377" s="38" t="s">
        <v>1910</v>
      </c>
      <c r="F1377" s="38" t="s">
        <v>144</v>
      </c>
    </row>
    <row r="1378">
      <c r="A1378" s="44"/>
      <c r="B1378" s="217" t="s">
        <v>3269</v>
      </c>
      <c r="C1378" s="44"/>
      <c r="D1378" s="44"/>
      <c r="E1378" s="38" t="s">
        <v>1910</v>
      </c>
      <c r="F1378" s="38" t="s">
        <v>144</v>
      </c>
    </row>
    <row r="1379">
      <c r="B1379" s="38" t="s">
        <v>58</v>
      </c>
      <c r="C1379" s="38">
        <v>4.0</v>
      </c>
      <c r="D1379" s="38" t="s">
        <v>3270</v>
      </c>
      <c r="E1379" s="38" t="s">
        <v>3271</v>
      </c>
      <c r="F1379" s="38" t="s">
        <v>3272</v>
      </c>
    </row>
    <row r="1380">
      <c r="E1380" s="1" t="s">
        <v>3273</v>
      </c>
      <c r="F1380" s="1" t="s">
        <v>3274</v>
      </c>
    </row>
    <row r="1381">
      <c r="E1381" s="1" t="s">
        <v>3275</v>
      </c>
      <c r="F1381" s="1" t="s">
        <v>3276</v>
      </c>
      <c r="G1381" s="1" t="s">
        <v>3277</v>
      </c>
    </row>
    <row r="1382">
      <c r="E1382" s="1" t="s">
        <v>974</v>
      </c>
      <c r="F1382" s="1" t="s">
        <v>3278</v>
      </c>
      <c r="G1382" s="1"/>
    </row>
    <row r="1383">
      <c r="B1383" s="44"/>
      <c r="C1383" s="44"/>
      <c r="D1383" s="38" t="s">
        <v>3279</v>
      </c>
      <c r="E1383" s="38" t="s">
        <v>450</v>
      </c>
      <c r="F1383" s="38" t="s">
        <v>3280</v>
      </c>
    </row>
    <row r="1384">
      <c r="B1384" s="44"/>
      <c r="C1384" s="44"/>
      <c r="D1384" s="38" t="s">
        <v>3281</v>
      </c>
      <c r="E1384" s="38" t="s">
        <v>3282</v>
      </c>
      <c r="F1384" s="38" t="s">
        <v>3229</v>
      </c>
    </row>
    <row r="1385">
      <c r="B1385" s="44"/>
      <c r="C1385" s="97" t="s">
        <v>3283</v>
      </c>
      <c r="D1385" s="179" t="s">
        <v>3284</v>
      </c>
      <c r="E1385" s="38" t="s">
        <v>3285</v>
      </c>
      <c r="F1385" s="38" t="s">
        <v>3286</v>
      </c>
      <c r="G1385" s="38" t="s">
        <v>3287</v>
      </c>
    </row>
    <row r="1386">
      <c r="B1386" s="44"/>
      <c r="C1386" s="97" t="s">
        <v>3288</v>
      </c>
      <c r="D1386" s="179" t="s">
        <v>3289</v>
      </c>
      <c r="E1386" s="38" t="s">
        <v>3290</v>
      </c>
      <c r="F1386" s="38" t="s">
        <v>3291</v>
      </c>
      <c r="G1386" s="38" t="s">
        <v>3287</v>
      </c>
    </row>
    <row r="1387">
      <c r="B1387" s="44"/>
      <c r="C1387" s="97" t="s">
        <v>3292</v>
      </c>
      <c r="D1387" s="179" t="s">
        <v>3293</v>
      </c>
      <c r="E1387" s="38" t="s">
        <v>3290</v>
      </c>
      <c r="F1387" s="44"/>
      <c r="G1387" s="38" t="s">
        <v>3287</v>
      </c>
    </row>
    <row r="1388">
      <c r="B1388" s="38" t="s">
        <v>166</v>
      </c>
      <c r="C1388" s="38">
        <v>2.0</v>
      </c>
      <c r="D1388" s="38" t="s">
        <v>672</v>
      </c>
      <c r="E1388" s="38" t="s">
        <v>418</v>
      </c>
      <c r="F1388" s="38" t="s">
        <v>3294</v>
      </c>
    </row>
    <row r="1389">
      <c r="A1389" s="44"/>
      <c r="B1389" s="97" t="s">
        <v>3295</v>
      </c>
      <c r="C1389" s="97" t="s">
        <v>3296</v>
      </c>
      <c r="D1389" s="97" t="s">
        <v>3297</v>
      </c>
      <c r="E1389" s="38" t="s">
        <v>3298</v>
      </c>
      <c r="F1389" s="97" t="s">
        <v>3299</v>
      </c>
      <c r="G1389" s="38" t="s">
        <v>2879</v>
      </c>
      <c r="H1389" s="38" t="s">
        <v>3300</v>
      </c>
      <c r="I1389" s="44"/>
    </row>
    <row r="1390">
      <c r="A1390" s="44"/>
      <c r="B1390" s="97"/>
      <c r="C1390" s="97" t="s">
        <v>3301</v>
      </c>
      <c r="D1390" s="97" t="s">
        <v>3302</v>
      </c>
      <c r="E1390" s="38" t="s">
        <v>3303</v>
      </c>
      <c r="F1390" s="179" t="s">
        <v>3304</v>
      </c>
      <c r="G1390" s="38" t="s">
        <v>2879</v>
      </c>
      <c r="H1390" s="44"/>
      <c r="I1390" s="44"/>
    </row>
    <row r="1391">
      <c r="A1391" s="65">
        <v>46045.0</v>
      </c>
      <c r="B1391" s="38" t="s">
        <v>3305</v>
      </c>
      <c r="C1391" s="38" t="s">
        <v>3306</v>
      </c>
      <c r="D1391" s="44"/>
      <c r="E1391" s="38" t="s">
        <v>3307</v>
      </c>
      <c r="F1391" s="38" t="s">
        <v>2379</v>
      </c>
    </row>
    <row r="1392">
      <c r="A1392" s="218"/>
      <c r="B1392" s="38" t="s">
        <v>3308</v>
      </c>
      <c r="C1392" s="47" t="s">
        <v>3309</v>
      </c>
      <c r="D1392" s="47"/>
      <c r="E1392" s="47" t="s">
        <v>3310</v>
      </c>
      <c r="F1392" s="38" t="s">
        <v>2379</v>
      </c>
    </row>
    <row r="1393">
      <c r="B1393" s="38" t="s">
        <v>3311</v>
      </c>
      <c r="C1393" s="38" t="s">
        <v>3312</v>
      </c>
      <c r="D1393" s="44"/>
      <c r="E1393" s="38" t="s">
        <v>3313</v>
      </c>
      <c r="F1393" s="38" t="s">
        <v>3314</v>
      </c>
    </row>
    <row r="1394">
      <c r="B1394" s="38" t="s">
        <v>3315</v>
      </c>
      <c r="C1394" s="44"/>
      <c r="D1394" s="44"/>
      <c r="E1394" s="38" t="s">
        <v>3059</v>
      </c>
      <c r="F1394" s="38" t="s">
        <v>3316</v>
      </c>
      <c r="G1394" s="38" t="s">
        <v>3317</v>
      </c>
    </row>
    <row r="1395">
      <c r="A1395" s="44"/>
      <c r="B1395" s="97" t="s">
        <v>3318</v>
      </c>
      <c r="C1395" s="97" t="s">
        <v>3319</v>
      </c>
      <c r="D1395" s="179" t="s">
        <v>3320</v>
      </c>
      <c r="E1395" s="38" t="s">
        <v>3321</v>
      </c>
      <c r="F1395" s="44"/>
      <c r="G1395" s="44"/>
      <c r="H1395" s="38" t="s">
        <v>3322</v>
      </c>
    </row>
    <row r="1396">
      <c r="A1396" s="44"/>
      <c r="B1396" s="44"/>
      <c r="C1396" s="44"/>
      <c r="D1396" s="97" t="s">
        <v>3323</v>
      </c>
      <c r="E1396" s="38" t="s">
        <v>3321</v>
      </c>
      <c r="F1396" s="219" t="s">
        <v>3324</v>
      </c>
      <c r="G1396" s="219" t="s">
        <v>3325</v>
      </c>
      <c r="H1396" s="38" t="s">
        <v>3322</v>
      </c>
    </row>
    <row r="1397">
      <c r="B1397" s="151" t="s">
        <v>3326</v>
      </c>
      <c r="C1397" s="151" t="s">
        <v>3326</v>
      </c>
      <c r="D1397" s="47" t="s">
        <v>3327</v>
      </c>
      <c r="E1397" s="47" t="s">
        <v>3035</v>
      </c>
      <c r="F1397" s="47" t="s">
        <v>3328</v>
      </c>
      <c r="G1397" s="44"/>
      <c r="H1397" s="44"/>
    </row>
    <row r="1398">
      <c r="A1398" s="44"/>
      <c r="B1398" s="38" t="s">
        <v>3329</v>
      </c>
      <c r="C1398" s="38">
        <v>1.0</v>
      </c>
      <c r="D1398" s="38" t="s">
        <v>42</v>
      </c>
      <c r="E1398" s="38" t="s">
        <v>3330</v>
      </c>
      <c r="F1398" s="38" t="s">
        <v>3331</v>
      </c>
      <c r="G1398" s="38" t="s">
        <v>3332</v>
      </c>
      <c r="H1398" s="38" t="s">
        <v>3333</v>
      </c>
    </row>
    <row r="1399">
      <c r="B1399" s="38" t="s">
        <v>354</v>
      </c>
      <c r="C1399" s="38">
        <v>2.0</v>
      </c>
      <c r="D1399" s="38" t="s">
        <v>2423</v>
      </c>
      <c r="E1399" s="38" t="s">
        <v>3334</v>
      </c>
      <c r="F1399" s="38" t="s">
        <v>3335</v>
      </c>
    </row>
    <row r="1400">
      <c r="B1400" s="38" t="s">
        <v>479</v>
      </c>
      <c r="C1400" s="38">
        <v>2.0</v>
      </c>
      <c r="D1400" s="38" t="s">
        <v>2423</v>
      </c>
      <c r="E1400" s="38" t="s">
        <v>3334</v>
      </c>
      <c r="F1400" s="38" t="s">
        <v>3335</v>
      </c>
    </row>
    <row r="1401">
      <c r="B1401" s="137" t="s">
        <v>3336</v>
      </c>
      <c r="C1401" s="137" t="s">
        <v>3337</v>
      </c>
      <c r="D1401" s="92" t="s">
        <v>3338</v>
      </c>
      <c r="E1401" s="38" t="s">
        <v>3339</v>
      </c>
      <c r="F1401" s="38" t="s">
        <v>3219</v>
      </c>
    </row>
    <row r="1402">
      <c r="C1402" s="212" t="s">
        <v>3340</v>
      </c>
      <c r="D1402" s="158" t="s">
        <v>3341</v>
      </c>
      <c r="E1402" s="1" t="s">
        <v>3342</v>
      </c>
    </row>
    <row r="1403">
      <c r="C1403" s="212" t="s">
        <v>3343</v>
      </c>
      <c r="D1403" s="199" t="s">
        <v>3344</v>
      </c>
      <c r="E1403" s="1" t="s">
        <v>3342</v>
      </c>
    </row>
    <row r="1404">
      <c r="A1404" s="1"/>
      <c r="B1404" s="38" t="s">
        <v>58</v>
      </c>
      <c r="C1404" s="38">
        <v>4.0</v>
      </c>
      <c r="D1404" s="38" t="s">
        <v>2489</v>
      </c>
      <c r="E1404" s="38" t="s">
        <v>488</v>
      </c>
      <c r="F1404" s="38" t="s">
        <v>3345</v>
      </c>
    </row>
    <row r="1405">
      <c r="A1405" s="1"/>
      <c r="B1405" s="38" t="s">
        <v>876</v>
      </c>
      <c r="C1405" s="38">
        <v>1.0</v>
      </c>
      <c r="D1405" s="38" t="s">
        <v>3346</v>
      </c>
      <c r="E1405" s="38" t="s">
        <v>3347</v>
      </c>
      <c r="F1405" s="44"/>
    </row>
    <row r="1406">
      <c r="A1406" s="1"/>
      <c r="B1406" s="38" t="s">
        <v>3348</v>
      </c>
      <c r="C1406" s="44"/>
      <c r="D1406" s="44"/>
      <c r="E1406" s="38" t="s">
        <v>3349</v>
      </c>
      <c r="F1406" s="38" t="s">
        <v>2218</v>
      </c>
    </row>
    <row r="1407">
      <c r="A1407" s="1"/>
      <c r="B1407" s="38" t="s">
        <v>308</v>
      </c>
      <c r="C1407" s="38">
        <v>2.0</v>
      </c>
      <c r="D1407" s="38" t="s">
        <v>513</v>
      </c>
      <c r="E1407" s="38" t="s">
        <v>2742</v>
      </c>
      <c r="F1407" s="38" t="s">
        <v>3350</v>
      </c>
    </row>
    <row r="1408">
      <c r="A1408" s="1"/>
      <c r="B1408" s="38" t="s">
        <v>28</v>
      </c>
      <c r="C1408" s="38">
        <v>4.0</v>
      </c>
      <c r="D1408" s="38" t="s">
        <v>3351</v>
      </c>
      <c r="E1408" s="38" t="s">
        <v>325</v>
      </c>
      <c r="F1408" s="38" t="s">
        <v>3352</v>
      </c>
    </row>
    <row r="1409">
      <c r="A1409" s="44"/>
      <c r="B1409" s="38" t="s">
        <v>3353</v>
      </c>
      <c r="C1409" s="112" t="s">
        <v>3354</v>
      </c>
      <c r="D1409" s="112" t="s">
        <v>3355</v>
      </c>
      <c r="E1409" s="38" t="s">
        <v>3356</v>
      </c>
      <c r="F1409" s="38" t="s">
        <v>3357</v>
      </c>
      <c r="G1409" s="38" t="s">
        <v>3358</v>
      </c>
      <c r="H1409" s="38" t="s">
        <v>3357</v>
      </c>
      <c r="I1409" s="44"/>
    </row>
    <row r="1410">
      <c r="A1410" s="44"/>
      <c r="B1410" s="112" t="s">
        <v>3359</v>
      </c>
      <c r="C1410" s="44"/>
      <c r="D1410" s="44"/>
      <c r="E1410" s="38" t="s">
        <v>3356</v>
      </c>
      <c r="F1410" s="38" t="s">
        <v>3360</v>
      </c>
      <c r="G1410" s="38" t="s">
        <v>3361</v>
      </c>
      <c r="H1410" s="38" t="s">
        <v>3360</v>
      </c>
      <c r="I1410" s="44"/>
    </row>
    <row r="1411">
      <c r="A1411" s="47"/>
      <c r="B1411" s="38" t="s">
        <v>3362</v>
      </c>
      <c r="C1411" s="44"/>
      <c r="D1411" s="38" t="s">
        <v>3363</v>
      </c>
      <c r="E1411" s="38" t="s">
        <v>3356</v>
      </c>
      <c r="F1411" s="38" t="s">
        <v>3364</v>
      </c>
      <c r="G1411" s="38" t="s">
        <v>3365</v>
      </c>
      <c r="H1411" s="38" t="s">
        <v>3366</v>
      </c>
      <c r="I1411" s="44"/>
    </row>
    <row r="1412">
      <c r="A1412" s="47"/>
      <c r="B1412" s="47" t="s">
        <v>3367</v>
      </c>
      <c r="C1412" s="151" t="s">
        <v>3256</v>
      </c>
      <c r="D1412" s="47"/>
      <c r="E1412" s="38" t="s">
        <v>3356</v>
      </c>
      <c r="F1412" s="38" t="s">
        <v>3368</v>
      </c>
      <c r="G1412" s="38" t="s">
        <v>3369</v>
      </c>
      <c r="H1412" s="38" t="s">
        <v>3368</v>
      </c>
      <c r="I1412" s="44"/>
    </row>
    <row r="1413">
      <c r="A1413" s="47"/>
      <c r="B1413" s="47" t="s">
        <v>3370</v>
      </c>
      <c r="C1413" s="47"/>
      <c r="D1413" s="47"/>
      <c r="E1413" s="38" t="s">
        <v>3356</v>
      </c>
      <c r="F1413" s="38" t="s">
        <v>3371</v>
      </c>
      <c r="G1413" s="38" t="s">
        <v>3372</v>
      </c>
      <c r="H1413" s="38" t="s">
        <v>3371</v>
      </c>
      <c r="I1413" s="44"/>
    </row>
    <row r="1414">
      <c r="A1414" s="47"/>
      <c r="B1414" s="47" t="s">
        <v>3373</v>
      </c>
      <c r="C1414" s="47"/>
      <c r="D1414" s="38" t="s">
        <v>3374</v>
      </c>
      <c r="E1414" s="38" t="s">
        <v>3356</v>
      </c>
      <c r="F1414" s="38" t="s">
        <v>3375</v>
      </c>
      <c r="G1414" s="38" t="s">
        <v>3333</v>
      </c>
      <c r="H1414" s="38" t="s">
        <v>701</v>
      </c>
      <c r="I1414" s="38" t="s">
        <v>3376</v>
      </c>
    </row>
    <row r="1415">
      <c r="A1415" s="126">
        <v>46113.0</v>
      </c>
      <c r="B1415" s="38"/>
      <c r="C1415" s="38" t="s">
        <v>3377</v>
      </c>
      <c r="D1415" s="38" t="s">
        <v>3378</v>
      </c>
      <c r="E1415" s="38" t="s">
        <v>3379</v>
      </c>
      <c r="F1415" s="38" t="s">
        <v>3380</v>
      </c>
      <c r="G1415" s="44"/>
    </row>
    <row r="1416">
      <c r="A1416" s="126">
        <v>46114.0</v>
      </c>
      <c r="B1416" s="47"/>
      <c r="C1416" s="47" t="s">
        <v>3381</v>
      </c>
      <c r="D1416" s="47" t="s">
        <v>3382</v>
      </c>
      <c r="E1416" s="38" t="s">
        <v>3379</v>
      </c>
      <c r="F1416" s="38" t="s">
        <v>3380</v>
      </c>
      <c r="G1416" s="44"/>
    </row>
    <row r="1417">
      <c r="A1417" s="126">
        <v>46115.0</v>
      </c>
      <c r="B1417" s="44"/>
      <c r="C1417" s="47" t="s">
        <v>3383</v>
      </c>
      <c r="D1417" s="47" t="s">
        <v>3384</v>
      </c>
      <c r="E1417" s="38" t="s">
        <v>3379</v>
      </c>
      <c r="F1417" s="38" t="s">
        <v>3380</v>
      </c>
      <c r="G1417" s="44"/>
    </row>
    <row r="1418">
      <c r="A1418" s="126">
        <v>46116.0</v>
      </c>
      <c r="B1418" s="47"/>
      <c r="C1418" s="47" t="s">
        <v>3385</v>
      </c>
      <c r="D1418" s="47" t="s">
        <v>3386</v>
      </c>
      <c r="E1418" s="38" t="s">
        <v>3379</v>
      </c>
      <c r="F1418" s="38" t="s">
        <v>3380</v>
      </c>
      <c r="G1418" s="44"/>
    </row>
    <row r="1419">
      <c r="A1419" s="1"/>
      <c r="B1419" s="38" t="s">
        <v>214</v>
      </c>
      <c r="C1419" s="38">
        <v>2.0</v>
      </c>
      <c r="D1419" s="38" t="s">
        <v>2094</v>
      </c>
      <c r="E1419" s="38" t="s">
        <v>3387</v>
      </c>
      <c r="F1419" s="38" t="s">
        <v>3388</v>
      </c>
    </row>
    <row r="1420">
      <c r="A1420" s="1"/>
      <c r="B1420" s="38" t="s">
        <v>210</v>
      </c>
      <c r="C1420" s="38">
        <v>2.0</v>
      </c>
      <c r="D1420" s="38" t="s">
        <v>2094</v>
      </c>
      <c r="E1420" s="38" t="s">
        <v>325</v>
      </c>
      <c r="F1420" s="38" t="s">
        <v>3388</v>
      </c>
    </row>
    <row r="1421">
      <c r="A1421" s="38" t="s">
        <v>3389</v>
      </c>
      <c r="B1421" s="97" t="s">
        <v>3390</v>
      </c>
      <c r="C1421" s="97" t="s">
        <v>3391</v>
      </c>
      <c r="D1421" s="44"/>
      <c r="E1421" s="38" t="s">
        <v>3392</v>
      </c>
      <c r="F1421" s="38" t="s">
        <v>724</v>
      </c>
    </row>
    <row r="1422">
      <c r="A1422" s="38"/>
      <c r="B1422" s="137" t="s">
        <v>3393</v>
      </c>
      <c r="C1422" s="137" t="s">
        <v>3394</v>
      </c>
      <c r="D1422" s="220" t="s">
        <v>3395</v>
      </c>
      <c r="E1422" s="38" t="s">
        <v>3392</v>
      </c>
      <c r="F1422" s="38" t="s">
        <v>3396</v>
      </c>
    </row>
    <row r="1423">
      <c r="A1423" s="38"/>
      <c r="B1423" s="221" t="s">
        <v>3397</v>
      </c>
      <c r="C1423" s="137" t="s">
        <v>3398</v>
      </c>
      <c r="D1423" s="97" t="s">
        <v>3399</v>
      </c>
      <c r="E1423" s="38" t="s">
        <v>3392</v>
      </c>
      <c r="F1423" s="38" t="s">
        <v>3400</v>
      </c>
    </row>
    <row r="1424">
      <c r="A1424" s="38"/>
      <c r="B1424" s="137" t="s">
        <v>3401</v>
      </c>
      <c r="C1424" s="137"/>
      <c r="D1424" s="38" t="s">
        <v>3402</v>
      </c>
      <c r="E1424" s="38" t="s">
        <v>3392</v>
      </c>
      <c r="F1424" s="44"/>
    </row>
    <row r="1425">
      <c r="A1425" s="1"/>
      <c r="B1425" s="38" t="s">
        <v>3403</v>
      </c>
      <c r="C1425" s="38" t="s">
        <v>3404</v>
      </c>
      <c r="D1425" s="38" t="s">
        <v>3405</v>
      </c>
      <c r="E1425" s="38" t="s">
        <v>1374</v>
      </c>
      <c r="F1425" s="38" t="s">
        <v>3314</v>
      </c>
    </row>
    <row r="1426">
      <c r="A1426" s="1"/>
      <c r="B1426" s="38" t="s">
        <v>3406</v>
      </c>
      <c r="C1426" s="38">
        <v>4.0</v>
      </c>
      <c r="D1426" s="38" t="s">
        <v>3407</v>
      </c>
      <c r="E1426" s="38" t="s">
        <v>418</v>
      </c>
      <c r="F1426" s="38" t="s">
        <v>3294</v>
      </c>
    </row>
    <row r="1427">
      <c r="A1427" s="1"/>
      <c r="B1427" s="38" t="s">
        <v>219</v>
      </c>
      <c r="C1427" s="38">
        <v>4.0</v>
      </c>
      <c r="D1427" s="38" t="s">
        <v>3408</v>
      </c>
      <c r="E1427" s="38" t="s">
        <v>337</v>
      </c>
      <c r="F1427" s="38" t="s">
        <v>3409</v>
      </c>
    </row>
    <row r="1428">
      <c r="A1428" s="38"/>
      <c r="B1428" s="38" t="s">
        <v>949</v>
      </c>
      <c r="C1428" s="38">
        <v>2.0</v>
      </c>
      <c r="D1428" s="38" t="s">
        <v>1359</v>
      </c>
      <c r="E1428" s="38" t="s">
        <v>3410</v>
      </c>
      <c r="F1428" s="38" t="s">
        <v>3411</v>
      </c>
    </row>
    <row r="1429">
      <c r="A1429" s="1"/>
      <c r="B1429" s="38"/>
      <c r="C1429" s="44"/>
      <c r="D1429" s="179" t="s">
        <v>3412</v>
      </c>
      <c r="E1429" s="38" t="s">
        <v>1374</v>
      </c>
      <c r="F1429" s="38" t="s">
        <v>3314</v>
      </c>
    </row>
    <row r="1430">
      <c r="A1430" s="38"/>
      <c r="B1430" s="38"/>
      <c r="C1430" s="97" t="s">
        <v>3413</v>
      </c>
      <c r="D1430" s="97" t="s">
        <v>3414</v>
      </c>
      <c r="E1430" s="38" t="s">
        <v>3415</v>
      </c>
      <c r="F1430" s="38" t="s">
        <v>705</v>
      </c>
      <c r="G1430" s="44"/>
    </row>
    <row r="1431">
      <c r="A1431" s="1"/>
      <c r="B1431" s="38" t="s">
        <v>535</v>
      </c>
      <c r="C1431" s="47" t="s">
        <v>3416</v>
      </c>
      <c r="D1431" s="47" t="s">
        <v>3417</v>
      </c>
      <c r="E1431" s="47" t="s">
        <v>1570</v>
      </c>
      <c r="F1431" s="38" t="s">
        <v>3418</v>
      </c>
    </row>
    <row r="1432">
      <c r="A1432" s="1"/>
      <c r="B1432" s="151" t="s">
        <v>3419</v>
      </c>
      <c r="C1432" s="151" t="s">
        <v>3420</v>
      </c>
      <c r="D1432" s="151" t="s">
        <v>3420</v>
      </c>
      <c r="E1432" s="47" t="s">
        <v>1570</v>
      </c>
      <c r="F1432" s="38" t="s">
        <v>3418</v>
      </c>
    </row>
    <row r="1433">
      <c r="A1433" s="1"/>
      <c r="B1433" s="4" t="s">
        <v>718</v>
      </c>
      <c r="C1433" s="4">
        <v>2.0</v>
      </c>
      <c r="D1433" s="1" t="s">
        <v>3421</v>
      </c>
      <c r="E1433" s="15" t="s">
        <v>1570</v>
      </c>
    </row>
    <row r="1434">
      <c r="A1434" s="1"/>
      <c r="B1434" s="4"/>
      <c r="C1434" s="1" t="s">
        <v>175</v>
      </c>
      <c r="D1434" s="1" t="s">
        <v>3422</v>
      </c>
      <c r="E1434" s="15" t="s">
        <v>1570</v>
      </c>
    </row>
    <row r="1435">
      <c r="A1435" s="1"/>
      <c r="B1435" s="4"/>
      <c r="C1435" s="1"/>
      <c r="D1435" s="1"/>
      <c r="E1435" s="15" t="s">
        <v>1570</v>
      </c>
      <c r="F1435" s="1" t="s">
        <v>3423</v>
      </c>
    </row>
    <row r="1436">
      <c r="A1436" s="4"/>
      <c r="B1436" s="38" t="s">
        <v>354</v>
      </c>
      <c r="C1436" s="38">
        <v>2.0</v>
      </c>
      <c r="D1436" s="38" t="s">
        <v>2340</v>
      </c>
      <c r="E1436" s="38" t="s">
        <v>3424</v>
      </c>
      <c r="F1436" s="38" t="s">
        <v>3425</v>
      </c>
    </row>
    <row r="1437">
      <c r="A1437" s="4"/>
      <c r="B1437" s="38" t="s">
        <v>479</v>
      </c>
      <c r="C1437" s="38">
        <v>2.0</v>
      </c>
      <c r="D1437" s="38" t="s">
        <v>2340</v>
      </c>
      <c r="E1437" s="38" t="s">
        <v>3424</v>
      </c>
      <c r="F1437" s="38" t="s">
        <v>3425</v>
      </c>
    </row>
    <row r="1438">
      <c r="A1438" s="4"/>
      <c r="B1438" s="47" t="s">
        <v>1371</v>
      </c>
      <c r="C1438" s="47" t="s">
        <v>1372</v>
      </c>
      <c r="D1438" s="38" t="s">
        <v>3426</v>
      </c>
      <c r="E1438" s="47" t="s">
        <v>1374</v>
      </c>
      <c r="F1438" s="38" t="s">
        <v>3427</v>
      </c>
      <c r="G1438" s="38" t="s">
        <v>3428</v>
      </c>
    </row>
    <row r="1439">
      <c r="A1439" s="4"/>
      <c r="B1439" s="47" t="s">
        <v>1376</v>
      </c>
      <c r="C1439" s="44"/>
      <c r="D1439" s="44"/>
      <c r="E1439" s="47" t="s">
        <v>1374</v>
      </c>
      <c r="F1439" s="38" t="s">
        <v>3429</v>
      </c>
      <c r="G1439" s="38" t="s">
        <v>3428</v>
      </c>
    </row>
    <row r="1440">
      <c r="A1440" s="4"/>
      <c r="B1440" s="47"/>
      <c r="C1440" s="44"/>
      <c r="D1440" s="38" t="s">
        <v>3430</v>
      </c>
      <c r="E1440" s="47" t="s">
        <v>1374</v>
      </c>
      <c r="F1440" s="38" t="s">
        <v>3431</v>
      </c>
      <c r="G1440" s="38" t="s">
        <v>3428</v>
      </c>
    </row>
    <row r="1441">
      <c r="A1441" s="4"/>
      <c r="B1441" s="38" t="s">
        <v>398</v>
      </c>
      <c r="C1441" s="38">
        <v>2.0</v>
      </c>
      <c r="D1441" s="38" t="s">
        <v>2391</v>
      </c>
      <c r="E1441" s="38" t="s">
        <v>3330</v>
      </c>
      <c r="F1441" s="38" t="s">
        <v>3432</v>
      </c>
      <c r="G1441" s="38" t="s">
        <v>3333</v>
      </c>
    </row>
    <row r="1442">
      <c r="A1442" s="1"/>
      <c r="B1442" s="38" t="s">
        <v>3433</v>
      </c>
      <c r="C1442" s="38">
        <v>1.0</v>
      </c>
      <c r="D1442" s="38" t="s">
        <v>3434</v>
      </c>
      <c r="E1442" s="38" t="s">
        <v>3330</v>
      </c>
      <c r="F1442" s="38" t="s">
        <v>3432</v>
      </c>
      <c r="G1442" s="38" t="s">
        <v>3333</v>
      </c>
    </row>
    <row r="1443">
      <c r="A1443" s="1"/>
      <c r="B1443" s="38"/>
      <c r="C1443" s="44"/>
      <c r="D1443" s="38" t="s">
        <v>3435</v>
      </c>
      <c r="E1443" s="38" t="s">
        <v>3330</v>
      </c>
      <c r="F1443" s="38"/>
      <c r="G1443" s="38" t="s">
        <v>3333</v>
      </c>
    </row>
    <row r="1444">
      <c r="A1444" s="1"/>
      <c r="B1444" s="38"/>
      <c r="C1444" s="38" t="s">
        <v>3436</v>
      </c>
      <c r="D1444" s="38" t="s">
        <v>3437</v>
      </c>
      <c r="E1444" s="38" t="s">
        <v>3438</v>
      </c>
      <c r="F1444" s="44"/>
    </row>
    <row r="1445">
      <c r="A1445" s="1"/>
      <c r="B1445" s="38"/>
      <c r="C1445" s="44"/>
      <c r="D1445" s="38" t="s">
        <v>3439</v>
      </c>
      <c r="E1445" s="38" t="s">
        <v>3440</v>
      </c>
      <c r="F1445" s="44"/>
    </row>
    <row r="1446">
      <c r="B1446" s="44"/>
      <c r="C1446" s="44"/>
      <c r="D1446" s="97" t="s">
        <v>3441</v>
      </c>
      <c r="E1446" s="38" t="s">
        <v>3035</v>
      </c>
      <c r="F1446" s="38" t="s">
        <v>3442</v>
      </c>
    </row>
    <row r="1447">
      <c r="C1447" s="199" t="s">
        <v>3443</v>
      </c>
      <c r="D1447" s="199" t="s">
        <v>3444</v>
      </c>
      <c r="E1447" s="1" t="s">
        <v>3445</v>
      </c>
    </row>
    <row r="1448">
      <c r="A1448" s="1"/>
      <c r="B1448" s="47" t="s">
        <v>416</v>
      </c>
      <c r="C1448" s="47">
        <v>1.0</v>
      </c>
      <c r="D1448" s="47" t="s">
        <v>2389</v>
      </c>
      <c r="E1448" s="47" t="s">
        <v>3446</v>
      </c>
      <c r="F1448" s="38" t="s">
        <v>3447</v>
      </c>
    </row>
    <row r="1449">
      <c r="A1449" s="1"/>
      <c r="B1449" s="38" t="s">
        <v>339</v>
      </c>
      <c r="C1449" s="38">
        <v>4.0</v>
      </c>
      <c r="D1449" s="38" t="s">
        <v>2094</v>
      </c>
      <c r="E1449" s="38" t="s">
        <v>3448</v>
      </c>
      <c r="F1449" s="38" t="s">
        <v>3449</v>
      </c>
    </row>
    <row r="1450">
      <c r="A1450" s="1"/>
      <c r="B1450" s="38"/>
      <c r="C1450" s="179" t="s">
        <v>3450</v>
      </c>
      <c r="D1450" s="97" t="s">
        <v>3451</v>
      </c>
      <c r="E1450" s="38" t="s">
        <v>3452</v>
      </c>
      <c r="F1450" s="38" t="s">
        <v>3219</v>
      </c>
    </row>
    <row r="1451">
      <c r="A1451" s="1"/>
      <c r="B1451" s="38" t="s">
        <v>430</v>
      </c>
      <c r="C1451" s="38">
        <v>2.0</v>
      </c>
      <c r="D1451" s="38" t="s">
        <v>672</v>
      </c>
      <c r="E1451" s="38" t="s">
        <v>481</v>
      </c>
      <c r="F1451" s="38" t="s">
        <v>3453</v>
      </c>
    </row>
    <row r="1452">
      <c r="A1452" s="1"/>
      <c r="B1452" s="38" t="s">
        <v>1407</v>
      </c>
      <c r="C1452" s="38">
        <v>2.0</v>
      </c>
      <c r="D1452" s="38" t="s">
        <v>672</v>
      </c>
      <c r="E1452" s="38" t="s">
        <v>3454</v>
      </c>
      <c r="F1452" s="38" t="s">
        <v>3453</v>
      </c>
    </row>
    <row r="1453">
      <c r="A1453" s="1"/>
      <c r="B1453" s="38"/>
      <c r="C1453" s="97" t="s">
        <v>3455</v>
      </c>
      <c r="D1453" s="97" t="s">
        <v>3456</v>
      </c>
      <c r="E1453" s="38" t="s">
        <v>3321</v>
      </c>
      <c r="F1453" s="44"/>
      <c r="G1453" s="38" t="s">
        <v>3322</v>
      </c>
    </row>
    <row r="1454">
      <c r="A1454" s="1"/>
      <c r="B1454" s="179" t="s">
        <v>3457</v>
      </c>
      <c r="C1454" s="97" t="s">
        <v>3458</v>
      </c>
      <c r="D1454" s="97" t="s">
        <v>3459</v>
      </c>
      <c r="E1454" s="38" t="s">
        <v>3321</v>
      </c>
      <c r="F1454" s="44"/>
      <c r="G1454" s="38" t="s">
        <v>3322</v>
      </c>
    </row>
    <row r="1455">
      <c r="A1455" s="38"/>
      <c r="B1455" s="38"/>
      <c r="C1455" s="38" t="s">
        <v>3460</v>
      </c>
      <c r="D1455" s="38" t="s">
        <v>3461</v>
      </c>
      <c r="E1455" s="38" t="s">
        <v>3321</v>
      </c>
      <c r="F1455" s="44"/>
      <c r="G1455" s="38" t="s">
        <v>3322</v>
      </c>
    </row>
    <row r="1456">
      <c r="A1456" s="1"/>
      <c r="B1456" s="38"/>
      <c r="C1456" s="38" t="s">
        <v>3462</v>
      </c>
      <c r="D1456" s="44"/>
      <c r="E1456" s="38" t="s">
        <v>3321</v>
      </c>
      <c r="F1456" s="38" t="s">
        <v>3463</v>
      </c>
      <c r="G1456" s="38" t="s">
        <v>3322</v>
      </c>
    </row>
    <row r="1457">
      <c r="A1457" s="1"/>
      <c r="B1457" s="97" t="s">
        <v>3464</v>
      </c>
      <c r="C1457" s="97" t="s">
        <v>3465</v>
      </c>
      <c r="D1457" s="97" t="s">
        <v>3466</v>
      </c>
      <c r="E1457" s="38" t="s">
        <v>3321</v>
      </c>
      <c r="F1457" s="38" t="s">
        <v>3467</v>
      </c>
      <c r="G1457" s="38" t="s">
        <v>3322</v>
      </c>
    </row>
    <row r="1458">
      <c r="A1458" s="38" t="s">
        <v>2259</v>
      </c>
      <c r="B1458" s="38" t="s">
        <v>88</v>
      </c>
      <c r="C1458" s="38">
        <v>4.0</v>
      </c>
      <c r="D1458" s="38" t="s">
        <v>3468</v>
      </c>
      <c r="E1458" s="38" t="s">
        <v>3469</v>
      </c>
      <c r="F1458" s="38" t="s">
        <v>3470</v>
      </c>
    </row>
    <row r="1459">
      <c r="A1459" s="1"/>
      <c r="B1459" s="38" t="s">
        <v>416</v>
      </c>
      <c r="C1459" s="38">
        <v>2.0</v>
      </c>
      <c r="D1459" s="38" t="s">
        <v>408</v>
      </c>
      <c r="E1459" s="38" t="s">
        <v>3471</v>
      </c>
      <c r="F1459" s="38" t="s">
        <v>3472</v>
      </c>
      <c r="G1459" s="38" t="s">
        <v>3473</v>
      </c>
    </row>
    <row r="1460">
      <c r="A1460" s="1"/>
      <c r="B1460" s="38" t="s">
        <v>35</v>
      </c>
      <c r="C1460" s="38">
        <v>2.0</v>
      </c>
      <c r="D1460" s="38" t="s">
        <v>408</v>
      </c>
      <c r="E1460" s="38" t="s">
        <v>325</v>
      </c>
      <c r="F1460" s="38" t="s">
        <v>3474</v>
      </c>
      <c r="G1460" s="38" t="s">
        <v>3473</v>
      </c>
    </row>
    <row r="1461">
      <c r="A1461" s="1"/>
      <c r="B1461" s="38" t="s">
        <v>210</v>
      </c>
      <c r="C1461" s="38">
        <v>2.0</v>
      </c>
      <c r="D1461" s="38" t="s">
        <v>2391</v>
      </c>
      <c r="E1461" s="38" t="s">
        <v>3475</v>
      </c>
      <c r="F1461" s="38" t="s">
        <v>3476</v>
      </c>
      <c r="G1461" s="38" t="s">
        <v>3477</v>
      </c>
    </row>
    <row r="1462">
      <c r="A1462" s="1"/>
      <c r="B1462" s="38" t="s">
        <v>1714</v>
      </c>
      <c r="C1462" s="38">
        <v>2.0</v>
      </c>
      <c r="D1462" s="38" t="s">
        <v>2391</v>
      </c>
      <c r="E1462" s="38" t="s">
        <v>3475</v>
      </c>
      <c r="F1462" s="38" t="s">
        <v>175</v>
      </c>
      <c r="G1462" s="38" t="s">
        <v>3477</v>
      </c>
    </row>
    <row r="1463">
      <c r="B1463" s="38" t="s">
        <v>3478</v>
      </c>
      <c r="C1463" s="38" t="s">
        <v>3479</v>
      </c>
      <c r="D1463" s="38" t="s">
        <v>3480</v>
      </c>
      <c r="E1463" s="47" t="s">
        <v>1619</v>
      </c>
      <c r="F1463" s="44"/>
    </row>
    <row r="1464">
      <c r="A1464" s="7"/>
      <c r="B1464" s="47" t="s">
        <v>1620</v>
      </c>
      <c r="C1464" s="44"/>
      <c r="D1464" s="38" t="s">
        <v>3481</v>
      </c>
      <c r="E1464" s="47" t="s">
        <v>1619</v>
      </c>
      <c r="F1464" s="38" t="s">
        <v>3482</v>
      </c>
    </row>
    <row r="1465">
      <c r="A1465" s="1"/>
      <c r="B1465" s="38"/>
      <c r="C1465" s="222" t="s">
        <v>3483</v>
      </c>
      <c r="D1465" s="223" t="s">
        <v>3484</v>
      </c>
      <c r="E1465" s="38" t="s">
        <v>3485</v>
      </c>
      <c r="F1465" s="38" t="s">
        <v>3477</v>
      </c>
    </row>
    <row r="1466">
      <c r="A1466" s="1"/>
      <c r="B1466" s="38" t="s">
        <v>170</v>
      </c>
      <c r="C1466" s="38">
        <v>2.0</v>
      </c>
      <c r="D1466" s="38" t="s">
        <v>3486</v>
      </c>
      <c r="E1466" s="38" t="s">
        <v>3487</v>
      </c>
      <c r="F1466" s="38" t="s">
        <v>3488</v>
      </c>
    </row>
    <row r="1467">
      <c r="A1467" s="1"/>
      <c r="B1467" s="38" t="s">
        <v>166</v>
      </c>
      <c r="C1467" s="38">
        <v>2.0</v>
      </c>
      <c r="D1467" s="38" t="s">
        <v>3486</v>
      </c>
      <c r="E1467" s="38" t="s">
        <v>325</v>
      </c>
      <c r="F1467" s="38" t="s">
        <v>3488</v>
      </c>
    </row>
    <row r="1468">
      <c r="A1468" s="1" t="s">
        <v>2426</v>
      </c>
      <c r="B1468" s="38" t="s">
        <v>342</v>
      </c>
      <c r="C1468" s="38">
        <v>2.0</v>
      </c>
      <c r="D1468" s="38" t="s">
        <v>3489</v>
      </c>
      <c r="E1468" s="38" t="s">
        <v>3490</v>
      </c>
      <c r="F1468" s="38" t="s">
        <v>3491</v>
      </c>
    </row>
    <row r="1469">
      <c r="A1469" s="1"/>
      <c r="B1469" s="224" t="s">
        <v>3492</v>
      </c>
      <c r="C1469" s="224" t="s">
        <v>3493</v>
      </c>
      <c r="D1469" s="114"/>
      <c r="E1469" s="40" t="s">
        <v>3494</v>
      </c>
      <c r="F1469" s="225" t="s">
        <v>3491</v>
      </c>
      <c r="G1469" s="34"/>
    </row>
    <row r="1470">
      <c r="A1470" s="1"/>
      <c r="B1470" s="38"/>
      <c r="C1470" s="137" t="s">
        <v>3495</v>
      </c>
      <c r="D1470" s="137" t="s">
        <v>535</v>
      </c>
      <c r="E1470" s="38" t="s">
        <v>3496</v>
      </c>
      <c r="F1470" s="38" t="s">
        <v>3015</v>
      </c>
    </row>
    <row r="1471">
      <c r="A1471" s="1"/>
      <c r="B1471" s="47" t="s">
        <v>3497</v>
      </c>
      <c r="C1471" s="47" t="s">
        <v>3498</v>
      </c>
      <c r="D1471" s="47"/>
      <c r="E1471" s="47" t="s">
        <v>3499</v>
      </c>
      <c r="F1471" s="38" t="s">
        <v>705</v>
      </c>
    </row>
    <row r="1472">
      <c r="A1472" s="1"/>
      <c r="B1472" s="151" t="s">
        <v>3419</v>
      </c>
      <c r="C1472" s="151" t="s">
        <v>3500</v>
      </c>
      <c r="D1472" s="151" t="s">
        <v>3500</v>
      </c>
      <c r="E1472" s="47" t="s">
        <v>3501</v>
      </c>
      <c r="F1472" s="38" t="s">
        <v>705</v>
      </c>
    </row>
    <row r="1473">
      <c r="A1473" s="1"/>
      <c r="B1473" s="199" t="s">
        <v>3502</v>
      </c>
      <c r="C1473" s="199" t="s">
        <v>3503</v>
      </c>
      <c r="D1473" s="199" t="s">
        <v>3504</v>
      </c>
      <c r="E1473" s="15" t="s">
        <v>1173</v>
      </c>
    </row>
    <row r="1474">
      <c r="A1474" s="1"/>
      <c r="B1474" s="199" t="s">
        <v>3505</v>
      </c>
      <c r="C1474" s="1" t="s">
        <v>3506</v>
      </c>
      <c r="D1474" s="163" t="s">
        <v>3507</v>
      </c>
      <c r="E1474" s="15" t="s">
        <v>1173</v>
      </c>
    </row>
    <row r="1475">
      <c r="A1475" s="1"/>
      <c r="D1475" s="165" t="s">
        <v>3508</v>
      </c>
      <c r="E1475" s="5" t="s">
        <v>3509</v>
      </c>
    </row>
    <row r="1476">
      <c r="A1476" s="1"/>
      <c r="B1476" s="38" t="s">
        <v>1327</v>
      </c>
      <c r="C1476" s="38">
        <v>4.0</v>
      </c>
      <c r="D1476" s="38" t="s">
        <v>406</v>
      </c>
      <c r="E1476" s="38" t="s">
        <v>3510</v>
      </c>
      <c r="F1476" s="38" t="s">
        <v>3511</v>
      </c>
    </row>
    <row r="1477">
      <c r="A1477" s="1"/>
      <c r="B1477" s="38" t="s">
        <v>43</v>
      </c>
      <c r="C1477" s="38">
        <v>2.0</v>
      </c>
      <c r="D1477" s="38" t="s">
        <v>753</v>
      </c>
      <c r="E1477" s="38" t="s">
        <v>325</v>
      </c>
      <c r="F1477" s="38" t="s">
        <v>3512</v>
      </c>
    </row>
    <row r="1478">
      <c r="A1478" s="1"/>
      <c r="B1478" s="38" t="s">
        <v>47</v>
      </c>
      <c r="C1478" s="38">
        <v>2.0</v>
      </c>
      <c r="D1478" s="38" t="s">
        <v>753</v>
      </c>
      <c r="E1478" s="38" t="s">
        <v>3513</v>
      </c>
      <c r="F1478" s="38" t="s">
        <v>3512</v>
      </c>
    </row>
    <row r="1479">
      <c r="A1479" s="33" t="s">
        <v>3514</v>
      </c>
      <c r="B1479" s="1" t="s">
        <v>439</v>
      </c>
      <c r="C1479" s="1">
        <v>1.0</v>
      </c>
      <c r="D1479" s="1" t="s">
        <v>672</v>
      </c>
      <c r="E1479" s="1" t="s">
        <v>3515</v>
      </c>
      <c r="F1479" s="1" t="s">
        <v>3516</v>
      </c>
    </row>
    <row r="1480">
      <c r="A1480" s="5" t="s">
        <v>3517</v>
      </c>
      <c r="B1480" s="38" t="s">
        <v>2108</v>
      </c>
      <c r="C1480" s="38">
        <v>4.0</v>
      </c>
      <c r="D1480" s="38" t="s">
        <v>3518</v>
      </c>
      <c r="E1480" s="38" t="s">
        <v>3519</v>
      </c>
      <c r="F1480" s="38" t="s">
        <v>3520</v>
      </c>
    </row>
    <row r="1481">
      <c r="A1481" s="1"/>
      <c r="B1481" s="1" t="s">
        <v>52</v>
      </c>
      <c r="C1481" s="1">
        <v>2.0</v>
      </c>
      <c r="D1481" s="1" t="s">
        <v>753</v>
      </c>
      <c r="E1481" s="1" t="s">
        <v>325</v>
      </c>
      <c r="F1481" s="1" t="s">
        <v>3521</v>
      </c>
    </row>
    <row r="1482">
      <c r="A1482" s="1"/>
      <c r="B1482" s="1" t="s">
        <v>405</v>
      </c>
      <c r="C1482" s="1">
        <v>2.0</v>
      </c>
      <c r="D1482" s="1" t="s">
        <v>753</v>
      </c>
      <c r="E1482" s="1" t="s">
        <v>325</v>
      </c>
      <c r="F1482" s="1" t="s">
        <v>3522</v>
      </c>
    </row>
    <row r="1483">
      <c r="A1483" s="1"/>
      <c r="B1483" s="38" t="s">
        <v>3523</v>
      </c>
      <c r="C1483" s="38">
        <v>4.0</v>
      </c>
      <c r="D1483" s="38" t="s">
        <v>406</v>
      </c>
      <c r="E1483" s="38" t="s">
        <v>764</v>
      </c>
      <c r="F1483" s="38" t="s">
        <v>3524</v>
      </c>
    </row>
    <row r="1484">
      <c r="B1484" s="22"/>
      <c r="C1484" s="22" t="s">
        <v>3525</v>
      </c>
      <c r="D1484" s="22" t="s">
        <v>3526</v>
      </c>
      <c r="E1484" s="1" t="s">
        <v>873</v>
      </c>
      <c r="F1484" s="1"/>
      <c r="G1484" s="1"/>
    </row>
    <row r="1485">
      <c r="B1485" s="22" t="s">
        <v>3527</v>
      </c>
      <c r="C1485" s="22">
        <v>2.0</v>
      </c>
      <c r="D1485" s="22" t="s">
        <v>3528</v>
      </c>
      <c r="E1485" s="1" t="s">
        <v>3529</v>
      </c>
      <c r="F1485" s="1" t="s">
        <v>3530</v>
      </c>
      <c r="G1485" s="1" t="s">
        <v>3531</v>
      </c>
    </row>
    <row r="1486">
      <c r="B1486" s="22"/>
      <c r="C1486" s="22"/>
      <c r="D1486" s="22"/>
      <c r="E1486" s="1" t="s">
        <v>3532</v>
      </c>
      <c r="F1486" s="1"/>
      <c r="G1486" s="1" t="s">
        <v>3531</v>
      </c>
    </row>
    <row r="1487">
      <c r="B1487" s="22"/>
      <c r="C1487" s="22"/>
      <c r="D1487" s="22"/>
      <c r="E1487" s="1" t="s">
        <v>3532</v>
      </c>
      <c r="F1487" s="1"/>
      <c r="G1487" s="1" t="s">
        <v>3531</v>
      </c>
    </row>
    <row r="1488">
      <c r="A1488" s="1"/>
      <c r="B1488" s="44"/>
      <c r="C1488" s="38"/>
      <c r="D1488" s="38" t="s">
        <v>3533</v>
      </c>
      <c r="E1488" s="42" t="s">
        <v>873</v>
      </c>
      <c r="F1488" s="38" t="s">
        <v>3534</v>
      </c>
      <c r="G1488" s="42" t="s">
        <v>3232</v>
      </c>
    </row>
    <row r="1489">
      <c r="A1489" s="1"/>
      <c r="B1489" s="22"/>
      <c r="C1489" s="22"/>
      <c r="D1489" s="22" t="s">
        <v>3535</v>
      </c>
      <c r="E1489" s="22" t="s">
        <v>3536</v>
      </c>
      <c r="F1489" s="22"/>
      <c r="G1489" s="24"/>
    </row>
    <row r="1490">
      <c r="A1490" s="1"/>
      <c r="B1490" s="22"/>
      <c r="C1490" s="22"/>
      <c r="D1490" s="22" t="s">
        <v>3537</v>
      </c>
      <c r="E1490" s="22" t="s">
        <v>3536</v>
      </c>
      <c r="F1490" s="22"/>
      <c r="G1490" s="24"/>
    </row>
    <row r="1491">
      <c r="A1491" s="1"/>
      <c r="B1491" s="22"/>
      <c r="C1491" s="22"/>
      <c r="D1491" s="22" t="s">
        <v>3538</v>
      </c>
      <c r="E1491" s="22" t="s">
        <v>3536</v>
      </c>
      <c r="F1491" s="22"/>
      <c r="G1491" s="24"/>
    </row>
    <row r="1492">
      <c r="A1492" s="1"/>
      <c r="B1492" s="5" t="s">
        <v>91</v>
      </c>
      <c r="C1492" s="5">
        <v>1.0</v>
      </c>
      <c r="D1492" s="5" t="s">
        <v>50</v>
      </c>
      <c r="E1492" s="150" t="s">
        <v>3539</v>
      </c>
      <c r="F1492" s="5">
        <v>250.0</v>
      </c>
    </row>
    <row r="1493">
      <c r="A1493" s="1"/>
      <c r="B1493" s="5" t="s">
        <v>91</v>
      </c>
      <c r="C1493" s="5">
        <v>3.0</v>
      </c>
      <c r="D1493" s="5" t="s">
        <v>50</v>
      </c>
      <c r="E1493" s="150" t="s">
        <v>3540</v>
      </c>
      <c r="F1493" s="5">
        <v>250.0</v>
      </c>
    </row>
    <row r="1494">
      <c r="A1494" s="1"/>
      <c r="B1494" s="1" t="s">
        <v>3541</v>
      </c>
      <c r="C1494" s="5">
        <v>4.0</v>
      </c>
      <c r="D1494" s="5" t="s">
        <v>3542</v>
      </c>
      <c r="E1494" s="150" t="s">
        <v>3543</v>
      </c>
      <c r="F1494" s="5" t="s">
        <v>3544</v>
      </c>
    </row>
    <row r="1495">
      <c r="A1495" s="1"/>
      <c r="B1495" s="1" t="s">
        <v>2216</v>
      </c>
      <c r="C1495" s="1">
        <v>2.0</v>
      </c>
      <c r="D1495" s="1" t="s">
        <v>684</v>
      </c>
      <c r="E1495" s="1" t="s">
        <v>3545</v>
      </c>
      <c r="F1495" s="1" t="s">
        <v>3546</v>
      </c>
    </row>
    <row r="1496">
      <c r="A1496" s="4" t="s">
        <v>3547</v>
      </c>
      <c r="B1496" s="1" t="s">
        <v>2347</v>
      </c>
      <c r="C1496" s="1">
        <v>4.0</v>
      </c>
      <c r="D1496" s="1" t="s">
        <v>3548</v>
      </c>
      <c r="E1496" s="1" t="s">
        <v>3549</v>
      </c>
      <c r="F1496" s="1" t="s">
        <v>3550</v>
      </c>
    </row>
    <row r="1497">
      <c r="A1497" s="38">
        <v>123.0</v>
      </c>
      <c r="B1497" s="38" t="s">
        <v>2333</v>
      </c>
      <c r="C1497" s="38">
        <v>4.0</v>
      </c>
      <c r="D1497" s="38" t="s">
        <v>3551</v>
      </c>
      <c r="E1497" s="38" t="s">
        <v>3552</v>
      </c>
      <c r="F1497" s="38" t="s">
        <v>3553</v>
      </c>
      <c r="G1497" s="38" t="s">
        <v>3554</v>
      </c>
    </row>
    <row r="1498">
      <c r="A1498" s="1"/>
      <c r="B1498" s="38" t="s">
        <v>210</v>
      </c>
      <c r="C1498" s="38">
        <v>4.0</v>
      </c>
      <c r="D1498" s="38" t="s">
        <v>408</v>
      </c>
      <c r="E1498" s="38" t="s">
        <v>3555</v>
      </c>
      <c r="F1498" s="38" t="s">
        <v>3556</v>
      </c>
    </row>
    <row r="1499">
      <c r="A1499" s="1"/>
      <c r="B1499" s="38" t="s">
        <v>52</v>
      </c>
      <c r="C1499" s="38">
        <v>2.0</v>
      </c>
      <c r="D1499" s="38" t="s">
        <v>3557</v>
      </c>
      <c r="E1499" s="38" t="s">
        <v>3558</v>
      </c>
      <c r="F1499" s="38" t="s">
        <v>3559</v>
      </c>
    </row>
    <row r="1500">
      <c r="A1500" s="1"/>
      <c r="B1500" s="38" t="s">
        <v>405</v>
      </c>
      <c r="C1500" s="38">
        <v>2.0</v>
      </c>
      <c r="D1500" s="38" t="s">
        <v>3557</v>
      </c>
      <c r="E1500" s="38" t="s">
        <v>325</v>
      </c>
      <c r="F1500" s="38" t="s">
        <v>3559</v>
      </c>
    </row>
    <row r="1501">
      <c r="A1501" s="1"/>
      <c r="B1501" s="38"/>
      <c r="C1501" s="38" t="s">
        <v>3560</v>
      </c>
      <c r="D1501" s="38" t="s">
        <v>3561</v>
      </c>
      <c r="E1501" s="38" t="s">
        <v>3562</v>
      </c>
      <c r="F1501" s="38" t="s">
        <v>3563</v>
      </c>
    </row>
    <row r="1502">
      <c r="A1502" s="1"/>
      <c r="B1502" s="47" t="s">
        <v>3564</v>
      </c>
      <c r="C1502" s="47" t="s">
        <v>3565</v>
      </c>
      <c r="D1502" s="47" t="s">
        <v>3566</v>
      </c>
      <c r="E1502" s="47" t="s">
        <v>3567</v>
      </c>
      <c r="F1502" s="44"/>
    </row>
    <row r="1503">
      <c r="A1503" s="1"/>
      <c r="B1503" s="47" t="s">
        <v>3568</v>
      </c>
      <c r="C1503" s="47" t="s">
        <v>3569</v>
      </c>
      <c r="D1503" s="44"/>
      <c r="E1503" s="47" t="s">
        <v>3567</v>
      </c>
      <c r="F1503" s="44"/>
    </row>
    <row r="1504">
      <c r="A1504" s="1"/>
      <c r="B1504" s="138" t="s">
        <v>3570</v>
      </c>
      <c r="C1504" s="138" t="s">
        <v>3571</v>
      </c>
      <c r="D1504" s="138" t="s">
        <v>3572</v>
      </c>
      <c r="E1504" s="138" t="s">
        <v>1199</v>
      </c>
      <c r="F1504" s="138" t="s">
        <v>3573</v>
      </c>
    </row>
    <row r="1505">
      <c r="A1505" s="1"/>
      <c r="B1505" s="138" t="s">
        <v>3574</v>
      </c>
      <c r="C1505" s="138" t="s">
        <v>3575</v>
      </c>
      <c r="D1505" s="130"/>
      <c r="E1505" s="138" t="s">
        <v>1199</v>
      </c>
      <c r="F1505" s="130"/>
    </row>
    <row r="1506">
      <c r="A1506" s="1"/>
      <c r="B1506" s="38"/>
      <c r="C1506" s="44"/>
      <c r="D1506" s="38" t="s">
        <v>3576</v>
      </c>
      <c r="E1506" s="47" t="s">
        <v>3475</v>
      </c>
      <c r="F1506" s="38" t="s">
        <v>3577</v>
      </c>
    </row>
    <row r="1507">
      <c r="A1507" s="38" t="s">
        <v>3578</v>
      </c>
      <c r="B1507" s="38" t="s">
        <v>52</v>
      </c>
      <c r="C1507" s="38">
        <v>2.0</v>
      </c>
      <c r="D1507" s="38" t="s">
        <v>3579</v>
      </c>
      <c r="E1507" s="38" t="s">
        <v>3580</v>
      </c>
      <c r="F1507" s="38" t="s">
        <v>3581</v>
      </c>
    </row>
    <row r="1508">
      <c r="A1508" s="38" t="s">
        <v>3582</v>
      </c>
      <c r="B1508" s="38" t="s">
        <v>405</v>
      </c>
      <c r="C1508" s="38">
        <v>2.0</v>
      </c>
      <c r="D1508" s="38" t="s">
        <v>3579</v>
      </c>
      <c r="E1508" s="38" t="s">
        <v>3580</v>
      </c>
      <c r="F1508" s="38" t="s">
        <v>3581</v>
      </c>
    </row>
    <row r="1509">
      <c r="A1509" s="38" t="s">
        <v>3578</v>
      </c>
      <c r="B1509" s="38" t="s">
        <v>3523</v>
      </c>
      <c r="C1509" s="38">
        <v>4.0</v>
      </c>
      <c r="D1509" s="38" t="s">
        <v>3583</v>
      </c>
      <c r="E1509" s="38" t="s">
        <v>3584</v>
      </c>
      <c r="F1509" s="38" t="s">
        <v>3585</v>
      </c>
    </row>
    <row r="1510">
      <c r="A1510" s="1"/>
      <c r="B1510" s="1"/>
      <c r="D1510" s="1" t="s">
        <v>3586</v>
      </c>
      <c r="E1510" s="1" t="s">
        <v>3587</v>
      </c>
    </row>
    <row r="1511">
      <c r="A1511" s="1"/>
      <c r="B1511" s="1"/>
      <c r="D1511" s="1" t="s">
        <v>3588</v>
      </c>
      <c r="E1511" s="1" t="s">
        <v>3589</v>
      </c>
    </row>
    <row r="1512">
      <c r="A1512" s="1"/>
      <c r="B1512" s="1"/>
      <c r="D1512" s="1" t="s">
        <v>3590</v>
      </c>
      <c r="E1512" s="1" t="s">
        <v>3591</v>
      </c>
    </row>
    <row r="1513">
      <c r="A1513" s="1"/>
      <c r="B1513" s="1"/>
      <c r="D1513" s="1" t="s">
        <v>3592</v>
      </c>
      <c r="E1513" s="1" t="s">
        <v>1017</v>
      </c>
    </row>
    <row r="1514">
      <c r="A1514" s="1"/>
      <c r="B1514" s="1"/>
      <c r="D1514" s="1" t="s">
        <v>3593</v>
      </c>
      <c r="E1514" s="1" t="s">
        <v>1017</v>
      </c>
    </row>
    <row r="1515">
      <c r="A1515" s="1"/>
      <c r="B1515" s="1"/>
      <c r="D1515" s="1" t="s">
        <v>3594</v>
      </c>
      <c r="E1515" s="1" t="s">
        <v>1017</v>
      </c>
    </row>
    <row r="1516">
      <c r="A1516" s="1"/>
      <c r="B1516" s="1" t="s">
        <v>3595</v>
      </c>
      <c r="D1516" s="1" t="s">
        <v>3596</v>
      </c>
      <c r="E1516" s="1" t="s">
        <v>1017</v>
      </c>
    </row>
    <row r="1517">
      <c r="A1517" s="1"/>
      <c r="B1517" s="1" t="s">
        <v>3597</v>
      </c>
      <c r="D1517" s="1" t="s">
        <v>3598</v>
      </c>
      <c r="E1517" s="1" t="s">
        <v>1017</v>
      </c>
    </row>
    <row r="1518">
      <c r="A1518" s="1"/>
      <c r="D1518" s="1" t="s">
        <v>3599</v>
      </c>
      <c r="E1518" s="1" t="s">
        <v>1017</v>
      </c>
    </row>
    <row r="1519">
      <c r="A1519" s="1"/>
      <c r="B1519" s="1" t="s">
        <v>3600</v>
      </c>
      <c r="C1519" s="1" t="s">
        <v>3601</v>
      </c>
      <c r="D1519" s="1" t="s">
        <v>3602</v>
      </c>
      <c r="E1519" s="1" t="s">
        <v>3603</v>
      </c>
      <c r="F1519" s="1" t="s">
        <v>3604</v>
      </c>
    </row>
    <row r="1520">
      <c r="A1520" s="1"/>
      <c r="B1520" s="38" t="s">
        <v>147</v>
      </c>
      <c r="C1520" s="38">
        <v>4.0</v>
      </c>
      <c r="D1520" s="38" t="s">
        <v>3605</v>
      </c>
      <c r="E1520" s="38" t="s">
        <v>3606</v>
      </c>
      <c r="F1520" s="38" t="s">
        <v>3607</v>
      </c>
    </row>
    <row r="1521">
      <c r="A1521" s="1" t="s">
        <v>133</v>
      </c>
      <c r="B1521" s="1" t="s">
        <v>52</v>
      </c>
      <c r="C1521" s="1">
        <v>2.0</v>
      </c>
      <c r="D1521" s="1" t="s">
        <v>3608</v>
      </c>
      <c r="E1521" s="4" t="s">
        <v>3609</v>
      </c>
      <c r="F1521" s="1" t="s">
        <v>3610</v>
      </c>
      <c r="G1521" s="1" t="s">
        <v>3611</v>
      </c>
      <c r="H1521" s="1" t="s">
        <v>3612</v>
      </c>
    </row>
    <row r="1522">
      <c r="A1522" s="1" t="s">
        <v>133</v>
      </c>
      <c r="B1522" s="1" t="s">
        <v>3060</v>
      </c>
      <c r="C1522" s="1">
        <v>2.0</v>
      </c>
      <c r="D1522" s="1" t="s">
        <v>3608</v>
      </c>
      <c r="E1522" s="1" t="s">
        <v>3613</v>
      </c>
      <c r="H1522" s="1" t="s">
        <v>3612</v>
      </c>
    </row>
    <row r="1523">
      <c r="A1523" s="1"/>
      <c r="B1523" s="1" t="s">
        <v>3614</v>
      </c>
      <c r="C1523" s="1" t="s">
        <v>3615</v>
      </c>
      <c r="D1523" s="1" t="s">
        <v>3616</v>
      </c>
      <c r="E1523" s="1" t="s">
        <v>1260</v>
      </c>
      <c r="F1523" s="1" t="s">
        <v>535</v>
      </c>
    </row>
    <row r="1524">
      <c r="A1524" s="1"/>
      <c r="B1524" s="1" t="s">
        <v>3617</v>
      </c>
      <c r="C1524" s="1" t="s">
        <v>3618</v>
      </c>
      <c r="D1524" s="1" t="s">
        <v>3619</v>
      </c>
      <c r="E1524" s="1" t="s">
        <v>1260</v>
      </c>
    </row>
    <row r="1525">
      <c r="A1525" s="1"/>
      <c r="B1525" s="1" t="s">
        <v>3620</v>
      </c>
      <c r="C1525" s="1" t="s">
        <v>3621</v>
      </c>
      <c r="D1525" s="1" t="s">
        <v>3622</v>
      </c>
      <c r="E1525" s="1" t="s">
        <v>1260</v>
      </c>
      <c r="F1525" s="22" t="s">
        <v>3623</v>
      </c>
    </row>
    <row r="1526">
      <c r="A1526" s="1"/>
      <c r="B1526" s="1"/>
      <c r="C1526" s="1"/>
      <c r="D1526" s="1"/>
      <c r="E1526" s="1" t="s">
        <v>1260</v>
      </c>
    </row>
    <row r="1527">
      <c r="A1527" s="38"/>
      <c r="B1527" s="38" t="s">
        <v>416</v>
      </c>
      <c r="C1527" s="38">
        <v>1.0</v>
      </c>
      <c r="D1527" s="38" t="s">
        <v>3624</v>
      </c>
      <c r="E1527" s="38" t="s">
        <v>3625</v>
      </c>
      <c r="F1527" s="38" t="s">
        <v>3626</v>
      </c>
    </row>
    <row r="1528">
      <c r="A1528" s="38"/>
      <c r="B1528" s="38" t="s">
        <v>52</v>
      </c>
      <c r="C1528" s="38">
        <v>2.0</v>
      </c>
      <c r="D1528" s="38" t="s">
        <v>3627</v>
      </c>
      <c r="E1528" s="38" t="s">
        <v>3562</v>
      </c>
      <c r="F1528" s="38" t="s">
        <v>3563</v>
      </c>
    </row>
    <row r="1529">
      <c r="B1529" s="38" t="s">
        <v>3527</v>
      </c>
      <c r="C1529" s="38">
        <v>2.0</v>
      </c>
      <c r="D1529" s="38" t="s">
        <v>3628</v>
      </c>
      <c r="E1529" s="38" t="s">
        <v>3629</v>
      </c>
      <c r="F1529" s="44"/>
    </row>
    <row r="1530">
      <c r="B1530" s="38" t="s">
        <v>97</v>
      </c>
      <c r="C1530" s="38">
        <v>2.0</v>
      </c>
      <c r="D1530" s="38" t="s">
        <v>3628</v>
      </c>
      <c r="E1530" s="38" t="s">
        <v>3629</v>
      </c>
      <c r="F1530" s="44"/>
    </row>
    <row r="1531">
      <c r="A1531" s="1" t="s">
        <v>133</v>
      </c>
      <c r="B1531" s="38" t="s">
        <v>2276</v>
      </c>
      <c r="C1531" s="38">
        <v>4.0</v>
      </c>
      <c r="D1531" s="38" t="s">
        <v>1382</v>
      </c>
      <c r="E1531" s="38" t="s">
        <v>3630</v>
      </c>
      <c r="F1531" s="38" t="s">
        <v>3631</v>
      </c>
    </row>
    <row r="1532">
      <c r="A1532" s="38"/>
      <c r="B1532" s="47" t="s">
        <v>3632</v>
      </c>
      <c r="C1532" s="44"/>
      <c r="D1532" s="44"/>
      <c r="E1532" s="38" t="s">
        <v>3633</v>
      </c>
      <c r="F1532" s="38" t="s">
        <v>3634</v>
      </c>
    </row>
    <row r="1533">
      <c r="A1533" s="38"/>
      <c r="B1533" s="47" t="s">
        <v>3635</v>
      </c>
      <c r="C1533" s="44"/>
      <c r="D1533" s="44"/>
      <c r="E1533" s="38" t="s">
        <v>3636</v>
      </c>
      <c r="F1533" s="38" t="s">
        <v>3634</v>
      </c>
      <c r="G1533" s="38"/>
    </row>
    <row r="1534">
      <c r="A1534" s="38"/>
      <c r="B1534" s="38" t="s">
        <v>25</v>
      </c>
      <c r="C1534" s="38">
        <v>4.0</v>
      </c>
      <c r="D1534" s="38" t="s">
        <v>3637</v>
      </c>
      <c r="E1534" s="38" t="s">
        <v>337</v>
      </c>
      <c r="F1534" s="38" t="s">
        <v>3638</v>
      </c>
      <c r="G1534" s="44"/>
      <c r="H1534" s="38" t="s">
        <v>3639</v>
      </c>
    </row>
    <row r="1535">
      <c r="A1535" s="38"/>
      <c r="B1535" s="38"/>
      <c r="C1535" s="38"/>
      <c r="D1535" s="38"/>
      <c r="E1535" s="38" t="s">
        <v>337</v>
      </c>
      <c r="F1535" s="38" t="s">
        <v>3640</v>
      </c>
      <c r="G1535" s="44"/>
      <c r="H1535" s="38" t="s">
        <v>3639</v>
      </c>
    </row>
    <row r="1536">
      <c r="A1536" s="141">
        <v>46026.0</v>
      </c>
      <c r="B1536" s="44"/>
      <c r="C1536" s="38" t="s">
        <v>3641</v>
      </c>
      <c r="D1536" s="44"/>
      <c r="E1536" s="38" t="s">
        <v>337</v>
      </c>
      <c r="F1536" s="38" t="s">
        <v>3642</v>
      </c>
      <c r="G1536" s="44"/>
      <c r="H1536" s="38" t="s">
        <v>3639</v>
      </c>
    </row>
    <row r="1537">
      <c r="A1537" s="141">
        <v>46026.0</v>
      </c>
      <c r="B1537" s="44"/>
      <c r="C1537" s="44"/>
      <c r="D1537" s="44"/>
      <c r="E1537" s="38" t="s">
        <v>337</v>
      </c>
      <c r="F1537" s="38" t="s">
        <v>3643</v>
      </c>
      <c r="G1537" s="38"/>
      <c r="H1537" s="38" t="s">
        <v>3639</v>
      </c>
    </row>
    <row r="1538">
      <c r="A1538" s="38"/>
      <c r="B1538" s="38" t="s">
        <v>3644</v>
      </c>
      <c r="C1538" s="44"/>
      <c r="D1538" s="44"/>
      <c r="E1538" s="38" t="s">
        <v>371</v>
      </c>
      <c r="F1538" s="38" t="s">
        <v>3645</v>
      </c>
    </row>
    <row r="1539">
      <c r="A1539" s="38"/>
      <c r="B1539" s="38" t="s">
        <v>3646</v>
      </c>
      <c r="C1539" s="44"/>
      <c r="D1539" s="44"/>
      <c r="E1539" s="38" t="s">
        <v>371</v>
      </c>
      <c r="F1539" s="38" t="s">
        <v>3645</v>
      </c>
    </row>
    <row r="1540">
      <c r="A1540" s="38" t="s">
        <v>133</v>
      </c>
      <c r="B1540" s="47" t="s">
        <v>1892</v>
      </c>
      <c r="C1540" s="47">
        <v>4.0</v>
      </c>
      <c r="D1540" s="47" t="s">
        <v>3647</v>
      </c>
      <c r="E1540" s="38" t="s">
        <v>3648</v>
      </c>
      <c r="F1540" s="44"/>
      <c r="G1540" s="38" t="s">
        <v>3229</v>
      </c>
    </row>
    <row r="1541">
      <c r="A1541" s="47"/>
      <c r="B1541" s="38" t="s">
        <v>3649</v>
      </c>
      <c r="C1541" s="38" t="s">
        <v>3650</v>
      </c>
      <c r="D1541" s="38" t="s">
        <v>3651</v>
      </c>
      <c r="E1541" s="38" t="s">
        <v>3648</v>
      </c>
      <c r="F1541" s="38" t="s">
        <v>3652</v>
      </c>
      <c r="G1541" s="38" t="s">
        <v>3229</v>
      </c>
    </row>
    <row r="1542">
      <c r="A1542" s="44"/>
      <c r="B1542" s="47" t="s">
        <v>77</v>
      </c>
      <c r="C1542" s="47">
        <v>4.0</v>
      </c>
      <c r="D1542" s="47" t="s">
        <v>3653</v>
      </c>
      <c r="E1542" s="38" t="s">
        <v>3654</v>
      </c>
      <c r="F1542" s="44"/>
    </row>
    <row r="1543">
      <c r="A1543" s="38" t="s">
        <v>133</v>
      </c>
      <c r="B1543" s="47" t="s">
        <v>416</v>
      </c>
      <c r="C1543" s="47">
        <v>4.0</v>
      </c>
      <c r="D1543" s="47" t="s">
        <v>3655</v>
      </c>
      <c r="E1543" s="38" t="s">
        <v>3656</v>
      </c>
      <c r="F1543" s="38" t="s">
        <v>3657</v>
      </c>
    </row>
    <row r="1544">
      <c r="A1544" s="38" t="s">
        <v>133</v>
      </c>
      <c r="B1544" s="47" t="s">
        <v>91</v>
      </c>
      <c r="C1544" s="47">
        <v>2.0</v>
      </c>
      <c r="D1544" s="47" t="s">
        <v>3658</v>
      </c>
      <c r="E1544" s="47" t="s">
        <v>3659</v>
      </c>
      <c r="F1544" s="44"/>
    </row>
    <row r="1545">
      <c r="A1545" s="38" t="s">
        <v>133</v>
      </c>
      <c r="B1545" s="47" t="s">
        <v>94</v>
      </c>
      <c r="C1545" s="47">
        <v>2.0</v>
      </c>
      <c r="D1545" s="47" t="s">
        <v>3660</v>
      </c>
      <c r="E1545" s="47" t="s">
        <v>3659</v>
      </c>
      <c r="F1545" s="44"/>
    </row>
    <row r="1546">
      <c r="A1546" s="38" t="s">
        <v>133</v>
      </c>
      <c r="B1546" s="47" t="s">
        <v>205</v>
      </c>
      <c r="C1546" s="38">
        <v>4.0</v>
      </c>
      <c r="D1546" s="47" t="s">
        <v>3661</v>
      </c>
      <c r="E1546" s="47" t="s">
        <v>2546</v>
      </c>
      <c r="F1546" s="44"/>
    </row>
    <row r="1547">
      <c r="A1547" s="4" t="s">
        <v>1113</v>
      </c>
      <c r="B1547" s="4" t="s">
        <v>85</v>
      </c>
      <c r="C1547" s="4">
        <v>2.0</v>
      </c>
      <c r="D1547" s="4" t="s">
        <v>3662</v>
      </c>
      <c r="E1547" s="4" t="s">
        <v>3663</v>
      </c>
    </row>
    <row r="1548">
      <c r="A1548" s="47" t="s">
        <v>1113</v>
      </c>
      <c r="B1548" s="38" t="s">
        <v>1296</v>
      </c>
      <c r="C1548" s="38">
        <v>4.0</v>
      </c>
      <c r="D1548" s="38" t="s">
        <v>3664</v>
      </c>
      <c r="E1548" s="38" t="s">
        <v>3665</v>
      </c>
      <c r="F1548" s="38" t="s">
        <v>3447</v>
      </c>
    </row>
    <row r="1549">
      <c r="A1549" s="47" t="s">
        <v>1113</v>
      </c>
      <c r="B1549" s="38" t="s">
        <v>22</v>
      </c>
      <c r="C1549" s="38">
        <v>4.0</v>
      </c>
      <c r="D1549" s="38" t="s">
        <v>3666</v>
      </c>
      <c r="E1549" s="38" t="s">
        <v>3667</v>
      </c>
      <c r="F1549" s="38" t="s">
        <v>3229</v>
      </c>
    </row>
    <row r="1550">
      <c r="A1550" s="4" t="s">
        <v>3668</v>
      </c>
      <c r="B1550" s="38" t="s">
        <v>205</v>
      </c>
      <c r="C1550" s="38">
        <v>4.0</v>
      </c>
      <c r="D1550" s="38" t="s">
        <v>3661</v>
      </c>
      <c r="E1550" s="38" t="s">
        <v>3669</v>
      </c>
      <c r="F1550" s="38"/>
    </row>
    <row r="1551">
      <c r="A1551" s="47" t="s">
        <v>1113</v>
      </c>
      <c r="B1551" s="38" t="s">
        <v>38</v>
      </c>
      <c r="C1551" s="38">
        <v>4.0</v>
      </c>
      <c r="D1551" s="38" t="s">
        <v>3670</v>
      </c>
      <c r="E1551" s="38" t="s">
        <v>3671</v>
      </c>
      <c r="F1551" s="38" t="s">
        <v>3672</v>
      </c>
    </row>
    <row r="1552">
      <c r="A1552" s="47"/>
      <c r="B1552" s="38"/>
      <c r="C1552" s="38"/>
      <c r="D1552" s="38"/>
      <c r="E1552" s="38" t="s">
        <v>3673</v>
      </c>
      <c r="F1552" s="38" t="s">
        <v>3674</v>
      </c>
      <c r="G1552" s="38" t="s">
        <v>3675</v>
      </c>
    </row>
    <row r="1553">
      <c r="A1553" s="38" t="s">
        <v>133</v>
      </c>
      <c r="B1553" s="38" t="s">
        <v>789</v>
      </c>
      <c r="C1553" s="38">
        <v>4.0</v>
      </c>
      <c r="D1553" s="38" t="s">
        <v>3676</v>
      </c>
      <c r="E1553" s="38" t="s">
        <v>3673</v>
      </c>
      <c r="F1553" s="38" t="s">
        <v>2218</v>
      </c>
      <c r="G1553" s="38" t="s">
        <v>3675</v>
      </c>
    </row>
    <row r="1554">
      <c r="A1554" s="38" t="s">
        <v>133</v>
      </c>
      <c r="B1554" s="38" t="s">
        <v>1349</v>
      </c>
      <c r="C1554" s="38">
        <v>4.0</v>
      </c>
      <c r="D1554" s="38" t="s">
        <v>3677</v>
      </c>
      <c r="E1554" s="38" t="s">
        <v>3678</v>
      </c>
      <c r="F1554" s="38" t="s">
        <v>175</v>
      </c>
    </row>
    <row r="1555">
      <c r="A1555" s="38" t="s">
        <v>3679</v>
      </c>
      <c r="B1555" s="38" t="s">
        <v>1349</v>
      </c>
      <c r="C1555" s="38">
        <v>4.0</v>
      </c>
      <c r="D1555" s="38" t="s">
        <v>3677</v>
      </c>
      <c r="E1555" s="38" t="s">
        <v>3680</v>
      </c>
      <c r="F1555" s="38" t="s">
        <v>3681</v>
      </c>
    </row>
    <row r="1556">
      <c r="A1556" s="4" t="s">
        <v>1113</v>
      </c>
      <c r="B1556" s="1" t="s">
        <v>3682</v>
      </c>
      <c r="C1556" s="1">
        <v>2.0</v>
      </c>
      <c r="D1556" s="1" t="s">
        <v>3683</v>
      </c>
      <c r="E1556" s="1" t="s">
        <v>3684</v>
      </c>
    </row>
    <row r="1557">
      <c r="A1557" s="4"/>
      <c r="B1557" s="1"/>
      <c r="C1557" s="1"/>
      <c r="D1557" s="1" t="s">
        <v>3685</v>
      </c>
      <c r="E1557" s="1" t="s">
        <v>1433</v>
      </c>
      <c r="F1557" s="1" t="s">
        <v>3686</v>
      </c>
    </row>
    <row r="1558">
      <c r="A1558" s="38" t="s">
        <v>2564</v>
      </c>
      <c r="B1558" s="38" t="s">
        <v>122</v>
      </c>
      <c r="C1558" s="38">
        <v>4.0</v>
      </c>
      <c r="D1558" s="38" t="s">
        <v>211</v>
      </c>
      <c r="E1558" s="38" t="s">
        <v>3687</v>
      </c>
      <c r="F1558" s="38" t="s">
        <v>3688</v>
      </c>
    </row>
    <row r="1559">
      <c r="A1559" s="47" t="s">
        <v>3689</v>
      </c>
      <c r="B1559" s="38" t="s">
        <v>2216</v>
      </c>
      <c r="C1559" s="38">
        <v>4.0</v>
      </c>
      <c r="D1559" s="38" t="s">
        <v>3690</v>
      </c>
      <c r="E1559" s="38" t="s">
        <v>3691</v>
      </c>
      <c r="F1559" s="44"/>
    </row>
    <row r="1560">
      <c r="A1560" s="4" t="s">
        <v>1113</v>
      </c>
      <c r="B1560" s="1" t="s">
        <v>140</v>
      </c>
      <c r="C1560" s="1">
        <v>4.0</v>
      </c>
      <c r="D1560" s="1" t="s">
        <v>3692</v>
      </c>
      <c r="E1560" s="1" t="s">
        <v>3693</v>
      </c>
      <c r="G1560" s="1" t="s">
        <v>3694</v>
      </c>
    </row>
    <row r="1561">
      <c r="A1561" s="4" t="s">
        <v>1113</v>
      </c>
      <c r="B1561" s="1" t="s">
        <v>91</v>
      </c>
      <c r="C1561" s="1">
        <v>4.0</v>
      </c>
      <c r="D1561" s="1" t="s">
        <v>3695</v>
      </c>
      <c r="E1561" s="1" t="s">
        <v>3696</v>
      </c>
      <c r="G1561" s="1" t="s">
        <v>3697</v>
      </c>
    </row>
    <row r="1562">
      <c r="A1562" s="4" t="s">
        <v>3698</v>
      </c>
      <c r="B1562" s="1" t="s">
        <v>1513</v>
      </c>
      <c r="C1562" s="1">
        <v>1.0</v>
      </c>
      <c r="D1562" s="1" t="s">
        <v>3699</v>
      </c>
      <c r="E1562" s="1" t="s">
        <v>3700</v>
      </c>
      <c r="G1562" s="1" t="s">
        <v>3701</v>
      </c>
    </row>
    <row r="1563">
      <c r="A1563" s="4"/>
      <c r="B1563" s="1"/>
      <c r="C1563" s="1"/>
      <c r="D1563" s="1"/>
      <c r="E1563" s="1" t="s">
        <v>3702</v>
      </c>
      <c r="F1563" s="1" t="s">
        <v>3703</v>
      </c>
      <c r="G1563" s="1"/>
    </row>
    <row r="1564">
      <c r="A1564" s="4" t="s">
        <v>1113</v>
      </c>
      <c r="B1564" s="1" t="s">
        <v>416</v>
      </c>
      <c r="C1564" s="1">
        <v>4.0</v>
      </c>
      <c r="D1564" s="1" t="s">
        <v>3704</v>
      </c>
      <c r="E1564" s="1" t="s">
        <v>3705</v>
      </c>
      <c r="G1564" s="1" t="s">
        <v>3706</v>
      </c>
    </row>
    <row r="1565">
      <c r="A1565" s="4" t="s">
        <v>1113</v>
      </c>
      <c r="B1565" s="1" t="s">
        <v>271</v>
      </c>
      <c r="C1565" s="1">
        <v>4.0</v>
      </c>
      <c r="D1565" s="1" t="s">
        <v>3707</v>
      </c>
      <c r="E1565" s="1" t="s">
        <v>2198</v>
      </c>
      <c r="G1565" s="1" t="s">
        <v>3706</v>
      </c>
    </row>
    <row r="1566">
      <c r="A1566" s="4" t="s">
        <v>1113</v>
      </c>
      <c r="B1566" s="1" t="s">
        <v>271</v>
      </c>
      <c r="C1566" s="1">
        <v>4.0</v>
      </c>
      <c r="D1566" s="1" t="s">
        <v>3707</v>
      </c>
      <c r="E1566" s="1" t="s">
        <v>3708</v>
      </c>
      <c r="G1566" s="1" t="s">
        <v>3706</v>
      </c>
    </row>
    <row r="1567">
      <c r="A1567" s="4" t="s">
        <v>1113</v>
      </c>
      <c r="B1567" s="1" t="s">
        <v>339</v>
      </c>
      <c r="C1567" s="1">
        <v>4.0</v>
      </c>
      <c r="D1567" s="1" t="s">
        <v>3709</v>
      </c>
      <c r="E1567" s="1" t="s">
        <v>3710</v>
      </c>
      <c r="G1567" s="1" t="s">
        <v>3706</v>
      </c>
    </row>
    <row r="1568">
      <c r="A1568" s="4" t="s">
        <v>1113</v>
      </c>
      <c r="B1568" s="1" t="s">
        <v>1296</v>
      </c>
      <c r="C1568" s="1">
        <v>4.0</v>
      </c>
      <c r="D1568" s="1" t="s">
        <v>3711</v>
      </c>
      <c r="E1568" s="1" t="s">
        <v>3712</v>
      </c>
      <c r="G1568" s="1" t="s">
        <v>3713</v>
      </c>
    </row>
    <row r="1569">
      <c r="A1569" s="38" t="s">
        <v>133</v>
      </c>
      <c r="B1569" s="38" t="s">
        <v>430</v>
      </c>
      <c r="C1569" s="38">
        <v>4.0</v>
      </c>
      <c r="D1569" s="38" t="s">
        <v>3714</v>
      </c>
      <c r="E1569" s="38" t="s">
        <v>3715</v>
      </c>
      <c r="F1569" s="38" t="s">
        <v>3716</v>
      </c>
    </row>
    <row r="1570">
      <c r="A1570" s="38" t="s">
        <v>133</v>
      </c>
      <c r="B1570" s="38" t="s">
        <v>3717</v>
      </c>
      <c r="C1570" s="38">
        <v>2.0</v>
      </c>
      <c r="D1570" s="38" t="s">
        <v>3718</v>
      </c>
      <c r="E1570" s="38" t="s">
        <v>3719</v>
      </c>
      <c r="F1570" s="38" t="s">
        <v>3720</v>
      </c>
    </row>
    <row r="1571">
      <c r="A1571" s="38" t="s">
        <v>133</v>
      </c>
      <c r="B1571" s="38" t="s">
        <v>1892</v>
      </c>
      <c r="C1571" s="38">
        <v>2.0</v>
      </c>
      <c r="D1571" s="38" t="s">
        <v>3721</v>
      </c>
      <c r="E1571" s="38" t="s">
        <v>3719</v>
      </c>
      <c r="F1571" s="38" t="s">
        <v>3720</v>
      </c>
    </row>
    <row r="1572">
      <c r="A1572" s="33"/>
      <c r="B1572" s="38" t="s">
        <v>52</v>
      </c>
      <c r="C1572" s="38">
        <v>4.0</v>
      </c>
      <c r="D1572" s="38" t="s">
        <v>211</v>
      </c>
      <c r="E1572" s="38" t="s">
        <v>3722</v>
      </c>
      <c r="F1572" s="38" t="s">
        <v>3723</v>
      </c>
      <c r="G1572" s="38" t="s">
        <v>3645</v>
      </c>
    </row>
    <row r="1573">
      <c r="A1573" s="1"/>
      <c r="B1573" s="1"/>
      <c r="C1573" s="1"/>
      <c r="D1573" s="1"/>
      <c r="E1573" s="1" t="s">
        <v>3722</v>
      </c>
      <c r="F1573" s="1" t="s">
        <v>3724</v>
      </c>
      <c r="G1573" s="1"/>
    </row>
    <row r="1574">
      <c r="A1574" s="38"/>
      <c r="B1574" s="38" t="s">
        <v>3725</v>
      </c>
      <c r="C1574" s="38">
        <v>4.0</v>
      </c>
      <c r="D1574" s="38" t="s">
        <v>2909</v>
      </c>
      <c r="E1574" s="38" t="s">
        <v>3726</v>
      </c>
      <c r="F1574" s="38" t="s">
        <v>3372</v>
      </c>
    </row>
    <row r="1575">
      <c r="A1575" s="38" t="s">
        <v>133</v>
      </c>
      <c r="B1575" s="38" t="s">
        <v>430</v>
      </c>
      <c r="C1575" s="38">
        <v>4.0</v>
      </c>
      <c r="D1575" s="38" t="s">
        <v>3727</v>
      </c>
      <c r="E1575" s="38" t="s">
        <v>3728</v>
      </c>
      <c r="F1575" s="44"/>
    </row>
    <row r="1576">
      <c r="A1576" s="5" t="s">
        <v>156</v>
      </c>
      <c r="B1576" s="1" t="s">
        <v>94</v>
      </c>
      <c r="C1576" s="1">
        <v>2.0</v>
      </c>
      <c r="D1576" s="1" t="s">
        <v>3729</v>
      </c>
      <c r="E1576" s="1" t="s">
        <v>1832</v>
      </c>
      <c r="F1576" s="1" t="s">
        <v>3730</v>
      </c>
    </row>
    <row r="1577">
      <c r="A1577" s="38"/>
      <c r="B1577" s="94" t="s">
        <v>3731</v>
      </c>
      <c r="C1577" s="94" t="s">
        <v>3732</v>
      </c>
      <c r="D1577" s="44"/>
      <c r="E1577" s="38" t="s">
        <v>3733</v>
      </c>
      <c r="F1577" s="94" t="s">
        <v>3734</v>
      </c>
      <c r="G1577" s="38" t="s">
        <v>3735</v>
      </c>
    </row>
    <row r="1578">
      <c r="A1578" s="38"/>
      <c r="B1578" s="94" t="s">
        <v>3736</v>
      </c>
      <c r="C1578" s="44"/>
      <c r="D1578" s="44"/>
      <c r="E1578" s="38" t="s">
        <v>3737</v>
      </c>
      <c r="F1578" s="94" t="s">
        <v>3734</v>
      </c>
      <c r="G1578" s="38" t="s">
        <v>3735</v>
      </c>
    </row>
    <row r="1579">
      <c r="A1579" s="1"/>
      <c r="B1579" s="38" t="s">
        <v>25</v>
      </c>
      <c r="C1579" s="38">
        <v>2.0</v>
      </c>
      <c r="D1579" s="38" t="s">
        <v>291</v>
      </c>
      <c r="E1579" s="38" t="s">
        <v>3738</v>
      </c>
      <c r="F1579" s="38" t="s">
        <v>3720</v>
      </c>
    </row>
    <row r="1580">
      <c r="A1580" s="1"/>
      <c r="B1580" s="38" t="s">
        <v>3739</v>
      </c>
      <c r="C1580" s="38" t="s">
        <v>3740</v>
      </c>
      <c r="D1580" s="38" t="s">
        <v>3741</v>
      </c>
      <c r="E1580" s="38" t="s">
        <v>3742</v>
      </c>
      <c r="F1580" s="38" t="s">
        <v>3743</v>
      </c>
    </row>
    <row r="1581">
      <c r="A1581" s="1"/>
      <c r="B1581" s="38"/>
      <c r="C1581" s="38">
        <v>4.0</v>
      </c>
      <c r="D1581" s="38" t="s">
        <v>3744</v>
      </c>
      <c r="E1581" s="38" t="s">
        <v>3745</v>
      </c>
      <c r="F1581" s="38" t="s">
        <v>3746</v>
      </c>
    </row>
    <row r="1582">
      <c r="A1582" s="1" t="s">
        <v>3747</v>
      </c>
      <c r="B1582" s="199" t="s">
        <v>3748</v>
      </c>
      <c r="C1582" s="199" t="s">
        <v>3749</v>
      </c>
      <c r="D1582" s="158" t="s">
        <v>3750</v>
      </c>
      <c r="E1582" s="1" t="s">
        <v>3751</v>
      </c>
    </row>
    <row r="1583">
      <c r="A1583" s="33"/>
      <c r="B1583" s="38" t="s">
        <v>3752</v>
      </c>
      <c r="C1583" s="38">
        <v>4.0</v>
      </c>
      <c r="D1583" s="38" t="s">
        <v>3753</v>
      </c>
      <c r="E1583" s="38" t="s">
        <v>418</v>
      </c>
      <c r="F1583" s="38" t="s">
        <v>3520</v>
      </c>
    </row>
    <row r="1584">
      <c r="A1584" s="33"/>
      <c r="B1584" s="38" t="s">
        <v>2573</v>
      </c>
      <c r="C1584" s="38">
        <v>4.0</v>
      </c>
      <c r="D1584" s="38" t="s">
        <v>3753</v>
      </c>
      <c r="E1584" s="38" t="s">
        <v>418</v>
      </c>
      <c r="F1584" s="38" t="s">
        <v>3520</v>
      </c>
    </row>
    <row r="1585">
      <c r="A1585" s="38" t="s">
        <v>133</v>
      </c>
      <c r="B1585" s="38" t="s">
        <v>52</v>
      </c>
      <c r="C1585" s="38">
        <v>4.0</v>
      </c>
      <c r="D1585" s="38" t="s">
        <v>211</v>
      </c>
      <c r="E1585" s="38" t="s">
        <v>3754</v>
      </c>
      <c r="F1585" s="38" t="s">
        <v>3755</v>
      </c>
    </row>
    <row r="1586">
      <c r="A1586" s="1"/>
      <c r="B1586" s="1" t="s">
        <v>3756</v>
      </c>
      <c r="C1586" s="1" t="s">
        <v>3757</v>
      </c>
      <c r="D1586" s="1" t="s">
        <v>3758</v>
      </c>
      <c r="E1586" s="226" t="s">
        <v>3759</v>
      </c>
      <c r="F1586" s="1" t="s">
        <v>3760</v>
      </c>
    </row>
    <row r="1587">
      <c r="A1587" s="1"/>
      <c r="B1587" s="74" t="s">
        <v>3761</v>
      </c>
      <c r="C1587" s="44"/>
      <c r="D1587" s="38">
        <v>2.0</v>
      </c>
      <c r="E1587" s="227" t="s">
        <v>3762</v>
      </c>
      <c r="F1587" s="44"/>
    </row>
    <row r="1588">
      <c r="A1588" s="1"/>
      <c r="B1588" s="74" t="s">
        <v>3763</v>
      </c>
      <c r="C1588" s="44"/>
      <c r="D1588" s="38">
        <v>2.0</v>
      </c>
      <c r="E1588" s="227" t="s">
        <v>3764</v>
      </c>
      <c r="F1588" s="44"/>
    </row>
    <row r="1589">
      <c r="A1589" s="1"/>
      <c r="B1589" s="228" t="s">
        <v>3761</v>
      </c>
      <c r="D1589" s="1">
        <v>2.0</v>
      </c>
      <c r="E1589" s="229" t="s">
        <v>3765</v>
      </c>
      <c r="F1589" s="1" t="s">
        <v>3766</v>
      </c>
    </row>
    <row r="1590">
      <c r="A1590" s="1"/>
      <c r="B1590" s="230" t="s">
        <v>3763</v>
      </c>
      <c r="D1590" s="1">
        <v>2.0</v>
      </c>
      <c r="E1590" s="229" t="s">
        <v>3767</v>
      </c>
      <c r="F1590" s="1" t="s">
        <v>3768</v>
      </c>
    </row>
    <row r="1591">
      <c r="A1591" s="1"/>
      <c r="B1591" s="38" t="s">
        <v>1327</v>
      </c>
      <c r="C1591" s="38">
        <v>4.0</v>
      </c>
      <c r="D1591" s="38" t="s">
        <v>3769</v>
      </c>
      <c r="E1591" s="38" t="s">
        <v>418</v>
      </c>
      <c r="F1591" s="38" t="s">
        <v>3770</v>
      </c>
    </row>
    <row r="1592">
      <c r="A1592" s="1"/>
      <c r="B1592" s="38" t="s">
        <v>1892</v>
      </c>
      <c r="C1592" s="38">
        <v>2.0</v>
      </c>
      <c r="D1592" s="38" t="s">
        <v>3771</v>
      </c>
      <c r="E1592" s="38" t="s">
        <v>3772</v>
      </c>
      <c r="F1592" s="38" t="s">
        <v>3361</v>
      </c>
    </row>
    <row r="1593">
      <c r="A1593" s="1"/>
      <c r="B1593" s="38" t="s">
        <v>103</v>
      </c>
      <c r="C1593" s="38">
        <v>2.0</v>
      </c>
      <c r="D1593" s="38" t="s">
        <v>3771</v>
      </c>
      <c r="E1593" s="39" t="s">
        <v>3773</v>
      </c>
      <c r="F1593" s="38" t="s">
        <v>3361</v>
      </c>
    </row>
    <row r="1594">
      <c r="B1594" s="38" t="s">
        <v>183</v>
      </c>
      <c r="C1594" s="38">
        <v>4.0</v>
      </c>
      <c r="D1594" s="38" t="s">
        <v>1116</v>
      </c>
      <c r="E1594" s="38" t="s">
        <v>2433</v>
      </c>
      <c r="F1594" s="44"/>
    </row>
    <row r="1595">
      <c r="A1595" s="8"/>
      <c r="B1595" s="47" t="s">
        <v>3774</v>
      </c>
      <c r="C1595" s="47" t="s">
        <v>3775</v>
      </c>
      <c r="D1595" s="44"/>
      <c r="E1595" s="47" t="s">
        <v>3776</v>
      </c>
      <c r="F1595" s="47" t="s">
        <v>3777</v>
      </c>
      <c r="G1595" s="38" t="s">
        <v>705</v>
      </c>
    </row>
    <row r="1596">
      <c r="A1596" s="5"/>
      <c r="B1596" s="47" t="s">
        <v>3778</v>
      </c>
      <c r="C1596" s="47" t="s">
        <v>3779</v>
      </c>
      <c r="D1596" s="47" t="s">
        <v>3780</v>
      </c>
      <c r="E1596" s="47" t="s">
        <v>3781</v>
      </c>
      <c r="F1596" s="44"/>
      <c r="G1596" s="38" t="s">
        <v>705</v>
      </c>
    </row>
    <row r="1597">
      <c r="A1597" s="5"/>
      <c r="B1597" s="47" t="s">
        <v>3782</v>
      </c>
      <c r="C1597" s="47" t="s">
        <v>3783</v>
      </c>
      <c r="D1597" s="44"/>
      <c r="E1597" s="47" t="s">
        <v>3781</v>
      </c>
      <c r="F1597" s="44"/>
      <c r="G1597" s="38" t="s">
        <v>705</v>
      </c>
    </row>
    <row r="1598">
      <c r="A1598" s="1"/>
      <c r="B1598" s="38" t="s">
        <v>430</v>
      </c>
      <c r="C1598" s="38">
        <v>4.0</v>
      </c>
      <c r="D1598" s="38" t="s">
        <v>3784</v>
      </c>
      <c r="E1598" s="38" t="s">
        <v>3785</v>
      </c>
      <c r="F1598" s="38" t="s">
        <v>3786</v>
      </c>
    </row>
    <row r="1599">
      <c r="A1599" s="1"/>
      <c r="B1599" s="44"/>
      <c r="C1599" s="47" t="s">
        <v>3787</v>
      </c>
      <c r="D1599" s="47" t="s">
        <v>3788</v>
      </c>
      <c r="E1599" s="38" t="s">
        <v>3789</v>
      </c>
      <c r="F1599" s="44"/>
    </row>
    <row r="1600">
      <c r="A1600" s="1"/>
      <c r="B1600" s="112" t="s">
        <v>3790</v>
      </c>
      <c r="C1600" s="44"/>
      <c r="D1600" s="112" t="s">
        <v>3791</v>
      </c>
      <c r="E1600" s="38" t="s">
        <v>3789</v>
      </c>
      <c r="F1600" s="44"/>
    </row>
    <row r="1601">
      <c r="A1601" s="1" t="s">
        <v>133</v>
      </c>
      <c r="B1601" s="38" t="s">
        <v>3792</v>
      </c>
      <c r="C1601" s="38">
        <v>2.0</v>
      </c>
      <c r="D1601" s="38" t="s">
        <v>211</v>
      </c>
      <c r="E1601" s="38" t="s">
        <v>3793</v>
      </c>
      <c r="F1601" s="44"/>
    </row>
    <row r="1602">
      <c r="A1602" s="1"/>
      <c r="B1602" s="38" t="s">
        <v>2159</v>
      </c>
      <c r="C1602" s="38">
        <v>2.0</v>
      </c>
      <c r="D1602" s="38" t="s">
        <v>3794</v>
      </c>
      <c r="E1602" s="38" t="s">
        <v>3795</v>
      </c>
      <c r="F1602" s="38" t="s">
        <v>3743</v>
      </c>
    </row>
    <row r="1603">
      <c r="A1603" s="1" t="s">
        <v>133</v>
      </c>
      <c r="B1603" s="38" t="s">
        <v>789</v>
      </c>
      <c r="C1603" s="38">
        <v>4.0</v>
      </c>
      <c r="D1603" s="38" t="s">
        <v>3769</v>
      </c>
      <c r="E1603" s="38" t="s">
        <v>3796</v>
      </c>
      <c r="F1603" s="38" t="s">
        <v>3797</v>
      </c>
    </row>
    <row r="1604">
      <c r="A1604" s="33"/>
      <c r="B1604" s="1" t="s">
        <v>177</v>
      </c>
      <c r="C1604" s="1">
        <v>4.0</v>
      </c>
      <c r="D1604" s="1" t="s">
        <v>3798</v>
      </c>
      <c r="E1604" s="1" t="s">
        <v>3799</v>
      </c>
      <c r="F1604" s="1" t="s">
        <v>3800</v>
      </c>
    </row>
    <row r="1605">
      <c r="A1605" s="1" t="s">
        <v>133</v>
      </c>
      <c r="B1605" s="38" t="s">
        <v>354</v>
      </c>
      <c r="C1605" s="38">
        <v>4.0</v>
      </c>
      <c r="D1605" s="38" t="s">
        <v>3798</v>
      </c>
      <c r="E1605" s="38" t="s">
        <v>3801</v>
      </c>
      <c r="F1605" s="38" t="s">
        <v>3802</v>
      </c>
    </row>
    <row r="1606">
      <c r="A1606" s="1"/>
      <c r="B1606" s="1" t="s">
        <v>3803</v>
      </c>
      <c r="C1606" s="1" t="s">
        <v>3804</v>
      </c>
      <c r="E1606" s="1" t="s">
        <v>3805</v>
      </c>
      <c r="F1606" s="1" t="s">
        <v>3806</v>
      </c>
    </row>
    <row r="1607">
      <c r="A1607" s="1"/>
      <c r="B1607" s="38" t="s">
        <v>41</v>
      </c>
      <c r="C1607" s="38">
        <v>4.0</v>
      </c>
      <c r="D1607" s="38" t="s">
        <v>3807</v>
      </c>
      <c r="E1607" s="38" t="s">
        <v>3808</v>
      </c>
      <c r="F1607" s="38" t="s">
        <v>3809</v>
      </c>
    </row>
    <row r="1608">
      <c r="A1608" s="1"/>
      <c r="B1608" s="38" t="s">
        <v>718</v>
      </c>
      <c r="C1608" s="38">
        <v>4.0</v>
      </c>
      <c r="D1608" s="38" t="s">
        <v>3810</v>
      </c>
      <c r="E1608" s="38" t="s">
        <v>1017</v>
      </c>
      <c r="F1608" s="38" t="s">
        <v>496</v>
      </c>
      <c r="G1608" s="38" t="s">
        <v>3811</v>
      </c>
    </row>
    <row r="1609">
      <c r="A1609" s="1"/>
      <c r="B1609" s="94" t="s">
        <v>3812</v>
      </c>
      <c r="C1609" s="94" t="s">
        <v>3813</v>
      </c>
      <c r="D1609" s="44"/>
      <c r="E1609" s="38" t="s">
        <v>3814</v>
      </c>
      <c r="F1609" s="94"/>
      <c r="G1609" s="38" t="s">
        <v>3811</v>
      </c>
    </row>
    <row r="1610">
      <c r="A1610" s="38" t="s">
        <v>1040</v>
      </c>
      <c r="B1610" s="38" t="s">
        <v>3815</v>
      </c>
      <c r="C1610" s="38">
        <v>4.0</v>
      </c>
      <c r="D1610" s="38" t="s">
        <v>3816</v>
      </c>
      <c r="E1610" s="38" t="s">
        <v>1309</v>
      </c>
      <c r="F1610" s="38" t="s">
        <v>2107</v>
      </c>
    </row>
    <row r="1611">
      <c r="A1611" s="38" t="s">
        <v>1040</v>
      </c>
      <c r="B1611" s="38" t="s">
        <v>38</v>
      </c>
      <c r="C1611" s="38">
        <v>2.0</v>
      </c>
      <c r="D1611" s="38" t="s">
        <v>3817</v>
      </c>
      <c r="E1611" s="38" t="s">
        <v>3818</v>
      </c>
      <c r="F1611" s="38" t="s">
        <v>3819</v>
      </c>
      <c r="G1611" s="38" t="s">
        <v>3645</v>
      </c>
    </row>
    <row r="1612">
      <c r="A1612" s="38" t="s">
        <v>1040</v>
      </c>
      <c r="B1612" s="38" t="s">
        <v>3820</v>
      </c>
      <c r="C1612" s="38">
        <v>2.0</v>
      </c>
      <c r="D1612" s="38" t="s">
        <v>3821</v>
      </c>
      <c r="E1612" s="38" t="s">
        <v>371</v>
      </c>
      <c r="F1612" s="44"/>
      <c r="G1612" s="38" t="s">
        <v>3645</v>
      </c>
    </row>
    <row r="1613">
      <c r="A1613" s="38" t="s">
        <v>1040</v>
      </c>
      <c r="B1613" s="38" t="s">
        <v>3822</v>
      </c>
      <c r="C1613" s="38">
        <v>2.0</v>
      </c>
      <c r="D1613" s="38" t="s">
        <v>3823</v>
      </c>
      <c r="E1613" s="38" t="s">
        <v>3824</v>
      </c>
      <c r="F1613" s="38" t="s">
        <v>3825</v>
      </c>
      <c r="G1613" s="38" t="s">
        <v>3645</v>
      </c>
    </row>
    <row r="1614">
      <c r="A1614" s="38" t="s">
        <v>1040</v>
      </c>
      <c r="B1614" s="38" t="s">
        <v>153</v>
      </c>
      <c r="C1614" s="38">
        <v>2.0</v>
      </c>
      <c r="D1614" s="38" t="s">
        <v>3826</v>
      </c>
      <c r="E1614" s="38" t="s">
        <v>371</v>
      </c>
      <c r="F1614" s="44"/>
      <c r="G1614" s="38" t="s">
        <v>3645</v>
      </c>
    </row>
    <row r="1615">
      <c r="A1615" s="4"/>
      <c r="B1615" s="4"/>
      <c r="C1615" s="4"/>
      <c r="D1615" s="4" t="s">
        <v>3818</v>
      </c>
      <c r="E1615" s="4" t="s">
        <v>3824</v>
      </c>
      <c r="F1615" s="1" t="s">
        <v>3827</v>
      </c>
      <c r="G1615" s="4"/>
    </row>
    <row r="1616">
      <c r="A1616" s="38" t="s">
        <v>1040</v>
      </c>
      <c r="B1616" s="38" t="s">
        <v>52</v>
      </c>
      <c r="C1616" s="38">
        <v>2.0</v>
      </c>
      <c r="D1616" s="38" t="s">
        <v>3828</v>
      </c>
      <c r="E1616" s="38" t="s">
        <v>3636</v>
      </c>
      <c r="F1616" s="38" t="s">
        <v>3829</v>
      </c>
      <c r="G1616" s="38" t="s">
        <v>3634</v>
      </c>
    </row>
    <row r="1617">
      <c r="A1617" s="38" t="s">
        <v>1040</v>
      </c>
      <c r="B1617" s="38" t="s">
        <v>405</v>
      </c>
      <c r="C1617" s="38">
        <v>2.0</v>
      </c>
      <c r="D1617" s="38" t="s">
        <v>3830</v>
      </c>
      <c r="E1617" s="38" t="s">
        <v>396</v>
      </c>
      <c r="F1617" s="38" t="s">
        <v>652</v>
      </c>
      <c r="G1617" s="44"/>
    </row>
    <row r="1618">
      <c r="A1618" s="22" t="s">
        <v>156</v>
      </c>
      <c r="B1618" s="1" t="s">
        <v>283</v>
      </c>
      <c r="C1618" s="1">
        <v>4.0</v>
      </c>
      <c r="D1618" s="1" t="s">
        <v>3831</v>
      </c>
      <c r="E1618" s="1" t="s">
        <v>3832</v>
      </c>
      <c r="F1618" s="1" t="s">
        <v>3833</v>
      </c>
      <c r="G1618" s="1" t="s">
        <v>3834</v>
      </c>
    </row>
    <row r="1619">
      <c r="A1619" s="38" t="s">
        <v>1040</v>
      </c>
      <c r="B1619" s="38" t="s">
        <v>147</v>
      </c>
      <c r="C1619" s="38">
        <v>4.0</v>
      </c>
      <c r="D1619" s="38" t="s">
        <v>3835</v>
      </c>
      <c r="E1619" s="38" t="s">
        <v>514</v>
      </c>
      <c r="F1619" s="44"/>
    </row>
    <row r="1620">
      <c r="A1620" s="22" t="s">
        <v>1040</v>
      </c>
      <c r="B1620" s="1" t="s">
        <v>88</v>
      </c>
      <c r="C1620" s="1">
        <v>4.0</v>
      </c>
      <c r="D1620" s="1" t="s">
        <v>3836</v>
      </c>
      <c r="E1620" s="1" t="s">
        <v>3837</v>
      </c>
    </row>
    <row r="1621">
      <c r="A1621" s="22" t="s">
        <v>1040</v>
      </c>
      <c r="B1621" s="1" t="s">
        <v>2798</v>
      </c>
      <c r="C1621" s="1">
        <v>4.0</v>
      </c>
      <c r="D1621" s="1" t="s">
        <v>3838</v>
      </c>
      <c r="E1621" s="1" t="s">
        <v>3839</v>
      </c>
    </row>
    <row r="1622">
      <c r="A1622" s="22" t="s">
        <v>1040</v>
      </c>
      <c r="B1622" s="1" t="s">
        <v>1159</v>
      </c>
      <c r="C1622" s="1">
        <v>2.0</v>
      </c>
      <c r="D1622" s="1" t="s">
        <v>3840</v>
      </c>
      <c r="E1622" s="1" t="s">
        <v>3841</v>
      </c>
    </row>
    <row r="1623">
      <c r="A1623" s="38" t="s">
        <v>1040</v>
      </c>
      <c r="B1623" s="38" t="s">
        <v>3842</v>
      </c>
      <c r="C1623" s="38">
        <v>4.0</v>
      </c>
      <c r="D1623" s="38" t="s">
        <v>3843</v>
      </c>
      <c r="E1623" s="38" t="s">
        <v>1814</v>
      </c>
      <c r="F1623" s="38" t="s">
        <v>3844</v>
      </c>
    </row>
    <row r="1624">
      <c r="A1624" s="22" t="s">
        <v>1040</v>
      </c>
      <c r="B1624" s="1" t="s">
        <v>2329</v>
      </c>
      <c r="C1624" s="1">
        <v>4.0</v>
      </c>
      <c r="D1624" s="1" t="s">
        <v>3845</v>
      </c>
      <c r="E1624" s="1" t="s">
        <v>3846</v>
      </c>
    </row>
    <row r="1625">
      <c r="A1625" s="38" t="s">
        <v>1040</v>
      </c>
      <c r="B1625" s="38" t="s">
        <v>43</v>
      </c>
      <c r="C1625" s="38">
        <v>2.0</v>
      </c>
      <c r="D1625" s="38" t="s">
        <v>3847</v>
      </c>
      <c r="E1625" s="47" t="s">
        <v>3848</v>
      </c>
      <c r="F1625" s="38" t="s">
        <v>3849</v>
      </c>
    </row>
    <row r="1626">
      <c r="A1626" s="38" t="s">
        <v>1040</v>
      </c>
      <c r="B1626" s="38" t="s">
        <v>48</v>
      </c>
      <c r="C1626" s="38">
        <v>2.0</v>
      </c>
      <c r="D1626" s="38" t="s">
        <v>3850</v>
      </c>
      <c r="E1626" s="47" t="s">
        <v>3848</v>
      </c>
      <c r="F1626" s="38" t="s">
        <v>3849</v>
      </c>
    </row>
    <row r="1627">
      <c r="A1627" s="38" t="s">
        <v>1040</v>
      </c>
      <c r="B1627" s="38" t="s">
        <v>58</v>
      </c>
      <c r="C1627" s="38">
        <v>2.0</v>
      </c>
      <c r="D1627" s="38" t="s">
        <v>3851</v>
      </c>
      <c r="E1627" s="38" t="s">
        <v>2386</v>
      </c>
      <c r="F1627" s="38" t="s">
        <v>3852</v>
      </c>
    </row>
    <row r="1628">
      <c r="A1628" s="38" t="s">
        <v>1040</v>
      </c>
      <c r="B1628" s="38" t="s">
        <v>3853</v>
      </c>
      <c r="C1628" s="38">
        <v>4.0</v>
      </c>
      <c r="D1628" s="38" t="s">
        <v>3854</v>
      </c>
      <c r="E1628" s="38" t="s">
        <v>2386</v>
      </c>
      <c r="F1628" s="38" t="s">
        <v>3852</v>
      </c>
    </row>
    <row r="1629">
      <c r="A1629" s="38" t="s">
        <v>1040</v>
      </c>
      <c r="B1629" s="38" t="s">
        <v>2329</v>
      </c>
      <c r="C1629" s="38">
        <v>4.0</v>
      </c>
      <c r="D1629" s="38" t="s">
        <v>3855</v>
      </c>
      <c r="E1629" s="38" t="s">
        <v>2386</v>
      </c>
      <c r="F1629" s="38" t="s">
        <v>3852</v>
      </c>
    </row>
    <row r="1630">
      <c r="A1630" s="38" t="s">
        <v>1040</v>
      </c>
      <c r="B1630" s="38" t="s">
        <v>3856</v>
      </c>
      <c r="C1630" s="38">
        <v>4.0</v>
      </c>
      <c r="D1630" s="38" t="s">
        <v>3857</v>
      </c>
      <c r="E1630" s="38" t="s">
        <v>2386</v>
      </c>
      <c r="F1630" s="38" t="s">
        <v>3852</v>
      </c>
    </row>
    <row r="1631">
      <c r="A1631" s="38" t="s">
        <v>133</v>
      </c>
      <c r="B1631" s="38" t="s">
        <v>2276</v>
      </c>
      <c r="C1631" s="38">
        <v>2.0</v>
      </c>
      <c r="D1631" s="38" t="s">
        <v>123</v>
      </c>
      <c r="E1631" s="38" t="s">
        <v>3858</v>
      </c>
      <c r="F1631" s="38" t="s">
        <v>3786</v>
      </c>
    </row>
    <row r="1632">
      <c r="A1632" s="38" t="s">
        <v>133</v>
      </c>
      <c r="B1632" s="38" t="s">
        <v>978</v>
      </c>
      <c r="C1632" s="38">
        <v>2.0</v>
      </c>
      <c r="D1632" s="38" t="s">
        <v>123</v>
      </c>
      <c r="E1632" s="38" t="s">
        <v>633</v>
      </c>
      <c r="F1632" s="38" t="s">
        <v>3786</v>
      </c>
    </row>
    <row r="1633">
      <c r="A1633" s="84"/>
      <c r="B1633" s="38" t="s">
        <v>1892</v>
      </c>
      <c r="C1633" s="38">
        <v>2.0</v>
      </c>
      <c r="D1633" s="38" t="s">
        <v>123</v>
      </c>
      <c r="E1633" s="38" t="s">
        <v>418</v>
      </c>
      <c r="F1633" s="38" t="s">
        <v>3770</v>
      </c>
    </row>
    <row r="1634">
      <c r="A1634" s="84"/>
      <c r="B1634" s="38" t="s">
        <v>2883</v>
      </c>
      <c r="C1634" s="38">
        <v>2.0</v>
      </c>
      <c r="D1634" s="38" t="s">
        <v>123</v>
      </c>
      <c r="E1634" s="38" t="s">
        <v>418</v>
      </c>
      <c r="F1634" s="38" t="s">
        <v>3770</v>
      </c>
    </row>
    <row r="1635">
      <c r="B1635" s="38" t="s">
        <v>271</v>
      </c>
      <c r="C1635" s="38">
        <v>4.0</v>
      </c>
      <c r="D1635" s="38" t="s">
        <v>201</v>
      </c>
      <c r="E1635" s="38" t="s">
        <v>3859</v>
      </c>
      <c r="F1635" s="38" t="s">
        <v>3786</v>
      </c>
    </row>
    <row r="1636">
      <c r="A1636" s="38" t="s">
        <v>133</v>
      </c>
      <c r="B1636" s="38" t="s">
        <v>718</v>
      </c>
      <c r="C1636" s="38">
        <v>4.0</v>
      </c>
      <c r="D1636" s="38" t="s">
        <v>123</v>
      </c>
      <c r="E1636" s="38" t="s">
        <v>3860</v>
      </c>
      <c r="F1636" s="38" t="s">
        <v>3861</v>
      </c>
    </row>
    <row r="1637">
      <c r="A1637" s="44"/>
      <c r="B1637" s="38" t="s">
        <v>3862</v>
      </c>
      <c r="C1637" s="44"/>
      <c r="D1637" s="38" t="s">
        <v>3863</v>
      </c>
      <c r="E1637" s="38" t="s">
        <v>3864</v>
      </c>
      <c r="F1637" s="44"/>
    </row>
    <row r="1638">
      <c r="A1638" s="38" t="s">
        <v>3865</v>
      </c>
      <c r="B1638" s="38"/>
      <c r="C1638" s="44"/>
      <c r="D1638" s="38"/>
      <c r="E1638" s="44"/>
      <c r="F1638" s="38" t="s">
        <v>3864</v>
      </c>
    </row>
    <row r="1639">
      <c r="B1639" s="38" t="s">
        <v>205</v>
      </c>
      <c r="C1639" s="38">
        <v>2.0</v>
      </c>
      <c r="D1639" s="38" t="s">
        <v>3866</v>
      </c>
      <c r="E1639" s="38" t="s">
        <v>2386</v>
      </c>
      <c r="F1639" s="38" t="s">
        <v>3852</v>
      </c>
    </row>
    <row r="1640">
      <c r="A1640" s="8"/>
      <c r="B1640" s="5" t="s">
        <v>2333</v>
      </c>
      <c r="C1640" s="5">
        <v>4.0</v>
      </c>
      <c r="D1640" s="5" t="s">
        <v>3867</v>
      </c>
      <c r="E1640" s="5" t="s">
        <v>3868</v>
      </c>
      <c r="F1640" s="1" t="s">
        <v>3869</v>
      </c>
    </row>
    <row r="1641">
      <c r="B1641" s="189"/>
      <c r="C1641" s="38"/>
      <c r="D1641" s="38" t="s">
        <v>3870</v>
      </c>
      <c r="E1641" s="38" t="s">
        <v>2613</v>
      </c>
      <c r="F1641" s="38" t="s">
        <v>705</v>
      </c>
    </row>
    <row r="1642">
      <c r="A1642" s="44"/>
      <c r="B1642" s="189" t="s">
        <v>3871</v>
      </c>
      <c r="C1642" s="38">
        <v>2.0</v>
      </c>
      <c r="D1642" s="38" t="s">
        <v>3872</v>
      </c>
      <c r="E1642" s="38" t="s">
        <v>2613</v>
      </c>
      <c r="F1642" s="38" t="s">
        <v>3873</v>
      </c>
      <c r="G1642" s="38" t="s">
        <v>705</v>
      </c>
    </row>
    <row r="1643">
      <c r="A1643" s="44"/>
      <c r="B1643" s="189" t="s">
        <v>3874</v>
      </c>
      <c r="C1643" s="38">
        <v>2.0</v>
      </c>
      <c r="D1643" s="38" t="s">
        <v>3872</v>
      </c>
      <c r="E1643" s="38" t="s">
        <v>2613</v>
      </c>
      <c r="F1643" s="44"/>
      <c r="G1643" s="38" t="s">
        <v>705</v>
      </c>
    </row>
    <row r="1644">
      <c r="A1644" s="44"/>
      <c r="B1644" s="189"/>
      <c r="C1644" s="38">
        <v>4.0</v>
      </c>
      <c r="D1644" s="38" t="s">
        <v>3875</v>
      </c>
      <c r="E1644" s="38" t="s">
        <v>2613</v>
      </c>
      <c r="F1644" s="38" t="s">
        <v>3876</v>
      </c>
      <c r="G1644" s="38" t="s">
        <v>705</v>
      </c>
    </row>
    <row r="1645">
      <c r="A1645" s="44"/>
      <c r="B1645" s="38" t="s">
        <v>140</v>
      </c>
      <c r="C1645" s="38">
        <v>2.0</v>
      </c>
      <c r="D1645" s="38" t="s">
        <v>992</v>
      </c>
      <c r="E1645" s="38" t="s">
        <v>2613</v>
      </c>
      <c r="F1645" s="38" t="s">
        <v>3877</v>
      </c>
      <c r="G1645" s="38" t="s">
        <v>705</v>
      </c>
    </row>
    <row r="1646">
      <c r="A1646" s="44"/>
      <c r="B1646" s="38" t="s">
        <v>3820</v>
      </c>
      <c r="C1646" s="38">
        <v>2.0</v>
      </c>
      <c r="D1646" s="38" t="s">
        <v>992</v>
      </c>
      <c r="E1646" s="38" t="s">
        <v>2613</v>
      </c>
      <c r="F1646" s="44"/>
      <c r="G1646" s="38" t="s">
        <v>705</v>
      </c>
    </row>
    <row r="1647">
      <c r="A1647" s="8"/>
      <c r="B1647" s="38" t="s">
        <v>3878</v>
      </c>
      <c r="C1647" s="38">
        <v>2.0</v>
      </c>
      <c r="D1647" s="38" t="s">
        <v>343</v>
      </c>
      <c r="E1647" s="38" t="s">
        <v>3879</v>
      </c>
      <c r="F1647" s="231" t="s">
        <v>3880</v>
      </c>
    </row>
    <row r="1648">
      <c r="B1648" s="131" t="s">
        <v>1271</v>
      </c>
      <c r="C1648" s="131">
        <v>4.0</v>
      </c>
      <c r="D1648" s="131" t="s">
        <v>3881</v>
      </c>
      <c r="E1648" s="131" t="s">
        <v>3882</v>
      </c>
      <c r="F1648" s="130"/>
    </row>
    <row r="1649">
      <c r="A1649" s="1" t="s">
        <v>3883</v>
      </c>
      <c r="B1649" s="38" t="s">
        <v>3884</v>
      </c>
      <c r="C1649" s="38">
        <v>5.0</v>
      </c>
      <c r="D1649" s="38" t="s">
        <v>1359</v>
      </c>
      <c r="E1649" s="38" t="s">
        <v>3885</v>
      </c>
      <c r="F1649" s="38" t="s">
        <v>3770</v>
      </c>
    </row>
    <row r="1650">
      <c r="A1650" s="38" t="s">
        <v>3886</v>
      </c>
      <c r="B1650" s="38" t="s">
        <v>339</v>
      </c>
      <c r="C1650" s="38">
        <v>4.0</v>
      </c>
      <c r="D1650" s="38" t="s">
        <v>2171</v>
      </c>
      <c r="E1650" s="38" t="s">
        <v>3887</v>
      </c>
      <c r="F1650" s="38" t="s">
        <v>3735</v>
      </c>
    </row>
    <row r="1651">
      <c r="A1651" s="44"/>
      <c r="B1651" s="38" t="s">
        <v>354</v>
      </c>
      <c r="C1651" s="38">
        <v>4.0</v>
      </c>
      <c r="D1651" s="38" t="s">
        <v>334</v>
      </c>
      <c r="E1651" s="38" t="s">
        <v>337</v>
      </c>
      <c r="F1651" s="38" t="s">
        <v>3639</v>
      </c>
      <c r="G1651" s="38" t="s">
        <v>496</v>
      </c>
    </row>
    <row r="1652">
      <c r="A1652" s="24"/>
      <c r="B1652" s="4" t="s">
        <v>1460</v>
      </c>
      <c r="D1652" s="4" t="s">
        <v>1462</v>
      </c>
      <c r="E1652" s="4" t="s">
        <v>1463</v>
      </c>
      <c r="F1652" s="4"/>
    </row>
    <row r="1653">
      <c r="A1653" s="232">
        <v>45946.0</v>
      </c>
      <c r="C1653" s="4" t="s">
        <v>3888</v>
      </c>
      <c r="D1653" s="4"/>
      <c r="E1653" s="4" t="s">
        <v>1463</v>
      </c>
      <c r="F1653" s="4"/>
    </row>
    <row r="1654">
      <c r="A1654" s="22" t="s">
        <v>3889</v>
      </c>
      <c r="C1654" s="4" t="s">
        <v>3890</v>
      </c>
      <c r="D1654" s="4"/>
      <c r="E1654" s="4" t="s">
        <v>1467</v>
      </c>
      <c r="F1654" s="4"/>
    </row>
    <row r="1655">
      <c r="A1655" s="4"/>
      <c r="C1655" s="4"/>
      <c r="D1655" s="1" t="s">
        <v>3891</v>
      </c>
      <c r="E1655" s="1" t="s">
        <v>3892</v>
      </c>
      <c r="F1655" s="4"/>
    </row>
    <row r="1656">
      <c r="A1656" s="1" t="s">
        <v>3893</v>
      </c>
      <c r="B1656" s="38" t="s">
        <v>85</v>
      </c>
      <c r="C1656" s="38">
        <v>4.0</v>
      </c>
      <c r="D1656" s="38" t="s">
        <v>2570</v>
      </c>
      <c r="E1656" s="38" t="s">
        <v>3894</v>
      </c>
      <c r="F1656" s="38" t="s">
        <v>3895</v>
      </c>
    </row>
    <row r="1657">
      <c r="A1657" s="38"/>
      <c r="B1657" s="38" t="s">
        <v>52</v>
      </c>
      <c r="C1657" s="38">
        <v>2.0</v>
      </c>
      <c r="D1657" s="38" t="s">
        <v>3896</v>
      </c>
      <c r="E1657" s="38" t="s">
        <v>3897</v>
      </c>
      <c r="F1657" s="44"/>
      <c r="G1657" s="38" t="s">
        <v>3898</v>
      </c>
    </row>
    <row r="1658">
      <c r="A1658" s="38"/>
      <c r="B1658" s="38" t="s">
        <v>405</v>
      </c>
      <c r="C1658" s="38">
        <v>2.0</v>
      </c>
      <c r="D1658" s="38" t="s">
        <v>3896</v>
      </c>
      <c r="E1658" s="38" t="s">
        <v>3897</v>
      </c>
      <c r="F1658" s="38" t="s">
        <v>3899</v>
      </c>
      <c r="G1658" s="38" t="s">
        <v>3898</v>
      </c>
    </row>
    <row r="1659">
      <c r="A1659" s="38"/>
      <c r="B1659" s="38" t="s">
        <v>3900</v>
      </c>
      <c r="C1659" s="44"/>
      <c r="D1659" s="38">
        <v>2.0</v>
      </c>
      <c r="E1659" s="38" t="s">
        <v>3897</v>
      </c>
      <c r="F1659" s="38" t="s">
        <v>3901</v>
      </c>
      <c r="G1659" s="38" t="s">
        <v>3898</v>
      </c>
    </row>
    <row r="1660">
      <c r="A1660" s="38"/>
      <c r="B1660" s="38" t="s">
        <v>3902</v>
      </c>
      <c r="C1660" s="44"/>
      <c r="D1660" s="38">
        <v>2.0</v>
      </c>
      <c r="E1660" s="47" t="s">
        <v>3636</v>
      </c>
      <c r="F1660" s="38" t="s">
        <v>3903</v>
      </c>
      <c r="G1660" s="38" t="s">
        <v>3898</v>
      </c>
    </row>
    <row r="1661">
      <c r="A1661" s="38"/>
      <c r="B1661" s="38"/>
      <c r="C1661" s="44"/>
      <c r="D1661" s="38"/>
      <c r="E1661" s="47" t="s">
        <v>3636</v>
      </c>
      <c r="F1661" s="38" t="s">
        <v>3904</v>
      </c>
      <c r="G1661" s="38" t="s">
        <v>3898</v>
      </c>
    </row>
    <row r="1662">
      <c r="A1662" s="33"/>
      <c r="B1662" s="1" t="s">
        <v>91</v>
      </c>
      <c r="C1662" s="1">
        <v>4.0</v>
      </c>
      <c r="D1662" s="1" t="s">
        <v>123</v>
      </c>
      <c r="E1662" s="233" t="s">
        <v>3905</v>
      </c>
    </row>
    <row r="1663">
      <c r="A1663" s="19">
        <v>46120.0</v>
      </c>
      <c r="B1663" s="1"/>
      <c r="D1663" s="1" t="s">
        <v>3906</v>
      </c>
      <c r="E1663" s="1" t="s">
        <v>1736</v>
      </c>
    </row>
    <row r="1664">
      <c r="A1664" s="1" t="s">
        <v>3907</v>
      </c>
      <c r="B1664" s="1" t="s">
        <v>354</v>
      </c>
      <c r="C1664" s="1">
        <v>2.0</v>
      </c>
      <c r="D1664" s="1" t="s">
        <v>3908</v>
      </c>
      <c r="E1664" s="1" t="s">
        <v>3909</v>
      </c>
      <c r="F1664" s="1" t="s">
        <v>3910</v>
      </c>
      <c r="G1664" s="1" t="s">
        <v>3911</v>
      </c>
    </row>
    <row r="1665">
      <c r="B1665" s="234" t="s">
        <v>3912</v>
      </c>
      <c r="C1665" s="18"/>
      <c r="D1665" s="18" t="s">
        <v>3913</v>
      </c>
      <c r="E1665" s="235" t="s">
        <v>3914</v>
      </c>
    </row>
    <row r="1666">
      <c r="A1666" s="1"/>
      <c r="B1666" s="236">
        <v>46238.0</v>
      </c>
      <c r="C1666" s="51" t="s">
        <v>3915</v>
      </c>
      <c r="D1666" s="18" t="s">
        <v>3916</v>
      </c>
      <c r="E1666" s="170" t="s">
        <v>3914</v>
      </c>
      <c r="F1666" s="34"/>
      <c r="G1666" s="34"/>
    </row>
    <row r="1667">
      <c r="A1667" s="1"/>
      <c r="B1667" s="38" t="s">
        <v>25</v>
      </c>
      <c r="C1667" s="38">
        <v>4.0</v>
      </c>
      <c r="D1667" s="38" t="s">
        <v>3917</v>
      </c>
      <c r="E1667" s="38" t="s">
        <v>418</v>
      </c>
      <c r="F1667" s="38" t="s">
        <v>3770</v>
      </c>
    </row>
    <row r="1668">
      <c r="A1668" s="1"/>
      <c r="B1668" s="38" t="s">
        <v>25</v>
      </c>
      <c r="C1668" s="38">
        <v>4.0</v>
      </c>
      <c r="D1668" s="38" t="s">
        <v>3918</v>
      </c>
      <c r="E1668" s="38" t="s">
        <v>418</v>
      </c>
      <c r="F1668" s="38" t="s">
        <v>3770</v>
      </c>
    </row>
    <row r="1669">
      <c r="A1669" s="38" t="s">
        <v>133</v>
      </c>
      <c r="B1669" s="38" t="s">
        <v>354</v>
      </c>
      <c r="C1669" s="38">
        <v>2.0</v>
      </c>
      <c r="D1669" s="38" t="s">
        <v>3919</v>
      </c>
      <c r="E1669" s="38" t="s">
        <v>3920</v>
      </c>
      <c r="F1669" s="38" t="s">
        <v>3921</v>
      </c>
    </row>
    <row r="1670">
      <c r="A1670" s="38" t="s">
        <v>133</v>
      </c>
      <c r="B1670" s="38" t="s">
        <v>479</v>
      </c>
      <c r="C1670" s="38">
        <v>2.0</v>
      </c>
      <c r="D1670" s="38" t="s">
        <v>3919</v>
      </c>
      <c r="E1670" s="38" t="s">
        <v>3920</v>
      </c>
      <c r="F1670" s="38" t="s">
        <v>3921</v>
      </c>
    </row>
    <row r="1671">
      <c r="A1671" s="38"/>
      <c r="B1671" s="38" t="s">
        <v>283</v>
      </c>
      <c r="C1671" s="38">
        <v>4.0</v>
      </c>
      <c r="D1671" s="38" t="s">
        <v>3922</v>
      </c>
      <c r="E1671" s="38" t="s">
        <v>3923</v>
      </c>
      <c r="F1671" s="38" t="s">
        <v>3924</v>
      </c>
    </row>
    <row r="1672">
      <c r="A1672" s="1"/>
      <c r="B1672" s="38" t="s">
        <v>271</v>
      </c>
      <c r="C1672" s="38">
        <v>4.0</v>
      </c>
      <c r="D1672" s="38" t="s">
        <v>206</v>
      </c>
      <c r="E1672" s="38" t="s">
        <v>418</v>
      </c>
      <c r="F1672" s="38" t="s">
        <v>3925</v>
      </c>
    </row>
    <row r="1673">
      <c r="A1673" s="1"/>
      <c r="B1673" s="38" t="s">
        <v>495</v>
      </c>
      <c r="C1673" s="38">
        <v>4.0</v>
      </c>
      <c r="D1673" s="38" t="s">
        <v>3926</v>
      </c>
      <c r="E1673" s="38" t="s">
        <v>3927</v>
      </c>
      <c r="F1673" s="38" t="s">
        <v>2842</v>
      </c>
    </row>
    <row r="1674">
      <c r="A1674" s="1"/>
      <c r="B1674" s="38" t="s">
        <v>77</v>
      </c>
      <c r="C1674" s="38">
        <v>4.0</v>
      </c>
      <c r="D1674" s="38" t="s">
        <v>3918</v>
      </c>
      <c r="E1674" s="38" t="s">
        <v>418</v>
      </c>
      <c r="F1674" s="38" t="s">
        <v>3925</v>
      </c>
    </row>
    <row r="1675">
      <c r="A1675" s="1"/>
      <c r="B1675" s="38" t="s">
        <v>205</v>
      </c>
      <c r="C1675" s="38">
        <v>4.0</v>
      </c>
      <c r="D1675" s="38" t="s">
        <v>3928</v>
      </c>
      <c r="E1675" s="38" t="s">
        <v>418</v>
      </c>
      <c r="F1675" s="38" t="s">
        <v>3925</v>
      </c>
    </row>
    <row r="1676">
      <c r="A1676" s="1" t="s">
        <v>3929</v>
      </c>
      <c r="B1676" s="38" t="s">
        <v>2276</v>
      </c>
      <c r="C1676" s="38">
        <v>4.0</v>
      </c>
      <c r="D1676" s="38" t="s">
        <v>3930</v>
      </c>
      <c r="E1676" s="38" t="s">
        <v>3931</v>
      </c>
      <c r="F1676" s="38" t="s">
        <v>3925</v>
      </c>
    </row>
    <row r="1677">
      <c r="A1677" s="1"/>
      <c r="B1677" s="1" t="s">
        <v>1798</v>
      </c>
      <c r="C1677" s="1">
        <v>1.0</v>
      </c>
      <c r="D1677" s="1" t="s">
        <v>3932</v>
      </c>
      <c r="E1677" s="1" t="s">
        <v>3330</v>
      </c>
      <c r="F1677" s="1" t="s">
        <v>3933</v>
      </c>
    </row>
    <row r="1678">
      <c r="A1678" s="1"/>
      <c r="B1678" s="1"/>
      <c r="D1678" s="1">
        <v>45757.0</v>
      </c>
      <c r="E1678" s="1" t="s">
        <v>3934</v>
      </c>
    </row>
    <row r="1679">
      <c r="A1679" s="38"/>
      <c r="B1679" s="38" t="s">
        <v>77</v>
      </c>
      <c r="C1679" s="38">
        <v>2.0</v>
      </c>
      <c r="D1679" s="38" t="s">
        <v>26</v>
      </c>
      <c r="E1679" s="38" t="s">
        <v>3935</v>
      </c>
      <c r="F1679" s="38" t="s">
        <v>3936</v>
      </c>
    </row>
    <row r="1680">
      <c r="A1680" s="1"/>
      <c r="B1680" s="38" t="s">
        <v>183</v>
      </c>
      <c r="C1680" s="38">
        <v>4.0</v>
      </c>
      <c r="D1680" s="38" t="s">
        <v>3937</v>
      </c>
      <c r="E1680" s="38" t="s">
        <v>418</v>
      </c>
      <c r="F1680" s="38" t="s">
        <v>3925</v>
      </c>
    </row>
    <row r="1681">
      <c r="A1681" s="1"/>
      <c r="B1681" s="38" t="s">
        <v>1159</v>
      </c>
      <c r="C1681" s="38">
        <v>2.0</v>
      </c>
      <c r="D1681" s="38" t="s">
        <v>719</v>
      </c>
      <c r="E1681" s="91" t="s">
        <v>3938</v>
      </c>
      <c r="F1681" s="38" t="s">
        <v>3939</v>
      </c>
    </row>
    <row r="1682">
      <c r="A1682" s="1"/>
      <c r="B1682" s="38" t="s">
        <v>1096</v>
      </c>
      <c r="C1682" s="38">
        <v>2.0</v>
      </c>
      <c r="D1682" s="38" t="s">
        <v>719</v>
      </c>
      <c r="E1682" s="91" t="s">
        <v>3938</v>
      </c>
      <c r="F1682" s="38" t="s">
        <v>3939</v>
      </c>
    </row>
    <row r="1683">
      <c r="A1683" s="38" t="s">
        <v>2259</v>
      </c>
      <c r="B1683" s="38" t="s">
        <v>718</v>
      </c>
      <c r="C1683" s="38">
        <v>4.0</v>
      </c>
      <c r="D1683" s="38" t="s">
        <v>3940</v>
      </c>
      <c r="E1683" s="38" t="s">
        <v>3941</v>
      </c>
      <c r="F1683" s="38" t="s">
        <v>3942</v>
      </c>
    </row>
    <row r="1684">
      <c r="A1684" s="38"/>
      <c r="B1684" s="38" t="s">
        <v>283</v>
      </c>
      <c r="C1684" s="38">
        <v>4.0</v>
      </c>
      <c r="D1684" s="38" t="s">
        <v>3943</v>
      </c>
      <c r="E1684" s="38" t="s">
        <v>3944</v>
      </c>
      <c r="F1684" s="44"/>
    </row>
    <row r="1685">
      <c r="A1685" s="1"/>
      <c r="B1685" s="1" t="s">
        <v>1264</v>
      </c>
      <c r="C1685" s="1">
        <v>4.0</v>
      </c>
      <c r="D1685" s="1" t="s">
        <v>2792</v>
      </c>
      <c r="E1685" s="1" t="s">
        <v>3945</v>
      </c>
    </row>
    <row r="1686">
      <c r="A1686" s="1"/>
      <c r="B1686" s="1" t="s">
        <v>1264</v>
      </c>
      <c r="C1686" s="1">
        <v>2.0</v>
      </c>
      <c r="D1686" s="1" t="s">
        <v>2792</v>
      </c>
      <c r="E1686" s="1" t="s">
        <v>3946</v>
      </c>
      <c r="F1686" s="1" t="s">
        <v>175</v>
      </c>
    </row>
    <row r="1687">
      <c r="A1687" s="1"/>
      <c r="B1687" s="1" t="s">
        <v>1264</v>
      </c>
      <c r="C1687" s="1">
        <v>4.0</v>
      </c>
      <c r="D1687" s="1" t="s">
        <v>2792</v>
      </c>
      <c r="E1687" s="1" t="s">
        <v>3947</v>
      </c>
    </row>
    <row r="1688">
      <c r="A1688" s="1"/>
      <c r="B1688" s="1" t="s">
        <v>3948</v>
      </c>
      <c r="C1688" s="1">
        <v>4.0</v>
      </c>
      <c r="D1688" s="1" t="s">
        <v>1305</v>
      </c>
      <c r="E1688" s="1" t="s">
        <v>3947</v>
      </c>
    </row>
    <row r="1689">
      <c r="A1689" s="4" t="s">
        <v>3949</v>
      </c>
      <c r="B1689" s="38" t="s">
        <v>339</v>
      </c>
      <c r="C1689" s="38">
        <v>4.0</v>
      </c>
      <c r="D1689" s="38" t="s">
        <v>3950</v>
      </c>
      <c r="E1689" s="38" t="s">
        <v>418</v>
      </c>
      <c r="F1689" s="38" t="s">
        <v>3951</v>
      </c>
      <c r="G1689" s="1" t="s">
        <v>1731</v>
      </c>
    </row>
    <row r="1690">
      <c r="A1690" s="38"/>
      <c r="B1690" s="38" t="s">
        <v>205</v>
      </c>
      <c r="C1690" s="38">
        <v>4.0</v>
      </c>
      <c r="D1690" s="38" t="s">
        <v>3952</v>
      </c>
      <c r="E1690" s="38" t="s">
        <v>418</v>
      </c>
      <c r="F1690" s="38" t="s">
        <v>3951</v>
      </c>
      <c r="I1690" s="237"/>
    </row>
    <row r="1691">
      <c r="A1691" s="38" t="s">
        <v>133</v>
      </c>
      <c r="B1691" s="38" t="s">
        <v>2728</v>
      </c>
      <c r="C1691" s="38">
        <v>4.0</v>
      </c>
      <c r="D1691" s="38" t="s">
        <v>3953</v>
      </c>
      <c r="E1691" s="38" t="s">
        <v>3954</v>
      </c>
      <c r="F1691" s="38" t="s">
        <v>3955</v>
      </c>
    </row>
    <row r="1692">
      <c r="A1692" s="38"/>
      <c r="B1692" s="38" t="s">
        <v>205</v>
      </c>
      <c r="C1692" s="38">
        <v>4.0</v>
      </c>
      <c r="D1692" s="38" t="s">
        <v>206</v>
      </c>
      <c r="E1692" s="38" t="s">
        <v>418</v>
      </c>
      <c r="F1692" s="38" t="s">
        <v>3951</v>
      </c>
    </row>
    <row r="1693">
      <c r="A1693" s="38"/>
      <c r="B1693" s="38" t="s">
        <v>122</v>
      </c>
      <c r="C1693" s="38">
        <v>4.0</v>
      </c>
      <c r="D1693" s="38" t="s">
        <v>3937</v>
      </c>
      <c r="E1693" s="38" t="s">
        <v>418</v>
      </c>
      <c r="F1693" s="38" t="s">
        <v>3951</v>
      </c>
    </row>
    <row r="1694">
      <c r="A1694" s="38" t="s">
        <v>133</v>
      </c>
      <c r="B1694" s="38" t="s">
        <v>283</v>
      </c>
      <c r="C1694" s="38">
        <v>2.0</v>
      </c>
      <c r="D1694" s="38" t="s">
        <v>211</v>
      </c>
      <c r="E1694" s="38" t="s">
        <v>3956</v>
      </c>
      <c r="F1694" s="38" t="s">
        <v>3957</v>
      </c>
    </row>
    <row r="1695">
      <c r="A1695" s="38" t="s">
        <v>133</v>
      </c>
      <c r="B1695" s="38" t="s">
        <v>3958</v>
      </c>
      <c r="C1695" s="38">
        <v>2.0</v>
      </c>
      <c r="D1695" s="38" t="s">
        <v>211</v>
      </c>
      <c r="E1695" s="47" t="s">
        <v>3959</v>
      </c>
      <c r="F1695" s="38" t="s">
        <v>3957</v>
      </c>
    </row>
    <row r="1696">
      <c r="A1696" s="38" t="s">
        <v>3960</v>
      </c>
      <c r="B1696" s="38" t="s">
        <v>210</v>
      </c>
      <c r="C1696" s="38">
        <v>4.0</v>
      </c>
      <c r="D1696" s="38" t="s">
        <v>123</v>
      </c>
      <c r="E1696" s="38" t="s">
        <v>3931</v>
      </c>
      <c r="F1696" s="38" t="s">
        <v>3951</v>
      </c>
    </row>
    <row r="1697">
      <c r="A1697" s="1"/>
      <c r="B1697" s="1" t="s">
        <v>3961</v>
      </c>
      <c r="E1697" s="1" t="s">
        <v>3962</v>
      </c>
    </row>
    <row r="1698">
      <c r="A1698" s="38" t="s">
        <v>133</v>
      </c>
      <c r="B1698" s="38" t="s">
        <v>210</v>
      </c>
      <c r="C1698" s="38">
        <v>2.0</v>
      </c>
      <c r="D1698" s="38" t="s">
        <v>123</v>
      </c>
      <c r="E1698" s="38" t="s">
        <v>3963</v>
      </c>
      <c r="F1698" s="38" t="s">
        <v>3964</v>
      </c>
    </row>
    <row r="1699">
      <c r="A1699" s="38" t="s">
        <v>133</v>
      </c>
      <c r="B1699" s="38" t="s">
        <v>214</v>
      </c>
      <c r="C1699" s="38">
        <v>2.0</v>
      </c>
      <c r="D1699" s="38" t="s">
        <v>123</v>
      </c>
      <c r="E1699" s="38" t="s">
        <v>3965</v>
      </c>
      <c r="F1699" s="38" t="s">
        <v>3964</v>
      </c>
    </row>
    <row r="1700">
      <c r="A1700" s="38"/>
      <c r="B1700" s="38" t="s">
        <v>25</v>
      </c>
      <c r="C1700" s="38">
        <v>8.0</v>
      </c>
      <c r="D1700" s="38" t="s">
        <v>3918</v>
      </c>
      <c r="E1700" s="38" t="s">
        <v>418</v>
      </c>
      <c r="F1700" s="38" t="s">
        <v>3951</v>
      </c>
    </row>
    <row r="1701">
      <c r="A1701" s="38"/>
      <c r="B1701" s="38" t="s">
        <v>205</v>
      </c>
      <c r="C1701" s="38">
        <v>4.0</v>
      </c>
      <c r="D1701" s="38" t="s">
        <v>1109</v>
      </c>
      <c r="E1701" s="38" t="s">
        <v>418</v>
      </c>
      <c r="F1701" s="38" t="s">
        <v>3966</v>
      </c>
    </row>
    <row r="1702">
      <c r="A1702" s="4" t="s">
        <v>3967</v>
      </c>
      <c r="B1702" s="38" t="s">
        <v>205</v>
      </c>
      <c r="C1702" s="38">
        <v>4.0</v>
      </c>
      <c r="D1702" s="38" t="s">
        <v>3968</v>
      </c>
      <c r="E1702" s="38" t="s">
        <v>418</v>
      </c>
      <c r="F1702" s="38" t="s">
        <v>3951</v>
      </c>
      <c r="G1702" s="1" t="s">
        <v>1731</v>
      </c>
    </row>
    <row r="1703">
      <c r="A1703" s="38" t="s">
        <v>2259</v>
      </c>
      <c r="B1703" s="38" t="s">
        <v>3056</v>
      </c>
      <c r="C1703" s="38">
        <v>4.0</v>
      </c>
      <c r="D1703" s="38" t="s">
        <v>3969</v>
      </c>
      <c r="E1703" s="47" t="s">
        <v>2690</v>
      </c>
      <c r="F1703" s="44"/>
    </row>
    <row r="1704">
      <c r="A1704" s="38"/>
      <c r="B1704" s="38" t="s">
        <v>205</v>
      </c>
      <c r="C1704" s="38">
        <v>2.0</v>
      </c>
      <c r="D1704" s="38" t="s">
        <v>123</v>
      </c>
      <c r="E1704" s="47" t="s">
        <v>3970</v>
      </c>
      <c r="F1704" s="44"/>
    </row>
    <row r="1705">
      <c r="A1705" s="38"/>
      <c r="B1705" s="38"/>
      <c r="C1705" s="38"/>
      <c r="D1705" s="38"/>
      <c r="E1705" s="38" t="s">
        <v>3137</v>
      </c>
      <c r="F1705" s="38" t="s">
        <v>3971</v>
      </c>
    </row>
    <row r="1706">
      <c r="A1706" s="1"/>
      <c r="B1706" s="38" t="s">
        <v>1349</v>
      </c>
      <c r="C1706" s="38">
        <v>4.0</v>
      </c>
      <c r="D1706" s="38" t="s">
        <v>1305</v>
      </c>
      <c r="E1706" s="38" t="s">
        <v>3972</v>
      </c>
      <c r="F1706" s="38" t="s">
        <v>3973</v>
      </c>
    </row>
    <row r="1707">
      <c r="A1707" s="1" t="s">
        <v>3974</v>
      </c>
      <c r="B1707" s="38" t="s">
        <v>43</v>
      </c>
      <c r="C1707" s="38">
        <v>4.0</v>
      </c>
      <c r="D1707" s="38" t="s">
        <v>315</v>
      </c>
      <c r="E1707" s="38" t="s">
        <v>3931</v>
      </c>
      <c r="F1707" s="38" t="s">
        <v>3966</v>
      </c>
    </row>
    <row r="1708">
      <c r="A1708" s="1"/>
      <c r="B1708" s="1"/>
      <c r="E1708" s="1" t="s">
        <v>873</v>
      </c>
      <c r="F1708" s="1" t="s">
        <v>3975</v>
      </c>
    </row>
    <row r="1709">
      <c r="A1709" s="1"/>
      <c r="B1709" s="1"/>
      <c r="E1709" s="1" t="s">
        <v>873</v>
      </c>
      <c r="F1709" s="1" t="s">
        <v>3976</v>
      </c>
    </row>
    <row r="1710">
      <c r="A1710" s="1"/>
      <c r="B1710" s="38" t="s">
        <v>22</v>
      </c>
      <c r="C1710" s="38">
        <v>4.0</v>
      </c>
      <c r="D1710" s="38" t="s">
        <v>3918</v>
      </c>
      <c r="E1710" s="38" t="s">
        <v>418</v>
      </c>
      <c r="F1710" s="38" t="s">
        <v>3966</v>
      </c>
    </row>
    <row r="1711">
      <c r="A1711" s="1"/>
      <c r="B1711" s="38" t="s">
        <v>1010</v>
      </c>
      <c r="C1711" s="38">
        <v>2.0</v>
      </c>
      <c r="D1711" s="38" t="s">
        <v>719</v>
      </c>
      <c r="E1711" s="38" t="s">
        <v>3977</v>
      </c>
      <c r="F1711" s="38" t="s">
        <v>3978</v>
      </c>
    </row>
    <row r="1712">
      <c r="A1712" s="1"/>
      <c r="B1712" s="38" t="s">
        <v>3979</v>
      </c>
      <c r="C1712" s="38"/>
      <c r="D1712" s="38" t="s">
        <v>3980</v>
      </c>
      <c r="E1712" s="38" t="s">
        <v>3977</v>
      </c>
      <c r="F1712" s="38" t="s">
        <v>3978</v>
      </c>
    </row>
    <row r="1713">
      <c r="A1713" s="1"/>
      <c r="B1713" s="38" t="s">
        <v>3981</v>
      </c>
      <c r="C1713" s="38"/>
      <c r="D1713" s="38"/>
      <c r="E1713" s="38" t="s">
        <v>3977</v>
      </c>
      <c r="F1713" s="38" t="s">
        <v>3978</v>
      </c>
    </row>
    <row r="1714">
      <c r="A1714" s="1"/>
      <c r="B1714" s="38" t="s">
        <v>3433</v>
      </c>
      <c r="C1714" s="38">
        <v>2.0</v>
      </c>
      <c r="D1714" s="38" t="s">
        <v>3982</v>
      </c>
      <c r="E1714" s="38" t="s">
        <v>3983</v>
      </c>
      <c r="F1714" s="44"/>
    </row>
    <row r="1715">
      <c r="A1715" s="1"/>
      <c r="B1715" s="38" t="s">
        <v>22</v>
      </c>
      <c r="C1715" s="38">
        <v>4.0</v>
      </c>
      <c r="D1715" s="38" t="s">
        <v>2775</v>
      </c>
      <c r="E1715" s="38" t="s">
        <v>3984</v>
      </c>
      <c r="F1715" s="38"/>
    </row>
    <row r="1716">
      <c r="A1716" s="1"/>
      <c r="B1716" s="38" t="s">
        <v>3573</v>
      </c>
      <c r="C1716" s="38" t="s">
        <v>3985</v>
      </c>
      <c r="D1716" s="38" t="s">
        <v>319</v>
      </c>
      <c r="E1716" s="38" t="s">
        <v>3986</v>
      </c>
      <c r="F1716" s="38" t="s">
        <v>3987</v>
      </c>
    </row>
    <row r="1717">
      <c r="A1717" s="1"/>
      <c r="B1717" s="1" t="s">
        <v>41</v>
      </c>
      <c r="C1717" s="1">
        <v>4.0</v>
      </c>
      <c r="D1717" s="1" t="s">
        <v>3988</v>
      </c>
      <c r="E1717" s="1" t="s">
        <v>3989</v>
      </c>
      <c r="F1717" s="1" t="s">
        <v>3990</v>
      </c>
      <c r="G1717" s="1" t="s">
        <v>3991</v>
      </c>
    </row>
    <row r="1718">
      <c r="A1718" s="1"/>
      <c r="B1718" s="1" t="s">
        <v>1010</v>
      </c>
      <c r="C1718" s="1">
        <v>2.0</v>
      </c>
      <c r="D1718" s="1" t="s">
        <v>1387</v>
      </c>
      <c r="E1718" s="1" t="s">
        <v>2614</v>
      </c>
      <c r="F1718" s="1" t="s">
        <v>3992</v>
      </c>
    </row>
    <row r="1719">
      <c r="A1719" s="1"/>
      <c r="B1719" s="38" t="s">
        <v>875</v>
      </c>
      <c r="C1719" s="38">
        <v>4.0</v>
      </c>
      <c r="D1719" s="38" t="s">
        <v>3993</v>
      </c>
      <c r="E1719" s="38" t="s">
        <v>1141</v>
      </c>
      <c r="F1719" s="38" t="s">
        <v>3994</v>
      </c>
    </row>
    <row r="1720">
      <c r="A1720" s="1"/>
      <c r="B1720" s="38" t="s">
        <v>31</v>
      </c>
      <c r="C1720" s="38">
        <v>4.0</v>
      </c>
      <c r="D1720" s="38" t="s">
        <v>3988</v>
      </c>
      <c r="E1720" s="38" t="s">
        <v>3995</v>
      </c>
      <c r="F1720" s="44"/>
    </row>
    <row r="1721">
      <c r="A1721" s="1"/>
      <c r="B1721" s="38" t="s">
        <v>3996</v>
      </c>
      <c r="C1721" s="38">
        <v>4.0</v>
      </c>
      <c r="D1721" s="38" t="s">
        <v>3997</v>
      </c>
      <c r="E1721" s="38" t="s">
        <v>1401</v>
      </c>
      <c r="F1721" s="38" t="s">
        <v>3998</v>
      </c>
    </row>
    <row r="1722">
      <c r="A1722" s="1"/>
      <c r="B1722" s="38" t="s">
        <v>261</v>
      </c>
      <c r="C1722" s="38">
        <v>4.0</v>
      </c>
      <c r="D1722" s="38" t="s">
        <v>2775</v>
      </c>
      <c r="E1722" s="38" t="s">
        <v>1401</v>
      </c>
      <c r="F1722" s="38" t="s">
        <v>3998</v>
      </c>
    </row>
    <row r="1723">
      <c r="A1723" s="1"/>
      <c r="B1723" s="1" t="s">
        <v>3999</v>
      </c>
      <c r="C1723" s="1" t="s">
        <v>4000</v>
      </c>
      <c r="D1723" s="1" t="s">
        <v>3573</v>
      </c>
      <c r="E1723" s="1" t="s">
        <v>3892</v>
      </c>
    </row>
    <row r="1724">
      <c r="A1724" s="1"/>
      <c r="B1724" s="1"/>
      <c r="C1724" s="1" t="s">
        <v>4001</v>
      </c>
      <c r="D1724" s="1" t="s">
        <v>4002</v>
      </c>
      <c r="E1724" s="1" t="s">
        <v>3892</v>
      </c>
    </row>
    <row r="1725">
      <c r="A1725" s="1"/>
      <c r="B1725" s="38" t="s">
        <v>1183</v>
      </c>
      <c r="C1725" s="38">
        <v>2.0</v>
      </c>
      <c r="D1725" s="38" t="s">
        <v>167</v>
      </c>
      <c r="E1725" s="38" t="s">
        <v>4003</v>
      </c>
      <c r="F1725" s="38" t="s">
        <v>4004</v>
      </c>
    </row>
    <row r="1726">
      <c r="A1726" s="38"/>
      <c r="B1726" s="38" t="s">
        <v>210</v>
      </c>
      <c r="C1726" s="38">
        <v>2.0</v>
      </c>
      <c r="D1726" s="38" t="s">
        <v>4005</v>
      </c>
      <c r="E1726" s="38" t="s">
        <v>883</v>
      </c>
      <c r="F1726" s="38" t="s">
        <v>4006</v>
      </c>
    </row>
    <row r="1727">
      <c r="A1727" s="1" t="s">
        <v>4007</v>
      </c>
      <c r="B1727" s="38" t="s">
        <v>214</v>
      </c>
      <c r="C1727" s="38">
        <v>2.0</v>
      </c>
      <c r="D1727" s="38" t="s">
        <v>4005</v>
      </c>
      <c r="E1727" s="38" t="s">
        <v>4008</v>
      </c>
      <c r="F1727" s="38" t="s">
        <v>4006</v>
      </c>
    </row>
    <row r="1728">
      <c r="A1728" s="1"/>
      <c r="B1728" s="38" t="s">
        <v>1513</v>
      </c>
      <c r="C1728" s="38">
        <v>4.0</v>
      </c>
      <c r="D1728" s="38" t="s">
        <v>408</v>
      </c>
      <c r="E1728" s="38" t="s">
        <v>2287</v>
      </c>
      <c r="F1728" s="38" t="s">
        <v>4009</v>
      </c>
    </row>
    <row r="1729">
      <c r="A1729" s="1"/>
      <c r="B1729" s="38" t="s">
        <v>3682</v>
      </c>
      <c r="C1729" s="38">
        <v>2.0</v>
      </c>
      <c r="D1729" s="38" t="s">
        <v>417</v>
      </c>
      <c r="E1729" s="38" t="s">
        <v>4010</v>
      </c>
      <c r="F1729" s="38" t="s">
        <v>4011</v>
      </c>
    </row>
    <row r="1730">
      <c r="A1730" s="1"/>
      <c r="B1730" s="38" t="s">
        <v>22</v>
      </c>
      <c r="C1730" s="38">
        <v>8.0</v>
      </c>
      <c r="D1730" s="38" t="s">
        <v>3918</v>
      </c>
      <c r="E1730" s="38" t="s">
        <v>418</v>
      </c>
      <c r="F1730" s="38" t="s">
        <v>3966</v>
      </c>
    </row>
    <row r="1731">
      <c r="A1731" s="38" t="s">
        <v>133</v>
      </c>
      <c r="B1731" s="38" t="s">
        <v>2798</v>
      </c>
      <c r="C1731" s="38">
        <v>4.0</v>
      </c>
      <c r="D1731" s="38" t="s">
        <v>4012</v>
      </c>
      <c r="E1731" s="38" t="s">
        <v>4013</v>
      </c>
      <c r="F1731" s="38" t="s">
        <v>4014</v>
      </c>
      <c r="G1731" s="38" t="s">
        <v>4015</v>
      </c>
    </row>
    <row r="1732">
      <c r="A1732" s="1" t="s">
        <v>4016</v>
      </c>
      <c r="B1732" s="38" t="s">
        <v>188</v>
      </c>
      <c r="C1732" s="38">
        <v>2.0</v>
      </c>
      <c r="D1732" s="38" t="s">
        <v>881</v>
      </c>
      <c r="E1732" s="38" t="s">
        <v>4017</v>
      </c>
      <c r="F1732" s="38" t="s">
        <v>3966</v>
      </c>
    </row>
    <row r="1733">
      <c r="A1733" s="1" t="s">
        <v>4016</v>
      </c>
      <c r="B1733" s="38" t="s">
        <v>107</v>
      </c>
      <c r="C1733" s="38">
        <v>2.0</v>
      </c>
      <c r="D1733" s="38" t="s">
        <v>881</v>
      </c>
      <c r="E1733" s="38" t="s">
        <v>4018</v>
      </c>
      <c r="F1733" s="38" t="s">
        <v>3966</v>
      </c>
    </row>
    <row r="1734">
      <c r="A1734" s="1"/>
      <c r="B1734" s="163" t="s">
        <v>4019</v>
      </c>
      <c r="C1734" s="158" t="s">
        <v>4020</v>
      </c>
      <c r="D1734" s="1" t="s">
        <v>4021</v>
      </c>
      <c r="E1734" s="1" t="s">
        <v>4022</v>
      </c>
    </row>
    <row r="1735">
      <c r="A1735" s="1"/>
      <c r="B1735" s="199" t="s">
        <v>4023</v>
      </c>
      <c r="C1735" s="163" t="s">
        <v>4024</v>
      </c>
      <c r="D1735" s="158" t="s">
        <v>4025</v>
      </c>
      <c r="E1735" s="1" t="s">
        <v>4022</v>
      </c>
    </row>
    <row r="1736">
      <c r="A1736" s="1"/>
      <c r="B1736" s="199" t="s">
        <v>4026</v>
      </c>
      <c r="C1736" s="199" t="s">
        <v>4027</v>
      </c>
      <c r="D1736" s="158" t="s">
        <v>4028</v>
      </c>
      <c r="E1736" s="1" t="s">
        <v>4022</v>
      </c>
    </row>
    <row r="1737">
      <c r="A1737" s="1"/>
      <c r="B1737" s="38" t="s">
        <v>2035</v>
      </c>
      <c r="C1737" s="38">
        <v>4.0</v>
      </c>
      <c r="D1737" s="38" t="s">
        <v>1858</v>
      </c>
      <c r="E1737" s="38" t="s">
        <v>2424</v>
      </c>
      <c r="F1737" s="38" t="s">
        <v>4029</v>
      </c>
    </row>
    <row r="1738">
      <c r="A1738" s="1"/>
      <c r="B1738" s="1" t="s">
        <v>147</v>
      </c>
      <c r="C1738" s="1">
        <v>4.0</v>
      </c>
      <c r="D1738" s="1" t="s">
        <v>4030</v>
      </c>
      <c r="E1738" s="1" t="s">
        <v>3330</v>
      </c>
      <c r="F1738" s="1" t="s">
        <v>4031</v>
      </c>
    </row>
    <row r="1739">
      <c r="A1739" s="1"/>
      <c r="B1739" s="38" t="s">
        <v>183</v>
      </c>
      <c r="C1739" s="38">
        <v>4.0</v>
      </c>
      <c r="D1739" s="38" t="s">
        <v>4032</v>
      </c>
      <c r="E1739" s="38" t="s">
        <v>4033</v>
      </c>
      <c r="F1739" s="38" t="s">
        <v>4034</v>
      </c>
    </row>
    <row r="1740">
      <c r="A1740" s="1"/>
      <c r="B1740" s="38" t="s">
        <v>308</v>
      </c>
      <c r="C1740" s="38">
        <v>4.0</v>
      </c>
      <c r="D1740" s="38" t="s">
        <v>4035</v>
      </c>
      <c r="E1740" s="38" t="s">
        <v>4036</v>
      </c>
      <c r="F1740" s="38" t="s">
        <v>4037</v>
      </c>
    </row>
    <row r="1741">
      <c r="A1741" s="1" t="s">
        <v>133</v>
      </c>
      <c r="B1741" s="38" t="s">
        <v>1159</v>
      </c>
      <c r="C1741" s="38">
        <v>2.0</v>
      </c>
      <c r="D1741" s="38" t="s">
        <v>4038</v>
      </c>
      <c r="E1741" s="38" t="s">
        <v>3938</v>
      </c>
      <c r="F1741" s="38" t="s">
        <v>4039</v>
      </c>
    </row>
    <row r="1742">
      <c r="A1742" s="1" t="s">
        <v>133</v>
      </c>
      <c r="B1742" s="38" t="s">
        <v>1096</v>
      </c>
      <c r="C1742" s="38">
        <v>2.0</v>
      </c>
      <c r="D1742" s="38" t="s">
        <v>4038</v>
      </c>
      <c r="E1742" s="38" t="s">
        <v>3938</v>
      </c>
      <c r="F1742" s="38" t="s">
        <v>4039</v>
      </c>
    </row>
    <row r="1743">
      <c r="A1743" s="1" t="s">
        <v>4040</v>
      </c>
      <c r="B1743" s="38" t="s">
        <v>210</v>
      </c>
      <c r="C1743" s="38">
        <v>2.0</v>
      </c>
      <c r="D1743" s="38" t="s">
        <v>123</v>
      </c>
      <c r="E1743" s="38" t="s">
        <v>4041</v>
      </c>
      <c r="F1743" s="38" t="s">
        <v>4042</v>
      </c>
    </row>
    <row r="1744">
      <c r="A1744" s="38" t="s">
        <v>4043</v>
      </c>
      <c r="B1744" s="38" t="s">
        <v>4044</v>
      </c>
      <c r="C1744" s="38">
        <v>4.0</v>
      </c>
      <c r="D1744" s="38" t="s">
        <v>123</v>
      </c>
      <c r="E1744" s="38" t="s">
        <v>4045</v>
      </c>
      <c r="F1744" s="38" t="s">
        <v>3966</v>
      </c>
    </row>
    <row r="1745">
      <c r="A1745" s="4" t="s">
        <v>4046</v>
      </c>
      <c r="B1745" s="38" t="s">
        <v>31</v>
      </c>
      <c r="C1745" s="38">
        <v>4.0</v>
      </c>
      <c r="D1745" s="38" t="s">
        <v>881</v>
      </c>
      <c r="E1745" s="38" t="s">
        <v>4047</v>
      </c>
      <c r="F1745" s="38" t="s">
        <v>4042</v>
      </c>
    </row>
    <row r="1746">
      <c r="A1746" s="38" t="s">
        <v>133</v>
      </c>
      <c r="B1746" s="38" t="s">
        <v>354</v>
      </c>
      <c r="C1746" s="38">
        <v>4.0</v>
      </c>
      <c r="D1746" s="38" t="s">
        <v>4048</v>
      </c>
      <c r="E1746" s="38" t="s">
        <v>4049</v>
      </c>
      <c r="F1746" s="38" t="s">
        <v>4050</v>
      </c>
    </row>
    <row r="1747">
      <c r="A1747" s="1"/>
      <c r="B1747" s="38" t="s">
        <v>153</v>
      </c>
      <c r="C1747" s="38">
        <v>2.0</v>
      </c>
      <c r="D1747" s="38" t="s">
        <v>1133</v>
      </c>
      <c r="E1747" s="38" t="s">
        <v>3562</v>
      </c>
      <c r="F1747" s="38" t="s">
        <v>4051</v>
      </c>
    </row>
    <row r="1748">
      <c r="A1748" s="1"/>
      <c r="B1748" s="38"/>
      <c r="C1748" s="38">
        <v>2.0</v>
      </c>
      <c r="D1748" s="38" t="s">
        <v>1133</v>
      </c>
      <c r="E1748" s="38" t="s">
        <v>3562</v>
      </c>
      <c r="F1748" s="38" t="s">
        <v>4051</v>
      </c>
    </row>
    <row r="1749">
      <c r="A1749" s="38"/>
      <c r="B1749" s="38" t="s">
        <v>147</v>
      </c>
      <c r="C1749" s="38">
        <v>4.0</v>
      </c>
      <c r="D1749" s="38" t="s">
        <v>4052</v>
      </c>
      <c r="E1749" s="38" t="s">
        <v>4053</v>
      </c>
      <c r="F1749" s="44"/>
    </row>
    <row r="1750">
      <c r="A1750" s="38" t="s">
        <v>4054</v>
      </c>
      <c r="B1750" s="38" t="s">
        <v>1400</v>
      </c>
      <c r="C1750" s="38">
        <v>4.0</v>
      </c>
      <c r="D1750" s="38" t="s">
        <v>4055</v>
      </c>
      <c r="E1750" s="38" t="s">
        <v>4056</v>
      </c>
      <c r="F1750" s="44"/>
    </row>
    <row r="1751">
      <c r="A1751" s="1"/>
      <c r="B1751" s="38" t="s">
        <v>205</v>
      </c>
      <c r="C1751" s="38">
        <v>4.0</v>
      </c>
      <c r="D1751" s="38" t="s">
        <v>4057</v>
      </c>
      <c r="E1751" s="38" t="s">
        <v>418</v>
      </c>
      <c r="F1751" s="38" t="s">
        <v>4042</v>
      </c>
    </row>
    <row r="1752">
      <c r="A1752" s="22"/>
      <c r="B1752" s="38" t="s">
        <v>2013</v>
      </c>
      <c r="C1752" s="38">
        <v>4.0</v>
      </c>
      <c r="D1752" s="38" t="s">
        <v>294</v>
      </c>
      <c r="E1752" s="38" t="s">
        <v>4058</v>
      </c>
      <c r="F1752" s="38" t="s">
        <v>4059</v>
      </c>
    </row>
    <row r="1753">
      <c r="A1753" s="22"/>
      <c r="B1753" s="1" t="s">
        <v>1010</v>
      </c>
      <c r="C1753" s="1">
        <v>2.0</v>
      </c>
      <c r="D1753" s="1" t="s">
        <v>294</v>
      </c>
      <c r="E1753" s="4" t="s">
        <v>4058</v>
      </c>
      <c r="F1753" s="1" t="s">
        <v>4060</v>
      </c>
    </row>
    <row r="1754">
      <c r="A1754" s="1" t="s">
        <v>133</v>
      </c>
      <c r="B1754" s="1" t="s">
        <v>4061</v>
      </c>
      <c r="C1754" s="1">
        <v>4.0</v>
      </c>
      <c r="D1754" s="1" t="s">
        <v>4062</v>
      </c>
      <c r="E1754" s="1" t="s">
        <v>3995</v>
      </c>
    </row>
    <row r="1755">
      <c r="A1755" s="1" t="s">
        <v>4063</v>
      </c>
      <c r="B1755" s="38" t="s">
        <v>4064</v>
      </c>
      <c r="C1755" s="38">
        <v>4.0</v>
      </c>
      <c r="D1755" s="38" t="s">
        <v>402</v>
      </c>
      <c r="E1755" s="38" t="s">
        <v>4045</v>
      </c>
      <c r="F1755" s="38" t="s">
        <v>4042</v>
      </c>
    </row>
    <row r="1756">
      <c r="A1756" s="1" t="s">
        <v>4065</v>
      </c>
      <c r="B1756" s="38" t="s">
        <v>85</v>
      </c>
      <c r="C1756" s="38">
        <v>4.0</v>
      </c>
      <c r="D1756" s="38" t="s">
        <v>123</v>
      </c>
      <c r="E1756" s="38" t="s">
        <v>4045</v>
      </c>
      <c r="F1756" s="38" t="s">
        <v>4042</v>
      </c>
    </row>
    <row r="1757">
      <c r="A1757" s="1"/>
      <c r="B1757" s="38" t="s">
        <v>81</v>
      </c>
      <c r="C1757" s="38">
        <v>4.0</v>
      </c>
      <c r="D1757" s="38" t="s">
        <v>4066</v>
      </c>
      <c r="E1757" s="38" t="s">
        <v>4067</v>
      </c>
      <c r="F1757" s="44"/>
    </row>
    <row r="1758">
      <c r="A1758" s="1"/>
      <c r="B1758" s="1"/>
      <c r="E1758" s="1" t="s">
        <v>4068</v>
      </c>
    </row>
    <row r="1759">
      <c r="A1759" s="1"/>
      <c r="B1759" s="1" t="s">
        <v>122</v>
      </c>
      <c r="C1759" s="1">
        <v>4.0</v>
      </c>
      <c r="D1759" s="1" t="s">
        <v>1305</v>
      </c>
      <c r="E1759" s="1" t="s">
        <v>4069</v>
      </c>
      <c r="F1759" s="1" t="s">
        <v>4070</v>
      </c>
    </row>
    <row r="1760">
      <c r="A1760" s="38" t="s">
        <v>133</v>
      </c>
      <c r="B1760" s="38" t="s">
        <v>210</v>
      </c>
      <c r="C1760" s="38">
        <v>4.0</v>
      </c>
      <c r="D1760" s="38" t="s">
        <v>123</v>
      </c>
      <c r="E1760" s="38" t="s">
        <v>4071</v>
      </c>
      <c r="F1760" s="38" t="s">
        <v>4072</v>
      </c>
    </row>
    <row r="1761">
      <c r="A1761" s="1"/>
      <c r="B1761" s="131" t="s">
        <v>25</v>
      </c>
      <c r="C1761" s="131">
        <v>2.0</v>
      </c>
      <c r="D1761" s="131" t="s">
        <v>291</v>
      </c>
      <c r="E1761" s="131" t="s">
        <v>4073</v>
      </c>
      <c r="F1761" s="131"/>
    </row>
    <row r="1762">
      <c r="A1762" s="38" t="s">
        <v>133</v>
      </c>
      <c r="B1762" s="38" t="s">
        <v>479</v>
      </c>
      <c r="C1762" s="38">
        <v>4.0</v>
      </c>
      <c r="D1762" s="38" t="s">
        <v>123</v>
      </c>
      <c r="E1762" s="38" t="s">
        <v>4074</v>
      </c>
      <c r="F1762" s="38" t="s">
        <v>4075</v>
      </c>
    </row>
    <row r="1763">
      <c r="A1763" s="38" t="s">
        <v>4054</v>
      </c>
      <c r="B1763" s="38" t="s">
        <v>308</v>
      </c>
      <c r="C1763" s="38">
        <v>4.0</v>
      </c>
      <c r="D1763" s="38" t="s">
        <v>417</v>
      </c>
      <c r="E1763" s="38" t="s">
        <v>4074</v>
      </c>
      <c r="F1763" s="38" t="s">
        <v>4075</v>
      </c>
    </row>
    <row r="1764">
      <c r="A1764" s="1" t="s">
        <v>871</v>
      </c>
      <c r="B1764" s="1" t="s">
        <v>333</v>
      </c>
      <c r="C1764" s="1">
        <v>1.0</v>
      </c>
      <c r="D1764" s="1" t="s">
        <v>4076</v>
      </c>
      <c r="E1764" s="1" t="s">
        <v>4077</v>
      </c>
    </row>
    <row r="1765">
      <c r="A1765" s="1"/>
      <c r="B1765" s="1" t="s">
        <v>63</v>
      </c>
      <c r="C1765" s="1">
        <v>2.0</v>
      </c>
      <c r="D1765" s="1" t="s">
        <v>1305</v>
      </c>
      <c r="E1765" s="1" t="s">
        <v>4078</v>
      </c>
      <c r="F1765" s="1" t="s">
        <v>2833</v>
      </c>
    </row>
    <row r="1766">
      <c r="A1766" s="1"/>
      <c r="B1766" s="1" t="s">
        <v>4079</v>
      </c>
      <c r="C1766" s="4" t="s">
        <v>4080</v>
      </c>
      <c r="D1766" s="175" t="s">
        <v>4081</v>
      </c>
      <c r="E1766" s="1" t="s">
        <v>4078</v>
      </c>
      <c r="F1766" s="1" t="s">
        <v>4082</v>
      </c>
    </row>
    <row r="1767">
      <c r="A1767" s="1"/>
      <c r="B1767" s="1"/>
      <c r="C1767" s="4" t="s">
        <v>4083</v>
      </c>
      <c r="D1767" s="4" t="s">
        <v>4084</v>
      </c>
      <c r="E1767" s="1" t="s">
        <v>4078</v>
      </c>
      <c r="F1767" s="1" t="s">
        <v>4085</v>
      </c>
      <c r="G1767" s="1" t="s">
        <v>4086</v>
      </c>
    </row>
    <row r="1768">
      <c r="A1768" s="38"/>
      <c r="B1768" s="38" t="s">
        <v>271</v>
      </c>
      <c r="C1768" s="38">
        <v>4.0</v>
      </c>
      <c r="D1768" s="38" t="s">
        <v>3468</v>
      </c>
      <c r="E1768" s="38" t="s">
        <v>4087</v>
      </c>
      <c r="F1768" s="38" t="s">
        <v>4088</v>
      </c>
    </row>
    <row r="1769">
      <c r="A1769" s="38" t="s">
        <v>133</v>
      </c>
      <c r="B1769" s="38" t="s">
        <v>85</v>
      </c>
      <c r="C1769" s="38">
        <v>4.0</v>
      </c>
      <c r="D1769" s="38" t="s">
        <v>4089</v>
      </c>
      <c r="E1769" s="38" t="s">
        <v>325</v>
      </c>
      <c r="F1769" s="38" t="s">
        <v>4090</v>
      </c>
    </row>
    <row r="1770">
      <c r="A1770" s="4" t="s">
        <v>4091</v>
      </c>
      <c r="B1770" s="1" t="s">
        <v>3523</v>
      </c>
      <c r="C1770" s="1">
        <v>2.0</v>
      </c>
      <c r="D1770" s="1" t="s">
        <v>4089</v>
      </c>
      <c r="E1770" s="1" t="s">
        <v>980</v>
      </c>
      <c r="F1770" s="1" t="s">
        <v>4092</v>
      </c>
    </row>
    <row r="1771">
      <c r="A1771" s="4" t="s">
        <v>4091</v>
      </c>
      <c r="B1771" s="1" t="s">
        <v>978</v>
      </c>
      <c r="C1771" s="1">
        <v>2.0</v>
      </c>
      <c r="D1771" s="1" t="s">
        <v>4089</v>
      </c>
      <c r="E1771" s="1" t="s">
        <v>980</v>
      </c>
    </row>
    <row r="1772">
      <c r="A1772" s="1"/>
      <c r="B1772" s="38" t="s">
        <v>4093</v>
      </c>
      <c r="C1772" s="38" t="s">
        <v>4094</v>
      </c>
      <c r="D1772" s="44"/>
      <c r="E1772" s="38" t="s">
        <v>4095</v>
      </c>
      <c r="F1772" s="44"/>
    </row>
    <row r="1773">
      <c r="A1773" s="1"/>
      <c r="B1773" s="38" t="s">
        <v>4096</v>
      </c>
      <c r="C1773" s="44"/>
      <c r="D1773" s="44"/>
      <c r="E1773" s="38" t="s">
        <v>4095</v>
      </c>
      <c r="F1773" s="44"/>
    </row>
    <row r="1774">
      <c r="A1774" s="1"/>
      <c r="B1774" s="38" t="s">
        <v>128</v>
      </c>
      <c r="C1774" s="38">
        <v>4.0</v>
      </c>
      <c r="D1774" s="38" t="s">
        <v>1116</v>
      </c>
      <c r="E1774" s="38" t="s">
        <v>4097</v>
      </c>
      <c r="F1774" s="38" t="s">
        <v>4098</v>
      </c>
    </row>
    <row r="1775">
      <c r="A1775" s="1" t="s">
        <v>133</v>
      </c>
      <c r="B1775" s="38" t="s">
        <v>91</v>
      </c>
      <c r="C1775" s="38">
        <v>4.0</v>
      </c>
      <c r="D1775" s="38" t="s">
        <v>123</v>
      </c>
      <c r="E1775" s="38" t="s">
        <v>4099</v>
      </c>
      <c r="F1775" s="38" t="s">
        <v>4100</v>
      </c>
    </row>
    <row r="1776">
      <c r="A1776" s="1"/>
      <c r="B1776" s="1" t="s">
        <v>3527</v>
      </c>
      <c r="C1776" s="1">
        <v>2.0</v>
      </c>
      <c r="D1776" s="1" t="s">
        <v>171</v>
      </c>
      <c r="E1776" s="1" t="s">
        <v>2971</v>
      </c>
      <c r="F1776" s="1" t="s">
        <v>4101</v>
      </c>
      <c r="G1776" s="1" t="s">
        <v>4102</v>
      </c>
    </row>
    <row r="1777">
      <c r="A1777" s="1"/>
      <c r="B1777" s="1" t="s">
        <v>283</v>
      </c>
      <c r="C1777" s="1">
        <v>2.0</v>
      </c>
      <c r="D1777" s="1" t="s">
        <v>4103</v>
      </c>
      <c r="E1777" s="1" t="s">
        <v>2971</v>
      </c>
      <c r="F1777" s="1" t="s">
        <v>4104</v>
      </c>
    </row>
    <row r="1778">
      <c r="A1778" s="1" t="s">
        <v>1961</v>
      </c>
      <c r="B1778" s="1" t="s">
        <v>271</v>
      </c>
      <c r="C1778" s="1">
        <v>4.0</v>
      </c>
      <c r="D1778" s="1" t="s">
        <v>4105</v>
      </c>
      <c r="E1778" s="1" t="s">
        <v>4068</v>
      </c>
    </row>
    <row r="1779">
      <c r="A1779" s="1"/>
      <c r="B1779" s="1" t="s">
        <v>4106</v>
      </c>
      <c r="C1779" s="1">
        <v>2.0</v>
      </c>
      <c r="D1779" s="1" t="s">
        <v>2792</v>
      </c>
      <c r="E1779" s="1" t="s">
        <v>1773</v>
      </c>
      <c r="F1779" s="1" t="s">
        <v>4107</v>
      </c>
    </row>
    <row r="1780">
      <c r="A1780" s="1"/>
      <c r="B1780" s="1" t="s">
        <v>246</v>
      </c>
      <c r="C1780" s="1">
        <v>4.0</v>
      </c>
      <c r="D1780" s="1" t="s">
        <v>2097</v>
      </c>
      <c r="E1780" s="1" t="s">
        <v>4108</v>
      </c>
    </row>
    <row r="1781">
      <c r="A1781" s="1"/>
      <c r="B1781" s="38" t="s">
        <v>1159</v>
      </c>
      <c r="C1781" s="38">
        <v>2.0</v>
      </c>
      <c r="D1781" s="38" t="s">
        <v>719</v>
      </c>
      <c r="E1781" s="38" t="s">
        <v>4109</v>
      </c>
      <c r="F1781" s="38" t="s">
        <v>4110</v>
      </c>
    </row>
    <row r="1782">
      <c r="A1782" s="1"/>
      <c r="B1782" s="38" t="s">
        <v>1096</v>
      </c>
      <c r="C1782" s="38">
        <v>2.0</v>
      </c>
      <c r="D1782" s="38" t="s">
        <v>719</v>
      </c>
      <c r="E1782" s="38" t="s">
        <v>4109</v>
      </c>
      <c r="F1782" s="38" t="s">
        <v>4110</v>
      </c>
    </row>
    <row r="1783">
      <c r="A1783" s="1"/>
      <c r="B1783" s="1" t="s">
        <v>219</v>
      </c>
      <c r="C1783" s="1">
        <v>4.0</v>
      </c>
      <c r="D1783" s="1" t="s">
        <v>402</v>
      </c>
      <c r="E1783" s="1" t="s">
        <v>4111</v>
      </c>
      <c r="F1783" s="1" t="s">
        <v>4112</v>
      </c>
    </row>
    <row r="1784">
      <c r="A1784" s="1" t="s">
        <v>1961</v>
      </c>
      <c r="B1784" s="1" t="s">
        <v>495</v>
      </c>
      <c r="C1784" s="1">
        <v>2.0</v>
      </c>
      <c r="D1784" s="1" t="s">
        <v>4113</v>
      </c>
      <c r="E1784" s="1" t="s">
        <v>4114</v>
      </c>
      <c r="F1784" s="1" t="s">
        <v>4115</v>
      </c>
    </row>
    <row r="1785">
      <c r="A1785" s="1"/>
      <c r="B1785" s="1" t="s">
        <v>439</v>
      </c>
      <c r="C1785" s="1">
        <v>2.0</v>
      </c>
      <c r="D1785" s="1" t="s">
        <v>4113</v>
      </c>
      <c r="E1785" s="1" t="s">
        <v>4114</v>
      </c>
    </row>
    <row r="1786">
      <c r="A1786" s="1"/>
      <c r="B1786" s="1" t="s">
        <v>4116</v>
      </c>
      <c r="C1786" s="1" t="s">
        <v>4117</v>
      </c>
      <c r="E1786" s="1" t="s">
        <v>1383</v>
      </c>
    </row>
    <row r="1787">
      <c r="A1787" s="1"/>
      <c r="B1787" s="1"/>
      <c r="D1787" s="1" t="s">
        <v>4118</v>
      </c>
      <c r="E1787" s="1" t="s">
        <v>1383</v>
      </c>
    </row>
    <row r="1788">
      <c r="A1788" s="1"/>
      <c r="B1788" s="238" t="s">
        <v>4119</v>
      </c>
      <c r="C1788" s="238" t="s">
        <v>4120</v>
      </c>
      <c r="D1788" s="239" t="s">
        <v>4121</v>
      </c>
      <c r="E1788" s="5" t="s">
        <v>4122</v>
      </c>
    </row>
    <row r="1789">
      <c r="A1789" s="1"/>
      <c r="B1789" s="1"/>
      <c r="C1789" s="1" t="s">
        <v>4123</v>
      </c>
      <c r="D1789" s="158" t="s">
        <v>4124</v>
      </c>
      <c r="E1789" s="5" t="s">
        <v>4125</v>
      </c>
    </row>
    <row r="1790">
      <c r="A1790" s="1" t="s">
        <v>133</v>
      </c>
      <c r="B1790" s="1" t="s">
        <v>58</v>
      </c>
      <c r="C1790" s="1">
        <v>4.0</v>
      </c>
      <c r="D1790" s="1" t="s">
        <v>2900</v>
      </c>
      <c r="E1790" s="1" t="s">
        <v>4114</v>
      </c>
    </row>
    <row r="1791">
      <c r="A1791" s="1" t="s">
        <v>133</v>
      </c>
      <c r="B1791" s="1" t="s">
        <v>210</v>
      </c>
      <c r="C1791" s="1">
        <v>2.0</v>
      </c>
      <c r="D1791" s="1" t="s">
        <v>672</v>
      </c>
      <c r="E1791" s="1" t="s">
        <v>4114</v>
      </c>
    </row>
    <row r="1792">
      <c r="A1792" s="1" t="s">
        <v>133</v>
      </c>
      <c r="B1792" s="1" t="s">
        <v>214</v>
      </c>
      <c r="C1792" s="1">
        <v>2.0</v>
      </c>
      <c r="D1792" s="1" t="s">
        <v>672</v>
      </c>
      <c r="E1792" s="1" t="s">
        <v>4114</v>
      </c>
    </row>
    <row r="1793">
      <c r="A1793" s="1" t="s">
        <v>133</v>
      </c>
      <c r="B1793" s="1" t="s">
        <v>430</v>
      </c>
      <c r="C1793" s="1">
        <v>4.0</v>
      </c>
      <c r="D1793" s="1" t="s">
        <v>672</v>
      </c>
      <c r="E1793" s="1" t="s">
        <v>4114</v>
      </c>
    </row>
    <row r="1794">
      <c r="A1794" s="1"/>
      <c r="B1794" s="1" t="s">
        <v>4126</v>
      </c>
      <c r="C1794" s="1">
        <v>1.0</v>
      </c>
      <c r="D1794" s="1" t="s">
        <v>1796</v>
      </c>
      <c r="E1794" s="1" t="s">
        <v>4127</v>
      </c>
      <c r="F1794" s="1" t="s">
        <v>4128</v>
      </c>
    </row>
    <row r="1795">
      <c r="A1795" s="1"/>
      <c r="B1795" s="1" t="s">
        <v>4129</v>
      </c>
      <c r="C1795" s="1">
        <v>1.0</v>
      </c>
      <c r="D1795" s="1" t="s">
        <v>1796</v>
      </c>
      <c r="E1795" s="1" t="s">
        <v>4127</v>
      </c>
    </row>
    <row r="1796">
      <c r="A1796" s="1"/>
      <c r="B1796" s="38" t="s">
        <v>122</v>
      </c>
      <c r="C1796" s="38">
        <v>4.0</v>
      </c>
      <c r="D1796" s="38" t="s">
        <v>3937</v>
      </c>
      <c r="E1796" s="38" t="s">
        <v>418</v>
      </c>
      <c r="F1796" s="38" t="s">
        <v>4042</v>
      </c>
    </row>
    <row r="1797">
      <c r="A1797" s="33"/>
      <c r="B1797" s="1" t="s">
        <v>763</v>
      </c>
      <c r="C1797" s="1">
        <v>4.0</v>
      </c>
      <c r="D1797" s="1" t="s">
        <v>4130</v>
      </c>
      <c r="E1797" s="1" t="s">
        <v>132</v>
      </c>
    </row>
    <row r="1798">
      <c r="A1798" s="1"/>
      <c r="B1798" s="1"/>
    </row>
    <row r="1799">
      <c r="A1799" s="1"/>
      <c r="B1799" s="1"/>
    </row>
    <row r="1800">
      <c r="A1800" s="1"/>
      <c r="B1800" s="1"/>
    </row>
    <row r="1801">
      <c r="A1801" s="1"/>
      <c r="B1801" s="1"/>
    </row>
    <row r="1802">
      <c r="A1802" s="1"/>
      <c r="B1802" s="1"/>
    </row>
    <row r="1803">
      <c r="A1803" s="1"/>
      <c r="B1803" s="1"/>
    </row>
    <row r="1804">
      <c r="A1804" s="1"/>
      <c r="B1804" s="1"/>
    </row>
    <row r="1805">
      <c r="A1805" s="1"/>
      <c r="B1805" s="1"/>
    </row>
    <row r="1806">
      <c r="A1806" s="1"/>
      <c r="B1806" s="1"/>
    </row>
    <row r="1807">
      <c r="C1807" s="240" t="s">
        <v>4131</v>
      </c>
      <c r="D1807" s="240" t="s">
        <v>4132</v>
      </c>
      <c r="E1807" s="143"/>
      <c r="F1807" s="240">
        <v>210.0</v>
      </c>
    </row>
    <row r="1808">
      <c r="C1808" s="241" t="s">
        <v>4133</v>
      </c>
      <c r="D1808" s="242" t="s">
        <v>4134</v>
      </c>
      <c r="E1808" s="143"/>
      <c r="F1808" s="240">
        <v>555.38</v>
      </c>
    </row>
    <row r="1809">
      <c r="C1809" s="241" t="s">
        <v>4135</v>
      </c>
      <c r="D1809" s="242" t="s">
        <v>4136</v>
      </c>
      <c r="E1809" s="143"/>
      <c r="F1809" s="240">
        <v>141.76</v>
      </c>
    </row>
    <row r="1810">
      <c r="C1810" s="240" t="s">
        <v>4137</v>
      </c>
      <c r="D1810" s="242" t="s">
        <v>4138</v>
      </c>
      <c r="E1810" s="143"/>
      <c r="F1810" s="240">
        <v>191.19</v>
      </c>
    </row>
    <row r="1811">
      <c r="C1811" s="242" t="s">
        <v>4139</v>
      </c>
      <c r="D1811" s="242" t="s">
        <v>4140</v>
      </c>
      <c r="E1811" s="143"/>
      <c r="F1811" s="240">
        <v>561.0</v>
      </c>
    </row>
    <row r="1812">
      <c r="C1812" s="240" t="s">
        <v>4141</v>
      </c>
      <c r="D1812" s="242" t="s">
        <v>4142</v>
      </c>
      <c r="E1812" s="143"/>
      <c r="F1812" s="1">
        <v>1572.0</v>
      </c>
    </row>
    <row r="1813">
      <c r="C1813" s="1" t="s">
        <v>4143</v>
      </c>
      <c r="D1813" s="4" t="s">
        <v>4144</v>
      </c>
      <c r="F1813" s="1">
        <v>152.42</v>
      </c>
    </row>
    <row r="1814">
      <c r="C1814" s="1" t="s">
        <v>4145</v>
      </c>
      <c r="D1814" s="4" t="s">
        <v>4146</v>
      </c>
      <c r="F1814" s="1">
        <v>177.84</v>
      </c>
    </row>
    <row r="1819">
      <c r="A1819" s="181" t="s">
        <v>4147</v>
      </c>
    </row>
    <row r="1820">
      <c r="A1820" s="243" t="s">
        <v>4148</v>
      </c>
      <c r="C1820" s="51" t="s">
        <v>4149</v>
      </c>
      <c r="D1820" s="51" t="s">
        <v>4150</v>
      </c>
      <c r="E1820" s="51">
        <v>248.0</v>
      </c>
    </row>
    <row r="1821">
      <c r="A1821" s="75" t="s">
        <v>4151</v>
      </c>
      <c r="C1821" s="38" t="s">
        <v>1940</v>
      </c>
      <c r="D1821" s="244" t="s">
        <v>4152</v>
      </c>
      <c r="E1821" s="38">
        <v>376.0</v>
      </c>
    </row>
    <row r="1822">
      <c r="A1822" s="245" t="s">
        <v>4153</v>
      </c>
      <c r="D1822" s="246" t="s">
        <v>4154</v>
      </c>
      <c r="E1822" s="1">
        <v>66.0</v>
      </c>
    </row>
    <row r="1823">
      <c r="A1823" s="182" t="s">
        <v>4155</v>
      </c>
      <c r="C1823" s="1" t="s">
        <v>2086</v>
      </c>
      <c r="D1823" s="247"/>
      <c r="E1823" s="1">
        <v>150.0</v>
      </c>
    </row>
    <row r="1824">
      <c r="A1824" s="248" t="s">
        <v>4156</v>
      </c>
      <c r="D1824" s="249" t="s">
        <v>4157</v>
      </c>
      <c r="E1824" s="38">
        <v>422.0</v>
      </c>
    </row>
    <row r="1825">
      <c r="A1825" s="248" t="s">
        <v>4158</v>
      </c>
      <c r="D1825" s="250" t="s">
        <v>4159</v>
      </c>
      <c r="E1825" s="1">
        <v>77.0</v>
      </c>
      <c r="G1825" s="18"/>
      <c r="H1825" s="251"/>
      <c r="I1825" s="252"/>
      <c r="J1825" s="18"/>
    </row>
    <row r="1826">
      <c r="A1826" s="149" t="s">
        <v>4160</v>
      </c>
      <c r="D1826" s="246" t="s">
        <v>4161</v>
      </c>
      <c r="E1826" s="1">
        <v>89.0</v>
      </c>
      <c r="G1826" s="18"/>
      <c r="H1826" s="18"/>
      <c r="I1826" s="252"/>
      <c r="J1826" s="18"/>
    </row>
    <row r="1827">
      <c r="A1827" s="1" t="s">
        <v>4162</v>
      </c>
      <c r="B1827" s="1" t="s">
        <v>4163</v>
      </c>
      <c r="D1827" s="38" t="s">
        <v>4164</v>
      </c>
      <c r="E1827" s="38">
        <v>91.0</v>
      </c>
    </row>
    <row r="1828">
      <c r="D1828" s="18" t="s">
        <v>1630</v>
      </c>
      <c r="E1828" s="1">
        <v>10.0</v>
      </c>
    </row>
    <row r="1829">
      <c r="D1829" s="1" t="s">
        <v>4165</v>
      </c>
      <c r="E1829" s="1">
        <v>12.0</v>
      </c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</row>
    <row r="1830">
      <c r="C1830" s="1" t="s">
        <v>4166</v>
      </c>
      <c r="E1830" s="1">
        <v>70.0</v>
      </c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</row>
    <row r="1831">
      <c r="C1831" s="18" t="s">
        <v>1629</v>
      </c>
      <c r="D1831" s="18" t="s">
        <v>1628</v>
      </c>
      <c r="E1831" s="1">
        <v>160.0</v>
      </c>
      <c r="G1831" s="18"/>
      <c r="H1831" s="34"/>
      <c r="I1831" s="18"/>
      <c r="J1831" s="18"/>
      <c r="K1831" s="18"/>
      <c r="L1831" s="18"/>
      <c r="M1831" s="18"/>
      <c r="N1831" s="18"/>
      <c r="O1831" s="18"/>
      <c r="P1831" s="18"/>
    </row>
    <row r="1832">
      <c r="C1832" s="1" t="s">
        <v>4167</v>
      </c>
      <c r="E1832" s="1">
        <v>238.0</v>
      </c>
    </row>
    <row r="1839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</row>
    <row r="1840">
      <c r="A1840" s="24"/>
      <c r="B1840" s="24"/>
      <c r="C1840" s="24" t="s">
        <v>4168</v>
      </c>
      <c r="D1840" s="24"/>
      <c r="E1840" s="24" t="s">
        <v>4169</v>
      </c>
      <c r="F1840" s="24" t="s">
        <v>4170</v>
      </c>
      <c r="G1840" s="24"/>
      <c r="H1840" s="24" t="s">
        <v>4171</v>
      </c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</row>
    <row r="1841">
      <c r="A1841" s="24"/>
      <c r="B1841" s="24"/>
      <c r="C1841" s="24" t="s">
        <v>4172</v>
      </c>
      <c r="D1841" s="24"/>
      <c r="E1841" s="24" t="s">
        <v>4169</v>
      </c>
      <c r="F1841" s="24" t="s">
        <v>4173</v>
      </c>
      <c r="G1841" s="24"/>
      <c r="H1841" s="24" t="s">
        <v>4174</v>
      </c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</row>
    <row r="1842">
      <c r="A1842" s="24"/>
      <c r="B1842" s="24"/>
      <c r="C1842" s="24" t="s">
        <v>4175</v>
      </c>
      <c r="D1842" s="24"/>
      <c r="E1842" s="24" t="s">
        <v>4169</v>
      </c>
      <c r="F1842" s="24" t="s">
        <v>4176</v>
      </c>
      <c r="G1842" s="24"/>
      <c r="H1842" s="24" t="s">
        <v>4177</v>
      </c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</row>
    <row r="1843">
      <c r="A1843" s="24"/>
      <c r="B1843" s="24"/>
      <c r="C1843" s="253">
        <v>45909.0</v>
      </c>
      <c r="D1843" s="24"/>
      <c r="E1843" s="24" t="s">
        <v>4178</v>
      </c>
      <c r="F1843" s="24" t="s">
        <v>4179</v>
      </c>
      <c r="G1843" s="24"/>
      <c r="H1843" s="24" t="s">
        <v>4180</v>
      </c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</row>
    <row r="1844">
      <c r="A1844" s="24"/>
      <c r="B1844" s="24"/>
      <c r="C1844" s="24" t="s">
        <v>4181</v>
      </c>
      <c r="D1844" s="24"/>
      <c r="E1844" s="24" t="s">
        <v>4182</v>
      </c>
      <c r="F1844" s="24" t="s">
        <v>4176</v>
      </c>
      <c r="G1844" s="24"/>
      <c r="H1844" s="24" t="s">
        <v>4183</v>
      </c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</row>
    <row r="1845">
      <c r="A1845" s="253">
        <v>45754.0</v>
      </c>
      <c r="B1845" s="24"/>
      <c r="C1845" s="24" t="s">
        <v>4184</v>
      </c>
      <c r="D1845" s="24" t="s">
        <v>4176</v>
      </c>
      <c r="E1845" s="24"/>
      <c r="F1845" s="24" t="s">
        <v>4185</v>
      </c>
      <c r="G1845" s="24" t="s">
        <v>4186</v>
      </c>
      <c r="H1845" s="24" t="s">
        <v>4187</v>
      </c>
      <c r="I1845" s="24"/>
      <c r="J1845" s="24"/>
      <c r="K1845" s="24"/>
      <c r="L1845" s="24"/>
      <c r="M1845" s="24"/>
      <c r="N1845" s="24"/>
      <c r="O1845" s="24"/>
      <c r="P1845" s="24" t="s">
        <v>4188</v>
      </c>
      <c r="Q1845" s="254" t="s">
        <v>4189</v>
      </c>
      <c r="R1845" s="255" t="s">
        <v>4190</v>
      </c>
      <c r="S1845" s="255" t="s">
        <v>4191</v>
      </c>
      <c r="T1845" s="256" t="s">
        <v>4192</v>
      </c>
      <c r="U1845" s="257" t="s">
        <v>4193</v>
      </c>
      <c r="V1845" s="258" t="s">
        <v>4194</v>
      </c>
      <c r="W1845" s="259" t="s">
        <v>4195</v>
      </c>
      <c r="X1845" s="257"/>
      <c r="Y1845" s="18"/>
    </row>
    <row r="1846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</row>
    <row r="1847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</row>
  </sheetData>
  <hyperlinks>
    <hyperlink r:id="rId1" ref="D116"/>
    <hyperlink r:id="rId2" ref="D117"/>
    <hyperlink r:id="rId3" ref="D118"/>
    <hyperlink r:id="rId4" ref="C140"/>
    <hyperlink r:id="rId5" ref="D140"/>
    <hyperlink r:id="rId6" ref="C141"/>
    <hyperlink r:id="rId7" ref="D141"/>
    <hyperlink r:id="rId8" ref="D142"/>
    <hyperlink r:id="rId9" ref="D143"/>
    <hyperlink r:id="rId10" ref="D264"/>
    <hyperlink r:id="rId11" ref="D265"/>
    <hyperlink r:id="rId12" ref="D266"/>
    <hyperlink r:id="rId13" ref="E428"/>
    <hyperlink r:id="rId14" ref="E431"/>
    <hyperlink r:id="rId15" ref="B480"/>
    <hyperlink r:id="rId16" ref="D571"/>
    <hyperlink r:id="rId17" ref="D572"/>
    <hyperlink r:id="rId18" ref="D577"/>
    <hyperlink r:id="rId19" ref="C681"/>
    <hyperlink r:id="rId20" ref="D681"/>
    <hyperlink r:id="rId21" ref="C682"/>
    <hyperlink r:id="rId22" ref="D682"/>
    <hyperlink r:id="rId23" ref="C683"/>
    <hyperlink r:id="rId24" ref="D683"/>
    <hyperlink r:id="rId25" ref="E691"/>
    <hyperlink r:id="rId26" ref="C806"/>
    <hyperlink r:id="rId27" ref="D806"/>
    <hyperlink r:id="rId28" ref="K831"/>
    <hyperlink r:id="rId29" ref="E1018"/>
    <hyperlink r:id="rId30" ref="B1196"/>
    <hyperlink r:id="rId31" ref="B1197"/>
    <hyperlink r:id="rId32" ref="B1198"/>
    <hyperlink r:id="rId33" ref="G1251"/>
    <hyperlink r:id="rId34" ref="D1252"/>
    <hyperlink r:id="rId35" ref="B1253"/>
    <hyperlink r:id="rId36" ref="D1256"/>
    <hyperlink r:id="rId37" ref="D1257"/>
    <hyperlink r:id="rId38" ref="B1290"/>
    <hyperlink r:id="rId39" ref="C1290"/>
    <hyperlink r:id="rId40" ref="D1290"/>
    <hyperlink r:id="rId41" ref="B1291"/>
    <hyperlink r:id="rId42" ref="C1291"/>
    <hyperlink r:id="rId43" ref="D1291"/>
    <hyperlink r:id="rId44" ref="B1292"/>
    <hyperlink r:id="rId45" ref="C1292"/>
    <hyperlink r:id="rId46" ref="D1292"/>
    <hyperlink r:id="rId47" ref="B1297"/>
    <hyperlink r:id="rId48" ref="F1297"/>
    <hyperlink r:id="rId49" ref="G1297"/>
    <hyperlink r:id="rId50" ref="F1298"/>
    <hyperlink r:id="rId51" ref="D1309"/>
    <hyperlink r:id="rId52" ref="B1344"/>
    <hyperlink r:id="rId53" ref="C1344"/>
    <hyperlink r:id="rId54" ref="D1344"/>
    <hyperlink r:id="rId55" ref="B1345"/>
    <hyperlink r:id="rId56" ref="C1345"/>
    <hyperlink r:id="rId57" ref="D1345"/>
    <hyperlink r:id="rId58" ref="C1346"/>
    <hyperlink r:id="rId59" ref="D1346"/>
    <hyperlink r:id="rId60" ref="A1364"/>
    <hyperlink r:id="rId61" ref="C1372"/>
    <hyperlink r:id="rId62" ref="B1376"/>
    <hyperlink r:id="rId63" ref="B1377"/>
    <hyperlink r:id="rId64" ref="B1378"/>
    <hyperlink r:id="rId65" ref="F1396"/>
    <hyperlink r:id="rId66" ref="G1396"/>
    <hyperlink r:id="rId67" ref="B1397"/>
    <hyperlink r:id="rId68" ref="C1397"/>
    <hyperlink r:id="rId69" ref="D1401"/>
    <hyperlink r:id="rId70" ref="C1402"/>
    <hyperlink r:id="rId71" ref="C1403"/>
    <hyperlink r:id="rId72" ref="D1403"/>
    <hyperlink r:id="rId73" ref="C1409"/>
    <hyperlink r:id="rId74" ref="D1409"/>
    <hyperlink r:id="rId75" ref="B1410"/>
    <hyperlink r:id="rId76" ref="C1412"/>
    <hyperlink r:id="rId77" ref="B1432"/>
    <hyperlink r:id="rId78" ref="C1432"/>
    <hyperlink r:id="rId79" ref="D1432"/>
    <hyperlink r:id="rId80" ref="C1447"/>
    <hyperlink r:id="rId81" ref="D1447"/>
    <hyperlink r:id="rId82" ref="B1472"/>
    <hyperlink r:id="rId83" ref="C1472"/>
    <hyperlink r:id="rId84" ref="D1472"/>
    <hyperlink r:id="rId85" ref="B1473"/>
    <hyperlink r:id="rId86" ref="C1473"/>
    <hyperlink r:id="rId87" ref="D1473"/>
    <hyperlink r:id="rId88" ref="B1474"/>
    <hyperlink r:id="rId89" ref="B1582"/>
    <hyperlink r:id="rId90" ref="C1582"/>
    <hyperlink r:id="rId91" ref="E1586"/>
    <hyperlink r:id="rId92" ref="B1600"/>
    <hyperlink r:id="rId93" ref="D1600"/>
    <hyperlink r:id="rId94" ref="B1735"/>
    <hyperlink r:id="rId95" ref="B1736"/>
    <hyperlink r:id="rId96" ref="C1736"/>
    <hyperlink r:id="rId97" ref="D1766"/>
    <hyperlink r:id="rId98" ref="A1821"/>
    <hyperlink r:id="rId99" ref="A1822"/>
    <hyperlink r:id="rId100" ref="A1824"/>
    <hyperlink r:id="rId101" ref="A1825"/>
    <hyperlink r:id="rId102" ref="Q1845"/>
    <hyperlink r:id="rId103" ref="U1845"/>
  </hyperlinks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4.75"/>
    <col customWidth="1" min="4" max="4" width="31.38"/>
    <col customWidth="1" min="5" max="5" width="50.0"/>
    <col customWidth="1" min="6" max="6" width="25.75"/>
    <col customWidth="1" min="7" max="7" width="28.88"/>
    <col customWidth="1" min="8" max="8" width="17.0"/>
  </cols>
  <sheetData>
    <row r="1">
      <c r="A1" s="51"/>
    </row>
    <row r="3">
      <c r="A3" s="260" t="s">
        <v>4196</v>
      </c>
      <c r="B3" s="260" t="s">
        <v>115</v>
      </c>
      <c r="C3" s="260" t="s">
        <v>116</v>
      </c>
      <c r="D3" s="260" t="s">
        <v>117</v>
      </c>
      <c r="E3" s="260" t="s">
        <v>118</v>
      </c>
      <c r="F3" s="260" t="s">
        <v>119</v>
      </c>
      <c r="G3" s="260" t="s">
        <v>120</v>
      </c>
    </row>
    <row r="4">
      <c r="A4" s="19"/>
      <c r="B4" s="65">
        <v>43889.0</v>
      </c>
      <c r="C4" s="44"/>
      <c r="D4" s="261" t="s">
        <v>4197</v>
      </c>
      <c r="E4" s="38" t="s">
        <v>413</v>
      </c>
      <c r="F4" s="262" t="s">
        <v>4198</v>
      </c>
      <c r="G4" s="38" t="s">
        <v>4199</v>
      </c>
      <c r="I4" s="263"/>
    </row>
    <row r="5">
      <c r="A5" s="264"/>
      <c r="B5" s="38" t="s">
        <v>1010</v>
      </c>
      <c r="C5" s="38">
        <v>2.0</v>
      </c>
      <c r="D5" s="38" t="s">
        <v>4200</v>
      </c>
      <c r="E5" s="265" t="s">
        <v>4201</v>
      </c>
      <c r="F5" s="38" t="s">
        <v>4202</v>
      </c>
      <c r="G5" s="38" t="s">
        <v>4203</v>
      </c>
      <c r="I5" s="266"/>
    </row>
    <row r="6">
      <c r="B6" s="38" t="s">
        <v>25</v>
      </c>
      <c r="C6" s="38">
        <v>4.0</v>
      </c>
      <c r="D6" s="38" t="s">
        <v>2097</v>
      </c>
      <c r="E6" s="267" t="s">
        <v>4201</v>
      </c>
      <c r="F6" s="38" t="s">
        <v>4204</v>
      </c>
      <c r="G6" s="268" t="s">
        <v>4205</v>
      </c>
      <c r="J6" s="269"/>
    </row>
    <row r="7">
      <c r="B7" s="38" t="s">
        <v>1087</v>
      </c>
      <c r="C7" s="38">
        <v>2.0</v>
      </c>
      <c r="D7" s="38" t="s">
        <v>1088</v>
      </c>
      <c r="E7" s="270" t="s">
        <v>4206</v>
      </c>
      <c r="F7" s="38" t="s">
        <v>4207</v>
      </c>
      <c r="G7" s="38" t="s">
        <v>4208</v>
      </c>
    </row>
    <row r="8">
      <c r="B8" s="38" t="s">
        <v>718</v>
      </c>
      <c r="C8" s="38">
        <v>2.0</v>
      </c>
      <c r="D8" s="38" t="s">
        <v>1088</v>
      </c>
      <c r="E8" s="270" t="s">
        <v>4206</v>
      </c>
      <c r="F8" s="38" t="s">
        <v>4209</v>
      </c>
      <c r="G8" s="38" t="s">
        <v>4208</v>
      </c>
    </row>
    <row r="9">
      <c r="B9" s="38" t="s">
        <v>876</v>
      </c>
      <c r="C9" s="38">
        <v>4.0</v>
      </c>
      <c r="D9" s="38" t="s">
        <v>129</v>
      </c>
      <c r="E9" s="271" t="s">
        <v>4210</v>
      </c>
      <c r="F9" s="38" t="s">
        <v>4211</v>
      </c>
      <c r="G9" s="38" t="s">
        <v>4212</v>
      </c>
      <c r="H9" s="38" t="s">
        <v>4213</v>
      </c>
      <c r="I9" s="38" t="s">
        <v>4214</v>
      </c>
      <c r="J9" s="38" t="s">
        <v>4215</v>
      </c>
    </row>
    <row r="10">
      <c r="A10" s="65">
        <v>43893.0</v>
      </c>
      <c r="B10" s="38" t="s">
        <v>718</v>
      </c>
      <c r="C10" s="38">
        <v>2.0</v>
      </c>
      <c r="D10" s="38" t="s">
        <v>4216</v>
      </c>
      <c r="E10" s="38" t="s">
        <v>4217</v>
      </c>
      <c r="F10" s="38" t="s">
        <v>4218</v>
      </c>
      <c r="G10" s="38" t="s">
        <v>4219</v>
      </c>
      <c r="H10" s="38" t="s">
        <v>4220</v>
      </c>
    </row>
    <row r="11">
      <c r="A11" s="38" t="s">
        <v>4221</v>
      </c>
      <c r="B11" s="44"/>
      <c r="C11" s="38" t="s">
        <v>4222</v>
      </c>
      <c r="D11" s="38" t="s">
        <v>4223</v>
      </c>
      <c r="E11" s="38" t="s">
        <v>4217</v>
      </c>
      <c r="F11" s="38" t="s">
        <v>4224</v>
      </c>
      <c r="G11" s="38" t="s">
        <v>4225</v>
      </c>
      <c r="H11" s="38" t="s">
        <v>4226</v>
      </c>
    </row>
    <row r="12">
      <c r="B12" s="38" t="s">
        <v>1349</v>
      </c>
      <c r="C12" s="38">
        <v>4.0</v>
      </c>
      <c r="D12" s="38" t="s">
        <v>4227</v>
      </c>
      <c r="E12" s="38" t="s">
        <v>514</v>
      </c>
      <c r="F12" s="38" t="s">
        <v>4228</v>
      </c>
      <c r="G12" s="38"/>
    </row>
    <row r="13">
      <c r="B13" s="38" t="s">
        <v>4229</v>
      </c>
      <c r="C13" s="38">
        <v>4.0</v>
      </c>
      <c r="D13" s="38" t="s">
        <v>4230</v>
      </c>
      <c r="E13" s="38" t="s">
        <v>4231</v>
      </c>
      <c r="F13" s="38" t="s">
        <v>4232</v>
      </c>
      <c r="G13" s="38" t="s">
        <v>4233</v>
      </c>
    </row>
    <row r="14">
      <c r="B14" s="44"/>
      <c r="C14" s="44"/>
      <c r="D14" s="272" t="s">
        <v>4234</v>
      </c>
      <c r="E14" s="38" t="s">
        <v>4235</v>
      </c>
      <c r="F14" s="38" t="s">
        <v>4236</v>
      </c>
      <c r="G14" s="38" t="s">
        <v>4237</v>
      </c>
      <c r="H14" s="38" t="s">
        <v>4238</v>
      </c>
    </row>
    <row r="15">
      <c r="B15" s="38" t="s">
        <v>266</v>
      </c>
      <c r="C15" s="38">
        <v>4.0</v>
      </c>
      <c r="D15" s="272" t="s">
        <v>4239</v>
      </c>
      <c r="E15" s="38" t="s">
        <v>4240</v>
      </c>
      <c r="F15" s="38" t="s">
        <v>4241</v>
      </c>
      <c r="G15" s="38" t="s">
        <v>4242</v>
      </c>
    </row>
    <row r="16">
      <c r="B16" s="273"/>
      <c r="C16" s="38" t="s">
        <v>4243</v>
      </c>
      <c r="D16" s="272" t="s">
        <v>4244</v>
      </c>
      <c r="E16" s="38" t="s">
        <v>4245</v>
      </c>
      <c r="F16" s="38" t="s">
        <v>4246</v>
      </c>
      <c r="G16" s="38" t="s">
        <v>4247</v>
      </c>
    </row>
    <row r="17">
      <c r="E17" s="38" t="s">
        <v>4248</v>
      </c>
      <c r="F17" s="38" t="s">
        <v>4249</v>
      </c>
      <c r="G17" s="38" t="s">
        <v>4250</v>
      </c>
    </row>
    <row r="18">
      <c r="B18" s="272" t="s">
        <v>47</v>
      </c>
      <c r="C18" s="38">
        <v>1.0</v>
      </c>
      <c r="D18" s="38" t="s">
        <v>4251</v>
      </c>
      <c r="E18" s="274" t="s">
        <v>4252</v>
      </c>
      <c r="F18" s="44"/>
      <c r="G18" s="38" t="s">
        <v>4253</v>
      </c>
    </row>
    <row r="19">
      <c r="B19" s="38" t="s">
        <v>4061</v>
      </c>
      <c r="C19" s="38">
        <v>1.0</v>
      </c>
      <c r="D19" s="38" t="s">
        <v>4254</v>
      </c>
      <c r="E19" s="38" t="s">
        <v>4255</v>
      </c>
      <c r="F19" s="38" t="s">
        <v>4256</v>
      </c>
      <c r="G19" s="38" t="s">
        <v>4257</v>
      </c>
    </row>
    <row r="20">
      <c r="B20" s="38" t="s">
        <v>147</v>
      </c>
      <c r="C20" s="38">
        <v>4.0</v>
      </c>
      <c r="D20" s="38" t="s">
        <v>4258</v>
      </c>
      <c r="E20" s="275" t="s">
        <v>4259</v>
      </c>
      <c r="F20" s="38" t="s">
        <v>4260</v>
      </c>
      <c r="G20" s="38" t="s">
        <v>4261</v>
      </c>
    </row>
    <row r="21">
      <c r="B21" s="38" t="s">
        <v>25</v>
      </c>
      <c r="C21" s="38">
        <v>4.0</v>
      </c>
      <c r="D21" s="38" t="s">
        <v>4262</v>
      </c>
      <c r="E21" s="275" t="s">
        <v>4259</v>
      </c>
      <c r="F21" s="44"/>
      <c r="G21" s="38" t="s">
        <v>4261</v>
      </c>
    </row>
    <row r="22">
      <c r="B22" s="38" t="s">
        <v>81</v>
      </c>
      <c r="C22" s="38">
        <v>4.0</v>
      </c>
      <c r="D22" s="38" t="s">
        <v>4254</v>
      </c>
      <c r="E22" s="38" t="s">
        <v>4263</v>
      </c>
      <c r="F22" s="38" t="s">
        <v>4264</v>
      </c>
      <c r="G22" s="38" t="s">
        <v>4265</v>
      </c>
    </row>
    <row r="23">
      <c r="B23" s="38" t="s">
        <v>58</v>
      </c>
      <c r="C23" s="38">
        <v>4.0</v>
      </c>
      <c r="D23" s="38" t="s">
        <v>4254</v>
      </c>
      <c r="E23" s="38" t="s">
        <v>4266</v>
      </c>
      <c r="F23" s="38" t="s">
        <v>4267</v>
      </c>
      <c r="G23" s="38" t="s">
        <v>4268</v>
      </c>
      <c r="H23" s="1">
        <v>8.61443968E8</v>
      </c>
    </row>
    <row r="24">
      <c r="A24" s="44"/>
      <c r="B24" s="38" t="s">
        <v>4269</v>
      </c>
      <c r="C24" s="38" t="s">
        <v>4270</v>
      </c>
      <c r="D24" s="38" t="s">
        <v>4271</v>
      </c>
      <c r="E24" s="38" t="s">
        <v>4272</v>
      </c>
      <c r="F24" s="38" t="s">
        <v>4273</v>
      </c>
      <c r="G24" s="38" t="s">
        <v>4274</v>
      </c>
      <c r="H24" s="38" t="s">
        <v>4275</v>
      </c>
    </row>
    <row r="25">
      <c r="A25" s="38" t="s">
        <v>4276</v>
      </c>
      <c r="B25" s="38" t="s">
        <v>4277</v>
      </c>
      <c r="C25" s="38" t="s">
        <v>4278</v>
      </c>
      <c r="D25" s="38" t="s">
        <v>4279</v>
      </c>
      <c r="E25" s="38" t="s">
        <v>4280</v>
      </c>
      <c r="F25" s="38" t="s">
        <v>4281</v>
      </c>
      <c r="G25" s="38" t="s">
        <v>4282</v>
      </c>
      <c r="H25" s="38" t="s">
        <v>4283</v>
      </c>
      <c r="I25" s="1" t="s">
        <v>4284</v>
      </c>
    </row>
    <row r="26">
      <c r="A26" s="44"/>
      <c r="B26" s="44"/>
      <c r="C26" s="44"/>
      <c r="D26" s="38" t="s">
        <v>4285</v>
      </c>
      <c r="E26" s="38" t="s">
        <v>4272</v>
      </c>
      <c r="F26" s="38" t="s">
        <v>4286</v>
      </c>
      <c r="G26" s="44"/>
      <c r="H26" s="44"/>
    </row>
    <row r="27">
      <c r="B27" s="38" t="s">
        <v>147</v>
      </c>
      <c r="C27" s="38">
        <v>4.0</v>
      </c>
      <c r="D27" s="38" t="s">
        <v>4258</v>
      </c>
      <c r="E27" s="38" t="s">
        <v>4287</v>
      </c>
      <c r="F27" s="38" t="s">
        <v>4288</v>
      </c>
      <c r="G27" s="38" t="s">
        <v>4289</v>
      </c>
    </row>
    <row r="28">
      <c r="B28" s="276" t="s">
        <v>271</v>
      </c>
      <c r="C28" s="38">
        <v>1.0</v>
      </c>
      <c r="D28" s="276" t="s">
        <v>684</v>
      </c>
      <c r="E28" s="276" t="s">
        <v>4290</v>
      </c>
      <c r="F28" s="38" t="s">
        <v>4291</v>
      </c>
      <c r="G28" s="38" t="s">
        <v>4292</v>
      </c>
    </row>
    <row r="29">
      <c r="B29" s="38" t="s">
        <v>4293</v>
      </c>
      <c r="C29" s="38" t="s">
        <v>4294</v>
      </c>
      <c r="D29" s="38" t="s">
        <v>4295</v>
      </c>
      <c r="E29" s="38" t="s">
        <v>4296</v>
      </c>
      <c r="F29" s="38" t="s">
        <v>4297</v>
      </c>
      <c r="G29" s="38" t="s">
        <v>4298</v>
      </c>
      <c r="H29" s="38" t="s">
        <v>4299</v>
      </c>
      <c r="I29" s="44"/>
    </row>
    <row r="30">
      <c r="E30" s="38" t="s">
        <v>4300</v>
      </c>
      <c r="F30" s="38" t="s">
        <v>4301</v>
      </c>
      <c r="G30" s="38" t="s">
        <v>4302</v>
      </c>
      <c r="H30" s="38" t="s">
        <v>4303</v>
      </c>
    </row>
    <row r="31">
      <c r="B31" s="38" t="s">
        <v>1162</v>
      </c>
      <c r="C31" s="38">
        <v>4.0</v>
      </c>
      <c r="D31" s="38" t="s">
        <v>4304</v>
      </c>
      <c r="E31" s="38" t="s">
        <v>4231</v>
      </c>
      <c r="F31" s="38" t="s">
        <v>4305</v>
      </c>
      <c r="G31" s="38" t="s">
        <v>4306</v>
      </c>
    </row>
    <row r="32">
      <c r="B32" s="38" t="s">
        <v>271</v>
      </c>
      <c r="C32" s="38">
        <v>4.0</v>
      </c>
      <c r="D32" s="38" t="s">
        <v>1109</v>
      </c>
      <c r="E32" s="38" t="s">
        <v>4307</v>
      </c>
      <c r="F32" s="38" t="s">
        <v>4308</v>
      </c>
      <c r="G32" s="40" t="s">
        <v>4309</v>
      </c>
      <c r="H32" s="38" t="s">
        <v>4310</v>
      </c>
    </row>
    <row r="33">
      <c r="B33" s="38" t="s">
        <v>2333</v>
      </c>
      <c r="C33" s="38">
        <v>4.0</v>
      </c>
      <c r="D33" s="38" t="s">
        <v>4311</v>
      </c>
      <c r="E33" s="38" t="s">
        <v>4312</v>
      </c>
      <c r="F33" s="38" t="s">
        <v>4313</v>
      </c>
      <c r="G33" s="40" t="s">
        <v>4314</v>
      </c>
      <c r="H33" s="38" t="s">
        <v>4315</v>
      </c>
    </row>
    <row r="34">
      <c r="B34" s="38" t="s">
        <v>4316</v>
      </c>
      <c r="C34" s="38">
        <v>4.0</v>
      </c>
      <c r="D34" s="38" t="s">
        <v>4254</v>
      </c>
      <c r="E34" s="44"/>
      <c r="F34" s="38" t="s">
        <v>4317</v>
      </c>
      <c r="G34" s="277" t="s">
        <v>4318</v>
      </c>
      <c r="H34" s="38" t="s">
        <v>4319</v>
      </c>
    </row>
    <row r="35">
      <c r="B35" s="38" t="s">
        <v>4316</v>
      </c>
      <c r="C35" s="38">
        <v>4.0</v>
      </c>
      <c r="D35" s="38" t="s">
        <v>4254</v>
      </c>
      <c r="E35" s="44"/>
      <c r="F35" s="38" t="s">
        <v>4320</v>
      </c>
      <c r="G35" s="38" t="s">
        <v>4321</v>
      </c>
      <c r="H35" s="40" t="s">
        <v>4322</v>
      </c>
    </row>
    <row r="36">
      <c r="B36" s="38" t="s">
        <v>77</v>
      </c>
      <c r="C36" s="38">
        <v>2.0</v>
      </c>
      <c r="D36" s="38" t="s">
        <v>4323</v>
      </c>
      <c r="E36" s="44"/>
      <c r="F36" s="40" t="s">
        <v>4324</v>
      </c>
      <c r="G36" s="40" t="s">
        <v>4325</v>
      </c>
      <c r="H36" s="40" t="s">
        <v>4322</v>
      </c>
    </row>
    <row r="37">
      <c r="B37" s="38" t="s">
        <v>77</v>
      </c>
      <c r="C37" s="38">
        <v>4.0</v>
      </c>
      <c r="D37" s="38" t="s">
        <v>4326</v>
      </c>
      <c r="E37" s="38" t="s">
        <v>4327</v>
      </c>
      <c r="F37" s="40" t="s">
        <v>4328</v>
      </c>
      <c r="G37" s="40" t="s">
        <v>4329</v>
      </c>
      <c r="H37" s="40" t="s">
        <v>4330</v>
      </c>
    </row>
    <row r="38">
      <c r="B38" s="38" t="s">
        <v>271</v>
      </c>
      <c r="C38" s="38">
        <v>4.0</v>
      </c>
      <c r="D38" s="38" t="s">
        <v>4258</v>
      </c>
      <c r="E38" s="44"/>
      <c r="F38" s="38" t="s">
        <v>4331</v>
      </c>
      <c r="G38" s="278" t="s">
        <v>4332</v>
      </c>
      <c r="H38" s="38" t="s">
        <v>4333</v>
      </c>
    </row>
    <row r="39">
      <c r="B39" s="38" t="s">
        <v>271</v>
      </c>
      <c r="C39" s="38">
        <v>4.0</v>
      </c>
      <c r="D39" s="38" t="s">
        <v>4258</v>
      </c>
      <c r="E39" s="44"/>
      <c r="F39" s="38" t="s">
        <v>4334</v>
      </c>
      <c r="G39" s="38" t="s">
        <v>4335</v>
      </c>
      <c r="H39" s="38" t="s">
        <v>4330</v>
      </c>
    </row>
    <row r="40">
      <c r="B40" s="38" t="s">
        <v>1006</v>
      </c>
      <c r="C40" s="38">
        <v>4.0</v>
      </c>
      <c r="D40" s="38" t="s">
        <v>4258</v>
      </c>
      <c r="E40" s="44"/>
      <c r="F40" s="49" t="s">
        <v>4334</v>
      </c>
      <c r="G40" s="49" t="s">
        <v>4336</v>
      </c>
      <c r="H40" s="38" t="s">
        <v>4337</v>
      </c>
    </row>
    <row r="41">
      <c r="B41" s="38" t="s">
        <v>271</v>
      </c>
      <c r="C41" s="38">
        <v>2.0</v>
      </c>
      <c r="D41" s="38" t="s">
        <v>1114</v>
      </c>
      <c r="E41" s="44"/>
      <c r="F41" s="38" t="s">
        <v>4338</v>
      </c>
      <c r="G41" s="38" t="s">
        <v>4339</v>
      </c>
      <c r="H41" s="38" t="s">
        <v>4340</v>
      </c>
    </row>
    <row r="42">
      <c r="B42" s="38" t="s">
        <v>283</v>
      </c>
      <c r="C42" s="38">
        <v>4.0</v>
      </c>
      <c r="D42" s="38" t="s">
        <v>163</v>
      </c>
      <c r="E42" s="44"/>
      <c r="F42" s="49" t="s">
        <v>4341</v>
      </c>
      <c r="G42" s="49" t="s">
        <v>4342</v>
      </c>
      <c r="H42" s="38" t="s">
        <v>4343</v>
      </c>
    </row>
    <row r="43">
      <c r="B43" s="38" t="s">
        <v>25</v>
      </c>
      <c r="C43" s="38">
        <v>4.0</v>
      </c>
      <c r="D43" s="38" t="s">
        <v>4344</v>
      </c>
      <c r="E43" s="44"/>
      <c r="F43" s="49" t="s">
        <v>4345</v>
      </c>
      <c r="G43" s="277" t="s">
        <v>4346</v>
      </c>
      <c r="H43" s="40" t="s">
        <v>4347</v>
      </c>
    </row>
    <row r="44">
      <c r="B44" s="38" t="s">
        <v>430</v>
      </c>
      <c r="C44" s="38">
        <v>4.0</v>
      </c>
      <c r="D44" s="38" t="s">
        <v>4348</v>
      </c>
      <c r="E44" s="44"/>
      <c r="F44" s="49" t="s">
        <v>4349</v>
      </c>
      <c r="G44" s="49" t="s">
        <v>4350</v>
      </c>
      <c r="H44" s="38" t="s">
        <v>4351</v>
      </c>
    </row>
    <row r="45">
      <c r="B45" s="38" t="s">
        <v>411</v>
      </c>
      <c r="C45" s="38">
        <v>2.0</v>
      </c>
      <c r="D45" s="38" t="s">
        <v>4352</v>
      </c>
      <c r="E45" s="44"/>
      <c r="F45" s="279" t="s">
        <v>4353</v>
      </c>
      <c r="G45" s="279" t="s">
        <v>4354</v>
      </c>
      <c r="H45" s="38" t="s">
        <v>4355</v>
      </c>
    </row>
    <row r="46">
      <c r="B46" s="38" t="s">
        <v>430</v>
      </c>
      <c r="C46" s="38">
        <v>4.0</v>
      </c>
      <c r="D46" s="38" t="s">
        <v>4356</v>
      </c>
      <c r="E46" s="38" t="s">
        <v>4357</v>
      </c>
      <c r="F46" s="38" t="s">
        <v>4358</v>
      </c>
      <c r="G46" s="38" t="s">
        <v>4359</v>
      </c>
      <c r="H46" s="38" t="s">
        <v>4360</v>
      </c>
    </row>
    <row r="47">
      <c r="B47" s="38" t="s">
        <v>1182</v>
      </c>
      <c r="C47" s="38">
        <v>4.0</v>
      </c>
      <c r="D47" s="38" t="s">
        <v>315</v>
      </c>
      <c r="E47" s="38" t="s">
        <v>4361</v>
      </c>
      <c r="F47" s="38" t="s">
        <v>4328</v>
      </c>
      <c r="G47" s="38" t="s">
        <v>4362</v>
      </c>
      <c r="H47" s="38" t="s">
        <v>4363</v>
      </c>
    </row>
    <row r="48">
      <c r="B48" s="38" t="s">
        <v>4364</v>
      </c>
      <c r="C48" s="38">
        <v>4.0</v>
      </c>
      <c r="D48" s="280" t="s">
        <v>4365</v>
      </c>
      <c r="E48" s="281" t="s">
        <v>4366</v>
      </c>
      <c r="F48" s="38" t="s">
        <v>4367</v>
      </c>
      <c r="G48" s="38" t="s">
        <v>175</v>
      </c>
      <c r="H48" s="38"/>
      <c r="I48" s="38" t="s">
        <v>4368</v>
      </c>
    </row>
    <row r="49">
      <c r="B49" s="38" t="s">
        <v>205</v>
      </c>
      <c r="C49" s="38">
        <v>2.0</v>
      </c>
      <c r="D49" s="280" t="s">
        <v>1109</v>
      </c>
      <c r="E49" s="281" t="s">
        <v>4366</v>
      </c>
      <c r="F49" s="38" t="s">
        <v>4369</v>
      </c>
      <c r="G49" s="38" t="s">
        <v>4370</v>
      </c>
      <c r="H49" s="44"/>
      <c r="I49" s="38" t="s">
        <v>4368</v>
      </c>
    </row>
    <row r="50">
      <c r="D50" s="282" t="s">
        <v>4371</v>
      </c>
      <c r="E50" s="38" t="s">
        <v>1272</v>
      </c>
      <c r="F50" s="44"/>
      <c r="G50" s="44"/>
      <c r="H50" s="38" t="s">
        <v>4303</v>
      </c>
    </row>
    <row r="51">
      <c r="B51" s="38" t="s">
        <v>1322</v>
      </c>
      <c r="C51" s="38">
        <v>1.0</v>
      </c>
      <c r="D51" s="282" t="s">
        <v>4372</v>
      </c>
      <c r="E51" s="38" t="s">
        <v>1272</v>
      </c>
      <c r="F51" s="44"/>
      <c r="G51" s="44"/>
      <c r="H51" s="38" t="s">
        <v>4303</v>
      </c>
    </row>
    <row r="52">
      <c r="B52" s="38" t="s">
        <v>2013</v>
      </c>
      <c r="C52" s="38">
        <v>4.0</v>
      </c>
      <c r="D52" s="261" t="s">
        <v>4373</v>
      </c>
      <c r="E52" s="265" t="s">
        <v>3983</v>
      </c>
      <c r="F52" s="38" t="s">
        <v>4107</v>
      </c>
      <c r="G52" s="44"/>
      <c r="H52" s="44"/>
    </row>
    <row r="53">
      <c r="B53" s="44"/>
      <c r="C53" s="44"/>
      <c r="D53" s="44"/>
      <c r="E53" s="38" t="s">
        <v>4374</v>
      </c>
      <c r="F53" s="38" t="s">
        <v>4375</v>
      </c>
      <c r="G53" s="38" t="s">
        <v>4376</v>
      </c>
      <c r="H53" s="38" t="s">
        <v>4377</v>
      </c>
      <c r="L53" s="283"/>
    </row>
    <row r="54">
      <c r="B54" s="44"/>
      <c r="C54" s="44"/>
      <c r="D54" s="284" t="s">
        <v>4378</v>
      </c>
      <c r="E54" s="38" t="s">
        <v>4379</v>
      </c>
      <c r="F54" s="38" t="s">
        <v>4380</v>
      </c>
      <c r="G54" s="38" t="s">
        <v>4381</v>
      </c>
      <c r="H54" s="284" t="s">
        <v>4382</v>
      </c>
      <c r="L54" s="285"/>
    </row>
    <row r="55">
      <c r="B55" s="38" t="s">
        <v>88</v>
      </c>
      <c r="C55" s="38">
        <v>4.0</v>
      </c>
      <c r="D55" s="38" t="s">
        <v>4383</v>
      </c>
      <c r="E55" s="38" t="s">
        <v>4384</v>
      </c>
      <c r="F55" s="38" t="s">
        <v>4385</v>
      </c>
      <c r="G55" s="44"/>
      <c r="L55" s="286"/>
    </row>
    <row r="56">
      <c r="B56" s="38" t="s">
        <v>25</v>
      </c>
      <c r="C56" s="38">
        <v>4.0</v>
      </c>
      <c r="D56" s="38" t="s">
        <v>4386</v>
      </c>
      <c r="E56" s="38" t="s">
        <v>4387</v>
      </c>
      <c r="F56" s="38" t="s">
        <v>4388</v>
      </c>
      <c r="G56" s="38" t="s">
        <v>4389</v>
      </c>
      <c r="L56" s="287"/>
    </row>
    <row r="57">
      <c r="B57" s="276" t="s">
        <v>4390</v>
      </c>
      <c r="C57" s="38">
        <v>1.0</v>
      </c>
      <c r="D57" s="276" t="s">
        <v>4391</v>
      </c>
      <c r="E57" s="38" t="s">
        <v>4392</v>
      </c>
      <c r="F57" s="38" t="s">
        <v>4393</v>
      </c>
      <c r="G57" s="38" t="s">
        <v>4394</v>
      </c>
      <c r="H57" s="38" t="s">
        <v>4395</v>
      </c>
    </row>
    <row r="58">
      <c r="B58" s="276" t="s">
        <v>4396</v>
      </c>
      <c r="C58" s="38">
        <v>4.0</v>
      </c>
      <c r="D58" s="38" t="s">
        <v>4397</v>
      </c>
      <c r="E58" s="38" t="s">
        <v>4392</v>
      </c>
      <c r="F58" s="38" t="s">
        <v>4398</v>
      </c>
      <c r="G58" s="38" t="s">
        <v>4399</v>
      </c>
      <c r="H58" s="38" t="s">
        <v>4395</v>
      </c>
    </row>
    <row r="59">
      <c r="B59" s="38" t="s">
        <v>25</v>
      </c>
      <c r="C59" s="38">
        <v>4.0</v>
      </c>
      <c r="D59" s="38" t="s">
        <v>4400</v>
      </c>
      <c r="E59" s="38" t="s">
        <v>4401</v>
      </c>
      <c r="F59" s="38" t="s">
        <v>4402</v>
      </c>
      <c r="G59" s="38" t="s">
        <v>4403</v>
      </c>
      <c r="H59" s="38" t="s">
        <v>4404</v>
      </c>
    </row>
    <row r="60">
      <c r="B60" s="38" t="s">
        <v>4405</v>
      </c>
      <c r="C60" s="38">
        <v>2.0</v>
      </c>
      <c r="D60" s="38" t="s">
        <v>4406</v>
      </c>
      <c r="E60" s="38" t="s">
        <v>4407</v>
      </c>
      <c r="F60" s="38" t="s">
        <v>4408</v>
      </c>
      <c r="G60" s="59" t="s">
        <v>4409</v>
      </c>
      <c r="H60" s="38" t="s">
        <v>4410</v>
      </c>
    </row>
    <row r="61">
      <c r="B61" s="38" t="s">
        <v>4411</v>
      </c>
      <c r="C61" s="164" t="s">
        <v>4412</v>
      </c>
      <c r="D61" s="38" t="s">
        <v>4413</v>
      </c>
      <c r="E61" s="38" t="s">
        <v>4414</v>
      </c>
    </row>
    <row r="62">
      <c r="B62" s="38" t="s">
        <v>4415</v>
      </c>
      <c r="C62" s="38" t="s">
        <v>4416</v>
      </c>
      <c r="D62" s="38" t="s">
        <v>4417</v>
      </c>
      <c r="E62" s="38" t="s">
        <v>4418</v>
      </c>
      <c r="F62" s="38" t="s">
        <v>4419</v>
      </c>
      <c r="G62" s="38" t="s">
        <v>4420</v>
      </c>
      <c r="H62" s="38" t="s">
        <v>4421</v>
      </c>
    </row>
    <row r="63">
      <c r="B63" s="38" t="s">
        <v>47</v>
      </c>
      <c r="C63" s="38">
        <v>1.0</v>
      </c>
      <c r="D63" s="38" t="s">
        <v>4251</v>
      </c>
      <c r="E63" s="274" t="s">
        <v>4422</v>
      </c>
      <c r="F63" s="38">
        <v>3.706188688E10</v>
      </c>
      <c r="G63" s="38" t="s">
        <v>4423</v>
      </c>
      <c r="H63" s="44"/>
    </row>
    <row r="64">
      <c r="B64" s="44"/>
      <c r="C64" s="44"/>
      <c r="D64" s="44"/>
      <c r="E64" s="38" t="s">
        <v>4424</v>
      </c>
      <c r="F64" s="38" t="s">
        <v>4425</v>
      </c>
      <c r="G64" s="38" t="s">
        <v>4426</v>
      </c>
      <c r="H64" s="38" t="s">
        <v>4421</v>
      </c>
    </row>
    <row r="65">
      <c r="B65" s="38" t="s">
        <v>853</v>
      </c>
      <c r="C65" s="38">
        <v>1.0</v>
      </c>
      <c r="D65" s="38" t="s">
        <v>4427</v>
      </c>
      <c r="E65" s="38" t="s">
        <v>4428</v>
      </c>
      <c r="F65" s="38">
        <v>110.0</v>
      </c>
      <c r="G65" s="38" t="s">
        <v>4429</v>
      </c>
    </row>
    <row r="66">
      <c r="B66" s="38" t="s">
        <v>1100</v>
      </c>
      <c r="C66" s="38">
        <v>1.0</v>
      </c>
      <c r="D66" s="38" t="s">
        <v>4427</v>
      </c>
      <c r="E66" s="38" t="s">
        <v>4428</v>
      </c>
      <c r="F66" s="38" t="s">
        <v>4430</v>
      </c>
      <c r="G66" s="38" t="s">
        <v>4431</v>
      </c>
    </row>
    <row r="67">
      <c r="B67" s="38" t="s">
        <v>1277</v>
      </c>
      <c r="C67" s="38">
        <v>2.0</v>
      </c>
      <c r="D67" s="38" t="s">
        <v>719</v>
      </c>
      <c r="E67" s="38" t="s">
        <v>4428</v>
      </c>
      <c r="F67" s="38">
        <v>237.0</v>
      </c>
      <c r="G67" s="38" t="s">
        <v>4432</v>
      </c>
    </row>
    <row r="68">
      <c r="B68" s="38" t="s">
        <v>4433</v>
      </c>
      <c r="C68" s="38">
        <v>2.0</v>
      </c>
      <c r="D68" s="38" t="s">
        <v>719</v>
      </c>
      <c r="E68" s="38" t="s">
        <v>4428</v>
      </c>
      <c r="F68" s="38">
        <v>317.0</v>
      </c>
      <c r="G68" s="38" t="s">
        <v>4432</v>
      </c>
    </row>
    <row r="69">
      <c r="B69" s="38" t="s">
        <v>4434</v>
      </c>
      <c r="C69" s="38">
        <v>2.0</v>
      </c>
      <c r="D69" s="38" t="s">
        <v>4435</v>
      </c>
      <c r="E69" s="105" t="s">
        <v>4436</v>
      </c>
      <c r="F69" s="38" t="s">
        <v>4437</v>
      </c>
      <c r="G69" s="44"/>
    </row>
    <row r="70">
      <c r="A70" s="19">
        <v>43908.0</v>
      </c>
      <c r="D70" s="38" t="s">
        <v>4438</v>
      </c>
      <c r="E70" s="276" t="s">
        <v>4439</v>
      </c>
      <c r="F70" s="38" t="s">
        <v>4440</v>
      </c>
    </row>
    <row r="71">
      <c r="A71" s="19">
        <v>43909.0</v>
      </c>
      <c r="B71" s="38" t="s">
        <v>4441</v>
      </c>
      <c r="C71" s="38">
        <v>1.0</v>
      </c>
      <c r="D71" s="38" t="s">
        <v>4442</v>
      </c>
      <c r="E71" s="38" t="s">
        <v>4443</v>
      </c>
      <c r="F71" s="276" t="s">
        <v>4444</v>
      </c>
      <c r="G71" s="38" t="s">
        <v>4445</v>
      </c>
      <c r="H71" s="38" t="s">
        <v>4446</v>
      </c>
    </row>
    <row r="72">
      <c r="B72" s="38" t="s">
        <v>25</v>
      </c>
      <c r="C72" s="38">
        <v>4.0</v>
      </c>
      <c r="D72" s="38" t="s">
        <v>4326</v>
      </c>
      <c r="E72" s="38" t="s">
        <v>4447</v>
      </c>
      <c r="F72" s="38" t="s">
        <v>4448</v>
      </c>
      <c r="G72" s="38" t="s">
        <v>4449</v>
      </c>
    </row>
    <row r="73">
      <c r="A73" s="288">
        <v>43909.0</v>
      </c>
      <c r="B73" s="289" t="s">
        <v>623</v>
      </c>
      <c r="C73" s="290">
        <v>2.0</v>
      </c>
      <c r="D73" s="289" t="s">
        <v>4450</v>
      </c>
      <c r="E73" s="38" t="s">
        <v>4451</v>
      </c>
      <c r="F73" s="289" t="s">
        <v>4452</v>
      </c>
      <c r="G73" s="38" t="s">
        <v>4453</v>
      </c>
      <c r="H73" s="38" t="s">
        <v>4454</v>
      </c>
    </row>
    <row r="74">
      <c r="A74" s="288"/>
      <c r="B74" s="289" t="s">
        <v>1296</v>
      </c>
      <c r="C74" s="290">
        <v>4.0</v>
      </c>
      <c r="D74" s="289" t="s">
        <v>3937</v>
      </c>
      <c r="E74" s="291" t="s">
        <v>4455</v>
      </c>
      <c r="F74" s="289" t="s">
        <v>4456</v>
      </c>
      <c r="G74" s="289" t="s">
        <v>4457</v>
      </c>
    </row>
    <row r="75">
      <c r="B75" s="38" t="s">
        <v>876</v>
      </c>
      <c r="C75" s="38">
        <v>4.0</v>
      </c>
      <c r="D75" s="38" t="s">
        <v>1953</v>
      </c>
      <c r="E75" s="38" t="s">
        <v>4458</v>
      </c>
      <c r="F75" s="38" t="s">
        <v>4459</v>
      </c>
      <c r="G75" s="38" t="s">
        <v>4460</v>
      </c>
    </row>
    <row r="76">
      <c r="B76" s="292" t="s">
        <v>4461</v>
      </c>
      <c r="C76" s="44"/>
      <c r="D76" s="292" t="s">
        <v>4462</v>
      </c>
      <c r="E76" s="38" t="s">
        <v>2551</v>
      </c>
      <c r="F76" s="44"/>
      <c r="G76" s="38" t="s">
        <v>4463</v>
      </c>
    </row>
    <row r="77">
      <c r="B77" s="38" t="s">
        <v>4464</v>
      </c>
      <c r="C77" s="38" t="s">
        <v>535</v>
      </c>
      <c r="D77" s="105" t="s">
        <v>4465</v>
      </c>
      <c r="E77" s="38" t="s">
        <v>4466</v>
      </c>
      <c r="F77" s="292" t="s">
        <v>4467</v>
      </c>
      <c r="G77" s="38" t="s">
        <v>4468</v>
      </c>
    </row>
    <row r="78">
      <c r="B78" s="38" t="s">
        <v>1407</v>
      </c>
      <c r="C78" s="38">
        <v>4.0</v>
      </c>
      <c r="D78" s="38" t="s">
        <v>4469</v>
      </c>
      <c r="E78" s="38" t="s">
        <v>418</v>
      </c>
      <c r="F78" s="38" t="s">
        <v>4470</v>
      </c>
      <c r="G78" s="38" t="s">
        <v>4471</v>
      </c>
    </row>
    <row r="79">
      <c r="B79" s="38" t="s">
        <v>25</v>
      </c>
      <c r="C79" s="38">
        <v>4.0</v>
      </c>
      <c r="D79" s="38" t="s">
        <v>232</v>
      </c>
      <c r="E79" s="38" t="s">
        <v>418</v>
      </c>
      <c r="F79" s="38" t="s">
        <v>4472</v>
      </c>
      <c r="G79" s="38" t="s">
        <v>4471</v>
      </c>
    </row>
    <row r="80">
      <c r="B80" s="38" t="s">
        <v>205</v>
      </c>
      <c r="C80" s="38">
        <v>4.0</v>
      </c>
      <c r="D80" s="38" t="s">
        <v>2097</v>
      </c>
      <c r="E80" s="38" t="s">
        <v>4473</v>
      </c>
      <c r="F80" s="38" t="s">
        <v>4474</v>
      </c>
      <c r="G80" s="38" t="s">
        <v>4250</v>
      </c>
    </row>
    <row r="81">
      <c r="B81" s="44"/>
      <c r="C81" s="44"/>
      <c r="D81" s="44"/>
      <c r="E81" s="38" t="s">
        <v>4424</v>
      </c>
      <c r="F81" s="38" t="s">
        <v>4475</v>
      </c>
      <c r="G81" s="38" t="s">
        <v>4476</v>
      </c>
      <c r="H81" s="38" t="s">
        <v>4421</v>
      </c>
    </row>
    <row r="82">
      <c r="B82" s="44"/>
      <c r="C82" s="44"/>
      <c r="D82" s="293" t="s">
        <v>4477</v>
      </c>
      <c r="E82" s="38" t="s">
        <v>4478</v>
      </c>
      <c r="F82" s="38" t="s">
        <v>4479</v>
      </c>
      <c r="G82" s="44"/>
    </row>
    <row r="83">
      <c r="C83" s="44"/>
      <c r="D83" s="38" t="s">
        <v>4480</v>
      </c>
      <c r="E83" s="38" t="s">
        <v>873</v>
      </c>
      <c r="F83" s="38" t="s">
        <v>4481</v>
      </c>
      <c r="G83" s="38" t="s">
        <v>4482</v>
      </c>
    </row>
    <row r="84">
      <c r="E84" s="38" t="s">
        <v>2551</v>
      </c>
      <c r="F84" s="38" t="s">
        <v>4483</v>
      </c>
      <c r="G84" s="38" t="s">
        <v>4484</v>
      </c>
    </row>
    <row r="85">
      <c r="E85" s="38" t="s">
        <v>4473</v>
      </c>
      <c r="F85" s="38" t="s">
        <v>4485</v>
      </c>
      <c r="G85" s="38" t="s">
        <v>4486</v>
      </c>
    </row>
    <row r="86">
      <c r="B86" s="44"/>
      <c r="C86" s="44"/>
      <c r="D86" s="44"/>
      <c r="E86" s="38" t="s">
        <v>4487</v>
      </c>
      <c r="F86" s="44"/>
      <c r="G86" s="294" t="s">
        <v>4488</v>
      </c>
    </row>
    <row r="87">
      <c r="A87" s="38" t="s">
        <v>4489</v>
      </c>
      <c r="B87" s="44"/>
      <c r="C87" s="38" t="s">
        <v>4490</v>
      </c>
      <c r="D87" s="38" t="s">
        <v>4491</v>
      </c>
      <c r="E87" s="38" t="s">
        <v>4492</v>
      </c>
      <c r="F87" s="38" t="s">
        <v>4493</v>
      </c>
      <c r="G87" s="38" t="s">
        <v>4494</v>
      </c>
      <c r="H87" s="38" t="s">
        <v>4495</v>
      </c>
      <c r="I87" s="38" t="s">
        <v>4496</v>
      </c>
      <c r="J87" s="38" t="s">
        <v>4497</v>
      </c>
      <c r="K87" s="44"/>
    </row>
    <row r="88">
      <c r="B88" s="38" t="s">
        <v>718</v>
      </c>
      <c r="C88" s="38">
        <v>4.0</v>
      </c>
      <c r="D88" s="38" t="s">
        <v>315</v>
      </c>
      <c r="E88" s="38" t="s">
        <v>4498</v>
      </c>
      <c r="F88" s="38" t="s">
        <v>4499</v>
      </c>
      <c r="G88" s="38" t="s">
        <v>4500</v>
      </c>
    </row>
    <row r="89">
      <c r="B89" s="38" t="s">
        <v>4501</v>
      </c>
      <c r="C89" s="38">
        <v>2.0</v>
      </c>
      <c r="D89" s="38" t="s">
        <v>4502</v>
      </c>
      <c r="E89" s="38" t="s">
        <v>4503</v>
      </c>
      <c r="F89" s="38" t="s">
        <v>4504</v>
      </c>
      <c r="G89" s="38" t="s">
        <v>4505</v>
      </c>
      <c r="H89" s="38" t="s">
        <v>4506</v>
      </c>
    </row>
    <row r="90">
      <c r="B90" s="38" t="s">
        <v>77</v>
      </c>
      <c r="C90" s="38">
        <v>4.0</v>
      </c>
      <c r="D90" s="38" t="s">
        <v>4326</v>
      </c>
      <c r="E90" s="38" t="s">
        <v>633</v>
      </c>
      <c r="F90" s="38" t="s">
        <v>4507</v>
      </c>
      <c r="G90" s="38" t="s">
        <v>4508</v>
      </c>
      <c r="H90" s="38" t="s">
        <v>4509</v>
      </c>
    </row>
    <row r="91">
      <c r="B91" s="38" t="s">
        <v>271</v>
      </c>
      <c r="C91" s="38">
        <v>4.0</v>
      </c>
      <c r="D91" s="38" t="s">
        <v>232</v>
      </c>
      <c r="E91" s="295" t="s">
        <v>4510</v>
      </c>
      <c r="F91" s="44"/>
      <c r="G91" s="38" t="s">
        <v>4511</v>
      </c>
    </row>
    <row r="92">
      <c r="B92" s="38" t="s">
        <v>219</v>
      </c>
      <c r="C92" s="38">
        <v>4.0</v>
      </c>
      <c r="D92" s="38" t="s">
        <v>294</v>
      </c>
      <c r="E92" s="265" t="s">
        <v>4512</v>
      </c>
      <c r="F92" s="38" t="s">
        <v>4513</v>
      </c>
      <c r="G92" s="38" t="s">
        <v>4514</v>
      </c>
      <c r="H92" s="44"/>
    </row>
    <row r="93">
      <c r="B93" s="38" t="s">
        <v>147</v>
      </c>
      <c r="C93" s="38">
        <v>2.0</v>
      </c>
      <c r="D93" s="38" t="s">
        <v>294</v>
      </c>
      <c r="E93" s="270" t="s">
        <v>4515</v>
      </c>
      <c r="F93" s="38" t="s">
        <v>4516</v>
      </c>
      <c r="G93" s="38" t="s">
        <v>4517</v>
      </c>
      <c r="H93" s="38" t="s">
        <v>4518</v>
      </c>
    </row>
    <row r="94">
      <c r="B94" s="38" t="s">
        <v>261</v>
      </c>
      <c r="C94" s="38">
        <v>4.0</v>
      </c>
      <c r="D94" s="296" t="s">
        <v>4519</v>
      </c>
      <c r="E94" s="270" t="s">
        <v>4515</v>
      </c>
      <c r="F94" s="38" t="s">
        <v>4516</v>
      </c>
      <c r="G94" s="38"/>
      <c r="H94" s="38" t="s">
        <v>4518</v>
      </c>
    </row>
    <row r="95">
      <c r="C95" s="44"/>
      <c r="D95" s="38" t="s">
        <v>4520</v>
      </c>
      <c r="E95" s="297" t="s">
        <v>4478</v>
      </c>
      <c r="F95" s="38" t="s">
        <v>1261</v>
      </c>
      <c r="G95" s="38" t="s">
        <v>4521</v>
      </c>
    </row>
    <row r="96">
      <c r="B96" s="38" t="s">
        <v>219</v>
      </c>
      <c r="C96" s="38">
        <v>4.0</v>
      </c>
      <c r="D96" s="38" t="s">
        <v>4522</v>
      </c>
      <c r="E96" s="38" t="s">
        <v>873</v>
      </c>
      <c r="F96" s="38" t="s">
        <v>4523</v>
      </c>
      <c r="G96" s="38" t="s">
        <v>4524</v>
      </c>
      <c r="H96" s="38" t="s">
        <v>4525</v>
      </c>
    </row>
    <row r="97">
      <c r="B97" s="298" t="s">
        <v>4526</v>
      </c>
      <c r="C97" s="44"/>
      <c r="D97" s="38" t="s">
        <v>4527</v>
      </c>
      <c r="E97" s="38" t="s">
        <v>873</v>
      </c>
      <c r="F97" s="38" t="s">
        <v>4528</v>
      </c>
      <c r="G97" s="38" t="s">
        <v>4529</v>
      </c>
      <c r="H97" s="38" t="s">
        <v>4525</v>
      </c>
    </row>
    <row r="98">
      <c r="B98" s="38" t="s">
        <v>183</v>
      </c>
      <c r="C98" s="38">
        <v>6.0</v>
      </c>
      <c r="D98" s="38" t="s">
        <v>232</v>
      </c>
      <c r="E98" s="281" t="s">
        <v>4530</v>
      </c>
      <c r="F98" s="38" t="s">
        <v>1767</v>
      </c>
      <c r="G98" s="38" t="s">
        <v>4531</v>
      </c>
    </row>
    <row r="99">
      <c r="B99" s="38" t="s">
        <v>1407</v>
      </c>
      <c r="C99" s="38">
        <v>4.0</v>
      </c>
      <c r="D99" s="38" t="s">
        <v>4532</v>
      </c>
      <c r="E99" s="38" t="s">
        <v>4533</v>
      </c>
      <c r="F99" s="38" t="s">
        <v>4534</v>
      </c>
      <c r="G99" s="38" t="s">
        <v>4535</v>
      </c>
    </row>
    <row r="100">
      <c r="B100" s="38" t="s">
        <v>876</v>
      </c>
      <c r="C100" s="38">
        <v>4.0</v>
      </c>
      <c r="D100" s="38" t="s">
        <v>4536</v>
      </c>
      <c r="E100" s="38" t="s">
        <v>4537</v>
      </c>
      <c r="F100" s="38" t="s">
        <v>4538</v>
      </c>
      <c r="G100" s="38" t="s">
        <v>4539</v>
      </c>
      <c r="H100" s="299" t="s">
        <v>4540</v>
      </c>
    </row>
    <row r="101">
      <c r="B101" s="38" t="s">
        <v>1264</v>
      </c>
      <c r="C101" s="38">
        <v>4.0</v>
      </c>
      <c r="D101" s="38" t="s">
        <v>1221</v>
      </c>
      <c r="E101" s="38" t="s">
        <v>4541</v>
      </c>
      <c r="F101" s="38" t="s">
        <v>175</v>
      </c>
      <c r="G101" s="44"/>
    </row>
    <row r="102">
      <c r="B102" s="38" t="s">
        <v>4542</v>
      </c>
      <c r="C102" s="38">
        <v>4.0</v>
      </c>
      <c r="D102" s="38" t="s">
        <v>4543</v>
      </c>
      <c r="E102" s="38" t="s">
        <v>138</v>
      </c>
      <c r="F102" s="38" t="s">
        <v>4544</v>
      </c>
      <c r="G102" s="44"/>
    </row>
    <row r="103">
      <c r="B103" s="44"/>
      <c r="C103" s="44"/>
      <c r="D103" s="44"/>
      <c r="E103" s="38" t="s">
        <v>1272</v>
      </c>
      <c r="F103" s="38" t="s">
        <v>4545</v>
      </c>
      <c r="G103" s="38" t="s">
        <v>4546</v>
      </c>
    </row>
    <row r="104">
      <c r="B104" s="38" t="s">
        <v>85</v>
      </c>
      <c r="C104" s="38">
        <v>4.0</v>
      </c>
      <c r="D104" s="38" t="s">
        <v>3937</v>
      </c>
      <c r="E104" s="38" t="s">
        <v>2396</v>
      </c>
      <c r="F104" s="38" t="s">
        <v>925</v>
      </c>
      <c r="G104" s="38" t="s">
        <v>4547</v>
      </c>
    </row>
    <row r="105">
      <c r="B105" s="38"/>
      <c r="C105" s="38"/>
      <c r="D105" s="38"/>
      <c r="E105" s="38" t="s">
        <v>2396</v>
      </c>
      <c r="F105" s="38" t="s">
        <v>4548</v>
      </c>
      <c r="G105" s="38" t="s">
        <v>4549</v>
      </c>
      <c r="H105" s="1"/>
    </row>
    <row r="106">
      <c r="B106" s="38" t="s">
        <v>41</v>
      </c>
      <c r="C106" s="38">
        <v>4.0</v>
      </c>
      <c r="D106" s="38" t="s">
        <v>315</v>
      </c>
      <c r="E106" s="300" t="s">
        <v>4550</v>
      </c>
      <c r="F106" s="38" t="s">
        <v>4551</v>
      </c>
      <c r="G106" s="44"/>
    </row>
    <row r="107">
      <c r="B107" s="38" t="s">
        <v>4552</v>
      </c>
      <c r="C107" s="38">
        <v>1.0</v>
      </c>
      <c r="D107" s="38" t="s">
        <v>4553</v>
      </c>
      <c r="E107" s="38" t="s">
        <v>4554</v>
      </c>
      <c r="F107" s="38" t="s">
        <v>4555</v>
      </c>
      <c r="G107" s="38" t="s">
        <v>4556</v>
      </c>
    </row>
    <row r="108">
      <c r="B108" s="38" t="s">
        <v>4557</v>
      </c>
      <c r="C108" s="38">
        <v>1.0</v>
      </c>
      <c r="D108" s="38" t="s">
        <v>4558</v>
      </c>
      <c r="E108" s="38" t="s">
        <v>4554</v>
      </c>
      <c r="F108" s="38" t="s">
        <v>4559</v>
      </c>
      <c r="G108" s="38" t="s">
        <v>4556</v>
      </c>
    </row>
    <row r="109">
      <c r="B109" s="38" t="s">
        <v>85</v>
      </c>
      <c r="C109" s="38">
        <v>4.0</v>
      </c>
      <c r="D109" s="38" t="s">
        <v>924</v>
      </c>
      <c r="E109" s="38" t="s">
        <v>4560</v>
      </c>
      <c r="F109" s="38" t="s">
        <v>4561</v>
      </c>
      <c r="G109" s="38" t="s">
        <v>4562</v>
      </c>
    </row>
    <row r="110">
      <c r="B110" s="38" t="s">
        <v>4563</v>
      </c>
      <c r="C110" s="38">
        <v>4.0</v>
      </c>
      <c r="D110" s="38" t="s">
        <v>315</v>
      </c>
      <c r="E110" s="38" t="s">
        <v>4564</v>
      </c>
      <c r="F110" s="38" t="s">
        <v>4565</v>
      </c>
      <c r="G110" s="38" t="s">
        <v>4566</v>
      </c>
      <c r="H110" s="38" t="s">
        <v>4567</v>
      </c>
    </row>
    <row r="111">
      <c r="B111" s="38" t="s">
        <v>4568</v>
      </c>
      <c r="C111" s="38" t="s">
        <v>4569</v>
      </c>
      <c r="D111" s="38" t="s">
        <v>4570</v>
      </c>
      <c r="E111" s="38" t="s">
        <v>4571</v>
      </c>
      <c r="F111" s="38" t="s">
        <v>4572</v>
      </c>
      <c r="G111" s="44"/>
      <c r="H111" s="38" t="s">
        <v>4573</v>
      </c>
    </row>
    <row r="112">
      <c r="B112" s="38" t="s">
        <v>4574</v>
      </c>
      <c r="C112" s="38"/>
      <c r="D112" s="38" t="s">
        <v>4575</v>
      </c>
      <c r="E112" s="38" t="s">
        <v>4571</v>
      </c>
      <c r="F112" s="38" t="s">
        <v>4576</v>
      </c>
      <c r="G112" s="38"/>
      <c r="H112" s="38" t="s">
        <v>4573</v>
      </c>
      <c r="J112" s="1"/>
    </row>
    <row r="113">
      <c r="B113" s="38" t="s">
        <v>4577</v>
      </c>
      <c r="C113" s="44"/>
      <c r="D113" s="38" t="s">
        <v>4578</v>
      </c>
      <c r="E113" s="38" t="s">
        <v>4579</v>
      </c>
      <c r="F113" s="38" t="s">
        <v>4580</v>
      </c>
      <c r="G113" s="44"/>
      <c r="H113" s="38" t="s">
        <v>4581</v>
      </c>
    </row>
    <row r="114">
      <c r="B114" s="38" t="s">
        <v>4582</v>
      </c>
      <c r="C114" s="38">
        <v>2.0</v>
      </c>
      <c r="D114" s="38" t="s">
        <v>4583</v>
      </c>
      <c r="E114" s="38" t="s">
        <v>4584</v>
      </c>
      <c r="F114" s="38" t="s">
        <v>4585</v>
      </c>
      <c r="G114" s="38" t="s">
        <v>4586</v>
      </c>
      <c r="H114" s="301"/>
    </row>
    <row r="115">
      <c r="B115" s="38" t="s">
        <v>4587</v>
      </c>
      <c r="C115" s="38">
        <v>2.0</v>
      </c>
      <c r="D115" s="276" t="s">
        <v>4588</v>
      </c>
      <c r="E115" s="38" t="s">
        <v>633</v>
      </c>
      <c r="F115" s="38" t="s">
        <v>4589</v>
      </c>
      <c r="G115" s="38" t="s">
        <v>4590</v>
      </c>
    </row>
    <row r="116">
      <c r="B116" s="105" t="s">
        <v>4591</v>
      </c>
      <c r="C116" s="302">
        <v>2.0</v>
      </c>
      <c r="D116" s="302" t="s">
        <v>4592</v>
      </c>
      <c r="E116" s="302" t="s">
        <v>4593</v>
      </c>
      <c r="F116" s="302" t="s">
        <v>4594</v>
      </c>
      <c r="G116" s="302" t="s">
        <v>4595</v>
      </c>
      <c r="H116" s="44"/>
    </row>
    <row r="117">
      <c r="B117" s="105" t="s">
        <v>4596</v>
      </c>
      <c r="C117" s="302">
        <v>2.0</v>
      </c>
      <c r="D117" s="302" t="s">
        <v>4592</v>
      </c>
      <c r="E117" s="302" t="s">
        <v>886</v>
      </c>
      <c r="F117" s="302" t="s">
        <v>4597</v>
      </c>
      <c r="G117" s="302" t="s">
        <v>4595</v>
      </c>
      <c r="H117" s="38" t="s">
        <v>4598</v>
      </c>
    </row>
    <row r="118">
      <c r="B118" s="38" t="s">
        <v>25</v>
      </c>
      <c r="C118" s="38">
        <v>4.0</v>
      </c>
      <c r="D118" s="38" t="s">
        <v>232</v>
      </c>
      <c r="E118" s="38" t="s">
        <v>4599</v>
      </c>
      <c r="F118" s="38" t="s">
        <v>4600</v>
      </c>
      <c r="G118" s="44"/>
    </row>
    <row r="119">
      <c r="B119" s="38" t="s">
        <v>1006</v>
      </c>
      <c r="C119" s="38">
        <v>4.0</v>
      </c>
      <c r="D119" s="38" t="s">
        <v>3937</v>
      </c>
      <c r="E119" s="38" t="s">
        <v>4601</v>
      </c>
      <c r="F119" s="38" t="s">
        <v>175</v>
      </c>
      <c r="G119" s="38" t="s">
        <v>4602</v>
      </c>
    </row>
    <row r="120">
      <c r="B120" s="38" t="s">
        <v>1757</v>
      </c>
      <c r="C120" s="38">
        <v>2.0</v>
      </c>
      <c r="D120" s="276" t="s">
        <v>4603</v>
      </c>
      <c r="E120" s="38" t="s">
        <v>4604</v>
      </c>
      <c r="F120" s="38" t="s">
        <v>4605</v>
      </c>
      <c r="G120" s="38" t="s">
        <v>4606</v>
      </c>
      <c r="H120" s="38" t="s">
        <v>4607</v>
      </c>
    </row>
    <row r="121">
      <c r="B121" s="38" t="s">
        <v>4608</v>
      </c>
      <c r="C121" s="38">
        <v>2.0</v>
      </c>
      <c r="D121" s="276" t="s">
        <v>4603</v>
      </c>
      <c r="E121" s="38" t="s">
        <v>4604</v>
      </c>
      <c r="F121" s="38" t="s">
        <v>4609</v>
      </c>
      <c r="G121" s="44"/>
      <c r="H121" s="38" t="s">
        <v>4610</v>
      </c>
    </row>
    <row r="122">
      <c r="B122" s="44"/>
      <c r="C122" s="44"/>
      <c r="D122" s="38" t="s">
        <v>4611</v>
      </c>
      <c r="E122" s="38" t="s">
        <v>4612</v>
      </c>
      <c r="F122" s="44"/>
      <c r="G122" s="38" t="s">
        <v>4613</v>
      </c>
    </row>
    <row r="123">
      <c r="B123" s="44"/>
      <c r="C123" s="44"/>
      <c r="D123" s="38" t="s">
        <v>4614</v>
      </c>
      <c r="E123" s="38" t="s">
        <v>4612</v>
      </c>
      <c r="F123" s="38" t="s">
        <v>4474</v>
      </c>
      <c r="G123" s="38" t="s">
        <v>4615</v>
      </c>
    </row>
    <row r="124">
      <c r="B124" s="38" t="s">
        <v>25</v>
      </c>
      <c r="C124" s="38">
        <v>4.0</v>
      </c>
      <c r="D124" s="38" t="s">
        <v>232</v>
      </c>
      <c r="E124" s="38" t="s">
        <v>4616</v>
      </c>
      <c r="F124" s="38" t="s">
        <v>4617</v>
      </c>
      <c r="G124" s="38"/>
    </row>
    <row r="125">
      <c r="B125" s="38" t="s">
        <v>3792</v>
      </c>
      <c r="C125" s="38">
        <v>2.0</v>
      </c>
      <c r="D125" s="38" t="s">
        <v>3930</v>
      </c>
      <c r="E125" s="38" t="s">
        <v>974</v>
      </c>
      <c r="F125" s="44"/>
      <c r="G125" s="38" t="s">
        <v>4618</v>
      </c>
    </row>
    <row r="126">
      <c r="B126" s="38" t="s">
        <v>1714</v>
      </c>
      <c r="C126" s="38">
        <v>2.0</v>
      </c>
      <c r="D126" s="38" t="s">
        <v>3930</v>
      </c>
      <c r="E126" s="38" t="s">
        <v>974</v>
      </c>
      <c r="F126" s="38" t="s">
        <v>4619</v>
      </c>
      <c r="G126" s="38" t="s">
        <v>4618</v>
      </c>
    </row>
    <row r="127">
      <c r="B127" s="38" t="s">
        <v>1296</v>
      </c>
      <c r="C127" s="38">
        <v>4.0</v>
      </c>
      <c r="D127" s="38" t="s">
        <v>4620</v>
      </c>
      <c r="E127" s="38" t="s">
        <v>4621</v>
      </c>
      <c r="F127" s="38" t="s">
        <v>4622</v>
      </c>
      <c r="G127" s="38" t="s">
        <v>4623</v>
      </c>
    </row>
    <row r="128">
      <c r="B128" s="38" t="s">
        <v>308</v>
      </c>
      <c r="C128" s="38">
        <v>4.0</v>
      </c>
      <c r="D128" s="38" t="s">
        <v>2097</v>
      </c>
      <c r="E128" s="38" t="s">
        <v>4624</v>
      </c>
      <c r="F128" s="38" t="s">
        <v>4625</v>
      </c>
      <c r="G128" s="38" t="s">
        <v>4626</v>
      </c>
    </row>
    <row r="129">
      <c r="B129" s="38"/>
      <c r="C129" s="38"/>
      <c r="D129" s="38"/>
      <c r="E129" s="38" t="s">
        <v>4624</v>
      </c>
      <c r="F129" s="38" t="s">
        <v>4627</v>
      </c>
      <c r="G129" s="38" t="s">
        <v>4628</v>
      </c>
      <c r="H129" s="1"/>
    </row>
    <row r="130">
      <c r="B130" s="38" t="s">
        <v>25</v>
      </c>
      <c r="C130" s="38">
        <v>4.0</v>
      </c>
      <c r="D130" s="38" t="s">
        <v>232</v>
      </c>
      <c r="E130" s="38" t="s">
        <v>2026</v>
      </c>
      <c r="F130" s="38" t="s">
        <v>4629</v>
      </c>
      <c r="G130" s="44"/>
    </row>
    <row r="131">
      <c r="B131" s="38" t="s">
        <v>2288</v>
      </c>
      <c r="C131" s="38">
        <v>4.0</v>
      </c>
      <c r="D131" s="38" t="s">
        <v>436</v>
      </c>
      <c r="E131" s="38" t="s">
        <v>2290</v>
      </c>
      <c r="F131" s="38" t="s">
        <v>4630</v>
      </c>
      <c r="G131" s="38" t="s">
        <v>4631</v>
      </c>
    </row>
    <row r="132">
      <c r="B132" s="38" t="s">
        <v>4632</v>
      </c>
      <c r="C132" s="38">
        <v>4.0</v>
      </c>
      <c r="D132" s="38" t="s">
        <v>4633</v>
      </c>
      <c r="E132" s="38" t="s">
        <v>4634</v>
      </c>
      <c r="F132" s="38" t="s">
        <v>4635</v>
      </c>
      <c r="G132" s="38" t="s">
        <v>4636</v>
      </c>
    </row>
    <row r="133">
      <c r="B133" s="38" t="s">
        <v>205</v>
      </c>
      <c r="C133" s="38">
        <v>2.0</v>
      </c>
      <c r="D133" s="38" t="s">
        <v>3468</v>
      </c>
      <c r="E133" s="38" t="s">
        <v>4634</v>
      </c>
      <c r="F133" s="44"/>
      <c r="G133" s="38" t="s">
        <v>4637</v>
      </c>
    </row>
    <row r="134">
      <c r="B134" s="38" t="s">
        <v>25</v>
      </c>
      <c r="C134" s="38">
        <v>4.0</v>
      </c>
      <c r="D134" s="38" t="s">
        <v>2097</v>
      </c>
      <c r="E134" s="38" t="s">
        <v>4634</v>
      </c>
      <c r="F134" s="38" t="s">
        <v>4638</v>
      </c>
      <c r="G134" s="303" t="s">
        <v>4639</v>
      </c>
      <c r="H134" s="38" t="s">
        <v>4640</v>
      </c>
    </row>
    <row r="135">
      <c r="B135" s="38" t="s">
        <v>261</v>
      </c>
      <c r="C135" s="38">
        <v>4.0</v>
      </c>
      <c r="D135" s="38" t="s">
        <v>4641</v>
      </c>
      <c r="E135" s="274" t="s">
        <v>4642</v>
      </c>
      <c r="F135" s="38" t="s">
        <v>4643</v>
      </c>
      <c r="G135" s="44"/>
    </row>
    <row r="136">
      <c r="B136" s="38" t="s">
        <v>25</v>
      </c>
      <c r="C136" s="38">
        <v>4.0</v>
      </c>
      <c r="D136" s="38" t="s">
        <v>4326</v>
      </c>
      <c r="E136" s="274" t="s">
        <v>4642</v>
      </c>
      <c r="F136" s="38" t="s">
        <v>4644</v>
      </c>
      <c r="G136" s="44"/>
    </row>
    <row r="137">
      <c r="B137" s="44"/>
      <c r="C137" s="44"/>
      <c r="D137" s="38" t="s">
        <v>4645</v>
      </c>
      <c r="E137" s="38" t="s">
        <v>4646</v>
      </c>
      <c r="F137" s="38" t="s">
        <v>4647</v>
      </c>
      <c r="G137" s="44"/>
    </row>
    <row r="138">
      <c r="B138" s="38" t="s">
        <v>4648</v>
      </c>
      <c r="C138" s="44"/>
      <c r="D138" s="261" t="s">
        <v>4649</v>
      </c>
      <c r="E138" s="105" t="s">
        <v>1309</v>
      </c>
      <c r="F138" s="38" t="s">
        <v>4650</v>
      </c>
      <c r="G138" s="38" t="s">
        <v>4651</v>
      </c>
    </row>
    <row r="139">
      <c r="B139" s="38" t="s">
        <v>271</v>
      </c>
      <c r="C139" s="38">
        <v>4.0</v>
      </c>
      <c r="D139" s="38" t="s">
        <v>232</v>
      </c>
      <c r="E139" s="38" t="s">
        <v>4652</v>
      </c>
      <c r="F139" s="38" t="s">
        <v>4653</v>
      </c>
      <c r="G139" s="38" t="s">
        <v>4654</v>
      </c>
    </row>
    <row r="140">
      <c r="B140" s="38" t="s">
        <v>357</v>
      </c>
      <c r="C140" s="38">
        <v>4.0</v>
      </c>
      <c r="D140" s="38" t="s">
        <v>4254</v>
      </c>
      <c r="E140" s="38" t="s">
        <v>4652</v>
      </c>
      <c r="F140" s="44"/>
      <c r="G140" s="44"/>
    </row>
    <row r="141">
      <c r="B141" s="44"/>
      <c r="C141" s="44"/>
      <c r="D141" s="276" t="s">
        <v>4655</v>
      </c>
      <c r="E141" s="59" t="s">
        <v>4656</v>
      </c>
      <c r="F141" s="38" t="s">
        <v>4657</v>
      </c>
      <c r="G141" s="38" t="s">
        <v>4658</v>
      </c>
    </row>
    <row r="142">
      <c r="B142" s="44"/>
      <c r="C142" s="44"/>
      <c r="D142" s="44"/>
      <c r="E142" s="38" t="s">
        <v>4601</v>
      </c>
      <c r="F142" s="38" t="s">
        <v>4659</v>
      </c>
      <c r="G142" s="38" t="s">
        <v>4660</v>
      </c>
    </row>
    <row r="143">
      <c r="B143" s="44"/>
      <c r="C143" s="44"/>
      <c r="D143" s="38" t="s">
        <v>4661</v>
      </c>
      <c r="E143" s="38" t="s">
        <v>4662</v>
      </c>
      <c r="F143" s="38" t="s">
        <v>4663</v>
      </c>
      <c r="G143" s="38" t="s">
        <v>4664</v>
      </c>
    </row>
    <row r="144">
      <c r="B144" s="38" t="s">
        <v>183</v>
      </c>
      <c r="C144" s="38">
        <v>4.0</v>
      </c>
      <c r="D144" s="38" t="s">
        <v>1109</v>
      </c>
      <c r="E144" s="38" t="s">
        <v>4478</v>
      </c>
      <c r="F144" s="44"/>
      <c r="G144" s="38" t="s">
        <v>4665</v>
      </c>
    </row>
    <row r="145">
      <c r="B145" s="38" t="s">
        <v>4666</v>
      </c>
      <c r="C145" s="38">
        <v>4.0</v>
      </c>
      <c r="D145" s="38" t="s">
        <v>4667</v>
      </c>
      <c r="E145" s="38" t="s">
        <v>4407</v>
      </c>
      <c r="F145" s="38" t="s">
        <v>4668</v>
      </c>
      <c r="G145" s="38" t="s">
        <v>4669</v>
      </c>
    </row>
    <row r="146">
      <c r="B146" s="38" t="s">
        <v>147</v>
      </c>
      <c r="C146" s="38">
        <v>4.0</v>
      </c>
      <c r="D146" s="38" t="s">
        <v>1109</v>
      </c>
      <c r="E146" s="281" t="s">
        <v>4670</v>
      </c>
      <c r="F146" s="38" t="s">
        <v>4671</v>
      </c>
      <c r="G146" s="38" t="s">
        <v>4672</v>
      </c>
    </row>
    <row r="147">
      <c r="B147" s="38" t="s">
        <v>183</v>
      </c>
      <c r="C147" s="38">
        <v>4.0</v>
      </c>
      <c r="D147" s="38" t="s">
        <v>1109</v>
      </c>
      <c r="E147" s="281" t="s">
        <v>4673</v>
      </c>
      <c r="F147" s="38" t="s">
        <v>4671</v>
      </c>
      <c r="G147" s="38" t="s">
        <v>4674</v>
      </c>
    </row>
    <row r="148">
      <c r="B148" s="38" t="s">
        <v>4675</v>
      </c>
      <c r="C148" s="38">
        <v>2.0</v>
      </c>
      <c r="D148" s="38" t="s">
        <v>4676</v>
      </c>
      <c r="E148" s="38" t="s">
        <v>4677</v>
      </c>
      <c r="F148" s="44"/>
      <c r="G148" s="38" t="s">
        <v>4678</v>
      </c>
    </row>
    <row r="149">
      <c r="B149" s="38" t="s">
        <v>4679</v>
      </c>
      <c r="C149" s="38">
        <v>2.0</v>
      </c>
      <c r="D149" s="38" t="s">
        <v>4676</v>
      </c>
      <c r="E149" s="38" t="s">
        <v>4677</v>
      </c>
      <c r="F149" s="44"/>
      <c r="G149" s="38" t="s">
        <v>4678</v>
      </c>
    </row>
    <row r="150">
      <c r="B150" s="38" t="s">
        <v>3856</v>
      </c>
      <c r="C150" s="38">
        <v>4.0</v>
      </c>
      <c r="D150" s="38" t="s">
        <v>4680</v>
      </c>
      <c r="E150" s="38" t="s">
        <v>4677</v>
      </c>
      <c r="F150" s="44"/>
      <c r="G150" s="38" t="s">
        <v>4681</v>
      </c>
    </row>
    <row r="151">
      <c r="B151" s="38" t="s">
        <v>4682</v>
      </c>
      <c r="C151" s="38" t="s">
        <v>4683</v>
      </c>
      <c r="D151" s="38" t="s">
        <v>4684</v>
      </c>
      <c r="E151" s="304" t="s">
        <v>4685</v>
      </c>
      <c r="F151" s="38" t="s">
        <v>4663</v>
      </c>
      <c r="G151" s="38" t="s">
        <v>4686</v>
      </c>
      <c r="H151" s="38" t="s">
        <v>4687</v>
      </c>
    </row>
    <row r="152">
      <c r="B152" s="38" t="s">
        <v>3856</v>
      </c>
      <c r="C152" s="38">
        <v>4.0</v>
      </c>
      <c r="D152" s="38" t="s">
        <v>4680</v>
      </c>
      <c r="E152" s="281" t="s">
        <v>4688</v>
      </c>
      <c r="F152" s="44"/>
      <c r="G152" s="38" t="s">
        <v>4681</v>
      </c>
    </row>
    <row r="153">
      <c r="B153" s="38" t="s">
        <v>308</v>
      </c>
      <c r="C153" s="38">
        <v>4.0</v>
      </c>
      <c r="D153" s="38" t="s">
        <v>4689</v>
      </c>
      <c r="E153" s="38" t="s">
        <v>4690</v>
      </c>
      <c r="F153" s="38" t="s">
        <v>4691</v>
      </c>
      <c r="G153" s="44"/>
    </row>
    <row r="154">
      <c r="B154" s="59" t="s">
        <v>4692</v>
      </c>
      <c r="C154" s="59" t="s">
        <v>4693</v>
      </c>
      <c r="D154" s="59" t="s">
        <v>4694</v>
      </c>
      <c r="E154" s="38" t="s">
        <v>2914</v>
      </c>
      <c r="F154" s="59" t="s">
        <v>4695</v>
      </c>
      <c r="G154" s="44"/>
      <c r="H154" s="38"/>
      <c r="I154" s="38" t="s">
        <v>4421</v>
      </c>
      <c r="J154" s="149"/>
    </row>
    <row r="155">
      <c r="B155" s="59"/>
      <c r="C155" s="59"/>
      <c r="D155" s="59"/>
      <c r="E155" s="38" t="s">
        <v>2914</v>
      </c>
      <c r="F155" s="59" t="s">
        <v>4696</v>
      </c>
      <c r="G155" s="38"/>
      <c r="H155" s="38"/>
      <c r="I155" s="38" t="s">
        <v>4421</v>
      </c>
      <c r="J155" s="149"/>
    </row>
    <row r="156">
      <c r="B156" s="44"/>
      <c r="C156" s="38" t="s">
        <v>4697</v>
      </c>
      <c r="D156" s="38" t="s">
        <v>4698</v>
      </c>
      <c r="E156" s="38" t="s">
        <v>2914</v>
      </c>
      <c r="F156" s="38" t="s">
        <v>4699</v>
      </c>
      <c r="G156" s="38" t="s">
        <v>4700</v>
      </c>
      <c r="H156" s="38" t="s">
        <v>4701</v>
      </c>
      <c r="I156" s="38" t="s">
        <v>4421</v>
      </c>
      <c r="J156" s="149"/>
    </row>
    <row r="157">
      <c r="B157" s="305" t="s">
        <v>4702</v>
      </c>
      <c r="C157" s="38"/>
      <c r="D157" s="38"/>
      <c r="E157" s="38" t="s">
        <v>2914</v>
      </c>
      <c r="F157" s="38"/>
      <c r="G157" s="38"/>
      <c r="H157" s="38"/>
      <c r="I157" s="38" t="s">
        <v>4421</v>
      </c>
      <c r="J157" s="149"/>
    </row>
    <row r="158">
      <c r="B158" s="38"/>
      <c r="C158" s="38"/>
      <c r="D158" s="38"/>
      <c r="E158" s="38" t="s">
        <v>2914</v>
      </c>
      <c r="F158" s="178" t="s">
        <v>4703</v>
      </c>
      <c r="G158" s="38" t="s">
        <v>4704</v>
      </c>
      <c r="H158" s="1"/>
      <c r="I158" s="1"/>
      <c r="J158" s="149"/>
    </row>
    <row r="159">
      <c r="B159" s="38" t="s">
        <v>4705</v>
      </c>
      <c r="C159" s="44"/>
      <c r="D159" s="38" t="s">
        <v>4706</v>
      </c>
      <c r="E159" s="38" t="s">
        <v>4707</v>
      </c>
      <c r="F159" s="38">
        <v>8.60044084E8</v>
      </c>
      <c r="G159" s="38" t="s">
        <v>4708</v>
      </c>
      <c r="J159" s="149"/>
    </row>
    <row r="160">
      <c r="B160" s="38" t="s">
        <v>31</v>
      </c>
      <c r="C160" s="38">
        <v>4.0</v>
      </c>
      <c r="D160" s="38" t="s">
        <v>315</v>
      </c>
      <c r="E160" s="38" t="s">
        <v>4709</v>
      </c>
      <c r="F160" s="38" t="s">
        <v>175</v>
      </c>
      <c r="G160" s="38" t="s">
        <v>4710</v>
      </c>
    </row>
    <row r="161">
      <c r="B161" s="38" t="s">
        <v>25</v>
      </c>
      <c r="C161" s="38">
        <v>4.0</v>
      </c>
      <c r="D161" s="38" t="s">
        <v>4344</v>
      </c>
      <c r="E161" s="38" t="s">
        <v>4711</v>
      </c>
      <c r="F161" s="38" t="s">
        <v>4712</v>
      </c>
      <c r="G161" s="38" t="s">
        <v>4713</v>
      </c>
    </row>
    <row r="162">
      <c r="B162" s="38" t="s">
        <v>210</v>
      </c>
      <c r="C162" s="38">
        <v>1.0</v>
      </c>
      <c r="D162" s="38" t="s">
        <v>4676</v>
      </c>
      <c r="E162" s="38" t="s">
        <v>4714</v>
      </c>
      <c r="F162" s="38" t="s">
        <v>4430</v>
      </c>
      <c r="G162" s="38" t="s">
        <v>4715</v>
      </c>
    </row>
    <row r="163">
      <c r="B163" s="38" t="s">
        <v>1349</v>
      </c>
      <c r="C163" s="38">
        <v>4.0</v>
      </c>
      <c r="D163" s="38" t="s">
        <v>1109</v>
      </c>
      <c r="E163" s="267" t="s">
        <v>4716</v>
      </c>
      <c r="F163" s="38" t="s">
        <v>4717</v>
      </c>
      <c r="G163" s="44"/>
    </row>
    <row r="164">
      <c r="B164" s="44"/>
      <c r="C164" s="44"/>
      <c r="D164" s="44"/>
      <c r="E164" s="270" t="s">
        <v>4718</v>
      </c>
      <c r="F164" s="38" t="s">
        <v>4719</v>
      </c>
      <c r="G164" s="38" t="s">
        <v>4720</v>
      </c>
    </row>
    <row r="165">
      <c r="C165" s="44"/>
      <c r="D165" s="59" t="s">
        <v>4721</v>
      </c>
      <c r="E165" s="306" t="s">
        <v>4601</v>
      </c>
      <c r="F165" s="38" t="s">
        <v>4722</v>
      </c>
      <c r="G165" s="38" t="s">
        <v>4602</v>
      </c>
    </row>
    <row r="166">
      <c r="B166" s="38" t="s">
        <v>357</v>
      </c>
      <c r="C166" s="38">
        <v>4.0</v>
      </c>
      <c r="D166" s="38" t="s">
        <v>4723</v>
      </c>
      <c r="E166" s="297" t="s">
        <v>4724</v>
      </c>
      <c r="F166" s="38" t="s">
        <v>4107</v>
      </c>
      <c r="G166" s="38" t="s">
        <v>175</v>
      </c>
    </row>
    <row r="167">
      <c r="A167" s="19">
        <v>43932.0</v>
      </c>
      <c r="B167" s="38" t="s">
        <v>4725</v>
      </c>
      <c r="C167" s="38">
        <v>2.0</v>
      </c>
      <c r="D167" s="276" t="s">
        <v>4726</v>
      </c>
      <c r="E167" s="38" t="s">
        <v>4727</v>
      </c>
      <c r="F167" s="38" t="s">
        <v>4728</v>
      </c>
      <c r="G167" s="38" t="s">
        <v>4729</v>
      </c>
      <c r="H167" s="1" t="s">
        <v>4730</v>
      </c>
    </row>
    <row r="168">
      <c r="B168" s="38" t="s">
        <v>1513</v>
      </c>
      <c r="C168" s="38">
        <v>2.0</v>
      </c>
      <c r="D168" s="38" t="s">
        <v>4731</v>
      </c>
      <c r="E168" s="38" t="s">
        <v>418</v>
      </c>
      <c r="F168" s="38" t="s">
        <v>4732</v>
      </c>
      <c r="G168" s="38" t="s">
        <v>4733</v>
      </c>
    </row>
    <row r="169">
      <c r="B169" s="38" t="s">
        <v>205</v>
      </c>
      <c r="C169" s="38">
        <v>2.0</v>
      </c>
      <c r="D169" s="38" t="s">
        <v>2097</v>
      </c>
      <c r="E169" s="38" t="s">
        <v>4734</v>
      </c>
      <c r="F169" s="38" t="s">
        <v>4735</v>
      </c>
      <c r="G169" s="44"/>
    </row>
    <row r="170">
      <c r="B170" s="38" t="s">
        <v>271</v>
      </c>
      <c r="C170" s="38">
        <v>4.0</v>
      </c>
      <c r="D170" s="38" t="s">
        <v>4258</v>
      </c>
      <c r="E170" s="307" t="s">
        <v>4736</v>
      </c>
      <c r="F170" s="38" t="s">
        <v>4737</v>
      </c>
      <c r="G170" s="38" t="s">
        <v>4738</v>
      </c>
    </row>
    <row r="171">
      <c r="B171" s="38" t="s">
        <v>4739</v>
      </c>
      <c r="C171" s="38">
        <v>4.0</v>
      </c>
      <c r="D171" s="38" t="s">
        <v>4740</v>
      </c>
      <c r="E171" s="38" t="s">
        <v>4741</v>
      </c>
      <c r="F171" s="44"/>
      <c r="G171" s="38" t="s">
        <v>4742</v>
      </c>
    </row>
    <row r="172">
      <c r="B172" s="44"/>
      <c r="C172" s="44"/>
      <c r="D172" s="38" t="s">
        <v>4743</v>
      </c>
      <c r="E172" s="38" t="s">
        <v>4744</v>
      </c>
      <c r="F172" s="44"/>
      <c r="G172" s="38" t="s">
        <v>4745</v>
      </c>
    </row>
    <row r="173">
      <c r="B173" s="44"/>
      <c r="C173" s="44"/>
      <c r="D173" s="38"/>
      <c r="E173" s="38" t="s">
        <v>4744</v>
      </c>
      <c r="F173" s="38" t="s">
        <v>4746</v>
      </c>
      <c r="G173" s="38" t="s">
        <v>4747</v>
      </c>
    </row>
    <row r="174">
      <c r="B174" s="38" t="s">
        <v>4748</v>
      </c>
      <c r="C174" s="38">
        <v>2.0</v>
      </c>
      <c r="D174" s="38" t="s">
        <v>3988</v>
      </c>
      <c r="E174" s="38" t="s">
        <v>2914</v>
      </c>
      <c r="F174" s="38" t="s">
        <v>4749</v>
      </c>
      <c r="G174" s="38" t="s">
        <v>4750</v>
      </c>
    </row>
    <row r="175">
      <c r="B175" s="38" t="s">
        <v>25</v>
      </c>
      <c r="C175" s="38">
        <v>2.0</v>
      </c>
      <c r="D175" s="38" t="s">
        <v>3988</v>
      </c>
      <c r="E175" s="38" t="s">
        <v>2914</v>
      </c>
      <c r="F175" s="44"/>
      <c r="G175" s="38" t="s">
        <v>4750</v>
      </c>
    </row>
    <row r="176">
      <c r="B176" s="38" t="s">
        <v>4751</v>
      </c>
      <c r="C176" s="44"/>
      <c r="D176" s="178" t="s">
        <v>4752</v>
      </c>
      <c r="E176" s="274" t="s">
        <v>4753</v>
      </c>
      <c r="F176" s="38" t="s">
        <v>4754</v>
      </c>
      <c r="G176" s="38" t="s">
        <v>4755</v>
      </c>
    </row>
    <row r="177">
      <c r="B177" s="38" t="s">
        <v>4756</v>
      </c>
      <c r="C177" s="38">
        <v>4.0</v>
      </c>
      <c r="D177" s="38" t="s">
        <v>1109</v>
      </c>
      <c r="E177" s="38" t="s">
        <v>4757</v>
      </c>
      <c r="F177" s="38" t="s">
        <v>4758</v>
      </c>
      <c r="G177" s="38" t="s">
        <v>4759</v>
      </c>
    </row>
    <row r="178">
      <c r="B178" s="272" t="s">
        <v>4760</v>
      </c>
      <c r="C178" s="44"/>
      <c r="D178" s="38" t="s">
        <v>4761</v>
      </c>
      <c r="E178" s="38" t="s">
        <v>4762</v>
      </c>
      <c r="F178" s="38" t="s">
        <v>4763</v>
      </c>
      <c r="G178" s="272" t="s">
        <v>4547</v>
      </c>
    </row>
    <row r="179">
      <c r="B179" s="38" t="s">
        <v>58</v>
      </c>
      <c r="C179" s="38">
        <v>4.0</v>
      </c>
      <c r="D179" s="38" t="s">
        <v>2097</v>
      </c>
      <c r="E179" s="274" t="s">
        <v>4764</v>
      </c>
      <c r="F179" s="38" t="s">
        <v>4765</v>
      </c>
      <c r="G179" s="272" t="s">
        <v>4766</v>
      </c>
    </row>
    <row r="180">
      <c r="B180" s="38" t="s">
        <v>28</v>
      </c>
      <c r="C180" s="38">
        <v>4.0</v>
      </c>
      <c r="D180" s="38" t="s">
        <v>232</v>
      </c>
      <c r="E180" s="281" t="s">
        <v>4767</v>
      </c>
      <c r="F180" s="38" t="s">
        <v>4768</v>
      </c>
      <c r="G180" s="281" t="s">
        <v>4769</v>
      </c>
    </row>
    <row r="181">
      <c r="B181" s="38" t="s">
        <v>430</v>
      </c>
      <c r="C181" s="38">
        <v>4.0</v>
      </c>
      <c r="D181" s="38" t="s">
        <v>881</v>
      </c>
      <c r="E181" s="38" t="s">
        <v>230</v>
      </c>
      <c r="F181" s="38" t="s">
        <v>4770</v>
      </c>
      <c r="G181" s="38" t="s">
        <v>4769</v>
      </c>
    </row>
    <row r="182">
      <c r="B182" s="44"/>
      <c r="C182" s="44"/>
      <c r="D182" s="44"/>
      <c r="E182" s="38" t="s">
        <v>4771</v>
      </c>
      <c r="F182" s="294" t="s">
        <v>4772</v>
      </c>
      <c r="G182" s="38" t="s">
        <v>4773</v>
      </c>
    </row>
    <row r="183">
      <c r="B183" s="38" t="s">
        <v>271</v>
      </c>
      <c r="C183" s="38">
        <v>4.0</v>
      </c>
      <c r="D183" s="38" t="s">
        <v>1109</v>
      </c>
      <c r="E183" s="38" t="s">
        <v>418</v>
      </c>
      <c r="F183" s="44"/>
      <c r="G183" s="38" t="s">
        <v>4774</v>
      </c>
    </row>
    <row r="184">
      <c r="B184" s="38" t="s">
        <v>4775</v>
      </c>
      <c r="C184" s="38" t="s">
        <v>4776</v>
      </c>
      <c r="D184" s="38" t="s">
        <v>4777</v>
      </c>
      <c r="E184" s="38" t="s">
        <v>4778</v>
      </c>
      <c r="F184" s="38" t="s">
        <v>4779</v>
      </c>
      <c r="G184" s="38" t="s">
        <v>4780</v>
      </c>
      <c r="H184" s="38" t="s">
        <v>4421</v>
      </c>
    </row>
    <row r="185">
      <c r="B185" s="38" t="s">
        <v>411</v>
      </c>
      <c r="C185" s="38">
        <v>4.0</v>
      </c>
      <c r="D185" s="38" t="s">
        <v>924</v>
      </c>
      <c r="E185" s="38" t="s">
        <v>4781</v>
      </c>
      <c r="F185" s="38" t="s">
        <v>203</v>
      </c>
      <c r="G185" s="44"/>
    </row>
    <row r="186">
      <c r="B186" s="38"/>
      <c r="C186" s="38"/>
      <c r="D186" s="38"/>
      <c r="E186" s="38" t="s">
        <v>4782</v>
      </c>
      <c r="F186" s="38" t="s">
        <v>4783</v>
      </c>
      <c r="G186" s="38" t="s">
        <v>4784</v>
      </c>
      <c r="H186" s="38"/>
      <c r="I186" s="38" t="s">
        <v>4785</v>
      </c>
    </row>
    <row r="187">
      <c r="B187" s="38" t="s">
        <v>2573</v>
      </c>
      <c r="C187" s="38">
        <v>2.0</v>
      </c>
      <c r="D187" s="38" t="s">
        <v>4786</v>
      </c>
      <c r="E187" s="38" t="s">
        <v>4787</v>
      </c>
      <c r="F187" s="44"/>
      <c r="G187" s="38" t="s">
        <v>4788</v>
      </c>
    </row>
    <row r="188">
      <c r="B188" s="38" t="s">
        <v>1322</v>
      </c>
      <c r="C188" s="38">
        <v>2.0</v>
      </c>
      <c r="D188" s="38" t="s">
        <v>4786</v>
      </c>
      <c r="E188" s="38" t="s">
        <v>4787</v>
      </c>
      <c r="F188" s="44"/>
      <c r="G188" s="38" t="s">
        <v>4788</v>
      </c>
    </row>
    <row r="189">
      <c r="B189" s="38" t="s">
        <v>982</v>
      </c>
      <c r="C189" s="38">
        <v>2.0</v>
      </c>
      <c r="D189" s="38" t="s">
        <v>4789</v>
      </c>
      <c r="E189" s="38" t="s">
        <v>4790</v>
      </c>
      <c r="F189" s="38" t="s">
        <v>203</v>
      </c>
      <c r="G189" s="44"/>
    </row>
    <row r="190">
      <c r="B190" s="38" t="s">
        <v>4791</v>
      </c>
      <c r="C190" s="38">
        <v>2.0</v>
      </c>
      <c r="D190" s="38" t="s">
        <v>881</v>
      </c>
      <c r="E190" s="38" t="s">
        <v>4792</v>
      </c>
      <c r="F190" s="44"/>
      <c r="G190" s="38" t="s">
        <v>4793</v>
      </c>
    </row>
    <row r="191">
      <c r="B191" s="38" t="s">
        <v>479</v>
      </c>
      <c r="C191" s="38">
        <v>2.0</v>
      </c>
      <c r="D191" s="38" t="s">
        <v>881</v>
      </c>
      <c r="E191" s="38" t="s">
        <v>4792</v>
      </c>
      <c r="F191" s="44"/>
      <c r="G191" s="38" t="s">
        <v>4793</v>
      </c>
    </row>
    <row r="192">
      <c r="B192" s="38" t="s">
        <v>4794</v>
      </c>
      <c r="C192" s="44"/>
      <c r="D192" s="38" t="s">
        <v>4795</v>
      </c>
      <c r="E192" s="38" t="s">
        <v>4796</v>
      </c>
      <c r="F192" s="38" t="s">
        <v>4797</v>
      </c>
      <c r="G192" s="44"/>
      <c r="H192" s="38" t="s">
        <v>4421</v>
      </c>
    </row>
    <row r="193">
      <c r="B193" s="276" t="s">
        <v>4798</v>
      </c>
      <c r="C193" s="38">
        <v>2.0</v>
      </c>
      <c r="D193" s="38" t="s">
        <v>4799</v>
      </c>
      <c r="E193" s="38" t="s">
        <v>4800</v>
      </c>
      <c r="F193" s="38" t="s">
        <v>4801</v>
      </c>
      <c r="G193" s="38" t="s">
        <v>4802</v>
      </c>
      <c r="H193" s="38" t="s">
        <v>4803</v>
      </c>
    </row>
    <row r="194">
      <c r="B194" s="38" t="s">
        <v>718</v>
      </c>
      <c r="C194" s="38">
        <v>2.0</v>
      </c>
      <c r="D194" s="38" t="s">
        <v>2097</v>
      </c>
      <c r="E194" s="38" t="s">
        <v>4804</v>
      </c>
      <c r="F194" s="38" t="s">
        <v>4805</v>
      </c>
      <c r="G194" s="38" t="s">
        <v>4806</v>
      </c>
    </row>
    <row r="195">
      <c r="B195" s="38" t="s">
        <v>4791</v>
      </c>
      <c r="C195" s="38">
        <v>2.0</v>
      </c>
      <c r="D195" s="38" t="s">
        <v>4807</v>
      </c>
      <c r="E195" s="38" t="s">
        <v>4804</v>
      </c>
      <c r="F195" s="38" t="s">
        <v>4808</v>
      </c>
      <c r="G195" s="38" t="s">
        <v>4806</v>
      </c>
    </row>
    <row r="196">
      <c r="B196" s="38" t="s">
        <v>479</v>
      </c>
      <c r="C196" s="38">
        <v>2.0</v>
      </c>
      <c r="D196" s="38" t="s">
        <v>2506</v>
      </c>
      <c r="E196" s="308" t="s">
        <v>4809</v>
      </c>
      <c r="F196" s="44"/>
      <c r="G196" s="38" t="s">
        <v>4810</v>
      </c>
    </row>
    <row r="197">
      <c r="B197" s="38" t="s">
        <v>1006</v>
      </c>
      <c r="C197" s="38">
        <v>2.0</v>
      </c>
      <c r="D197" s="38" t="s">
        <v>2097</v>
      </c>
      <c r="E197" s="38" t="s">
        <v>4811</v>
      </c>
      <c r="F197" s="38" t="s">
        <v>175</v>
      </c>
      <c r="G197" s="38" t="s">
        <v>4812</v>
      </c>
      <c r="H197" s="38" t="s">
        <v>4813</v>
      </c>
    </row>
    <row r="198">
      <c r="B198" s="38" t="s">
        <v>147</v>
      </c>
      <c r="C198" s="38">
        <v>4.0</v>
      </c>
      <c r="D198" s="38" t="s">
        <v>1109</v>
      </c>
      <c r="E198" s="265" t="s">
        <v>4814</v>
      </c>
      <c r="F198" s="38" t="s">
        <v>1743</v>
      </c>
      <c r="G198" s="38" t="s">
        <v>175</v>
      </c>
      <c r="H198" s="38" t="s">
        <v>4815</v>
      </c>
      <c r="I198" s="1" t="s">
        <v>4816</v>
      </c>
    </row>
    <row r="199">
      <c r="B199" s="44"/>
      <c r="C199" s="44"/>
      <c r="D199" s="44"/>
      <c r="E199" s="38" t="s">
        <v>4817</v>
      </c>
      <c r="F199" s="38" t="s">
        <v>4818</v>
      </c>
      <c r="G199" s="38" t="s">
        <v>4819</v>
      </c>
    </row>
    <row r="200">
      <c r="B200" s="38" t="s">
        <v>25</v>
      </c>
      <c r="C200" s="38">
        <v>4.0</v>
      </c>
      <c r="D200" s="38" t="s">
        <v>232</v>
      </c>
      <c r="E200" s="38" t="s">
        <v>4817</v>
      </c>
      <c r="F200" s="38" t="s">
        <v>175</v>
      </c>
      <c r="G200" s="38" t="s">
        <v>4819</v>
      </c>
    </row>
    <row r="201">
      <c r="B201" s="38" t="s">
        <v>876</v>
      </c>
      <c r="C201" s="38">
        <v>4.0</v>
      </c>
      <c r="D201" s="38" t="s">
        <v>129</v>
      </c>
      <c r="E201" s="38" t="s">
        <v>4820</v>
      </c>
      <c r="F201" s="38" t="s">
        <v>4821</v>
      </c>
      <c r="G201" s="38" t="s">
        <v>4822</v>
      </c>
    </row>
    <row r="202">
      <c r="B202" s="38" t="s">
        <v>4756</v>
      </c>
      <c r="C202" s="38">
        <v>4.0</v>
      </c>
      <c r="D202" s="38" t="s">
        <v>4823</v>
      </c>
      <c r="E202" s="59" t="s">
        <v>4824</v>
      </c>
      <c r="F202" s="38" t="s">
        <v>4825</v>
      </c>
      <c r="G202" s="38" t="s">
        <v>4826</v>
      </c>
      <c r="H202" s="38" t="s">
        <v>4803</v>
      </c>
    </row>
    <row r="203">
      <c r="B203" s="276" t="s">
        <v>4827</v>
      </c>
      <c r="C203" s="38">
        <v>4.0</v>
      </c>
      <c r="D203" s="38" t="s">
        <v>4828</v>
      </c>
      <c r="E203" s="38" t="s">
        <v>4829</v>
      </c>
      <c r="F203" s="38" t="s">
        <v>4204</v>
      </c>
      <c r="G203" s="38" t="s">
        <v>4830</v>
      </c>
    </row>
    <row r="204">
      <c r="B204" s="44"/>
      <c r="C204" s="44"/>
      <c r="D204" s="44"/>
      <c r="E204" s="38" t="s">
        <v>4831</v>
      </c>
      <c r="F204" s="38" t="s">
        <v>4832</v>
      </c>
      <c r="G204" s="38" t="s">
        <v>4720</v>
      </c>
    </row>
    <row r="205">
      <c r="B205" s="38" t="s">
        <v>85</v>
      </c>
      <c r="C205" s="38">
        <v>4.0</v>
      </c>
      <c r="D205" s="38" t="s">
        <v>1109</v>
      </c>
      <c r="E205" s="309" t="s">
        <v>4833</v>
      </c>
      <c r="F205" s="38" t="s">
        <v>4834</v>
      </c>
      <c r="G205" s="38" t="s">
        <v>4835</v>
      </c>
      <c r="H205" s="1" t="s">
        <v>4836</v>
      </c>
    </row>
    <row r="206">
      <c r="B206" s="38" t="s">
        <v>1006</v>
      </c>
      <c r="C206" s="38">
        <v>4.0</v>
      </c>
      <c r="D206" s="38" t="s">
        <v>1109</v>
      </c>
      <c r="E206" s="38" t="s">
        <v>1098</v>
      </c>
      <c r="F206" s="38" t="s">
        <v>4837</v>
      </c>
      <c r="G206" s="38" t="s">
        <v>4838</v>
      </c>
    </row>
    <row r="207">
      <c r="A207" s="38" t="s">
        <v>4839</v>
      </c>
      <c r="B207" s="38" t="s">
        <v>4840</v>
      </c>
      <c r="C207" s="38" t="s">
        <v>4841</v>
      </c>
      <c r="D207" s="38" t="s">
        <v>4842</v>
      </c>
      <c r="E207" s="38" t="s">
        <v>4843</v>
      </c>
      <c r="F207" s="38" t="s">
        <v>4844</v>
      </c>
      <c r="G207" s="38" t="s">
        <v>4845</v>
      </c>
    </row>
    <row r="208">
      <c r="B208" s="38" t="s">
        <v>219</v>
      </c>
      <c r="C208" s="38">
        <v>4.0</v>
      </c>
      <c r="D208" s="38" t="s">
        <v>4254</v>
      </c>
      <c r="E208" s="38" t="s">
        <v>4846</v>
      </c>
      <c r="F208" s="44"/>
      <c r="G208" s="38" t="s">
        <v>4847</v>
      </c>
    </row>
    <row r="209">
      <c r="B209" s="1"/>
      <c r="C209" s="1"/>
      <c r="D209" s="1" t="s">
        <v>4848</v>
      </c>
      <c r="E209" s="1" t="s">
        <v>4846</v>
      </c>
      <c r="F209" s="1" t="s">
        <v>4849</v>
      </c>
      <c r="G209" s="1" t="s">
        <v>4850</v>
      </c>
    </row>
    <row r="210">
      <c r="C210" s="1"/>
      <c r="D210" s="1"/>
      <c r="E210" s="1" t="s">
        <v>4851</v>
      </c>
      <c r="F210" s="1" t="s">
        <v>4852</v>
      </c>
    </row>
    <row r="211">
      <c r="C211" s="1"/>
      <c r="D211" s="1"/>
      <c r="E211" s="1" t="s">
        <v>4851</v>
      </c>
      <c r="F211" s="1" t="s">
        <v>4853</v>
      </c>
      <c r="G211" s="1" t="s">
        <v>4854</v>
      </c>
    </row>
    <row r="212">
      <c r="B212" s="38" t="s">
        <v>4855</v>
      </c>
      <c r="C212" s="44"/>
      <c r="D212" s="38" t="s">
        <v>4856</v>
      </c>
      <c r="E212" s="38" t="s">
        <v>4857</v>
      </c>
      <c r="F212" s="310" t="s">
        <v>4858</v>
      </c>
      <c r="G212" s="311" t="s">
        <v>4859</v>
      </c>
      <c r="H212" s="38" t="s">
        <v>4860</v>
      </c>
    </row>
    <row r="213">
      <c r="D213" s="1" t="s">
        <v>4861</v>
      </c>
      <c r="E213" s="1" t="s">
        <v>4862</v>
      </c>
    </row>
    <row r="214">
      <c r="B214" s="38" t="s">
        <v>4863</v>
      </c>
      <c r="C214" s="44"/>
      <c r="D214" s="38" t="s">
        <v>4864</v>
      </c>
      <c r="E214" s="38" t="s">
        <v>4865</v>
      </c>
      <c r="F214" s="38" t="s">
        <v>4866</v>
      </c>
      <c r="G214" s="38" t="s">
        <v>4867</v>
      </c>
      <c r="H214" s="38" t="s">
        <v>4868</v>
      </c>
      <c r="I214" s="44"/>
    </row>
    <row r="215">
      <c r="B215" s="38" t="s">
        <v>28</v>
      </c>
      <c r="C215" s="38">
        <v>4.0</v>
      </c>
      <c r="D215" s="38" t="s">
        <v>289</v>
      </c>
      <c r="E215" s="40" t="s">
        <v>4869</v>
      </c>
      <c r="F215" s="38" t="s">
        <v>4870</v>
      </c>
      <c r="G215" s="38" t="s">
        <v>4871</v>
      </c>
      <c r="H215" s="1" t="s">
        <v>4872</v>
      </c>
    </row>
    <row r="216">
      <c r="B216" s="38" t="s">
        <v>22</v>
      </c>
      <c r="C216" s="38">
        <v>4.0</v>
      </c>
      <c r="D216" s="38" t="s">
        <v>232</v>
      </c>
      <c r="E216" s="312" t="s">
        <v>4873</v>
      </c>
      <c r="F216" s="38" t="s">
        <v>4874</v>
      </c>
      <c r="G216" s="38" t="s">
        <v>4875</v>
      </c>
    </row>
    <row r="217">
      <c r="B217" s="38" t="s">
        <v>271</v>
      </c>
      <c r="C217" s="38">
        <v>4.0</v>
      </c>
      <c r="D217" s="38" t="s">
        <v>1109</v>
      </c>
      <c r="E217" s="38" t="s">
        <v>4634</v>
      </c>
      <c r="F217" s="44"/>
      <c r="G217" s="38" t="s">
        <v>4876</v>
      </c>
    </row>
    <row r="218">
      <c r="B218" s="261" t="s">
        <v>4877</v>
      </c>
      <c r="C218" s="38" t="s">
        <v>4878</v>
      </c>
      <c r="D218" s="38" t="s">
        <v>4879</v>
      </c>
      <c r="E218" s="38" t="s">
        <v>4880</v>
      </c>
      <c r="F218" s="38" t="s">
        <v>175</v>
      </c>
      <c r="G218" s="44"/>
    </row>
    <row r="219">
      <c r="B219" s="44"/>
      <c r="C219" s="44"/>
      <c r="D219" s="272" t="s">
        <v>4881</v>
      </c>
      <c r="E219" s="272" t="s">
        <v>4882</v>
      </c>
      <c r="F219" s="38" t="s">
        <v>4883</v>
      </c>
      <c r="G219" s="38" t="s">
        <v>4884</v>
      </c>
    </row>
    <row r="220">
      <c r="B220" s="38" t="s">
        <v>1714</v>
      </c>
      <c r="C220" s="38">
        <v>4.0</v>
      </c>
      <c r="D220" s="38" t="s">
        <v>163</v>
      </c>
      <c r="E220" s="38" t="s">
        <v>4885</v>
      </c>
      <c r="F220" s="38" t="s">
        <v>4886</v>
      </c>
      <c r="G220" s="38" t="s">
        <v>4887</v>
      </c>
    </row>
    <row r="221">
      <c r="B221" s="38" t="s">
        <v>28</v>
      </c>
      <c r="C221" s="38">
        <v>4.0</v>
      </c>
      <c r="D221" s="38" t="s">
        <v>4326</v>
      </c>
      <c r="E221" s="295" t="s">
        <v>4888</v>
      </c>
      <c r="F221" s="38" t="s">
        <v>4889</v>
      </c>
      <c r="G221" s="38" t="s">
        <v>4890</v>
      </c>
    </row>
    <row r="222">
      <c r="B222" s="38" t="s">
        <v>4891</v>
      </c>
      <c r="C222" s="44"/>
      <c r="D222" s="38" t="s">
        <v>4892</v>
      </c>
      <c r="E222" s="38" t="s">
        <v>4893</v>
      </c>
      <c r="F222" s="38" t="s">
        <v>4894</v>
      </c>
      <c r="G222" s="38" t="s">
        <v>4895</v>
      </c>
    </row>
    <row r="223">
      <c r="B223" s="38" t="s">
        <v>147</v>
      </c>
      <c r="C223" s="38">
        <v>4.0</v>
      </c>
      <c r="D223" s="38" t="s">
        <v>1109</v>
      </c>
      <c r="E223" s="38" t="s">
        <v>4896</v>
      </c>
      <c r="F223" s="38" t="s">
        <v>1743</v>
      </c>
      <c r="G223" s="38" t="s">
        <v>4897</v>
      </c>
      <c r="H223" s="38">
        <v>8.65670078E8</v>
      </c>
    </row>
    <row r="224">
      <c r="B224" s="38" t="s">
        <v>308</v>
      </c>
      <c r="C224" s="38">
        <v>4.0</v>
      </c>
      <c r="D224" s="38" t="s">
        <v>4898</v>
      </c>
      <c r="E224" s="274" t="s">
        <v>4899</v>
      </c>
      <c r="F224" s="38" t="s">
        <v>4900</v>
      </c>
      <c r="G224" s="44"/>
    </row>
    <row r="225">
      <c r="B225" s="38" t="s">
        <v>147</v>
      </c>
      <c r="C225" s="38">
        <v>4.0</v>
      </c>
      <c r="D225" s="38" t="s">
        <v>3937</v>
      </c>
      <c r="E225" s="38" t="s">
        <v>4901</v>
      </c>
      <c r="F225" s="38" t="s">
        <v>4902</v>
      </c>
      <c r="G225" s="38" t="s">
        <v>4903</v>
      </c>
      <c r="H225" s="313" t="s">
        <v>4904</v>
      </c>
    </row>
    <row r="226">
      <c r="B226" s="38" t="s">
        <v>25</v>
      </c>
      <c r="C226" s="38">
        <v>4.0</v>
      </c>
      <c r="D226" s="38" t="s">
        <v>232</v>
      </c>
      <c r="E226" s="38" t="s">
        <v>4905</v>
      </c>
      <c r="F226" s="38" t="s">
        <v>4906</v>
      </c>
      <c r="G226" s="44"/>
      <c r="H226" s="313" t="s">
        <v>4904</v>
      </c>
    </row>
    <row r="227">
      <c r="B227" s="38" t="s">
        <v>77</v>
      </c>
      <c r="C227" s="38">
        <v>4.0</v>
      </c>
      <c r="D227" s="38" t="s">
        <v>4326</v>
      </c>
      <c r="E227" s="38" t="s">
        <v>4907</v>
      </c>
      <c r="F227" s="38" t="s">
        <v>4908</v>
      </c>
      <c r="G227" s="38" t="s">
        <v>4909</v>
      </c>
    </row>
    <row r="228">
      <c r="B228" s="44"/>
      <c r="C228" s="44"/>
      <c r="D228" s="44"/>
      <c r="E228" s="38" t="s">
        <v>4880</v>
      </c>
      <c r="F228" s="282" t="s">
        <v>4910</v>
      </c>
      <c r="G228" s="38" t="s">
        <v>4911</v>
      </c>
    </row>
    <row r="229">
      <c r="B229" s="38" t="s">
        <v>3996</v>
      </c>
      <c r="C229" s="38">
        <v>4.0</v>
      </c>
      <c r="D229" s="38" t="s">
        <v>4912</v>
      </c>
      <c r="E229" s="38" t="s">
        <v>873</v>
      </c>
      <c r="F229" s="38" t="s">
        <v>4913</v>
      </c>
      <c r="G229" s="38" t="s">
        <v>4914</v>
      </c>
    </row>
    <row r="230">
      <c r="B230" s="314" t="s">
        <v>4915</v>
      </c>
      <c r="C230" s="314" t="s">
        <v>4916</v>
      </c>
      <c r="D230" s="314" t="s">
        <v>4917</v>
      </c>
      <c r="E230" s="38" t="s">
        <v>4918</v>
      </c>
      <c r="F230" s="59" t="s">
        <v>4919</v>
      </c>
      <c r="G230" s="315" t="s">
        <v>4920</v>
      </c>
      <c r="H230" s="38" t="s">
        <v>4844</v>
      </c>
    </row>
    <row r="231">
      <c r="B231" s="44"/>
      <c r="C231" s="44"/>
      <c r="D231" s="314" t="s">
        <v>4921</v>
      </c>
      <c r="E231" s="38" t="s">
        <v>4893</v>
      </c>
      <c r="F231" s="38" t="s">
        <v>4922</v>
      </c>
      <c r="G231" s="44"/>
    </row>
    <row r="232">
      <c r="B232" s="44"/>
      <c r="C232" s="44"/>
      <c r="D232" s="314"/>
      <c r="E232" s="38" t="s">
        <v>974</v>
      </c>
      <c r="F232" s="38" t="s">
        <v>4923</v>
      </c>
      <c r="G232" s="38" t="s">
        <v>4421</v>
      </c>
    </row>
    <row r="233">
      <c r="A233" s="65">
        <v>43949.0</v>
      </c>
      <c r="B233" s="44"/>
      <c r="C233" s="44"/>
      <c r="D233" s="276" t="s">
        <v>4924</v>
      </c>
      <c r="E233" s="38" t="s">
        <v>4925</v>
      </c>
      <c r="F233" s="44"/>
      <c r="G233" s="38" t="s">
        <v>4926</v>
      </c>
      <c r="H233" s="38" t="s">
        <v>4927</v>
      </c>
    </row>
    <row r="234">
      <c r="A234" s="65">
        <v>43949.0</v>
      </c>
      <c r="B234" s="38" t="s">
        <v>4928</v>
      </c>
      <c r="C234" s="38">
        <v>4.0</v>
      </c>
      <c r="D234" s="38" t="s">
        <v>4929</v>
      </c>
      <c r="E234" s="38" t="s">
        <v>4930</v>
      </c>
      <c r="F234" s="38" t="s">
        <v>4931</v>
      </c>
      <c r="G234" s="38" t="s">
        <v>4932</v>
      </c>
      <c r="H234" s="44"/>
    </row>
    <row r="235">
      <c r="B235" s="272" t="s">
        <v>4933</v>
      </c>
      <c r="C235" s="44"/>
      <c r="D235" s="272" t="s">
        <v>4934</v>
      </c>
      <c r="E235" s="38" t="s">
        <v>4077</v>
      </c>
      <c r="F235" s="294" t="s">
        <v>4935</v>
      </c>
      <c r="G235" s="272" t="s">
        <v>4936</v>
      </c>
      <c r="H235" s="38" t="s">
        <v>4937</v>
      </c>
    </row>
    <row r="236">
      <c r="B236" s="272"/>
      <c r="C236" s="44"/>
      <c r="D236" s="272"/>
      <c r="E236" s="38" t="s">
        <v>4077</v>
      </c>
      <c r="F236" s="294" t="s">
        <v>1252</v>
      </c>
      <c r="G236" s="272" t="s">
        <v>4938</v>
      </c>
      <c r="H236" s="38" t="s">
        <v>4937</v>
      </c>
    </row>
    <row r="237">
      <c r="B237" s="38" t="s">
        <v>28</v>
      </c>
      <c r="C237" s="38">
        <v>4.0</v>
      </c>
      <c r="D237" s="38" t="s">
        <v>4326</v>
      </c>
      <c r="E237" s="38" t="s">
        <v>4939</v>
      </c>
      <c r="F237" s="38" t="s">
        <v>4940</v>
      </c>
      <c r="G237" s="38" t="s">
        <v>4941</v>
      </c>
    </row>
    <row r="238">
      <c r="B238" s="38" t="s">
        <v>122</v>
      </c>
      <c r="C238" s="38">
        <v>4.0</v>
      </c>
      <c r="D238" s="38" t="s">
        <v>4942</v>
      </c>
      <c r="E238" s="38" t="s">
        <v>4943</v>
      </c>
      <c r="F238" s="38" t="s">
        <v>4944</v>
      </c>
      <c r="G238" s="44"/>
    </row>
    <row r="239">
      <c r="A239" s="84"/>
      <c r="B239" s="38" t="s">
        <v>28</v>
      </c>
      <c r="C239" s="38">
        <v>4.0</v>
      </c>
      <c r="D239" s="38" t="s">
        <v>4326</v>
      </c>
      <c r="E239" s="38" t="s">
        <v>4945</v>
      </c>
      <c r="F239" s="38" t="s">
        <v>4946</v>
      </c>
      <c r="G239" s="38" t="s">
        <v>4947</v>
      </c>
      <c r="H239" s="33" t="s">
        <v>4948</v>
      </c>
    </row>
    <row r="240">
      <c r="B240" s="38" t="s">
        <v>4949</v>
      </c>
      <c r="C240" s="44"/>
      <c r="D240" s="38" t="s">
        <v>4950</v>
      </c>
      <c r="E240" s="38" t="s">
        <v>4951</v>
      </c>
      <c r="F240" s="44"/>
      <c r="G240" s="44"/>
    </row>
    <row r="241">
      <c r="B241" s="38" t="s">
        <v>3820</v>
      </c>
      <c r="C241" s="38">
        <v>2.0</v>
      </c>
      <c r="D241" s="38" t="s">
        <v>134</v>
      </c>
      <c r="E241" s="274" t="s">
        <v>4952</v>
      </c>
      <c r="F241" s="38" t="s">
        <v>143</v>
      </c>
      <c r="G241" s="59" t="s">
        <v>4953</v>
      </c>
    </row>
    <row r="242">
      <c r="B242" s="38" t="s">
        <v>789</v>
      </c>
      <c r="C242" s="38">
        <v>2.0</v>
      </c>
      <c r="D242" s="38" t="s">
        <v>134</v>
      </c>
      <c r="E242" s="274" t="s">
        <v>4952</v>
      </c>
      <c r="F242" s="38" t="s">
        <v>4954</v>
      </c>
      <c r="G242" s="59" t="s">
        <v>4953</v>
      </c>
    </row>
    <row r="243">
      <c r="D243" s="1" t="s">
        <v>4955</v>
      </c>
      <c r="E243" s="38" t="s">
        <v>4956</v>
      </c>
      <c r="F243" s="316" t="s">
        <v>4957</v>
      </c>
      <c r="G243" s="38" t="s">
        <v>4958</v>
      </c>
    </row>
    <row r="244">
      <c r="E244" s="38" t="s">
        <v>4959</v>
      </c>
      <c r="F244" s="38" t="s">
        <v>4960</v>
      </c>
      <c r="G244" s="38" t="s">
        <v>4961</v>
      </c>
    </row>
    <row r="245">
      <c r="B245" s="38" t="s">
        <v>25</v>
      </c>
      <c r="C245" s="38">
        <v>4.0</v>
      </c>
      <c r="D245" s="38" t="s">
        <v>4326</v>
      </c>
      <c r="E245" s="38" t="s">
        <v>4962</v>
      </c>
      <c r="F245" s="38" t="s">
        <v>4963</v>
      </c>
      <c r="G245" s="38" t="s">
        <v>4964</v>
      </c>
    </row>
    <row r="246">
      <c r="B246" s="272" t="s">
        <v>4965</v>
      </c>
      <c r="C246" s="38" t="s">
        <v>4966</v>
      </c>
      <c r="D246" s="294" t="s">
        <v>4967</v>
      </c>
      <c r="E246" s="38" t="s">
        <v>413</v>
      </c>
      <c r="F246" s="38" t="s">
        <v>4968</v>
      </c>
      <c r="G246" s="294" t="s">
        <v>4969</v>
      </c>
    </row>
    <row r="247">
      <c r="B247" s="38" t="s">
        <v>4970</v>
      </c>
      <c r="C247" s="38">
        <v>4.0</v>
      </c>
      <c r="D247" s="38" t="s">
        <v>4641</v>
      </c>
      <c r="E247" s="38" t="s">
        <v>4971</v>
      </c>
      <c r="F247" s="38" t="s">
        <v>175</v>
      </c>
      <c r="G247" s="38" t="s">
        <v>4972</v>
      </c>
    </row>
    <row r="248">
      <c r="B248" s="272" t="s">
        <v>1182</v>
      </c>
      <c r="C248" s="38">
        <v>4.0</v>
      </c>
      <c r="D248" s="294" t="s">
        <v>315</v>
      </c>
      <c r="E248" s="38" t="s">
        <v>4973</v>
      </c>
      <c r="F248" s="38" t="s">
        <v>4974</v>
      </c>
      <c r="G248" s="38" t="s">
        <v>4975</v>
      </c>
      <c r="H248" s="38" t="s">
        <v>4976</v>
      </c>
    </row>
    <row r="249">
      <c r="B249" s="38" t="s">
        <v>1100</v>
      </c>
      <c r="C249" s="38">
        <v>1.0</v>
      </c>
      <c r="D249" s="261" t="s">
        <v>4977</v>
      </c>
      <c r="E249" s="265" t="s">
        <v>4978</v>
      </c>
      <c r="F249" s="38" t="s">
        <v>4979</v>
      </c>
      <c r="G249" s="38" t="s">
        <v>4980</v>
      </c>
    </row>
    <row r="250">
      <c r="B250" s="38" t="s">
        <v>4632</v>
      </c>
      <c r="C250" s="38">
        <v>1.0</v>
      </c>
      <c r="D250" s="38" t="s">
        <v>4981</v>
      </c>
      <c r="E250" s="270" t="s">
        <v>4634</v>
      </c>
      <c r="F250" s="38" t="s">
        <v>4982</v>
      </c>
      <c r="G250" s="38" t="s">
        <v>4983</v>
      </c>
    </row>
    <row r="251">
      <c r="B251" s="44"/>
      <c r="C251" s="44"/>
      <c r="D251" s="44"/>
      <c r="E251" s="38" t="s">
        <v>4984</v>
      </c>
      <c r="F251" s="38" t="s">
        <v>4985</v>
      </c>
      <c r="G251" s="38" t="s">
        <v>4986</v>
      </c>
    </row>
    <row r="252">
      <c r="B252" s="44"/>
      <c r="C252" s="44"/>
      <c r="D252" s="44"/>
      <c r="E252" s="38" t="s">
        <v>4984</v>
      </c>
      <c r="F252" s="38" t="s">
        <v>4987</v>
      </c>
      <c r="G252" s="38" t="s">
        <v>4988</v>
      </c>
    </row>
    <row r="253">
      <c r="B253" s="38" t="s">
        <v>1349</v>
      </c>
      <c r="C253" s="38">
        <v>2.0</v>
      </c>
      <c r="D253" s="38" t="s">
        <v>4989</v>
      </c>
      <c r="E253" s="281" t="s">
        <v>4990</v>
      </c>
      <c r="F253" s="38" t="s">
        <v>4991</v>
      </c>
      <c r="G253" s="38" t="s">
        <v>4992</v>
      </c>
      <c r="H253" s="1" t="s">
        <v>4993</v>
      </c>
    </row>
    <row r="254">
      <c r="B254" s="38" t="s">
        <v>4994</v>
      </c>
      <c r="C254" s="38">
        <v>2.0</v>
      </c>
      <c r="D254" s="38" t="s">
        <v>4995</v>
      </c>
      <c r="E254" s="38" t="s">
        <v>873</v>
      </c>
      <c r="F254" s="38" t="s">
        <v>4996</v>
      </c>
      <c r="G254" s="38" t="s">
        <v>4997</v>
      </c>
      <c r="H254" s="38" t="s">
        <v>4998</v>
      </c>
    </row>
    <row r="255">
      <c r="A255" s="38" t="s">
        <v>4999</v>
      </c>
      <c r="B255" s="38" t="s">
        <v>1159</v>
      </c>
      <c r="C255" s="38">
        <v>4.0</v>
      </c>
      <c r="D255" s="38" t="s">
        <v>5000</v>
      </c>
      <c r="E255" s="38" t="s">
        <v>5001</v>
      </c>
      <c r="F255" s="38" t="s">
        <v>5002</v>
      </c>
      <c r="G255" s="38" t="s">
        <v>5003</v>
      </c>
    </row>
    <row r="256">
      <c r="B256" s="38" t="s">
        <v>28</v>
      </c>
      <c r="C256" s="38">
        <v>4.0</v>
      </c>
      <c r="D256" s="38" t="s">
        <v>289</v>
      </c>
      <c r="E256" s="38" t="s">
        <v>5004</v>
      </c>
      <c r="F256" s="38" t="s">
        <v>5005</v>
      </c>
      <c r="G256" s="38" t="s">
        <v>5006</v>
      </c>
    </row>
    <row r="257">
      <c r="B257" s="44"/>
      <c r="C257" s="44"/>
      <c r="D257" s="38" t="s">
        <v>5007</v>
      </c>
      <c r="E257" s="38" t="s">
        <v>974</v>
      </c>
      <c r="F257" s="38" t="s">
        <v>5008</v>
      </c>
      <c r="G257" s="44"/>
      <c r="H257" s="38" t="s">
        <v>4421</v>
      </c>
    </row>
    <row r="258">
      <c r="B258" s="38" t="s">
        <v>5009</v>
      </c>
      <c r="C258" s="38" t="s">
        <v>5010</v>
      </c>
      <c r="D258" s="38" t="s">
        <v>5011</v>
      </c>
      <c r="E258" s="38" t="s">
        <v>974</v>
      </c>
      <c r="F258" s="38" t="s">
        <v>5012</v>
      </c>
      <c r="G258" s="38" t="s">
        <v>5013</v>
      </c>
      <c r="H258" s="38" t="s">
        <v>4421</v>
      </c>
    </row>
    <row r="259">
      <c r="B259" s="38" t="s">
        <v>876</v>
      </c>
      <c r="C259" s="38">
        <v>4.0</v>
      </c>
      <c r="D259" s="38" t="s">
        <v>5014</v>
      </c>
      <c r="E259" s="38" t="s">
        <v>5015</v>
      </c>
      <c r="F259" s="38" t="s">
        <v>175</v>
      </c>
      <c r="G259" s="38" t="s">
        <v>5016</v>
      </c>
    </row>
    <row r="260">
      <c r="B260" s="1" t="s">
        <v>5017</v>
      </c>
      <c r="E260" s="317" t="s">
        <v>5018</v>
      </c>
      <c r="F260" s="1" t="s">
        <v>5019</v>
      </c>
      <c r="G260" s="1" t="s">
        <v>5020</v>
      </c>
    </row>
    <row r="261">
      <c r="B261" s="38" t="s">
        <v>205</v>
      </c>
      <c r="C261" s="38">
        <v>4.0</v>
      </c>
      <c r="D261" s="38" t="s">
        <v>5021</v>
      </c>
      <c r="E261" s="38" t="s">
        <v>5022</v>
      </c>
      <c r="F261" s="38" t="s">
        <v>4528</v>
      </c>
      <c r="G261" s="38" t="s">
        <v>5023</v>
      </c>
      <c r="H261" s="38" t="s">
        <v>4268</v>
      </c>
    </row>
    <row r="262">
      <c r="B262" s="38" t="s">
        <v>856</v>
      </c>
      <c r="C262" s="38">
        <v>1.0</v>
      </c>
      <c r="D262" s="38" t="s">
        <v>854</v>
      </c>
      <c r="E262" s="38" t="s">
        <v>4893</v>
      </c>
      <c r="F262" s="38" t="s">
        <v>5024</v>
      </c>
      <c r="G262" s="44"/>
    </row>
    <row r="263">
      <c r="B263" s="38" t="s">
        <v>853</v>
      </c>
      <c r="C263" s="38">
        <v>1.0</v>
      </c>
      <c r="D263" s="38" t="s">
        <v>854</v>
      </c>
      <c r="E263" s="38" t="s">
        <v>4893</v>
      </c>
      <c r="F263" s="38" t="s">
        <v>5025</v>
      </c>
      <c r="G263" s="44"/>
    </row>
    <row r="264">
      <c r="B264" s="38" t="s">
        <v>85</v>
      </c>
      <c r="C264" s="38">
        <v>2.0</v>
      </c>
      <c r="D264" s="38" t="s">
        <v>3937</v>
      </c>
      <c r="E264" s="38" t="s">
        <v>5026</v>
      </c>
      <c r="F264" s="38" t="s">
        <v>5027</v>
      </c>
      <c r="G264" s="38" t="s">
        <v>5028</v>
      </c>
    </row>
    <row r="265">
      <c r="B265" s="44"/>
      <c r="C265" s="44"/>
      <c r="D265" s="38" t="s">
        <v>5029</v>
      </c>
      <c r="E265" s="38" t="s">
        <v>873</v>
      </c>
      <c r="F265" s="38" t="s">
        <v>5030</v>
      </c>
      <c r="G265" s="38" t="s">
        <v>5031</v>
      </c>
      <c r="H265" s="38" t="s">
        <v>5032</v>
      </c>
    </row>
    <row r="266">
      <c r="B266" s="44"/>
      <c r="C266" s="44"/>
      <c r="D266" s="44"/>
      <c r="E266" s="38" t="s">
        <v>5033</v>
      </c>
      <c r="F266" s="38" t="s">
        <v>5034</v>
      </c>
      <c r="G266" s="44"/>
      <c r="H266" s="1" t="s">
        <v>144</v>
      </c>
    </row>
    <row r="267">
      <c r="B267" s="38" t="s">
        <v>170</v>
      </c>
      <c r="C267" s="38">
        <v>1.0</v>
      </c>
      <c r="D267" s="38" t="s">
        <v>5035</v>
      </c>
      <c r="E267" s="38" t="s">
        <v>418</v>
      </c>
      <c r="F267" s="38" t="s">
        <v>5036</v>
      </c>
      <c r="G267" s="38" t="s">
        <v>5037</v>
      </c>
    </row>
    <row r="268">
      <c r="B268" s="38" t="s">
        <v>5038</v>
      </c>
      <c r="C268" s="44"/>
      <c r="D268" s="38" t="s">
        <v>5039</v>
      </c>
      <c r="E268" s="38" t="s">
        <v>4893</v>
      </c>
      <c r="F268" s="38" t="s">
        <v>5040</v>
      </c>
      <c r="G268" s="38" t="s">
        <v>5041</v>
      </c>
    </row>
    <row r="269">
      <c r="B269" s="44"/>
      <c r="C269" s="44"/>
      <c r="D269" s="38" t="s">
        <v>5042</v>
      </c>
      <c r="E269" s="38" t="s">
        <v>5043</v>
      </c>
      <c r="F269" s="38" t="s">
        <v>4302</v>
      </c>
      <c r="G269" s="38" t="s">
        <v>5044</v>
      </c>
      <c r="H269" s="1" t="s">
        <v>144</v>
      </c>
    </row>
    <row r="270">
      <c r="B270" s="38" t="s">
        <v>97</v>
      </c>
      <c r="C270" s="38">
        <v>2.0</v>
      </c>
      <c r="D270" s="38" t="s">
        <v>5045</v>
      </c>
      <c r="E270" s="105" t="s">
        <v>5046</v>
      </c>
      <c r="F270" s="38" t="s">
        <v>1710</v>
      </c>
      <c r="G270" s="38" t="s">
        <v>5047</v>
      </c>
    </row>
    <row r="271">
      <c r="B271" s="38" t="s">
        <v>1183</v>
      </c>
      <c r="C271" s="38">
        <v>1.0</v>
      </c>
      <c r="D271" s="38" t="s">
        <v>5048</v>
      </c>
      <c r="E271" s="38" t="s">
        <v>5049</v>
      </c>
      <c r="F271" s="318" t="s">
        <v>5050</v>
      </c>
      <c r="G271" s="38" t="s">
        <v>5051</v>
      </c>
    </row>
    <row r="272">
      <c r="B272" s="38" t="s">
        <v>246</v>
      </c>
      <c r="C272" s="38">
        <v>4.0</v>
      </c>
      <c r="D272" s="38" t="s">
        <v>5052</v>
      </c>
      <c r="E272" s="38" t="s">
        <v>4290</v>
      </c>
      <c r="F272" s="38" t="s">
        <v>4837</v>
      </c>
      <c r="G272" s="38" t="s">
        <v>5053</v>
      </c>
    </row>
    <row r="273">
      <c r="B273" s="44"/>
      <c r="C273" s="38" t="s">
        <v>2009</v>
      </c>
      <c r="D273" s="298" t="s">
        <v>5054</v>
      </c>
      <c r="E273" s="38" t="s">
        <v>5055</v>
      </c>
      <c r="F273" s="38" t="s">
        <v>5056</v>
      </c>
      <c r="G273" s="38" t="s">
        <v>5057</v>
      </c>
    </row>
    <row r="274">
      <c r="B274" s="38" t="s">
        <v>41</v>
      </c>
      <c r="C274" s="38">
        <v>4.0</v>
      </c>
      <c r="D274" s="38" t="s">
        <v>4989</v>
      </c>
      <c r="E274" s="38" t="s">
        <v>5055</v>
      </c>
      <c r="F274" s="38" t="s">
        <v>5058</v>
      </c>
      <c r="G274" s="38" t="s">
        <v>5057</v>
      </c>
    </row>
    <row r="275">
      <c r="B275" s="38" t="s">
        <v>5059</v>
      </c>
      <c r="C275" s="38">
        <v>2.0</v>
      </c>
      <c r="D275" s="38" t="s">
        <v>5060</v>
      </c>
      <c r="E275" s="38" t="s">
        <v>5061</v>
      </c>
      <c r="F275" s="44"/>
      <c r="G275" s="38" t="s">
        <v>5062</v>
      </c>
    </row>
    <row r="276">
      <c r="B276" s="38" t="s">
        <v>718</v>
      </c>
      <c r="C276" s="38">
        <v>4.0</v>
      </c>
      <c r="D276" s="38" t="s">
        <v>1109</v>
      </c>
      <c r="E276" s="38" t="s">
        <v>5043</v>
      </c>
      <c r="F276" s="38" t="s">
        <v>5063</v>
      </c>
      <c r="G276" s="38" t="s">
        <v>5064</v>
      </c>
    </row>
    <row r="277">
      <c r="B277" s="38" t="s">
        <v>439</v>
      </c>
      <c r="C277" s="38">
        <v>2.0</v>
      </c>
      <c r="D277" s="38" t="s">
        <v>5065</v>
      </c>
      <c r="E277" s="38" t="s">
        <v>873</v>
      </c>
      <c r="F277" s="44"/>
      <c r="G277" s="38" t="s">
        <v>5066</v>
      </c>
    </row>
    <row r="278">
      <c r="B278" s="44"/>
      <c r="C278" s="44"/>
      <c r="D278" s="38" t="s">
        <v>5067</v>
      </c>
      <c r="E278" s="38" t="s">
        <v>1351</v>
      </c>
      <c r="F278" s="284" t="s">
        <v>5068</v>
      </c>
      <c r="G278" s="38" t="s">
        <v>5069</v>
      </c>
      <c r="H278" s="1" t="s">
        <v>144</v>
      </c>
    </row>
    <row r="279">
      <c r="D279" s="319" t="s">
        <v>5070</v>
      </c>
      <c r="E279" s="38" t="s">
        <v>4478</v>
      </c>
      <c r="F279" s="178" t="s">
        <v>5071</v>
      </c>
      <c r="G279" s="44"/>
    </row>
    <row r="280">
      <c r="B280" s="38" t="s">
        <v>77</v>
      </c>
      <c r="C280" s="38">
        <v>4.0</v>
      </c>
      <c r="D280" s="38" t="s">
        <v>289</v>
      </c>
      <c r="E280" s="38" t="s">
        <v>5072</v>
      </c>
      <c r="F280" s="38" t="s">
        <v>5073</v>
      </c>
      <c r="G280" s="38" t="s">
        <v>5074</v>
      </c>
    </row>
    <row r="281">
      <c r="A281" s="19">
        <v>43963.0</v>
      </c>
      <c r="B281" s="38" t="s">
        <v>4552</v>
      </c>
      <c r="C281" s="38">
        <v>1.0</v>
      </c>
      <c r="D281" s="38" t="s">
        <v>5075</v>
      </c>
      <c r="E281" s="38" t="s">
        <v>5076</v>
      </c>
      <c r="F281" s="38" t="s">
        <v>5077</v>
      </c>
      <c r="G281" s="38" t="s">
        <v>5078</v>
      </c>
      <c r="H281" s="38" t="s">
        <v>5079</v>
      </c>
    </row>
    <row r="282">
      <c r="B282" s="44"/>
      <c r="C282" s="44"/>
      <c r="D282" s="38" t="s">
        <v>5080</v>
      </c>
      <c r="E282" s="38" t="s">
        <v>974</v>
      </c>
      <c r="F282" s="38" t="s">
        <v>5081</v>
      </c>
      <c r="G282" s="38" t="s">
        <v>5082</v>
      </c>
      <c r="H282" s="38" t="s">
        <v>4421</v>
      </c>
    </row>
    <row r="283">
      <c r="B283" s="44"/>
      <c r="C283" s="320" t="s">
        <v>5083</v>
      </c>
      <c r="D283" s="320" t="s">
        <v>5084</v>
      </c>
      <c r="E283" s="38" t="s">
        <v>5085</v>
      </c>
      <c r="F283" s="272" t="s">
        <v>5086</v>
      </c>
      <c r="G283" s="38" t="s">
        <v>5087</v>
      </c>
      <c r="H283" s="320"/>
      <c r="I283" s="272" t="s">
        <v>5088</v>
      </c>
    </row>
    <row r="284">
      <c r="B284" s="44"/>
      <c r="C284" s="44"/>
      <c r="D284" s="320" t="s">
        <v>5089</v>
      </c>
      <c r="E284" s="38" t="s">
        <v>5085</v>
      </c>
      <c r="F284" s="272" t="s">
        <v>5090</v>
      </c>
      <c r="G284" s="38" t="s">
        <v>5091</v>
      </c>
      <c r="H284" s="272" t="s">
        <v>5092</v>
      </c>
      <c r="I284" s="272" t="s">
        <v>5088</v>
      </c>
    </row>
    <row r="285">
      <c r="B285" s="44"/>
      <c r="C285" s="38">
        <v>4.0</v>
      </c>
      <c r="D285" s="38" t="s">
        <v>5093</v>
      </c>
      <c r="E285" s="38" t="s">
        <v>5094</v>
      </c>
      <c r="F285" s="38" t="s">
        <v>5095</v>
      </c>
      <c r="G285" s="38" t="s">
        <v>5096</v>
      </c>
    </row>
    <row r="286">
      <c r="B286" s="38" t="s">
        <v>153</v>
      </c>
      <c r="C286" s="38">
        <v>2.0</v>
      </c>
      <c r="D286" s="38" t="s">
        <v>4676</v>
      </c>
      <c r="E286" s="38" t="s">
        <v>5094</v>
      </c>
      <c r="F286" s="272" t="s">
        <v>5097</v>
      </c>
      <c r="G286" s="38" t="s">
        <v>5096</v>
      </c>
      <c r="H286" s="301"/>
      <c r="I286" s="301"/>
    </row>
    <row r="287">
      <c r="B287" s="38" t="s">
        <v>1159</v>
      </c>
      <c r="C287" s="38">
        <v>2.0</v>
      </c>
      <c r="D287" s="38" t="s">
        <v>4676</v>
      </c>
      <c r="E287" s="38" t="s">
        <v>5094</v>
      </c>
      <c r="F287" s="38" t="s">
        <v>4232</v>
      </c>
      <c r="G287" s="38" t="s">
        <v>5096</v>
      </c>
    </row>
    <row r="288">
      <c r="B288" s="38" t="s">
        <v>91</v>
      </c>
      <c r="C288" s="38">
        <v>2.0</v>
      </c>
      <c r="D288" s="38" t="s">
        <v>315</v>
      </c>
      <c r="E288" s="38" t="s">
        <v>2551</v>
      </c>
      <c r="F288" s="38" t="s">
        <v>4732</v>
      </c>
      <c r="G288" s="38" t="s">
        <v>5098</v>
      </c>
    </row>
    <row r="289">
      <c r="B289" s="38" t="s">
        <v>94</v>
      </c>
      <c r="C289" s="38">
        <v>2.0</v>
      </c>
      <c r="D289" s="38" t="s">
        <v>315</v>
      </c>
      <c r="E289" s="38" t="s">
        <v>2551</v>
      </c>
      <c r="F289" s="38" t="s">
        <v>5099</v>
      </c>
      <c r="G289" s="38" t="s">
        <v>5098</v>
      </c>
    </row>
    <row r="290">
      <c r="B290" s="38"/>
      <c r="C290" s="38">
        <v>4.0</v>
      </c>
      <c r="D290" s="38" t="s">
        <v>5100</v>
      </c>
      <c r="E290" s="38" t="s">
        <v>2551</v>
      </c>
      <c r="F290" s="38" t="s">
        <v>5101</v>
      </c>
      <c r="G290" s="38" t="s">
        <v>5098</v>
      </c>
    </row>
    <row r="291">
      <c r="B291" s="38"/>
      <c r="C291" s="38"/>
      <c r="D291" s="282" t="s">
        <v>5102</v>
      </c>
      <c r="E291" s="38" t="s">
        <v>2551</v>
      </c>
      <c r="F291" s="321" t="s">
        <v>5103</v>
      </c>
      <c r="G291" s="38" t="s">
        <v>5098</v>
      </c>
    </row>
    <row r="292">
      <c r="B292" s="38" t="s">
        <v>303</v>
      </c>
      <c r="C292" s="38">
        <v>2.0</v>
      </c>
      <c r="D292" s="38" t="s">
        <v>315</v>
      </c>
      <c r="E292" s="38" t="s">
        <v>5104</v>
      </c>
      <c r="F292" s="38" t="s">
        <v>175</v>
      </c>
      <c r="G292" s="44"/>
    </row>
    <row r="293">
      <c r="B293" s="38" t="s">
        <v>5105</v>
      </c>
      <c r="C293" s="38">
        <v>2.0</v>
      </c>
      <c r="D293" s="38" t="s">
        <v>315</v>
      </c>
      <c r="E293" s="38" t="s">
        <v>5104</v>
      </c>
      <c r="F293" s="44"/>
      <c r="G293" s="44"/>
    </row>
    <row r="294">
      <c r="A294" s="65">
        <v>43964.0</v>
      </c>
      <c r="B294" s="44"/>
      <c r="C294" s="38">
        <v>1.0</v>
      </c>
      <c r="D294" s="38" t="s">
        <v>5106</v>
      </c>
      <c r="E294" s="38" t="s">
        <v>5107</v>
      </c>
      <c r="F294" s="38" t="s">
        <v>5108</v>
      </c>
      <c r="G294" s="38" t="s">
        <v>5109</v>
      </c>
      <c r="H294" s="38" t="s">
        <v>2252</v>
      </c>
    </row>
    <row r="295">
      <c r="B295" s="38" t="s">
        <v>876</v>
      </c>
      <c r="C295" s="38">
        <v>4.0</v>
      </c>
      <c r="D295" s="38" t="s">
        <v>2097</v>
      </c>
      <c r="E295" s="38" t="s">
        <v>5110</v>
      </c>
      <c r="F295" s="38" t="s">
        <v>5111</v>
      </c>
      <c r="G295" s="38" t="s">
        <v>5112</v>
      </c>
      <c r="H295" s="38" t="s">
        <v>5113</v>
      </c>
    </row>
    <row r="296">
      <c r="B296" s="38" t="s">
        <v>5114</v>
      </c>
      <c r="C296" s="44"/>
      <c r="D296" s="38" t="s">
        <v>5115</v>
      </c>
      <c r="E296" s="38" t="s">
        <v>5116</v>
      </c>
      <c r="F296" s="38" t="s">
        <v>5117</v>
      </c>
      <c r="G296" s="38" t="s">
        <v>5118</v>
      </c>
      <c r="H296" s="38" t="s">
        <v>5119</v>
      </c>
    </row>
    <row r="297">
      <c r="B297" s="38" t="s">
        <v>416</v>
      </c>
      <c r="C297" s="38">
        <v>4.0</v>
      </c>
      <c r="D297" s="38" t="s">
        <v>315</v>
      </c>
      <c r="E297" s="322" t="s">
        <v>5120</v>
      </c>
      <c r="F297" s="38" t="s">
        <v>4759</v>
      </c>
      <c r="G297" s="38" t="s">
        <v>5121</v>
      </c>
    </row>
    <row r="298">
      <c r="B298" s="38" t="s">
        <v>718</v>
      </c>
      <c r="C298" s="38">
        <v>4.0</v>
      </c>
      <c r="D298" s="38" t="s">
        <v>2097</v>
      </c>
      <c r="E298" s="38" t="s">
        <v>5122</v>
      </c>
      <c r="F298" s="38" t="s">
        <v>5123</v>
      </c>
      <c r="G298" s="44"/>
    </row>
    <row r="299">
      <c r="B299" s="38" t="s">
        <v>718</v>
      </c>
      <c r="C299" s="38">
        <v>2.0</v>
      </c>
      <c r="D299" s="38" t="s">
        <v>2097</v>
      </c>
      <c r="E299" s="38" t="s">
        <v>5122</v>
      </c>
      <c r="F299" s="38" t="s">
        <v>5123</v>
      </c>
      <c r="G299" s="44"/>
    </row>
    <row r="300">
      <c r="B300" s="38" t="s">
        <v>170</v>
      </c>
      <c r="C300" s="38">
        <v>1.0</v>
      </c>
      <c r="D300" s="38" t="s">
        <v>5035</v>
      </c>
      <c r="E300" s="38" t="s">
        <v>5124</v>
      </c>
      <c r="F300" s="44"/>
      <c r="G300" s="38" t="s">
        <v>5037</v>
      </c>
    </row>
    <row r="301">
      <c r="B301" s="44"/>
      <c r="C301" s="44"/>
      <c r="D301" s="38" t="s">
        <v>2252</v>
      </c>
      <c r="E301" s="38" t="s">
        <v>2392</v>
      </c>
      <c r="F301" s="272" t="s">
        <v>5125</v>
      </c>
      <c r="G301" s="38" t="s">
        <v>5126</v>
      </c>
      <c r="H301" s="38" t="s">
        <v>5127</v>
      </c>
      <c r="I301" s="38" t="s">
        <v>5128</v>
      </c>
    </row>
    <row r="302">
      <c r="B302" s="44"/>
      <c r="C302" s="44"/>
      <c r="D302" s="44"/>
      <c r="E302" s="38" t="s">
        <v>2392</v>
      </c>
      <c r="F302" s="38" t="s">
        <v>5129</v>
      </c>
      <c r="G302" s="44"/>
      <c r="H302" s="44"/>
      <c r="I302" s="44"/>
    </row>
    <row r="303">
      <c r="B303" s="38" t="s">
        <v>22</v>
      </c>
      <c r="C303" s="38">
        <v>2.0</v>
      </c>
      <c r="D303" s="38" t="s">
        <v>5130</v>
      </c>
      <c r="E303" s="38" t="s">
        <v>5131</v>
      </c>
      <c r="F303" s="323"/>
    </row>
    <row r="304">
      <c r="B304" s="38" t="s">
        <v>25</v>
      </c>
      <c r="C304" s="38">
        <v>2.0</v>
      </c>
      <c r="D304" s="38" t="s">
        <v>4326</v>
      </c>
      <c r="E304" s="38" t="s">
        <v>5131</v>
      </c>
      <c r="F304" s="272" t="s">
        <v>5132</v>
      </c>
    </row>
    <row r="305">
      <c r="B305" s="38" t="s">
        <v>283</v>
      </c>
      <c r="C305" s="38">
        <v>4.0</v>
      </c>
      <c r="D305" s="38" t="s">
        <v>163</v>
      </c>
      <c r="E305" s="38" t="s">
        <v>4741</v>
      </c>
      <c r="F305" s="44"/>
      <c r="G305" s="38" t="s">
        <v>5133</v>
      </c>
    </row>
    <row r="306">
      <c r="B306" s="38" t="s">
        <v>25</v>
      </c>
      <c r="C306" s="38">
        <v>4.0</v>
      </c>
      <c r="D306" s="38" t="s">
        <v>289</v>
      </c>
      <c r="E306" s="38" t="s">
        <v>5134</v>
      </c>
      <c r="F306" s="38" t="s">
        <v>5135</v>
      </c>
      <c r="G306" s="38" t="s">
        <v>5136</v>
      </c>
      <c r="H306" s="38" t="s">
        <v>5137</v>
      </c>
      <c r="I306" s="38" t="s">
        <v>5138</v>
      </c>
    </row>
    <row r="307">
      <c r="A307" s="1" t="s">
        <v>5139</v>
      </c>
      <c r="B307" s="44"/>
      <c r="C307" s="44"/>
      <c r="D307" s="38" t="s">
        <v>5140</v>
      </c>
      <c r="E307" s="272" t="s">
        <v>5141</v>
      </c>
      <c r="F307" s="272" t="s">
        <v>5142</v>
      </c>
      <c r="G307" s="38" t="s">
        <v>5143</v>
      </c>
      <c r="H307" s="38" t="s">
        <v>5144</v>
      </c>
      <c r="I307" s="44"/>
      <c r="J307" s="44"/>
      <c r="K307" s="38" t="s">
        <v>4421</v>
      </c>
    </row>
    <row r="308">
      <c r="B308" s="44"/>
      <c r="C308" s="44"/>
      <c r="D308" s="324" t="s">
        <v>5145</v>
      </c>
      <c r="E308" s="38" t="s">
        <v>1230</v>
      </c>
      <c r="F308" s="272" t="s">
        <v>5146</v>
      </c>
      <c r="G308" s="38" t="s">
        <v>5147</v>
      </c>
      <c r="H308" s="38" t="s">
        <v>5148</v>
      </c>
      <c r="I308" s="44"/>
      <c r="J308" s="44"/>
      <c r="K308" s="38" t="s">
        <v>4421</v>
      </c>
    </row>
    <row r="309">
      <c r="B309" s="38" t="s">
        <v>31</v>
      </c>
      <c r="C309" s="38">
        <v>4.0</v>
      </c>
      <c r="D309" s="38" t="s">
        <v>171</v>
      </c>
      <c r="E309" s="281" t="s">
        <v>5149</v>
      </c>
      <c r="F309" s="38" t="s">
        <v>5150</v>
      </c>
      <c r="G309" s="38" t="s">
        <v>5151</v>
      </c>
    </row>
    <row r="310">
      <c r="B310" s="38" t="s">
        <v>5152</v>
      </c>
      <c r="C310" s="44"/>
      <c r="D310" s="38" t="s">
        <v>4762</v>
      </c>
      <c r="E310" s="38" t="s">
        <v>5153</v>
      </c>
      <c r="F310" s="44"/>
      <c r="G310" s="38" t="s">
        <v>4547</v>
      </c>
    </row>
    <row r="311">
      <c r="B311" s="44"/>
      <c r="C311" s="44"/>
      <c r="D311" s="44"/>
      <c r="E311" s="38" t="s">
        <v>4077</v>
      </c>
      <c r="F311" s="325" t="s">
        <v>5154</v>
      </c>
      <c r="G311" s="38" t="s">
        <v>4937</v>
      </c>
    </row>
    <row r="312">
      <c r="B312" s="38" t="s">
        <v>5155</v>
      </c>
      <c r="C312" s="294" t="s">
        <v>5156</v>
      </c>
      <c r="D312" s="272" t="s">
        <v>5157</v>
      </c>
      <c r="E312" s="38" t="s">
        <v>5158</v>
      </c>
      <c r="F312" s="38" t="s">
        <v>5159</v>
      </c>
      <c r="G312" s="294" t="s">
        <v>5160</v>
      </c>
      <c r="H312" s="38" t="s">
        <v>5161</v>
      </c>
    </row>
    <row r="313">
      <c r="B313" s="1"/>
      <c r="C313" s="326"/>
      <c r="D313" s="327"/>
      <c r="E313" s="38" t="s">
        <v>5158</v>
      </c>
      <c r="F313" s="38" t="s">
        <v>5162</v>
      </c>
      <c r="G313" s="38" t="s">
        <v>5163</v>
      </c>
      <c r="H313" s="38" t="s">
        <v>5161</v>
      </c>
    </row>
    <row r="314">
      <c r="B314" s="44"/>
      <c r="C314" s="44"/>
      <c r="D314" s="38" t="s">
        <v>5164</v>
      </c>
      <c r="E314" s="38" t="s">
        <v>5158</v>
      </c>
      <c r="F314" s="38" t="s">
        <v>5165</v>
      </c>
      <c r="G314" s="38" t="s">
        <v>144</v>
      </c>
    </row>
    <row r="315">
      <c r="B315" s="44"/>
      <c r="C315" s="44"/>
      <c r="D315" s="38"/>
      <c r="E315" s="38" t="s">
        <v>5158</v>
      </c>
      <c r="F315" s="38" t="s">
        <v>5166</v>
      </c>
      <c r="G315" s="38" t="s">
        <v>144</v>
      </c>
      <c r="H315" s="1"/>
    </row>
    <row r="316">
      <c r="B316" s="38" t="s">
        <v>166</v>
      </c>
      <c r="C316" s="294">
        <v>2.0</v>
      </c>
      <c r="D316" s="272" t="s">
        <v>5035</v>
      </c>
      <c r="E316" s="38" t="s">
        <v>418</v>
      </c>
      <c r="F316" s="38" t="s">
        <v>5167</v>
      </c>
      <c r="G316" s="38" t="s">
        <v>5168</v>
      </c>
    </row>
    <row r="317">
      <c r="B317" s="324" t="s">
        <v>5169</v>
      </c>
      <c r="C317" s="328" t="s">
        <v>5170</v>
      </c>
      <c r="D317" s="319" t="s">
        <v>5171</v>
      </c>
      <c r="E317" s="38" t="s">
        <v>1731</v>
      </c>
      <c r="F317" s="38" t="s">
        <v>5172</v>
      </c>
      <c r="G317" s="38" t="s">
        <v>5173</v>
      </c>
      <c r="H317" s="44"/>
    </row>
    <row r="318">
      <c r="B318" s="38" t="s">
        <v>5174</v>
      </c>
      <c r="C318" s="329" t="s">
        <v>5175</v>
      </c>
      <c r="D318" s="59" t="s">
        <v>5176</v>
      </c>
      <c r="E318" s="38" t="s">
        <v>1731</v>
      </c>
      <c r="F318" s="284" t="s">
        <v>5177</v>
      </c>
      <c r="G318" s="38" t="s">
        <v>5178</v>
      </c>
      <c r="H318" s="44"/>
      <c r="K318" s="330"/>
    </row>
    <row r="319">
      <c r="B319" s="294" t="s">
        <v>5179</v>
      </c>
      <c r="C319" s="319" t="s">
        <v>5180</v>
      </c>
      <c r="D319" s="44"/>
      <c r="E319" s="38" t="s">
        <v>5181</v>
      </c>
      <c r="F319" s="38" t="s">
        <v>5182</v>
      </c>
      <c r="G319" s="178" t="s">
        <v>5183</v>
      </c>
      <c r="H319" s="44"/>
      <c r="K319" s="330"/>
    </row>
    <row r="320">
      <c r="B320" s="44"/>
      <c r="C320" s="44"/>
      <c r="D320" s="38"/>
      <c r="E320" s="38" t="s">
        <v>1731</v>
      </c>
      <c r="F320" s="294" t="s">
        <v>5184</v>
      </c>
      <c r="G320" s="38" t="s">
        <v>5185</v>
      </c>
      <c r="H320" s="44"/>
      <c r="K320" s="330"/>
    </row>
    <row r="321">
      <c r="B321" s="44"/>
      <c r="C321" s="44"/>
      <c r="D321" s="44"/>
      <c r="E321" s="38" t="s">
        <v>1731</v>
      </c>
      <c r="F321" s="284" t="s">
        <v>5186</v>
      </c>
      <c r="G321" s="294" t="s">
        <v>5187</v>
      </c>
      <c r="H321" s="44"/>
      <c r="K321" s="330"/>
    </row>
    <row r="322">
      <c r="B322" s="44"/>
      <c r="C322" s="44"/>
      <c r="D322" s="44"/>
      <c r="E322" s="38" t="s">
        <v>5188</v>
      </c>
      <c r="F322" s="329" t="s">
        <v>5189</v>
      </c>
      <c r="G322" s="324" t="s">
        <v>5190</v>
      </c>
      <c r="H322" s="44"/>
      <c r="K322" s="330"/>
    </row>
    <row r="323">
      <c r="B323" s="44"/>
      <c r="C323" s="44"/>
      <c r="D323" s="44"/>
      <c r="E323" s="38" t="s">
        <v>1731</v>
      </c>
      <c r="F323" s="38" t="s">
        <v>5191</v>
      </c>
      <c r="G323" s="272" t="s">
        <v>5192</v>
      </c>
      <c r="H323" s="44"/>
      <c r="K323" s="330"/>
    </row>
    <row r="324">
      <c r="B324" s="331" t="s">
        <v>5193</v>
      </c>
      <c r="C324" s="44"/>
      <c r="D324" s="38" t="s">
        <v>5194</v>
      </c>
      <c r="E324" s="38" t="s">
        <v>1731</v>
      </c>
      <c r="F324" s="178" t="s">
        <v>5195</v>
      </c>
      <c r="G324" s="324" t="s">
        <v>5196</v>
      </c>
      <c r="H324" s="44"/>
      <c r="K324" s="330"/>
    </row>
    <row r="325">
      <c r="B325" s="44"/>
      <c r="C325" s="44"/>
      <c r="D325" s="44"/>
      <c r="E325" s="38" t="s">
        <v>1731</v>
      </c>
      <c r="F325" s="178" t="s">
        <v>5197</v>
      </c>
      <c r="G325" s="44"/>
      <c r="H325" s="44"/>
      <c r="K325" s="330"/>
    </row>
    <row r="326">
      <c r="B326" s="44"/>
      <c r="C326" s="294" t="s">
        <v>5198</v>
      </c>
      <c r="D326" s="38" t="s">
        <v>5199</v>
      </c>
      <c r="E326" s="38" t="s">
        <v>1731</v>
      </c>
      <c r="F326" s="331" t="s">
        <v>5200</v>
      </c>
      <c r="G326" s="38" t="s">
        <v>5201</v>
      </c>
      <c r="H326" s="44"/>
      <c r="K326" s="330"/>
    </row>
    <row r="327">
      <c r="B327" s="44"/>
      <c r="C327" s="38" t="s">
        <v>5192</v>
      </c>
      <c r="D327" s="44"/>
      <c r="E327" s="38" t="s">
        <v>1731</v>
      </c>
      <c r="F327" s="331" t="s">
        <v>5202</v>
      </c>
      <c r="G327" s="38" t="s">
        <v>5203</v>
      </c>
      <c r="H327" s="44"/>
      <c r="K327" s="330"/>
    </row>
    <row r="328">
      <c r="B328" s="44"/>
      <c r="C328" s="44"/>
      <c r="D328" s="44"/>
      <c r="E328" s="38" t="s">
        <v>1731</v>
      </c>
      <c r="F328" s="44"/>
      <c r="G328" s="44"/>
      <c r="H328" s="44"/>
      <c r="K328" s="330"/>
    </row>
    <row r="329">
      <c r="B329" s="332"/>
      <c r="C329" s="332"/>
      <c r="D329" s="294" t="s">
        <v>5204</v>
      </c>
      <c r="E329" s="38" t="s">
        <v>1731</v>
      </c>
      <c r="F329" s="38" t="s">
        <v>5205</v>
      </c>
      <c r="G329" s="44"/>
      <c r="H329" s="44"/>
      <c r="K329" s="330"/>
    </row>
    <row r="330">
      <c r="B330" s="333" t="s">
        <v>5206</v>
      </c>
      <c r="C330" s="44"/>
      <c r="D330" s="178" t="s">
        <v>5207</v>
      </c>
      <c r="E330" s="38" t="s">
        <v>1731</v>
      </c>
      <c r="F330" s="294" t="s">
        <v>5208</v>
      </c>
      <c r="G330" s="272" t="s">
        <v>5209</v>
      </c>
      <c r="H330" s="44"/>
      <c r="K330" s="330"/>
    </row>
    <row r="331">
      <c r="B331" s="44"/>
      <c r="C331" s="44"/>
      <c r="D331" s="105" t="s">
        <v>5210</v>
      </c>
      <c r="E331" s="38" t="s">
        <v>1731</v>
      </c>
      <c r="F331" s="105" t="s">
        <v>5211</v>
      </c>
      <c r="G331" s="44"/>
      <c r="H331" s="44"/>
      <c r="K331" s="330"/>
    </row>
    <row r="332">
      <c r="B332" s="38" t="s">
        <v>5212</v>
      </c>
      <c r="C332" s="44"/>
      <c r="D332" s="44"/>
      <c r="E332" s="38" t="s">
        <v>1731</v>
      </c>
      <c r="F332" s="178" t="s">
        <v>5213</v>
      </c>
      <c r="G332" s="38" t="s">
        <v>5214</v>
      </c>
      <c r="H332" s="44"/>
      <c r="K332" s="330"/>
    </row>
    <row r="333">
      <c r="B333" s="44"/>
      <c r="C333" s="44"/>
      <c r="D333" s="44"/>
      <c r="E333" s="47" t="s">
        <v>1731</v>
      </c>
      <c r="F333" s="272" t="s">
        <v>5215</v>
      </c>
      <c r="G333" s="38"/>
      <c r="H333" s="44"/>
      <c r="K333" s="330"/>
    </row>
    <row r="334">
      <c r="B334" s="272" t="s">
        <v>5216</v>
      </c>
      <c r="C334" s="44"/>
      <c r="D334" s="294" t="s">
        <v>5217</v>
      </c>
      <c r="E334" s="38" t="s">
        <v>1731</v>
      </c>
      <c r="F334" s="284" t="s">
        <v>5218</v>
      </c>
      <c r="G334" s="44"/>
      <c r="H334" s="38"/>
      <c r="K334" s="330"/>
    </row>
    <row r="335">
      <c r="B335" s="272" t="s">
        <v>5219</v>
      </c>
      <c r="C335" s="44"/>
      <c r="D335" s="178" t="s">
        <v>5220</v>
      </c>
      <c r="E335" s="38" t="s">
        <v>1731</v>
      </c>
      <c r="F335" s="178" t="s">
        <v>5221</v>
      </c>
      <c r="G335" s="38" t="s">
        <v>5222</v>
      </c>
      <c r="H335" s="44"/>
      <c r="K335" s="330"/>
    </row>
    <row r="336">
      <c r="B336" s="47" t="s">
        <v>5223</v>
      </c>
      <c r="C336" s="44"/>
      <c r="D336" s="47" t="s">
        <v>5224</v>
      </c>
      <c r="E336" s="47" t="s">
        <v>1731</v>
      </c>
      <c r="F336" s="47" t="s">
        <v>2533</v>
      </c>
      <c r="G336" s="47" t="s">
        <v>5225</v>
      </c>
      <c r="H336" s="44"/>
      <c r="K336" s="330"/>
    </row>
    <row r="337">
      <c r="B337" s="38" t="s">
        <v>5226</v>
      </c>
      <c r="C337" s="44"/>
      <c r="D337" s="38" t="s">
        <v>5227</v>
      </c>
      <c r="E337" s="38" t="s">
        <v>1731</v>
      </c>
      <c r="F337" s="178" t="s">
        <v>5228</v>
      </c>
      <c r="G337" s="44"/>
      <c r="H337" s="44"/>
      <c r="K337" s="330"/>
    </row>
    <row r="338">
      <c r="B338" s="44"/>
      <c r="C338" s="44"/>
      <c r="D338" s="47" t="s">
        <v>5229</v>
      </c>
      <c r="E338" s="38" t="s">
        <v>1731</v>
      </c>
      <c r="F338" s="272" t="s">
        <v>5230</v>
      </c>
      <c r="G338" s="44"/>
      <c r="H338" s="44"/>
      <c r="K338" s="330"/>
    </row>
    <row r="339">
      <c r="B339" s="47" t="s">
        <v>5231</v>
      </c>
      <c r="C339" s="44"/>
      <c r="D339" s="38" t="s">
        <v>5232</v>
      </c>
      <c r="E339" s="38" t="s">
        <v>1731</v>
      </c>
      <c r="F339" s="44"/>
      <c r="G339" s="38"/>
      <c r="H339" s="44"/>
      <c r="K339" s="330"/>
    </row>
    <row r="340">
      <c r="B340" s="38" t="s">
        <v>5233</v>
      </c>
      <c r="C340" s="38" t="s">
        <v>5234</v>
      </c>
      <c r="D340" s="38" t="s">
        <v>5235</v>
      </c>
      <c r="E340" s="38" t="s">
        <v>1731</v>
      </c>
      <c r="F340" s="38" t="s">
        <v>5236</v>
      </c>
      <c r="G340" s="38" t="s">
        <v>5237</v>
      </c>
      <c r="H340" s="44"/>
      <c r="K340" s="330"/>
    </row>
    <row r="341">
      <c r="B341" s="38" t="s">
        <v>5238</v>
      </c>
      <c r="C341" s="44"/>
      <c r="D341" s="151" t="s">
        <v>5239</v>
      </c>
      <c r="E341" s="38" t="s">
        <v>1731</v>
      </c>
      <c r="F341" s="44"/>
      <c r="G341" s="38"/>
      <c r="H341" s="44"/>
      <c r="K341" s="330"/>
    </row>
    <row r="342">
      <c r="B342" s="44"/>
      <c r="C342" s="44"/>
      <c r="D342" s="38" t="s">
        <v>5240</v>
      </c>
      <c r="E342" s="38" t="s">
        <v>1731</v>
      </c>
      <c r="F342" s="38" t="s">
        <v>5241</v>
      </c>
      <c r="G342" s="38"/>
      <c r="H342" s="44"/>
      <c r="K342" s="330"/>
    </row>
    <row r="343">
      <c r="B343" s="38" t="s">
        <v>5242</v>
      </c>
      <c r="C343" s="44"/>
      <c r="D343" s="38" t="s">
        <v>5243</v>
      </c>
      <c r="E343" s="38" t="s">
        <v>1731</v>
      </c>
      <c r="F343" s="38" t="s">
        <v>5244</v>
      </c>
      <c r="G343" s="38"/>
      <c r="H343" s="44"/>
      <c r="K343" s="330"/>
    </row>
    <row r="344">
      <c r="B344" s="305" t="s">
        <v>5245</v>
      </c>
      <c r="C344" s="305" t="s">
        <v>5246</v>
      </c>
      <c r="D344" s="305" t="s">
        <v>5247</v>
      </c>
      <c r="E344" s="38" t="s">
        <v>1731</v>
      </c>
      <c r="F344" s="38" t="s">
        <v>5248</v>
      </c>
      <c r="G344" s="38"/>
      <c r="H344" s="44"/>
      <c r="K344" s="330"/>
    </row>
    <row r="345">
      <c r="B345" s="294" t="s">
        <v>5249</v>
      </c>
      <c r="C345" s="294" t="s">
        <v>5250</v>
      </c>
      <c r="D345" s="44"/>
      <c r="E345" s="38" t="s">
        <v>5251</v>
      </c>
      <c r="F345" s="44"/>
      <c r="G345" s="38"/>
      <c r="H345" s="44"/>
      <c r="K345" s="330"/>
    </row>
    <row r="346">
      <c r="B346" s="305" t="s">
        <v>5252</v>
      </c>
      <c r="C346" s="334" t="s">
        <v>5253</v>
      </c>
      <c r="D346" s="38" t="s">
        <v>5254</v>
      </c>
      <c r="E346" s="38" t="s">
        <v>1731</v>
      </c>
      <c r="F346" s="47" t="s">
        <v>5255</v>
      </c>
      <c r="G346" s="38"/>
      <c r="H346" s="44"/>
      <c r="K346" s="330"/>
    </row>
    <row r="347">
      <c r="B347" s="335" t="s">
        <v>5256</v>
      </c>
      <c r="C347" s="334" t="s">
        <v>5257</v>
      </c>
      <c r="D347" s="38"/>
      <c r="E347" s="38" t="s">
        <v>1731</v>
      </c>
      <c r="F347" s="47"/>
      <c r="G347" s="38"/>
      <c r="H347" s="44"/>
      <c r="K347" s="330"/>
    </row>
    <row r="348">
      <c r="B348" s="85" t="s">
        <v>5258</v>
      </c>
      <c r="C348" s="85" t="s">
        <v>5259</v>
      </c>
      <c r="D348" s="85" t="s">
        <v>5260</v>
      </c>
      <c r="E348" s="47" t="s">
        <v>5261</v>
      </c>
      <c r="F348" s="85" t="s">
        <v>5262</v>
      </c>
      <c r="G348" s="38"/>
      <c r="H348" s="44"/>
      <c r="K348" s="330"/>
    </row>
    <row r="349">
      <c r="B349" s="336" t="s">
        <v>5263</v>
      </c>
      <c r="C349" s="38" t="s">
        <v>5264</v>
      </c>
      <c r="D349" s="294" t="s">
        <v>5265</v>
      </c>
      <c r="E349" s="47" t="s">
        <v>5261</v>
      </c>
      <c r="F349" s="85" t="s">
        <v>5266</v>
      </c>
      <c r="G349" s="38"/>
      <c r="H349" s="44"/>
      <c r="K349" s="330"/>
    </row>
    <row r="350">
      <c r="B350" s="336" t="s">
        <v>5267</v>
      </c>
      <c r="C350" s="38" t="s">
        <v>5268</v>
      </c>
      <c r="D350" s="294" t="s">
        <v>5269</v>
      </c>
      <c r="E350" s="47" t="s">
        <v>5261</v>
      </c>
      <c r="F350" s="85" t="s">
        <v>5270</v>
      </c>
      <c r="G350" s="38"/>
      <c r="H350" s="44"/>
      <c r="K350" s="330"/>
    </row>
    <row r="351">
      <c r="B351" s="336" t="s">
        <v>5271</v>
      </c>
      <c r="C351" s="38"/>
      <c r="D351" s="294"/>
      <c r="E351" s="47" t="s">
        <v>5261</v>
      </c>
      <c r="F351" s="85" t="s">
        <v>5272</v>
      </c>
      <c r="G351" s="44"/>
      <c r="H351" s="38"/>
      <c r="K351" s="330"/>
    </row>
    <row r="352">
      <c r="B352" s="38"/>
      <c r="C352" s="44"/>
      <c r="D352" s="38"/>
      <c r="E352" s="38" t="s">
        <v>1731</v>
      </c>
      <c r="F352" s="284" t="s">
        <v>5273</v>
      </c>
      <c r="G352" s="38"/>
      <c r="H352" s="38" t="s">
        <v>5274</v>
      </c>
      <c r="K352" s="330"/>
    </row>
    <row r="353">
      <c r="B353" s="38"/>
      <c r="C353" s="38" t="s">
        <v>5275</v>
      </c>
      <c r="D353" s="38" t="s">
        <v>5276</v>
      </c>
      <c r="E353" s="47" t="s">
        <v>5261</v>
      </c>
      <c r="F353" s="284"/>
      <c r="G353" s="38" t="s">
        <v>5277</v>
      </c>
      <c r="H353" s="38" t="s">
        <v>5278</v>
      </c>
      <c r="K353" s="330"/>
    </row>
    <row r="354">
      <c r="B354" s="38" t="s">
        <v>5279</v>
      </c>
      <c r="C354" s="44"/>
      <c r="D354" s="44"/>
      <c r="E354" s="276" t="s">
        <v>5280</v>
      </c>
      <c r="F354" s="38" t="s">
        <v>2252</v>
      </c>
      <c r="G354" s="44"/>
    </row>
    <row r="355">
      <c r="B355" s="38" t="s">
        <v>31</v>
      </c>
      <c r="C355" s="38">
        <v>4.0</v>
      </c>
      <c r="D355" s="38" t="s">
        <v>5281</v>
      </c>
      <c r="E355" s="38" t="s">
        <v>5282</v>
      </c>
      <c r="F355" s="38" t="s">
        <v>5283</v>
      </c>
      <c r="G355" s="38" t="s">
        <v>1808</v>
      </c>
      <c r="H355" s="38" t="s">
        <v>5284</v>
      </c>
    </row>
    <row r="356">
      <c r="B356" s="38" t="s">
        <v>876</v>
      </c>
      <c r="C356" s="38">
        <v>4.0</v>
      </c>
      <c r="D356" s="38" t="s">
        <v>232</v>
      </c>
      <c r="E356" s="38" t="s">
        <v>5285</v>
      </c>
      <c r="F356" s="38" t="s">
        <v>4759</v>
      </c>
      <c r="G356" s="38" t="s">
        <v>5286</v>
      </c>
    </row>
    <row r="357">
      <c r="B357" s="38" t="s">
        <v>183</v>
      </c>
      <c r="C357" s="38">
        <v>4.0</v>
      </c>
      <c r="D357" s="38" t="s">
        <v>315</v>
      </c>
      <c r="E357" s="38" t="s">
        <v>5287</v>
      </c>
      <c r="F357" s="38" t="s">
        <v>5288</v>
      </c>
      <c r="G357" s="38" t="s">
        <v>175</v>
      </c>
    </row>
    <row r="358">
      <c r="B358" s="38" t="s">
        <v>3822</v>
      </c>
      <c r="C358" s="38">
        <v>4.0</v>
      </c>
      <c r="D358" s="38" t="s">
        <v>5035</v>
      </c>
      <c r="E358" s="38" t="s">
        <v>5289</v>
      </c>
      <c r="F358" s="44"/>
      <c r="G358" s="38" t="s">
        <v>5290</v>
      </c>
    </row>
    <row r="359">
      <c r="B359" s="38"/>
      <c r="C359" s="38">
        <v>4.0</v>
      </c>
      <c r="D359" s="38" t="s">
        <v>5291</v>
      </c>
      <c r="E359" s="38" t="s">
        <v>5289</v>
      </c>
      <c r="F359" s="38" t="s">
        <v>5063</v>
      </c>
      <c r="G359" s="38" t="s">
        <v>5292</v>
      </c>
      <c r="H359" s="38" t="s">
        <v>5293</v>
      </c>
    </row>
    <row r="360">
      <c r="B360" s="38" t="s">
        <v>43</v>
      </c>
      <c r="C360" s="38">
        <v>2.0</v>
      </c>
      <c r="D360" s="38" t="s">
        <v>1563</v>
      </c>
      <c r="E360" s="281" t="s">
        <v>5294</v>
      </c>
      <c r="F360" s="44"/>
      <c r="G360" s="38" t="s">
        <v>5295</v>
      </c>
    </row>
    <row r="361">
      <c r="B361" s="38" t="s">
        <v>47</v>
      </c>
      <c r="C361" s="38">
        <v>2.0</v>
      </c>
      <c r="D361" s="38" t="s">
        <v>1563</v>
      </c>
      <c r="E361" s="281" t="s">
        <v>5294</v>
      </c>
      <c r="F361" s="44"/>
      <c r="G361" s="38" t="s">
        <v>5295</v>
      </c>
      <c r="O361" s="337"/>
    </row>
    <row r="362">
      <c r="B362" s="44"/>
      <c r="C362" s="44"/>
      <c r="D362" s="44"/>
      <c r="E362" s="38" t="s">
        <v>5296</v>
      </c>
      <c r="F362" s="38" t="s">
        <v>5297</v>
      </c>
      <c r="G362" s="38" t="s">
        <v>5298</v>
      </c>
    </row>
    <row r="363">
      <c r="B363" s="38" t="s">
        <v>5299</v>
      </c>
      <c r="C363" s="44"/>
      <c r="D363" s="38" t="s">
        <v>5300</v>
      </c>
      <c r="E363" s="38" t="s">
        <v>4077</v>
      </c>
      <c r="F363" s="38" t="s">
        <v>5301</v>
      </c>
      <c r="G363" s="38" t="s">
        <v>5302</v>
      </c>
      <c r="H363" s="38" t="s">
        <v>4937</v>
      </c>
      <c r="O363" s="301"/>
    </row>
    <row r="364">
      <c r="B364" s="44"/>
      <c r="C364" s="38" t="s">
        <v>5303</v>
      </c>
      <c r="D364" s="44"/>
      <c r="E364" s="38" t="s">
        <v>974</v>
      </c>
      <c r="F364" s="38" t="s">
        <v>5304</v>
      </c>
      <c r="G364" s="38" t="s">
        <v>5305</v>
      </c>
      <c r="H364" s="38" t="s">
        <v>4421</v>
      </c>
    </row>
    <row r="365">
      <c r="B365" s="44"/>
      <c r="C365" s="44"/>
      <c r="D365" s="44"/>
      <c r="E365" s="38" t="s">
        <v>5306</v>
      </c>
      <c r="F365" s="272" t="s">
        <v>5307</v>
      </c>
      <c r="G365" s="44"/>
      <c r="H365" s="38" t="s">
        <v>5308</v>
      </c>
    </row>
    <row r="366">
      <c r="B366" s="44"/>
      <c r="C366" s="44"/>
      <c r="D366" s="44"/>
      <c r="E366" s="38" t="s">
        <v>974</v>
      </c>
      <c r="F366" s="272" t="s">
        <v>5309</v>
      </c>
      <c r="G366" s="44"/>
      <c r="H366" s="38" t="s">
        <v>4421</v>
      </c>
    </row>
    <row r="367">
      <c r="B367" s="44"/>
      <c r="C367" s="44"/>
      <c r="D367" s="38" t="s">
        <v>5310</v>
      </c>
      <c r="E367" s="38" t="s">
        <v>5311</v>
      </c>
      <c r="F367" s="38" t="s">
        <v>5312</v>
      </c>
      <c r="G367" s="38" t="s">
        <v>5313</v>
      </c>
      <c r="H367" s="38" t="s">
        <v>5314</v>
      </c>
    </row>
    <row r="368">
      <c r="B368" s="38" t="s">
        <v>195</v>
      </c>
      <c r="C368" s="38">
        <v>2.0</v>
      </c>
      <c r="D368" s="38" t="s">
        <v>5315</v>
      </c>
      <c r="E368" s="38" t="s">
        <v>4804</v>
      </c>
      <c r="F368" s="38" t="s">
        <v>1261</v>
      </c>
      <c r="G368" s="338">
        <f>+37062658569</f>
        <v>37062658569</v>
      </c>
      <c r="H368" s="261" t="s">
        <v>5316</v>
      </c>
    </row>
    <row r="369">
      <c r="B369" s="38" t="s">
        <v>199</v>
      </c>
      <c r="C369" s="38">
        <v>2.0</v>
      </c>
      <c r="D369" s="38" t="s">
        <v>5315</v>
      </c>
      <c r="E369" s="38" t="s">
        <v>4804</v>
      </c>
      <c r="F369" s="38" t="s">
        <v>2507</v>
      </c>
      <c r="G369" s="38" t="s">
        <v>5317</v>
      </c>
      <c r="H369" s="38" t="s">
        <v>5316</v>
      </c>
    </row>
    <row r="370">
      <c r="B370" s="44"/>
      <c r="C370" s="44"/>
      <c r="D370" s="276" t="s">
        <v>5318</v>
      </c>
      <c r="E370" s="38" t="s">
        <v>5319</v>
      </c>
      <c r="F370" s="38" t="s">
        <v>5320</v>
      </c>
      <c r="G370" s="38" t="s">
        <v>5321</v>
      </c>
      <c r="H370" s="44"/>
    </row>
    <row r="371">
      <c r="B371" s="44"/>
      <c r="C371" s="44"/>
      <c r="D371" s="38" t="s">
        <v>5322</v>
      </c>
      <c r="E371" s="38" t="s">
        <v>2914</v>
      </c>
      <c r="F371" s="339" t="s">
        <v>5323</v>
      </c>
      <c r="G371" s="44"/>
      <c r="H371" s="44"/>
      <c r="I371" s="1" t="s">
        <v>144</v>
      </c>
    </row>
    <row r="372">
      <c r="B372" s="44"/>
      <c r="C372" s="44"/>
      <c r="D372" s="44"/>
      <c r="E372" s="38" t="s">
        <v>2914</v>
      </c>
      <c r="F372" s="340" t="s">
        <v>5324</v>
      </c>
      <c r="G372" s="44"/>
      <c r="H372" s="44"/>
      <c r="I372" s="1" t="s">
        <v>144</v>
      </c>
    </row>
    <row r="373">
      <c r="B373" s="44"/>
      <c r="C373" s="44"/>
      <c r="D373" s="44"/>
      <c r="E373" s="38" t="s">
        <v>974</v>
      </c>
      <c r="F373" s="38" t="s">
        <v>5325</v>
      </c>
      <c r="G373" s="44"/>
      <c r="H373" s="38" t="s">
        <v>4421</v>
      </c>
    </row>
    <row r="374">
      <c r="B374" s="44"/>
      <c r="C374" s="38">
        <v>4.0</v>
      </c>
      <c r="D374" s="261" t="s">
        <v>5326</v>
      </c>
      <c r="E374" s="38" t="s">
        <v>5327</v>
      </c>
      <c r="F374" s="38" t="s">
        <v>5328</v>
      </c>
      <c r="G374" s="44"/>
      <c r="H374" s="44"/>
    </row>
    <row r="375">
      <c r="B375" s="44"/>
      <c r="C375" s="44"/>
      <c r="D375" s="294" t="s">
        <v>4760</v>
      </c>
      <c r="E375" s="304" t="s">
        <v>5329</v>
      </c>
      <c r="F375" s="272" t="s">
        <v>5330</v>
      </c>
      <c r="G375" s="38" t="s">
        <v>5331</v>
      </c>
      <c r="H375" s="38" t="s">
        <v>5332</v>
      </c>
    </row>
    <row r="376">
      <c r="D376" s="38" t="s">
        <v>5333</v>
      </c>
      <c r="E376" s="304" t="s">
        <v>5334</v>
      </c>
      <c r="F376" s="38" t="s">
        <v>5335</v>
      </c>
      <c r="G376" s="38" t="s">
        <v>5336</v>
      </c>
      <c r="H376" s="38" t="s">
        <v>5337</v>
      </c>
    </row>
    <row r="377">
      <c r="B377" s="38" t="s">
        <v>22</v>
      </c>
      <c r="C377" s="38">
        <v>2.0</v>
      </c>
      <c r="D377" s="38" t="s">
        <v>5130</v>
      </c>
      <c r="E377" s="38" t="s">
        <v>5338</v>
      </c>
      <c r="F377" s="323"/>
      <c r="G377" s="38" t="s">
        <v>5339</v>
      </c>
    </row>
    <row r="378">
      <c r="B378" s="178" t="s">
        <v>5340</v>
      </c>
      <c r="C378" s="38" t="s">
        <v>3573</v>
      </c>
      <c r="D378" s="341" t="s">
        <v>5341</v>
      </c>
      <c r="E378" s="38" t="s">
        <v>2290</v>
      </c>
      <c r="F378" s="342" t="s">
        <v>5342</v>
      </c>
      <c r="G378" s="178" t="s">
        <v>5343</v>
      </c>
      <c r="H378" s="38" t="s">
        <v>5344</v>
      </c>
      <c r="I378" s="38" t="s">
        <v>5345</v>
      </c>
    </row>
    <row r="379">
      <c r="B379" s="44"/>
      <c r="C379" s="44"/>
      <c r="D379" s="38" t="s">
        <v>5346</v>
      </c>
      <c r="E379" s="38" t="s">
        <v>5347</v>
      </c>
      <c r="F379" s="38" t="s">
        <v>5348</v>
      </c>
      <c r="G379" s="44"/>
      <c r="H379" s="38" t="s">
        <v>5349</v>
      </c>
    </row>
    <row r="380">
      <c r="A380" s="1">
        <v>286.0</v>
      </c>
      <c r="B380" s="343" t="s">
        <v>5350</v>
      </c>
      <c r="C380" s="1" t="s">
        <v>5351</v>
      </c>
      <c r="D380" s="1" t="s">
        <v>5352</v>
      </c>
      <c r="E380" s="1" t="s">
        <v>4646</v>
      </c>
      <c r="F380" s="330" t="s">
        <v>5353</v>
      </c>
      <c r="G380" s="1" t="s">
        <v>5354</v>
      </c>
      <c r="H380" s="1" t="s">
        <v>5355</v>
      </c>
      <c r="I380" s="1" t="s">
        <v>5356</v>
      </c>
    </row>
    <row r="381">
      <c r="E381" s="38" t="s">
        <v>5357</v>
      </c>
      <c r="F381" s="38" t="s">
        <v>5358</v>
      </c>
      <c r="G381" s="38" t="s">
        <v>5359</v>
      </c>
    </row>
    <row r="382">
      <c r="B382" s="38" t="s">
        <v>183</v>
      </c>
      <c r="C382" s="38">
        <v>4.0</v>
      </c>
      <c r="D382" s="38" t="s">
        <v>1109</v>
      </c>
      <c r="E382" s="38" t="s">
        <v>5360</v>
      </c>
      <c r="F382" s="44"/>
      <c r="G382" s="38" t="s">
        <v>4333</v>
      </c>
      <c r="H382" s="38" t="s">
        <v>4333</v>
      </c>
    </row>
    <row r="383">
      <c r="B383" s="38" t="s">
        <v>25</v>
      </c>
      <c r="C383" s="38">
        <v>2.0</v>
      </c>
      <c r="D383" s="38" t="s">
        <v>289</v>
      </c>
      <c r="E383" s="38" t="s">
        <v>2914</v>
      </c>
      <c r="F383" s="38" t="s">
        <v>5361</v>
      </c>
      <c r="G383" s="38" t="s">
        <v>175</v>
      </c>
      <c r="H383" s="38" t="s">
        <v>5362</v>
      </c>
      <c r="I383" s="1" t="s">
        <v>144</v>
      </c>
    </row>
    <row r="384">
      <c r="B384" s="44"/>
      <c r="C384" s="44"/>
      <c r="D384" s="44"/>
      <c r="E384" s="38" t="s">
        <v>974</v>
      </c>
      <c r="F384" s="38" t="s">
        <v>5363</v>
      </c>
      <c r="G384" s="44"/>
      <c r="H384" s="38" t="s">
        <v>4421</v>
      </c>
    </row>
    <row r="385">
      <c r="B385" s="38" t="s">
        <v>246</v>
      </c>
      <c r="C385" s="38">
        <v>4.0</v>
      </c>
      <c r="D385" s="38" t="s">
        <v>444</v>
      </c>
      <c r="E385" s="38" t="s">
        <v>873</v>
      </c>
      <c r="F385" s="38" t="s">
        <v>1261</v>
      </c>
      <c r="G385" s="38" t="s">
        <v>175</v>
      </c>
      <c r="H385" s="38" t="s">
        <v>4747</v>
      </c>
    </row>
    <row r="386">
      <c r="B386" s="38" t="s">
        <v>5364</v>
      </c>
      <c r="C386" s="38" t="s">
        <v>2520</v>
      </c>
      <c r="D386" s="38" t="s">
        <v>5365</v>
      </c>
      <c r="E386" s="38" t="s">
        <v>5366</v>
      </c>
      <c r="F386" s="38" t="s">
        <v>5367</v>
      </c>
      <c r="G386" s="38" t="s">
        <v>5368</v>
      </c>
      <c r="H386" s="38" t="s">
        <v>5369</v>
      </c>
      <c r="I386" s="38" t="s">
        <v>4421</v>
      </c>
    </row>
    <row r="387">
      <c r="B387" s="44"/>
      <c r="C387" s="44"/>
      <c r="D387" s="44"/>
      <c r="E387" s="38" t="s">
        <v>5370</v>
      </c>
      <c r="F387" s="38" t="s">
        <v>5371</v>
      </c>
      <c r="G387" s="44"/>
      <c r="H387" s="44"/>
      <c r="I387" s="38" t="s">
        <v>4421</v>
      </c>
    </row>
    <row r="388">
      <c r="B388" s="38" t="s">
        <v>354</v>
      </c>
      <c r="C388" s="38">
        <v>4.0</v>
      </c>
      <c r="D388" s="38" t="s">
        <v>163</v>
      </c>
      <c r="E388" s="38" t="s">
        <v>5372</v>
      </c>
      <c r="F388" s="38" t="s">
        <v>5373</v>
      </c>
      <c r="G388" s="38" t="s">
        <v>5374</v>
      </c>
    </row>
    <row r="389">
      <c r="B389" s="38" t="s">
        <v>1182</v>
      </c>
      <c r="C389" s="38">
        <v>4.0</v>
      </c>
      <c r="D389" s="38" t="s">
        <v>315</v>
      </c>
      <c r="E389" s="38" t="s">
        <v>5372</v>
      </c>
      <c r="F389" s="38" t="s">
        <v>5375</v>
      </c>
      <c r="G389" s="38" t="s">
        <v>5374</v>
      </c>
    </row>
    <row r="390">
      <c r="B390" s="38" t="s">
        <v>5376</v>
      </c>
      <c r="C390" s="44"/>
      <c r="D390" s="38" t="s">
        <v>1460</v>
      </c>
      <c r="E390" s="38" t="s">
        <v>5377</v>
      </c>
      <c r="F390" s="38" t="s">
        <v>5378</v>
      </c>
      <c r="G390" s="38" t="s">
        <v>5379</v>
      </c>
      <c r="H390" s="38" t="s">
        <v>5380</v>
      </c>
      <c r="I390" s="1" t="s">
        <v>144</v>
      </c>
    </row>
    <row r="391">
      <c r="B391" s="38" t="s">
        <v>5381</v>
      </c>
      <c r="C391" s="38">
        <v>4.0</v>
      </c>
      <c r="D391" s="38" t="s">
        <v>5382</v>
      </c>
      <c r="E391" s="281" t="s">
        <v>5383</v>
      </c>
      <c r="F391" s="38" t="s">
        <v>1743</v>
      </c>
      <c r="G391" s="38" t="s">
        <v>5384</v>
      </c>
      <c r="H391" s="44"/>
    </row>
    <row r="392">
      <c r="B392" s="38" t="s">
        <v>28</v>
      </c>
      <c r="C392" s="38">
        <v>2.0</v>
      </c>
      <c r="D392" s="38" t="s">
        <v>5385</v>
      </c>
      <c r="E392" s="38" t="s">
        <v>418</v>
      </c>
      <c r="F392" s="38" t="s">
        <v>5386</v>
      </c>
      <c r="G392" s="38" t="s">
        <v>5387</v>
      </c>
    </row>
    <row r="393">
      <c r="B393" s="38" t="s">
        <v>5388</v>
      </c>
      <c r="C393" s="38" t="s">
        <v>535</v>
      </c>
      <c r="D393" s="331" t="s">
        <v>5389</v>
      </c>
      <c r="E393" s="38" t="s">
        <v>5390</v>
      </c>
      <c r="F393" s="272" t="s">
        <v>5391</v>
      </c>
      <c r="G393" s="334" t="s">
        <v>5392</v>
      </c>
      <c r="H393" s="38" t="s">
        <v>5393</v>
      </c>
    </row>
    <row r="394">
      <c r="B394" s="44"/>
      <c r="C394" s="44"/>
      <c r="D394" s="44"/>
      <c r="E394" s="38" t="s">
        <v>541</v>
      </c>
      <c r="F394" s="38" t="s">
        <v>1475</v>
      </c>
      <c r="G394" s="38" t="s">
        <v>5394</v>
      </c>
      <c r="H394" s="38" t="s">
        <v>5395</v>
      </c>
    </row>
    <row r="395">
      <c r="B395" s="38" t="s">
        <v>2365</v>
      </c>
      <c r="C395" s="38">
        <v>4.0</v>
      </c>
      <c r="D395" s="38" t="s">
        <v>5396</v>
      </c>
      <c r="E395" s="38" t="s">
        <v>5397</v>
      </c>
      <c r="F395" s="38" t="s">
        <v>5398</v>
      </c>
      <c r="G395" s="38" t="s">
        <v>5399</v>
      </c>
      <c r="H395" s="38" t="s">
        <v>5400</v>
      </c>
    </row>
    <row r="396">
      <c r="A396" s="294" t="s">
        <v>5401</v>
      </c>
      <c r="B396" s="294" t="s">
        <v>5402</v>
      </c>
      <c r="C396" s="272" t="s">
        <v>5403</v>
      </c>
      <c r="D396" s="272" t="s">
        <v>5404</v>
      </c>
      <c r="E396" s="38" t="s">
        <v>5405</v>
      </c>
      <c r="F396" s="38" t="s">
        <v>4246</v>
      </c>
      <c r="G396" s="294" t="s">
        <v>5406</v>
      </c>
      <c r="H396" s="38" t="s">
        <v>5407</v>
      </c>
    </row>
    <row r="397">
      <c r="A397" s="294"/>
      <c r="B397" s="294" t="s">
        <v>5408</v>
      </c>
      <c r="C397" s="38" t="s">
        <v>5409</v>
      </c>
      <c r="D397" s="272" t="s">
        <v>5410</v>
      </c>
      <c r="E397" s="38" t="s">
        <v>5405</v>
      </c>
      <c r="F397" s="272" t="s">
        <v>5411</v>
      </c>
      <c r="G397" s="178" t="s">
        <v>5412</v>
      </c>
      <c r="H397" s="38" t="s">
        <v>5407</v>
      </c>
    </row>
    <row r="398">
      <c r="B398" s="38" t="s">
        <v>5413</v>
      </c>
      <c r="C398" s="44"/>
      <c r="D398" s="294" t="s">
        <v>5414</v>
      </c>
      <c r="E398" s="38" t="s">
        <v>541</v>
      </c>
      <c r="F398" s="105" t="s">
        <v>5415</v>
      </c>
      <c r="G398" s="294" t="s">
        <v>5416</v>
      </c>
      <c r="H398" s="38" t="s">
        <v>5395</v>
      </c>
    </row>
    <row r="399">
      <c r="B399" s="38" t="s">
        <v>85</v>
      </c>
      <c r="C399" s="38">
        <v>2.0</v>
      </c>
      <c r="D399" s="294" t="s">
        <v>3468</v>
      </c>
      <c r="E399" s="38" t="s">
        <v>5417</v>
      </c>
      <c r="F399" s="38" t="s">
        <v>5418</v>
      </c>
      <c r="G399" s="294" t="s">
        <v>5419</v>
      </c>
      <c r="H399" s="44"/>
    </row>
    <row r="400">
      <c r="B400" s="44"/>
      <c r="C400" s="44"/>
      <c r="D400" s="44"/>
      <c r="E400" s="38" t="s">
        <v>5420</v>
      </c>
      <c r="F400" s="38" t="s">
        <v>5421</v>
      </c>
      <c r="G400" s="38" t="s">
        <v>5422</v>
      </c>
      <c r="H400" s="38" t="s">
        <v>5423</v>
      </c>
    </row>
    <row r="401">
      <c r="B401" s="38" t="s">
        <v>205</v>
      </c>
      <c r="C401" s="38">
        <v>2.0</v>
      </c>
      <c r="D401" s="38" t="s">
        <v>2097</v>
      </c>
      <c r="E401" s="38" t="s">
        <v>5424</v>
      </c>
      <c r="F401" s="38" t="s">
        <v>5425</v>
      </c>
      <c r="G401" s="38" t="s">
        <v>175</v>
      </c>
      <c r="H401" s="38" t="s">
        <v>5426</v>
      </c>
    </row>
    <row r="402">
      <c r="B402" s="38" t="s">
        <v>25</v>
      </c>
      <c r="C402" s="38">
        <v>4.0</v>
      </c>
      <c r="D402" s="38" t="s">
        <v>2097</v>
      </c>
      <c r="E402" s="38" t="s">
        <v>5424</v>
      </c>
      <c r="F402" s="38" t="s">
        <v>5427</v>
      </c>
      <c r="G402" s="44"/>
    </row>
    <row r="403">
      <c r="B403" s="38" t="s">
        <v>205</v>
      </c>
      <c r="C403" s="38">
        <v>4.0</v>
      </c>
      <c r="D403" s="38" t="s">
        <v>2097</v>
      </c>
      <c r="E403" s="38" t="s">
        <v>5428</v>
      </c>
      <c r="F403" s="38" t="s">
        <v>175</v>
      </c>
      <c r="G403" s="38" t="s">
        <v>4547</v>
      </c>
    </row>
    <row r="404">
      <c r="B404" s="38" t="s">
        <v>5429</v>
      </c>
      <c r="C404" s="38" t="s">
        <v>5430</v>
      </c>
      <c r="D404" s="38" t="s">
        <v>5431</v>
      </c>
      <c r="E404" s="38" t="s">
        <v>5432</v>
      </c>
      <c r="F404" s="38" t="s">
        <v>5433</v>
      </c>
      <c r="G404" s="38" t="s">
        <v>5434</v>
      </c>
      <c r="H404" s="38" t="s">
        <v>5435</v>
      </c>
    </row>
    <row r="405">
      <c r="B405" s="38" t="s">
        <v>5436</v>
      </c>
      <c r="C405" s="294" t="s">
        <v>5437</v>
      </c>
      <c r="D405" s="38" t="s">
        <v>5438</v>
      </c>
      <c r="E405" s="38" t="s">
        <v>5439</v>
      </c>
      <c r="F405" s="38" t="s">
        <v>5440</v>
      </c>
      <c r="G405" s="38" t="s">
        <v>5441</v>
      </c>
      <c r="H405" s="38" t="s">
        <v>5435</v>
      </c>
    </row>
    <row r="406">
      <c r="B406" s="38" t="s">
        <v>5442</v>
      </c>
      <c r="C406" s="178" t="s">
        <v>5443</v>
      </c>
      <c r="D406" s="38" t="s">
        <v>5444</v>
      </c>
      <c r="E406" s="38" t="s">
        <v>5439</v>
      </c>
      <c r="F406" s="38" t="s">
        <v>5445</v>
      </c>
      <c r="G406" s="44"/>
      <c r="H406" s="38" t="s">
        <v>5435</v>
      </c>
    </row>
    <row r="407">
      <c r="B407" s="178" t="s">
        <v>5446</v>
      </c>
      <c r="C407" s="38" t="s">
        <v>5447</v>
      </c>
      <c r="D407" s="38" t="s">
        <v>5448</v>
      </c>
      <c r="E407" s="38" t="s">
        <v>5439</v>
      </c>
      <c r="F407" s="38" t="s">
        <v>5449</v>
      </c>
      <c r="G407" s="44"/>
      <c r="H407" s="38" t="s">
        <v>5435</v>
      </c>
      <c r="J407" s="1"/>
    </row>
    <row r="408">
      <c r="B408" s="38" t="s">
        <v>5450</v>
      </c>
      <c r="C408" s="38" t="s">
        <v>5451</v>
      </c>
      <c r="D408" s="38" t="s">
        <v>5452</v>
      </c>
      <c r="E408" s="38" t="s">
        <v>5439</v>
      </c>
      <c r="F408" s="38" t="s">
        <v>5453</v>
      </c>
      <c r="G408" s="44"/>
      <c r="H408" s="38" t="s">
        <v>5435</v>
      </c>
      <c r="J408" s="1"/>
    </row>
    <row r="409">
      <c r="B409" s="38" t="s">
        <v>5454</v>
      </c>
      <c r="C409" s="38" t="s">
        <v>5455</v>
      </c>
      <c r="D409" s="178" t="s">
        <v>5456</v>
      </c>
      <c r="E409" s="38" t="s">
        <v>5439</v>
      </c>
      <c r="F409" s="38" t="s">
        <v>5457</v>
      </c>
      <c r="G409" s="44"/>
      <c r="H409" s="38" t="s">
        <v>5435</v>
      </c>
      <c r="J409" s="1"/>
    </row>
    <row r="410">
      <c r="B410" s="294" t="s">
        <v>5458</v>
      </c>
      <c r="C410" s="38" t="s">
        <v>5459</v>
      </c>
      <c r="D410" s="294" t="s">
        <v>5460</v>
      </c>
      <c r="E410" s="38" t="s">
        <v>5461</v>
      </c>
      <c r="F410" s="38" t="s">
        <v>5462</v>
      </c>
      <c r="G410" s="38"/>
      <c r="H410" s="38" t="s">
        <v>5435</v>
      </c>
      <c r="J410" s="1"/>
    </row>
    <row r="411">
      <c r="B411" s="38" t="s">
        <v>5463</v>
      </c>
      <c r="C411" s="38" t="s">
        <v>5464</v>
      </c>
      <c r="D411" s="38" t="s">
        <v>5465</v>
      </c>
      <c r="E411" s="38" t="s">
        <v>5461</v>
      </c>
      <c r="F411" s="38" t="s">
        <v>5466</v>
      </c>
      <c r="G411" s="44"/>
      <c r="H411" s="38" t="s">
        <v>5435</v>
      </c>
      <c r="J411" s="1"/>
    </row>
    <row r="412">
      <c r="B412" s="38" t="s">
        <v>5467</v>
      </c>
      <c r="C412" s="44"/>
      <c r="D412" s="44"/>
      <c r="E412" s="38" t="s">
        <v>5461</v>
      </c>
      <c r="F412" s="38" t="s">
        <v>5468</v>
      </c>
      <c r="G412" s="44"/>
      <c r="H412" s="38" t="s">
        <v>5435</v>
      </c>
      <c r="J412" s="1"/>
    </row>
    <row r="413">
      <c r="B413" s="178" t="s">
        <v>5469</v>
      </c>
      <c r="C413" s="299" t="s">
        <v>5470</v>
      </c>
      <c r="D413" s="299" t="s">
        <v>5471</v>
      </c>
      <c r="E413" s="38" t="s">
        <v>5461</v>
      </c>
      <c r="F413" s="38" t="s">
        <v>5472</v>
      </c>
      <c r="G413" s="38"/>
      <c r="H413" s="38" t="s">
        <v>5435</v>
      </c>
      <c r="I413" s="1"/>
      <c r="J413" s="1"/>
    </row>
    <row r="414">
      <c r="B414" s="299" t="s">
        <v>5473</v>
      </c>
      <c r="C414" s="44"/>
      <c r="D414" s="299" t="s">
        <v>5474</v>
      </c>
      <c r="E414" s="38" t="s">
        <v>5461</v>
      </c>
      <c r="F414" s="38" t="s">
        <v>5475</v>
      </c>
      <c r="G414" s="38"/>
      <c r="H414" s="38" t="s">
        <v>5435</v>
      </c>
      <c r="I414" s="1"/>
      <c r="J414" s="1"/>
    </row>
    <row r="415">
      <c r="B415" s="272" t="s">
        <v>5476</v>
      </c>
      <c r="C415" s="44"/>
      <c r="D415" s="38" t="s">
        <v>1648</v>
      </c>
      <c r="E415" s="38" t="s">
        <v>4959</v>
      </c>
      <c r="F415" s="272"/>
      <c r="G415" s="272" t="s">
        <v>5477</v>
      </c>
      <c r="H415" s="272" t="s">
        <v>5478</v>
      </c>
    </row>
    <row r="416">
      <c r="B416" s="272"/>
      <c r="C416" s="44"/>
      <c r="D416" s="38"/>
      <c r="E416" s="38" t="s">
        <v>4959</v>
      </c>
      <c r="F416" s="272" t="s">
        <v>5479</v>
      </c>
      <c r="G416" s="272"/>
      <c r="H416" s="272" t="s">
        <v>5480</v>
      </c>
    </row>
    <row r="417">
      <c r="B417" s="38" t="s">
        <v>439</v>
      </c>
      <c r="C417" s="38">
        <v>1.0</v>
      </c>
      <c r="D417" s="38" t="s">
        <v>5481</v>
      </c>
      <c r="E417" s="38" t="s">
        <v>873</v>
      </c>
      <c r="F417" s="272" t="s">
        <v>5482</v>
      </c>
      <c r="G417" s="38" t="s">
        <v>5483</v>
      </c>
      <c r="H417" s="272" t="s">
        <v>5484</v>
      </c>
    </row>
    <row r="418">
      <c r="A418" s="44"/>
      <c r="B418" s="38" t="s">
        <v>5485</v>
      </c>
      <c r="C418" s="44"/>
      <c r="D418" s="314" t="s">
        <v>5486</v>
      </c>
      <c r="E418" s="38" t="s">
        <v>5487</v>
      </c>
      <c r="F418" s="272" t="s">
        <v>5488</v>
      </c>
      <c r="G418" s="38" t="s">
        <v>5489</v>
      </c>
      <c r="H418" s="38" t="s">
        <v>5490</v>
      </c>
      <c r="I418" s="38" t="s">
        <v>4421</v>
      </c>
      <c r="J418" s="44"/>
      <c r="K418" s="44"/>
      <c r="L418" s="44"/>
    </row>
    <row r="419">
      <c r="A419" s="44"/>
      <c r="B419" s="344" t="s">
        <v>5491</v>
      </c>
      <c r="C419" s="345" t="s">
        <v>5492</v>
      </c>
      <c r="D419" s="44"/>
      <c r="E419" s="38" t="s">
        <v>5493</v>
      </c>
      <c r="F419" s="346" t="s">
        <v>4211</v>
      </c>
      <c r="G419" s="345"/>
      <c r="H419" s="44"/>
      <c r="I419" s="38" t="s">
        <v>4421</v>
      </c>
      <c r="J419" s="44"/>
      <c r="K419" s="44"/>
      <c r="L419" s="44"/>
    </row>
    <row r="420">
      <c r="A420" s="44"/>
      <c r="B420" s="38" t="s">
        <v>479</v>
      </c>
      <c r="C420" s="38">
        <v>2.0</v>
      </c>
      <c r="D420" s="59" t="s">
        <v>5494</v>
      </c>
      <c r="E420" s="38" t="s">
        <v>5495</v>
      </c>
      <c r="F420" s="272" t="s">
        <v>925</v>
      </c>
      <c r="G420" s="38" t="s">
        <v>5496</v>
      </c>
      <c r="H420" s="38" t="s">
        <v>5497</v>
      </c>
      <c r="I420" s="44"/>
      <c r="J420" s="44"/>
      <c r="K420" s="44"/>
      <c r="L420" s="44"/>
    </row>
    <row r="421">
      <c r="A421" s="44"/>
      <c r="B421" s="38" t="s">
        <v>5498</v>
      </c>
      <c r="C421" s="44"/>
      <c r="D421" s="38" t="s">
        <v>5499</v>
      </c>
      <c r="E421" s="38" t="s">
        <v>5500</v>
      </c>
      <c r="F421" s="38" t="s">
        <v>5501</v>
      </c>
      <c r="G421" s="38" t="s">
        <v>5502</v>
      </c>
      <c r="H421" s="38" t="s">
        <v>5503</v>
      </c>
      <c r="I421" s="38" t="s">
        <v>5504</v>
      </c>
      <c r="J421" s="44"/>
      <c r="K421" s="44"/>
      <c r="L421" s="44"/>
    </row>
    <row r="422">
      <c r="A422" s="44"/>
      <c r="B422" s="44"/>
      <c r="C422" s="44"/>
      <c r="D422" s="44"/>
      <c r="E422" s="38" t="s">
        <v>873</v>
      </c>
      <c r="F422" s="310" t="s">
        <v>5505</v>
      </c>
      <c r="G422" s="38" t="s">
        <v>5506</v>
      </c>
      <c r="H422" s="38"/>
      <c r="I422" s="38"/>
      <c r="J422" s="44"/>
      <c r="K422" s="44"/>
      <c r="L422" s="44"/>
    </row>
    <row r="423">
      <c r="A423" s="44"/>
      <c r="B423" s="44"/>
      <c r="C423" s="44"/>
      <c r="D423" s="44"/>
      <c r="E423" s="38" t="s">
        <v>4762</v>
      </c>
      <c r="F423" s="38" t="s">
        <v>5507</v>
      </c>
      <c r="G423" s="38" t="s">
        <v>5508</v>
      </c>
      <c r="H423" s="38" t="s">
        <v>5509</v>
      </c>
      <c r="I423" s="44"/>
      <c r="J423" s="44"/>
      <c r="K423" s="44"/>
      <c r="L423" s="44"/>
    </row>
    <row r="424">
      <c r="A424" s="44"/>
      <c r="B424" s="38" t="s">
        <v>5510</v>
      </c>
      <c r="C424" s="44"/>
      <c r="D424" s="38" t="s">
        <v>5511</v>
      </c>
      <c r="E424" s="38" t="s">
        <v>5512</v>
      </c>
      <c r="F424" s="38" t="s">
        <v>5513</v>
      </c>
      <c r="G424" s="38" t="s">
        <v>5514</v>
      </c>
      <c r="H424" s="44"/>
      <c r="I424" s="276" t="s">
        <v>5515</v>
      </c>
      <c r="J424" s="44"/>
      <c r="K424" s="38" t="s">
        <v>5516</v>
      </c>
      <c r="L424" s="38" t="s">
        <v>4421</v>
      </c>
    </row>
    <row r="425">
      <c r="A425" s="44"/>
      <c r="B425" s="44"/>
      <c r="C425" s="38"/>
      <c r="D425" s="38" t="s">
        <v>5517</v>
      </c>
      <c r="E425" s="38" t="s">
        <v>5512</v>
      </c>
      <c r="F425" s="38"/>
      <c r="G425" s="38"/>
      <c r="H425" s="44"/>
      <c r="I425" s="276"/>
      <c r="J425" s="44"/>
      <c r="K425" s="38"/>
      <c r="L425" s="38" t="s">
        <v>4421</v>
      </c>
    </row>
    <row r="426">
      <c r="B426" s="44"/>
      <c r="C426" s="38">
        <v>1.0</v>
      </c>
      <c r="D426" s="276" t="s">
        <v>5518</v>
      </c>
      <c r="E426" s="38" t="s">
        <v>5519</v>
      </c>
      <c r="F426" s="38" t="s">
        <v>5520</v>
      </c>
      <c r="G426" s="38" t="s">
        <v>5521</v>
      </c>
      <c r="H426" s="38" t="s">
        <v>5522</v>
      </c>
    </row>
    <row r="427">
      <c r="B427" s="44"/>
      <c r="C427" s="38">
        <v>1.0</v>
      </c>
      <c r="D427" s="38" t="s">
        <v>5523</v>
      </c>
      <c r="E427" s="38" t="s">
        <v>5519</v>
      </c>
      <c r="F427" s="38" t="s">
        <v>4474</v>
      </c>
      <c r="G427" s="38" t="s">
        <v>5521</v>
      </c>
      <c r="H427" s="38" t="s">
        <v>5524</v>
      </c>
    </row>
    <row r="428">
      <c r="B428" s="38" t="s">
        <v>31</v>
      </c>
      <c r="C428" s="38">
        <v>4.0</v>
      </c>
      <c r="D428" s="38" t="s">
        <v>1109</v>
      </c>
      <c r="E428" s="38" t="s">
        <v>5525</v>
      </c>
      <c r="F428" s="38" t="s">
        <v>5526</v>
      </c>
      <c r="G428" s="38" t="s">
        <v>5527</v>
      </c>
    </row>
    <row r="429">
      <c r="B429" s="38" t="s">
        <v>47</v>
      </c>
      <c r="C429" s="38">
        <v>1.0</v>
      </c>
      <c r="D429" s="38" t="s">
        <v>5528</v>
      </c>
      <c r="E429" s="38" t="s">
        <v>418</v>
      </c>
      <c r="F429" s="38">
        <v>210.05</v>
      </c>
      <c r="G429" s="38" t="s">
        <v>5387</v>
      </c>
    </row>
    <row r="430">
      <c r="B430" s="38" t="s">
        <v>25</v>
      </c>
      <c r="C430" s="38">
        <v>4.0</v>
      </c>
      <c r="D430" s="38" t="s">
        <v>232</v>
      </c>
      <c r="E430" s="281" t="s">
        <v>5529</v>
      </c>
      <c r="F430" s="38" t="s">
        <v>5530</v>
      </c>
      <c r="G430" s="38" t="s">
        <v>5531</v>
      </c>
    </row>
    <row r="431">
      <c r="B431" s="38" t="s">
        <v>205</v>
      </c>
      <c r="C431" s="38">
        <v>4.0</v>
      </c>
      <c r="D431" s="38" t="s">
        <v>2097</v>
      </c>
      <c r="E431" s="38" t="s">
        <v>4804</v>
      </c>
      <c r="F431" s="38" t="s">
        <v>5532</v>
      </c>
      <c r="G431" s="38" t="s">
        <v>5533</v>
      </c>
      <c r="H431" s="38" t="s">
        <v>5534</v>
      </c>
    </row>
    <row r="432">
      <c r="B432" s="38" t="s">
        <v>88</v>
      </c>
      <c r="C432" s="38">
        <v>4.0</v>
      </c>
      <c r="D432" s="38" t="s">
        <v>5535</v>
      </c>
      <c r="E432" s="274" t="s">
        <v>5536</v>
      </c>
      <c r="F432" s="38" t="s">
        <v>5537</v>
      </c>
      <c r="G432" s="38" t="s">
        <v>5538</v>
      </c>
      <c r="H432" s="38" t="s">
        <v>5539</v>
      </c>
    </row>
    <row r="433">
      <c r="B433" s="38" t="s">
        <v>25</v>
      </c>
      <c r="C433" s="38">
        <v>4.0</v>
      </c>
      <c r="D433" s="38" t="s">
        <v>289</v>
      </c>
      <c r="E433" s="38" t="s">
        <v>5540</v>
      </c>
      <c r="F433" s="44"/>
      <c r="G433" s="38" t="s">
        <v>175</v>
      </c>
    </row>
    <row r="434">
      <c r="B434" s="44"/>
      <c r="C434" s="44"/>
      <c r="D434" s="44"/>
      <c r="E434" s="38" t="s">
        <v>5541</v>
      </c>
      <c r="F434" s="38" t="s">
        <v>5542</v>
      </c>
      <c r="G434" s="38" t="s">
        <v>175</v>
      </c>
    </row>
    <row r="435">
      <c r="B435" s="44"/>
      <c r="C435" s="44"/>
      <c r="D435" s="44"/>
      <c r="E435" s="38" t="s">
        <v>1017</v>
      </c>
      <c r="F435" s="272" t="s">
        <v>5543</v>
      </c>
      <c r="G435" s="38" t="s">
        <v>5544</v>
      </c>
    </row>
    <row r="436">
      <c r="B436" s="38" t="s">
        <v>43</v>
      </c>
      <c r="C436" s="38">
        <v>2.0</v>
      </c>
      <c r="D436" s="38" t="s">
        <v>36</v>
      </c>
      <c r="E436" s="274" t="s">
        <v>5545</v>
      </c>
      <c r="F436" s="38" t="s">
        <v>5546</v>
      </c>
      <c r="G436" s="38" t="s">
        <v>5547</v>
      </c>
    </row>
    <row r="437">
      <c r="B437" s="38" t="s">
        <v>47</v>
      </c>
      <c r="C437" s="38">
        <v>2.0</v>
      </c>
      <c r="D437" s="38" t="s">
        <v>36</v>
      </c>
      <c r="E437" s="274" t="s">
        <v>5545</v>
      </c>
      <c r="F437" s="323"/>
      <c r="G437" s="38" t="s">
        <v>5547</v>
      </c>
    </row>
    <row r="438">
      <c r="B438" s="38" t="s">
        <v>3682</v>
      </c>
      <c r="C438" s="38">
        <v>4.0</v>
      </c>
      <c r="D438" s="38" t="s">
        <v>2097</v>
      </c>
      <c r="E438" s="38" t="s">
        <v>5548</v>
      </c>
      <c r="F438" s="38" t="s">
        <v>5549</v>
      </c>
      <c r="G438" s="38" t="s">
        <v>5550</v>
      </c>
    </row>
    <row r="439">
      <c r="B439" s="38" t="s">
        <v>495</v>
      </c>
      <c r="C439" s="38">
        <v>4.0</v>
      </c>
      <c r="D439" s="38" t="s">
        <v>5551</v>
      </c>
      <c r="E439" s="38" t="s">
        <v>974</v>
      </c>
      <c r="F439" s="38" t="s">
        <v>5552</v>
      </c>
      <c r="G439" s="38" t="s">
        <v>5553</v>
      </c>
    </row>
    <row r="440">
      <c r="B440" s="38" t="s">
        <v>25</v>
      </c>
      <c r="C440" s="38">
        <v>4.0</v>
      </c>
      <c r="D440" s="38" t="s">
        <v>232</v>
      </c>
      <c r="E440" s="38" t="s">
        <v>5554</v>
      </c>
      <c r="F440" s="44"/>
      <c r="G440" s="38" t="s">
        <v>5555</v>
      </c>
    </row>
    <row r="441">
      <c r="B441" s="38" t="s">
        <v>122</v>
      </c>
      <c r="C441" s="38">
        <v>4.0</v>
      </c>
      <c r="D441" s="38" t="s">
        <v>881</v>
      </c>
      <c r="E441" s="38" t="s">
        <v>5556</v>
      </c>
      <c r="F441" s="38" t="s">
        <v>4759</v>
      </c>
      <c r="G441" s="38" t="s">
        <v>5557</v>
      </c>
    </row>
    <row r="442">
      <c r="B442" s="38" t="s">
        <v>495</v>
      </c>
      <c r="C442" s="38">
        <v>4.0</v>
      </c>
      <c r="D442" s="38" t="s">
        <v>5551</v>
      </c>
      <c r="E442" s="38" t="s">
        <v>974</v>
      </c>
      <c r="F442" s="38" t="s">
        <v>4430</v>
      </c>
      <c r="G442" s="38" t="s">
        <v>5553</v>
      </c>
    </row>
    <row r="443">
      <c r="B443" s="38" t="s">
        <v>5558</v>
      </c>
      <c r="C443" s="38">
        <v>4.0</v>
      </c>
      <c r="D443" s="38" t="s">
        <v>5035</v>
      </c>
      <c r="E443" s="38" t="s">
        <v>418</v>
      </c>
      <c r="F443" s="59" t="s">
        <v>5559</v>
      </c>
      <c r="G443" s="38" t="s">
        <v>5560</v>
      </c>
    </row>
    <row r="444">
      <c r="A444" s="1">
        <v>195.0</v>
      </c>
      <c r="D444" s="1" t="s">
        <v>5561</v>
      </c>
      <c r="E444" s="1" t="s">
        <v>5562</v>
      </c>
      <c r="F444" s="1" t="s">
        <v>5563</v>
      </c>
      <c r="G444" s="1" t="s">
        <v>5564</v>
      </c>
    </row>
    <row r="445">
      <c r="B445" s="1" t="s">
        <v>4563</v>
      </c>
      <c r="C445" s="1">
        <v>2.0</v>
      </c>
      <c r="D445" s="1" t="s">
        <v>5565</v>
      </c>
      <c r="E445" s="1" t="s">
        <v>5562</v>
      </c>
      <c r="F445" s="1" t="s">
        <v>5566</v>
      </c>
      <c r="G445" s="1" t="s">
        <v>5567</v>
      </c>
      <c r="H445" s="1"/>
    </row>
    <row r="446">
      <c r="B446" s="1" t="s">
        <v>4563</v>
      </c>
      <c r="C446" s="1">
        <v>2.0</v>
      </c>
      <c r="D446" s="1" t="s">
        <v>5568</v>
      </c>
      <c r="E446" s="1" t="s">
        <v>5562</v>
      </c>
      <c r="F446" s="1" t="s">
        <v>5569</v>
      </c>
      <c r="G446" s="1" t="s">
        <v>5570</v>
      </c>
      <c r="H446" s="1"/>
    </row>
    <row r="447">
      <c r="B447" s="38" t="s">
        <v>5571</v>
      </c>
      <c r="C447" s="44"/>
      <c r="D447" s="38" t="s">
        <v>5572</v>
      </c>
      <c r="E447" s="38" t="s">
        <v>5573</v>
      </c>
      <c r="F447" s="38" t="s">
        <v>5574</v>
      </c>
      <c r="G447" s="38" t="s">
        <v>5575</v>
      </c>
      <c r="H447" s="38" t="s">
        <v>5576</v>
      </c>
      <c r="I447" s="38" t="s">
        <v>5577</v>
      </c>
    </row>
    <row r="448">
      <c r="B448" s="38" t="s">
        <v>5578</v>
      </c>
      <c r="C448" s="38" t="s">
        <v>5579</v>
      </c>
      <c r="D448" s="38" t="s">
        <v>5580</v>
      </c>
      <c r="E448" s="38" t="s">
        <v>5573</v>
      </c>
      <c r="F448" s="38" t="s">
        <v>5581</v>
      </c>
      <c r="G448" s="38"/>
      <c r="H448" s="38" t="s">
        <v>5582</v>
      </c>
      <c r="I448" s="38" t="s">
        <v>5577</v>
      </c>
    </row>
    <row r="449">
      <c r="B449" s="38" t="s">
        <v>5583</v>
      </c>
      <c r="C449" s="38"/>
      <c r="D449" s="38" t="s">
        <v>5584</v>
      </c>
      <c r="E449" s="38" t="s">
        <v>5573</v>
      </c>
      <c r="F449" s="38"/>
      <c r="G449" s="38"/>
      <c r="H449" s="38"/>
      <c r="I449" s="38" t="s">
        <v>5577</v>
      </c>
    </row>
    <row r="450">
      <c r="B450" s="38" t="s">
        <v>4666</v>
      </c>
      <c r="C450" s="38">
        <v>2.0</v>
      </c>
      <c r="D450" s="38" t="s">
        <v>5585</v>
      </c>
      <c r="E450" s="38" t="s">
        <v>5586</v>
      </c>
      <c r="F450" s="38" t="s">
        <v>5587</v>
      </c>
      <c r="G450" s="38" t="s">
        <v>5588</v>
      </c>
    </row>
    <row r="451">
      <c r="B451" s="44"/>
      <c r="C451" s="44"/>
      <c r="D451" s="38" t="s">
        <v>5589</v>
      </c>
      <c r="E451" s="38" t="s">
        <v>4762</v>
      </c>
      <c r="F451" s="38" t="s">
        <v>208</v>
      </c>
      <c r="G451" s="38" t="s">
        <v>5509</v>
      </c>
    </row>
    <row r="452">
      <c r="B452" s="38" t="s">
        <v>22</v>
      </c>
      <c r="C452" s="38">
        <v>4.0</v>
      </c>
      <c r="D452" s="38" t="s">
        <v>232</v>
      </c>
      <c r="E452" s="274" t="s">
        <v>5590</v>
      </c>
      <c r="F452" s="38" t="s">
        <v>4369</v>
      </c>
      <c r="G452" s="38" t="s">
        <v>5591</v>
      </c>
    </row>
    <row r="453">
      <c r="B453" s="38" t="s">
        <v>5592</v>
      </c>
      <c r="C453" s="44"/>
      <c r="D453" s="38" t="s">
        <v>5593</v>
      </c>
      <c r="E453" s="38" t="s">
        <v>974</v>
      </c>
      <c r="F453" s="38" t="s">
        <v>5594</v>
      </c>
      <c r="G453" s="38" t="s">
        <v>5595</v>
      </c>
      <c r="H453" s="38" t="s">
        <v>4421</v>
      </c>
    </row>
    <row r="454">
      <c r="B454" s="38" t="s">
        <v>5596</v>
      </c>
      <c r="C454" s="38">
        <v>4.0</v>
      </c>
      <c r="D454" s="38" t="s">
        <v>5597</v>
      </c>
      <c r="E454" s="38" t="s">
        <v>5598</v>
      </c>
      <c r="F454" s="44"/>
      <c r="G454" s="44"/>
      <c r="H454" s="44"/>
    </row>
    <row r="455">
      <c r="B455" s="38" t="s">
        <v>63</v>
      </c>
      <c r="C455" s="38">
        <v>1.0</v>
      </c>
      <c r="D455" s="59" t="s">
        <v>5599</v>
      </c>
      <c r="E455" s="38" t="s">
        <v>418</v>
      </c>
      <c r="F455" s="38" t="s">
        <v>5600</v>
      </c>
      <c r="G455" s="38" t="s">
        <v>5601</v>
      </c>
      <c r="H455" s="44"/>
    </row>
    <row r="456">
      <c r="B456" s="38" t="s">
        <v>3822</v>
      </c>
      <c r="C456" s="38">
        <v>2.0</v>
      </c>
      <c r="D456" s="38" t="s">
        <v>5602</v>
      </c>
      <c r="E456" s="38" t="s">
        <v>418</v>
      </c>
      <c r="F456" s="44"/>
      <c r="G456" s="38" t="s">
        <v>5601</v>
      </c>
      <c r="H456" s="44"/>
    </row>
    <row r="457">
      <c r="B457" s="38" t="s">
        <v>153</v>
      </c>
      <c r="C457" s="38">
        <v>2.0</v>
      </c>
      <c r="D457" s="38" t="s">
        <v>5602</v>
      </c>
      <c r="E457" s="38" t="s">
        <v>418</v>
      </c>
      <c r="F457" s="44"/>
      <c r="G457" s="38" t="s">
        <v>5601</v>
      </c>
      <c r="H457" s="44"/>
    </row>
    <row r="458">
      <c r="B458" s="38" t="s">
        <v>5603</v>
      </c>
      <c r="C458" s="38">
        <v>2.0</v>
      </c>
      <c r="D458" s="347" t="s">
        <v>5604</v>
      </c>
      <c r="E458" s="38" t="s">
        <v>5605</v>
      </c>
      <c r="F458" s="38" t="s">
        <v>5606</v>
      </c>
      <c r="G458" s="44"/>
      <c r="H458" s="44"/>
    </row>
    <row r="459">
      <c r="B459" s="44"/>
      <c r="C459" s="44"/>
      <c r="D459" s="44"/>
      <c r="E459" s="38" t="s">
        <v>1736</v>
      </c>
      <c r="F459" s="38" t="s">
        <v>5607</v>
      </c>
      <c r="G459" s="44"/>
      <c r="H459" s="44"/>
    </row>
    <row r="460">
      <c r="B460" s="38" t="s">
        <v>439</v>
      </c>
      <c r="C460" s="38">
        <v>2.0</v>
      </c>
      <c r="D460" s="38" t="s">
        <v>5608</v>
      </c>
      <c r="E460" s="38" t="s">
        <v>413</v>
      </c>
      <c r="F460" s="38" t="s">
        <v>5609</v>
      </c>
      <c r="G460" s="38" t="s">
        <v>5610</v>
      </c>
    </row>
    <row r="461">
      <c r="B461" s="38" t="s">
        <v>416</v>
      </c>
      <c r="C461" s="38">
        <v>4.0</v>
      </c>
      <c r="D461" s="38" t="s">
        <v>881</v>
      </c>
      <c r="E461" s="38" t="s">
        <v>5611</v>
      </c>
      <c r="F461" s="38" t="s">
        <v>4759</v>
      </c>
      <c r="G461" s="38" t="s">
        <v>5612</v>
      </c>
    </row>
    <row r="462">
      <c r="B462" s="38" t="s">
        <v>25</v>
      </c>
      <c r="C462" s="38">
        <v>2.0</v>
      </c>
      <c r="D462" s="38" t="s">
        <v>232</v>
      </c>
      <c r="E462" s="38" t="s">
        <v>4865</v>
      </c>
      <c r="F462" s="38" t="s">
        <v>5613</v>
      </c>
      <c r="G462" s="38" t="s">
        <v>5614</v>
      </c>
    </row>
    <row r="463">
      <c r="B463" s="38" t="s">
        <v>1010</v>
      </c>
      <c r="C463" s="38">
        <v>2.0</v>
      </c>
      <c r="D463" s="38" t="s">
        <v>134</v>
      </c>
      <c r="E463" s="38" t="s">
        <v>5615</v>
      </c>
      <c r="F463" s="38" t="s">
        <v>5616</v>
      </c>
      <c r="G463" s="38" t="s">
        <v>5617</v>
      </c>
    </row>
    <row r="464">
      <c r="B464" s="38" t="s">
        <v>1575</v>
      </c>
      <c r="C464" s="38">
        <v>2.0</v>
      </c>
      <c r="D464" s="38" t="s">
        <v>134</v>
      </c>
      <c r="E464" s="38" t="s">
        <v>5615</v>
      </c>
      <c r="F464" s="38" t="s">
        <v>5489</v>
      </c>
      <c r="G464" s="38" t="s">
        <v>5617</v>
      </c>
    </row>
    <row r="465">
      <c r="B465" s="1" t="s">
        <v>5618</v>
      </c>
      <c r="D465" s="343" t="s">
        <v>5619</v>
      </c>
      <c r="E465" s="1" t="s">
        <v>221</v>
      </c>
      <c r="F465" s="1" t="s">
        <v>5620</v>
      </c>
      <c r="G465" s="343" t="s">
        <v>5621</v>
      </c>
      <c r="H465" s="1" t="s">
        <v>5622</v>
      </c>
      <c r="J465" s="1" t="s">
        <v>5623</v>
      </c>
    </row>
    <row r="466">
      <c r="B466" s="44"/>
      <c r="C466" s="44"/>
      <c r="D466" s="44"/>
      <c r="E466" s="38" t="s">
        <v>5624</v>
      </c>
      <c r="F466" s="38" t="s">
        <v>5625</v>
      </c>
      <c r="G466" s="44"/>
      <c r="H466" s="38" t="s">
        <v>4421</v>
      </c>
      <c r="I466" s="44"/>
    </row>
    <row r="467">
      <c r="B467" s="44"/>
      <c r="C467" s="44"/>
      <c r="D467" s="44"/>
      <c r="E467" s="38">
        <v>8.5260901E8</v>
      </c>
      <c r="F467" s="44"/>
      <c r="G467" s="44"/>
      <c r="H467" s="44"/>
      <c r="I467" s="44"/>
    </row>
    <row r="468">
      <c r="B468" s="38" t="s">
        <v>25</v>
      </c>
      <c r="C468" s="38">
        <v>4.0</v>
      </c>
      <c r="D468" s="38" t="s">
        <v>5626</v>
      </c>
      <c r="E468" s="38" t="s">
        <v>5627</v>
      </c>
      <c r="F468" s="38" t="s">
        <v>5628</v>
      </c>
      <c r="G468" s="44"/>
    </row>
    <row r="469">
      <c r="B469" s="38" t="s">
        <v>283</v>
      </c>
      <c r="C469" s="38">
        <v>4.0</v>
      </c>
      <c r="D469" s="38" t="s">
        <v>3988</v>
      </c>
      <c r="E469" s="38" t="s">
        <v>5629</v>
      </c>
      <c r="F469" s="38" t="s">
        <v>5630</v>
      </c>
      <c r="G469" s="38" t="s">
        <v>5631</v>
      </c>
    </row>
    <row r="470">
      <c r="B470" s="44"/>
      <c r="C470" s="44"/>
      <c r="D470" s="38" t="s">
        <v>5632</v>
      </c>
      <c r="E470" s="38" t="s">
        <v>5633</v>
      </c>
      <c r="F470" s="38" t="s">
        <v>5634</v>
      </c>
      <c r="G470" s="38" t="s">
        <v>5635</v>
      </c>
    </row>
    <row r="471">
      <c r="A471" s="1"/>
      <c r="B471" s="44"/>
      <c r="C471" s="44"/>
      <c r="D471" s="38"/>
      <c r="E471" s="38" t="s">
        <v>5636</v>
      </c>
      <c r="F471" s="38" t="s">
        <v>5637</v>
      </c>
      <c r="G471" s="38" t="s">
        <v>5638</v>
      </c>
      <c r="H471" s="44"/>
      <c r="I471" s="44"/>
    </row>
    <row r="472">
      <c r="A472" s="1"/>
      <c r="B472" s="38" t="s">
        <v>5639</v>
      </c>
      <c r="C472" s="44"/>
      <c r="D472" s="38" t="s">
        <v>5640</v>
      </c>
      <c r="E472" s="38" t="s">
        <v>5636</v>
      </c>
      <c r="F472" s="38" t="s">
        <v>5641</v>
      </c>
      <c r="G472" s="38" t="s">
        <v>5642</v>
      </c>
      <c r="H472" s="38" t="s">
        <v>5643</v>
      </c>
      <c r="I472" s="38" t="s">
        <v>5644</v>
      </c>
    </row>
    <row r="473">
      <c r="B473" s="38"/>
      <c r="C473" s="44"/>
      <c r="D473" s="38"/>
      <c r="E473" s="38" t="s">
        <v>5645</v>
      </c>
      <c r="F473" s="38" t="s">
        <v>5646</v>
      </c>
      <c r="G473" s="38"/>
      <c r="H473" s="38" t="s">
        <v>5647</v>
      </c>
      <c r="I473" s="1"/>
    </row>
    <row r="474">
      <c r="B474" s="38" t="s">
        <v>41</v>
      </c>
      <c r="C474" s="38">
        <v>4.0</v>
      </c>
      <c r="D474" s="38" t="s">
        <v>315</v>
      </c>
      <c r="E474" s="38" t="s">
        <v>5648</v>
      </c>
      <c r="F474" s="38" t="s">
        <v>5649</v>
      </c>
      <c r="G474" s="38" t="s">
        <v>5650</v>
      </c>
    </row>
    <row r="475">
      <c r="B475" s="38" t="s">
        <v>876</v>
      </c>
      <c r="C475" s="38">
        <v>4.0</v>
      </c>
      <c r="D475" s="38" t="s">
        <v>232</v>
      </c>
      <c r="E475" s="38" t="s">
        <v>1072</v>
      </c>
      <c r="F475" s="38" t="s">
        <v>175</v>
      </c>
      <c r="G475" s="38" t="s">
        <v>5651</v>
      </c>
    </row>
    <row r="476">
      <c r="B476" s="38" t="s">
        <v>128</v>
      </c>
      <c r="C476" s="38">
        <v>4.0</v>
      </c>
      <c r="D476" s="38" t="s">
        <v>315</v>
      </c>
      <c r="E476" s="38" t="s">
        <v>1072</v>
      </c>
      <c r="F476" s="38" t="s">
        <v>5652</v>
      </c>
      <c r="G476" s="38" t="s">
        <v>5651</v>
      </c>
    </row>
    <row r="477">
      <c r="B477" s="38" t="s">
        <v>205</v>
      </c>
      <c r="C477" s="38">
        <v>4.0</v>
      </c>
      <c r="D477" s="38" t="s">
        <v>2097</v>
      </c>
      <c r="E477" s="274" t="s">
        <v>5653</v>
      </c>
      <c r="F477" s="38" t="s">
        <v>4544</v>
      </c>
      <c r="G477" s="38" t="s">
        <v>5654</v>
      </c>
      <c r="H477" s="38" t="s">
        <v>5655</v>
      </c>
    </row>
    <row r="478">
      <c r="B478" s="38" t="s">
        <v>5656</v>
      </c>
      <c r="C478" s="38" t="s">
        <v>5657</v>
      </c>
      <c r="D478" s="38" t="s">
        <v>5658</v>
      </c>
      <c r="E478" s="38" t="s">
        <v>5659</v>
      </c>
      <c r="F478" s="38" t="s">
        <v>5660</v>
      </c>
      <c r="G478" s="38" t="s">
        <v>4299</v>
      </c>
      <c r="H478" s="38" t="s">
        <v>5661</v>
      </c>
    </row>
    <row r="479">
      <c r="B479" s="38" t="s">
        <v>5662</v>
      </c>
      <c r="C479" s="44"/>
      <c r="D479" s="38" t="s">
        <v>5663</v>
      </c>
      <c r="E479" s="38" t="s">
        <v>5659</v>
      </c>
      <c r="F479" s="38" t="s">
        <v>5664</v>
      </c>
      <c r="G479" s="38" t="s">
        <v>5665</v>
      </c>
      <c r="H479" s="38" t="s">
        <v>5661</v>
      </c>
    </row>
    <row r="480">
      <c r="B480" s="44"/>
      <c r="C480" s="44"/>
      <c r="D480" s="272" t="s">
        <v>5666</v>
      </c>
      <c r="E480" s="38" t="s">
        <v>5667</v>
      </c>
      <c r="F480" s="105" t="s">
        <v>5668</v>
      </c>
      <c r="G480" s="38" t="s">
        <v>5669</v>
      </c>
      <c r="H480" s="38" t="s">
        <v>5670</v>
      </c>
    </row>
    <row r="481">
      <c r="B481" s="38" t="s">
        <v>170</v>
      </c>
      <c r="C481" s="38">
        <v>1.0</v>
      </c>
      <c r="D481" s="38" t="s">
        <v>5671</v>
      </c>
      <c r="E481" s="38" t="s">
        <v>5672</v>
      </c>
      <c r="F481" s="38" t="s">
        <v>1941</v>
      </c>
      <c r="G481" s="38" t="s">
        <v>5673</v>
      </c>
    </row>
    <row r="482">
      <c r="B482" s="44"/>
      <c r="C482" s="44"/>
      <c r="D482" s="44"/>
      <c r="E482" s="38" t="s">
        <v>974</v>
      </c>
      <c r="F482" s="38" t="s">
        <v>5674</v>
      </c>
      <c r="G482" s="44"/>
      <c r="H482" s="38" t="s">
        <v>4421</v>
      </c>
    </row>
    <row r="483">
      <c r="B483" s="38" t="s">
        <v>5675</v>
      </c>
      <c r="C483" s="38" t="s">
        <v>5676</v>
      </c>
      <c r="D483" s="38" t="s">
        <v>5677</v>
      </c>
      <c r="E483" s="281" t="s">
        <v>5678</v>
      </c>
      <c r="F483" s="38" t="s">
        <v>5679</v>
      </c>
      <c r="G483" s="38" t="s">
        <v>5680</v>
      </c>
      <c r="H483" s="38" t="s">
        <v>5681</v>
      </c>
    </row>
    <row r="484">
      <c r="B484" s="44"/>
      <c r="C484" s="44"/>
      <c r="D484" s="38" t="s">
        <v>5682</v>
      </c>
      <c r="E484" s="38" t="s">
        <v>5683</v>
      </c>
      <c r="F484" s="38" t="s">
        <v>5684</v>
      </c>
      <c r="G484" s="38" t="s">
        <v>5349</v>
      </c>
    </row>
    <row r="485">
      <c r="B485" s="38" t="s">
        <v>875</v>
      </c>
      <c r="C485" s="38">
        <v>4.0</v>
      </c>
      <c r="D485" s="38" t="s">
        <v>171</v>
      </c>
      <c r="E485" s="38" t="s">
        <v>4741</v>
      </c>
      <c r="F485" s="38" t="s">
        <v>5685</v>
      </c>
      <c r="G485" s="38" t="s">
        <v>5686</v>
      </c>
    </row>
    <row r="486">
      <c r="B486" s="272" t="s">
        <v>5687</v>
      </c>
      <c r="C486" s="331" t="s">
        <v>5688</v>
      </c>
      <c r="D486" s="272" t="s">
        <v>5689</v>
      </c>
      <c r="E486" s="38" t="s">
        <v>5690</v>
      </c>
      <c r="F486" s="272" t="s">
        <v>5691</v>
      </c>
      <c r="G486" s="38" t="s">
        <v>5692</v>
      </c>
      <c r="H486" s="38" t="s">
        <v>5693</v>
      </c>
    </row>
    <row r="487">
      <c r="B487" s="44"/>
      <c r="C487" s="44"/>
      <c r="D487" s="38" t="s">
        <v>5694</v>
      </c>
      <c r="E487" s="38" t="s">
        <v>5695</v>
      </c>
      <c r="F487" s="38" t="s">
        <v>5696</v>
      </c>
      <c r="G487" s="38" t="s">
        <v>5697</v>
      </c>
      <c r="H487" s="38" t="s">
        <v>5698</v>
      </c>
      <c r="L487" s="337"/>
    </row>
    <row r="488">
      <c r="B488" s="38" t="s">
        <v>177</v>
      </c>
      <c r="C488" s="38">
        <v>4.0</v>
      </c>
      <c r="D488" s="38" t="s">
        <v>5699</v>
      </c>
      <c r="E488" s="38" t="s">
        <v>5695</v>
      </c>
      <c r="F488" s="38" t="s">
        <v>175</v>
      </c>
      <c r="G488" s="38"/>
      <c r="H488" s="38" t="s">
        <v>5698</v>
      </c>
      <c r="L488" s="337"/>
    </row>
    <row r="489">
      <c r="B489" s="272" t="s">
        <v>25</v>
      </c>
      <c r="C489" s="38">
        <v>1.0</v>
      </c>
      <c r="D489" s="272" t="s">
        <v>289</v>
      </c>
      <c r="E489" s="38" t="s">
        <v>5700</v>
      </c>
      <c r="F489" s="272" t="s">
        <v>5701</v>
      </c>
      <c r="G489" s="38" t="s">
        <v>5702</v>
      </c>
    </row>
    <row r="490">
      <c r="B490" s="272"/>
      <c r="C490" s="38"/>
      <c r="D490" s="272"/>
      <c r="E490" s="38" t="s">
        <v>5700</v>
      </c>
      <c r="F490" s="292" t="s">
        <v>5703</v>
      </c>
      <c r="G490" s="44"/>
      <c r="L490" s="301"/>
    </row>
    <row r="491">
      <c r="B491" s="38" t="s">
        <v>31</v>
      </c>
      <c r="C491" s="38">
        <v>4.0</v>
      </c>
      <c r="D491" s="38" t="s">
        <v>5704</v>
      </c>
      <c r="E491" s="38" t="s">
        <v>5705</v>
      </c>
      <c r="F491" s="38" t="s">
        <v>5706</v>
      </c>
      <c r="G491" s="38" t="s">
        <v>5707</v>
      </c>
    </row>
    <row r="492">
      <c r="B492" s="38" t="s">
        <v>4892</v>
      </c>
      <c r="C492" s="38" t="s">
        <v>5708</v>
      </c>
      <c r="D492" s="38" t="s">
        <v>5709</v>
      </c>
      <c r="E492" s="38" t="s">
        <v>5710</v>
      </c>
      <c r="F492" s="294" t="s">
        <v>5711</v>
      </c>
      <c r="G492" s="38" t="s">
        <v>5712</v>
      </c>
    </row>
    <row r="493">
      <c r="D493" s="1" t="s">
        <v>5713</v>
      </c>
      <c r="E493" s="1" t="s">
        <v>3562</v>
      </c>
      <c r="F493" s="1" t="s">
        <v>5714</v>
      </c>
    </row>
    <row r="494">
      <c r="D494" s="1"/>
      <c r="E494" s="1" t="s">
        <v>3562</v>
      </c>
      <c r="F494" s="1" t="s">
        <v>5715</v>
      </c>
      <c r="G494" s="1" t="s">
        <v>5716</v>
      </c>
    </row>
    <row r="495">
      <c r="B495" s="276" t="s">
        <v>5717</v>
      </c>
      <c r="C495" s="38">
        <v>1.0</v>
      </c>
      <c r="D495" s="38" t="s">
        <v>5718</v>
      </c>
      <c r="E495" s="38" t="s">
        <v>5719</v>
      </c>
      <c r="F495" s="38" t="s">
        <v>5720</v>
      </c>
      <c r="G495" s="44"/>
    </row>
    <row r="496">
      <c r="B496" s="44"/>
      <c r="C496" s="44"/>
      <c r="D496" s="38" t="s">
        <v>5721</v>
      </c>
      <c r="E496" s="38" t="s">
        <v>5722</v>
      </c>
      <c r="F496" s="38" t="s">
        <v>5723</v>
      </c>
      <c r="G496" s="38" t="s">
        <v>5724</v>
      </c>
    </row>
    <row r="497">
      <c r="B497" s="38" t="s">
        <v>28</v>
      </c>
      <c r="C497" s="38">
        <v>2.0</v>
      </c>
      <c r="D497" s="38" t="s">
        <v>289</v>
      </c>
      <c r="E497" s="40" t="s">
        <v>5725</v>
      </c>
      <c r="F497" s="38" t="s">
        <v>175</v>
      </c>
      <c r="G497" s="38" t="s">
        <v>5726</v>
      </c>
    </row>
    <row r="498">
      <c r="B498" s="38" t="s">
        <v>1010</v>
      </c>
      <c r="C498" s="38">
        <v>2.0</v>
      </c>
      <c r="D498" s="38" t="s">
        <v>1109</v>
      </c>
      <c r="E498" s="38" t="s">
        <v>5122</v>
      </c>
      <c r="F498" s="38" t="s">
        <v>1261</v>
      </c>
      <c r="G498" s="44"/>
    </row>
    <row r="499">
      <c r="B499" s="38" t="s">
        <v>205</v>
      </c>
      <c r="C499" s="38">
        <v>4.0</v>
      </c>
      <c r="D499" s="38" t="s">
        <v>5727</v>
      </c>
      <c r="E499" s="38" t="s">
        <v>4634</v>
      </c>
      <c r="F499" s="59" t="s">
        <v>5728</v>
      </c>
      <c r="G499" s="38" t="s">
        <v>5729</v>
      </c>
    </row>
    <row r="500">
      <c r="B500" s="38" t="s">
        <v>205</v>
      </c>
      <c r="C500" s="38">
        <v>4.0</v>
      </c>
      <c r="D500" s="38" t="s">
        <v>315</v>
      </c>
      <c r="E500" s="270" t="s">
        <v>5730</v>
      </c>
      <c r="F500" s="38" t="s">
        <v>4759</v>
      </c>
      <c r="G500" s="38" t="s">
        <v>5731</v>
      </c>
    </row>
    <row r="501">
      <c r="B501" s="44"/>
      <c r="C501" s="44"/>
      <c r="D501" s="38" t="s">
        <v>5732</v>
      </c>
      <c r="E501" s="306" t="s">
        <v>633</v>
      </c>
      <c r="F501" s="38" t="s">
        <v>5733</v>
      </c>
      <c r="G501" s="38" t="s">
        <v>5726</v>
      </c>
    </row>
    <row r="502">
      <c r="B502" s="38" t="s">
        <v>5734</v>
      </c>
      <c r="C502" s="38" t="s">
        <v>5735</v>
      </c>
      <c r="D502" s="38" t="s">
        <v>5736</v>
      </c>
      <c r="E502" s="297" t="s">
        <v>974</v>
      </c>
      <c r="F502" s="38" t="s">
        <v>5737</v>
      </c>
      <c r="G502" s="38" t="s">
        <v>5738</v>
      </c>
      <c r="H502" s="38" t="s">
        <v>4421</v>
      </c>
    </row>
    <row r="503">
      <c r="B503" s="38" t="s">
        <v>271</v>
      </c>
      <c r="C503" s="38">
        <v>4.0</v>
      </c>
      <c r="D503" s="38" t="s">
        <v>1109</v>
      </c>
      <c r="E503" s="38" t="s">
        <v>5739</v>
      </c>
      <c r="F503" s="38" t="s">
        <v>175</v>
      </c>
      <c r="G503" s="38" t="s">
        <v>5740</v>
      </c>
    </row>
    <row r="504">
      <c r="B504" s="38" t="s">
        <v>5741</v>
      </c>
      <c r="C504" s="38" t="s">
        <v>5742</v>
      </c>
      <c r="D504" s="38" t="s">
        <v>5743</v>
      </c>
      <c r="E504" s="38" t="s">
        <v>5744</v>
      </c>
      <c r="F504" s="38" t="s">
        <v>5745</v>
      </c>
      <c r="G504" s="38" t="s">
        <v>5509</v>
      </c>
    </row>
    <row r="505">
      <c r="A505" s="1"/>
      <c r="B505" s="38" t="s">
        <v>5746</v>
      </c>
      <c r="C505" s="38" t="s">
        <v>5747</v>
      </c>
      <c r="D505" s="38" t="s">
        <v>5748</v>
      </c>
      <c r="E505" s="38" t="s">
        <v>5744</v>
      </c>
      <c r="F505" s="38" t="s">
        <v>5749</v>
      </c>
      <c r="G505" s="38" t="s">
        <v>5509</v>
      </c>
      <c r="H505" s="1"/>
      <c r="I505" s="1"/>
    </row>
    <row r="506">
      <c r="B506" s="38" t="s">
        <v>5750</v>
      </c>
      <c r="C506" s="38" t="s">
        <v>5751</v>
      </c>
      <c r="D506" s="38" t="s">
        <v>5752</v>
      </c>
      <c r="E506" s="38" t="s">
        <v>5753</v>
      </c>
      <c r="F506" s="348" t="s">
        <v>5754</v>
      </c>
      <c r="G506" s="38" t="s">
        <v>5509</v>
      </c>
      <c r="I506" s="1"/>
    </row>
    <row r="507">
      <c r="B507" s="38" t="s">
        <v>5755</v>
      </c>
      <c r="C507" s="38"/>
      <c r="D507" s="38" t="s">
        <v>4299</v>
      </c>
      <c r="E507" s="38" t="s">
        <v>5753</v>
      </c>
      <c r="F507" s="38" t="s">
        <v>5756</v>
      </c>
      <c r="G507" s="38" t="s">
        <v>5509</v>
      </c>
      <c r="H507" s="1"/>
      <c r="I507" s="1"/>
    </row>
    <row r="508">
      <c r="B508" s="38" t="s">
        <v>5757</v>
      </c>
      <c r="C508" s="44"/>
      <c r="D508" s="38" t="s">
        <v>5758</v>
      </c>
      <c r="E508" s="38" t="s">
        <v>5759</v>
      </c>
      <c r="F508" s="38" t="s">
        <v>5760</v>
      </c>
      <c r="G508" s="38" t="s">
        <v>5761</v>
      </c>
      <c r="H508" s="38" t="s">
        <v>5762</v>
      </c>
      <c r="I508" s="38" t="s">
        <v>5763</v>
      </c>
      <c r="J508" s="38" t="s">
        <v>4299</v>
      </c>
      <c r="K508" s="38" t="s">
        <v>144</v>
      </c>
    </row>
    <row r="509">
      <c r="B509" s="44"/>
      <c r="C509" s="44"/>
      <c r="D509" s="44"/>
      <c r="E509" s="38" t="s">
        <v>5764</v>
      </c>
      <c r="F509" s="284" t="s">
        <v>5765</v>
      </c>
      <c r="G509" s="38" t="s">
        <v>5766</v>
      </c>
      <c r="H509" s="38" t="s">
        <v>4421</v>
      </c>
    </row>
    <row r="510">
      <c r="B510" s="44"/>
      <c r="C510" s="44"/>
      <c r="D510" s="44"/>
      <c r="E510" s="38" t="s">
        <v>5767</v>
      </c>
      <c r="F510" s="272" t="s">
        <v>5768</v>
      </c>
      <c r="G510" s="38" t="s">
        <v>5769</v>
      </c>
    </row>
    <row r="511">
      <c r="B511" s="44"/>
      <c r="C511" s="44"/>
      <c r="D511" s="38" t="s">
        <v>5770</v>
      </c>
      <c r="E511" s="38" t="s">
        <v>5771</v>
      </c>
      <c r="F511" s="272" t="s">
        <v>5772</v>
      </c>
      <c r="G511" s="38" t="s">
        <v>4785</v>
      </c>
    </row>
    <row r="512">
      <c r="B512" s="38" t="s">
        <v>5773</v>
      </c>
      <c r="C512" s="38">
        <v>1.0</v>
      </c>
      <c r="D512" s="276" t="s">
        <v>5774</v>
      </c>
      <c r="E512" s="38" t="s">
        <v>5775</v>
      </c>
      <c r="F512" s="38" t="s">
        <v>5776</v>
      </c>
      <c r="G512" s="38" t="s">
        <v>5777</v>
      </c>
    </row>
    <row r="513">
      <c r="B513" s="38" t="s">
        <v>416</v>
      </c>
      <c r="C513" s="38">
        <v>4.0</v>
      </c>
      <c r="D513" s="38" t="s">
        <v>5778</v>
      </c>
      <c r="E513" s="38" t="s">
        <v>5779</v>
      </c>
      <c r="F513" s="38" t="s">
        <v>5780</v>
      </c>
      <c r="G513" s="38" t="s">
        <v>175</v>
      </c>
      <c r="H513" s="38" t="s">
        <v>5781</v>
      </c>
    </row>
    <row r="514">
      <c r="B514" s="38" t="s">
        <v>5782</v>
      </c>
      <c r="C514" s="332"/>
      <c r="D514" s="284" t="s">
        <v>5783</v>
      </c>
      <c r="E514" s="38" t="s">
        <v>5784</v>
      </c>
      <c r="F514" s="272" t="s">
        <v>5785</v>
      </c>
      <c r="G514" s="38" t="s">
        <v>5786</v>
      </c>
      <c r="H514" s="330"/>
    </row>
    <row r="515">
      <c r="B515" s="44"/>
      <c r="C515" s="44"/>
      <c r="D515" s="349" t="s">
        <v>5787</v>
      </c>
      <c r="E515" s="38" t="s">
        <v>5788</v>
      </c>
      <c r="F515" s="44"/>
      <c r="G515" s="38" t="s">
        <v>5789</v>
      </c>
    </row>
    <row r="516">
      <c r="B516" s="38" t="s">
        <v>5790</v>
      </c>
      <c r="C516" s="44"/>
      <c r="D516" s="38" t="s">
        <v>5791</v>
      </c>
      <c r="E516" s="38" t="s">
        <v>5792</v>
      </c>
      <c r="F516" s="323"/>
      <c r="G516" s="44"/>
    </row>
    <row r="517">
      <c r="B517" s="38" t="s">
        <v>140</v>
      </c>
      <c r="C517" s="38">
        <v>4.0</v>
      </c>
      <c r="D517" s="38" t="s">
        <v>5793</v>
      </c>
      <c r="E517" s="38" t="s">
        <v>4880</v>
      </c>
      <c r="F517" s="38" t="s">
        <v>1261</v>
      </c>
      <c r="G517" s="38" t="s">
        <v>5794</v>
      </c>
      <c r="H517" s="38" t="s">
        <v>4815</v>
      </c>
    </row>
    <row r="518">
      <c r="B518" s="44"/>
      <c r="C518" s="44"/>
      <c r="D518" s="319" t="s">
        <v>5795</v>
      </c>
      <c r="E518" s="38" t="s">
        <v>5796</v>
      </c>
      <c r="F518" s="38" t="s">
        <v>5797</v>
      </c>
      <c r="G518" s="38" t="s">
        <v>144</v>
      </c>
    </row>
    <row r="519">
      <c r="B519" s="44"/>
      <c r="C519" s="44"/>
      <c r="D519" s="178" t="s">
        <v>5798</v>
      </c>
      <c r="E519" s="38" t="s">
        <v>5799</v>
      </c>
      <c r="F519" s="38" t="s">
        <v>218</v>
      </c>
      <c r="G519" s="44"/>
    </row>
    <row r="520">
      <c r="B520" s="38" t="s">
        <v>5800</v>
      </c>
      <c r="C520" s="38">
        <v>2.0</v>
      </c>
      <c r="D520" s="276" t="s">
        <v>5801</v>
      </c>
      <c r="E520" s="38" t="s">
        <v>5802</v>
      </c>
      <c r="F520" s="38" t="s">
        <v>5803</v>
      </c>
      <c r="G520" s="38" t="s">
        <v>5804</v>
      </c>
    </row>
    <row r="521">
      <c r="B521" s="38" t="s">
        <v>5805</v>
      </c>
      <c r="C521" s="38">
        <v>2.0</v>
      </c>
      <c r="D521" s="276" t="s">
        <v>5801</v>
      </c>
      <c r="E521" s="38" t="s">
        <v>5802</v>
      </c>
      <c r="F521" s="38" t="s">
        <v>5806</v>
      </c>
      <c r="G521" s="38" t="s">
        <v>5807</v>
      </c>
    </row>
    <row r="522">
      <c r="B522" s="294" t="s">
        <v>5808</v>
      </c>
      <c r="C522" s="38" t="s">
        <v>5809</v>
      </c>
      <c r="D522" s="294" t="s">
        <v>5810</v>
      </c>
      <c r="E522" s="38" t="s">
        <v>3310</v>
      </c>
      <c r="F522" s="294" t="s">
        <v>5811</v>
      </c>
      <c r="G522" s="294" t="s">
        <v>5812</v>
      </c>
      <c r="H522" s="272" t="s">
        <v>4299</v>
      </c>
      <c r="I522" s="337"/>
    </row>
    <row r="523">
      <c r="B523" s="272" t="s">
        <v>5813</v>
      </c>
      <c r="C523" s="272" t="s">
        <v>5814</v>
      </c>
      <c r="D523" s="38" t="s">
        <v>5815</v>
      </c>
      <c r="E523" s="38" t="s">
        <v>3310</v>
      </c>
      <c r="F523" s="272"/>
      <c r="G523" s="38" t="s">
        <v>5816</v>
      </c>
    </row>
    <row r="524">
      <c r="B524" s="272" t="s">
        <v>5817</v>
      </c>
      <c r="C524" s="272" t="s">
        <v>5818</v>
      </c>
      <c r="D524" s="38" t="s">
        <v>5819</v>
      </c>
      <c r="E524" s="38" t="s">
        <v>3310</v>
      </c>
      <c r="F524" s="38" t="s">
        <v>5820</v>
      </c>
      <c r="G524" s="38" t="s">
        <v>5821</v>
      </c>
      <c r="Q524" s="1"/>
      <c r="R524" s="1"/>
    </row>
    <row r="525">
      <c r="B525" s="299" t="s">
        <v>5822</v>
      </c>
      <c r="C525" s="299" t="s">
        <v>5823</v>
      </c>
      <c r="D525" s="299" t="s">
        <v>5824</v>
      </c>
      <c r="E525" s="38" t="s">
        <v>3310</v>
      </c>
      <c r="F525" s="44"/>
      <c r="G525" s="38" t="s">
        <v>5821</v>
      </c>
      <c r="I525" s="1"/>
      <c r="Q525" s="1"/>
      <c r="R525" s="1"/>
    </row>
    <row r="526">
      <c r="B526" s="272"/>
      <c r="C526" s="272"/>
      <c r="D526" s="38"/>
      <c r="E526" s="38" t="s">
        <v>3310</v>
      </c>
      <c r="F526" s="272" t="s">
        <v>5825</v>
      </c>
      <c r="G526" s="272" t="s">
        <v>5826</v>
      </c>
      <c r="H526" s="1"/>
      <c r="I526" s="1"/>
    </row>
    <row r="527">
      <c r="B527" s="38" t="s">
        <v>5827</v>
      </c>
      <c r="C527" s="44"/>
      <c r="D527" s="38" t="s">
        <v>5828</v>
      </c>
      <c r="E527" s="38" t="s">
        <v>5764</v>
      </c>
      <c r="F527" s="294" t="s">
        <v>5829</v>
      </c>
      <c r="G527" s="342" t="s">
        <v>5830</v>
      </c>
      <c r="H527" s="323"/>
      <c r="I527" s="272" t="s">
        <v>4421</v>
      </c>
    </row>
    <row r="528">
      <c r="B528" s="342" t="s">
        <v>5831</v>
      </c>
      <c r="C528" s="38" t="s">
        <v>5832</v>
      </c>
      <c r="D528" s="178" t="s">
        <v>5833</v>
      </c>
      <c r="E528" s="38" t="s">
        <v>5764</v>
      </c>
      <c r="F528" s="284" t="s">
        <v>5834</v>
      </c>
      <c r="G528" s="342" t="s">
        <v>5835</v>
      </c>
      <c r="H528" s="272" t="s">
        <v>5836</v>
      </c>
      <c r="I528" s="272" t="s">
        <v>4421</v>
      </c>
    </row>
    <row r="529">
      <c r="B529" s="323"/>
      <c r="C529" s="323"/>
      <c r="D529" s="44"/>
      <c r="E529" s="38" t="s">
        <v>5837</v>
      </c>
      <c r="F529" s="38" t="s">
        <v>5838</v>
      </c>
      <c r="G529" s="38" t="s">
        <v>5839</v>
      </c>
    </row>
    <row r="530">
      <c r="B530" s="38" t="s">
        <v>271</v>
      </c>
      <c r="C530" s="38">
        <v>2.0</v>
      </c>
      <c r="D530" s="38" t="s">
        <v>232</v>
      </c>
      <c r="E530" s="38" t="s">
        <v>5285</v>
      </c>
      <c r="F530" s="38" t="s">
        <v>175</v>
      </c>
      <c r="G530" s="38" t="s">
        <v>5840</v>
      </c>
      <c r="H530" s="38" t="s">
        <v>5841</v>
      </c>
    </row>
    <row r="531">
      <c r="A531" s="273"/>
      <c r="B531" s="272"/>
      <c r="C531" s="44"/>
      <c r="D531" s="294" t="s">
        <v>5842</v>
      </c>
      <c r="E531" s="38" t="s">
        <v>5796</v>
      </c>
      <c r="F531" s="38" t="s">
        <v>5843</v>
      </c>
      <c r="G531" s="38" t="s">
        <v>5844</v>
      </c>
      <c r="H531" s="1" t="s">
        <v>144</v>
      </c>
    </row>
    <row r="532">
      <c r="B532" s="38" t="s">
        <v>949</v>
      </c>
      <c r="C532" s="38">
        <v>4.0</v>
      </c>
      <c r="D532" s="350" t="s">
        <v>5845</v>
      </c>
      <c r="E532" s="38" t="s">
        <v>4865</v>
      </c>
      <c r="F532" s="38" t="s">
        <v>5846</v>
      </c>
      <c r="G532" s="38" t="s">
        <v>5847</v>
      </c>
    </row>
    <row r="533">
      <c r="B533" s="38" t="s">
        <v>5848</v>
      </c>
      <c r="C533" s="38">
        <v>2.0</v>
      </c>
      <c r="D533" s="38" t="s">
        <v>5849</v>
      </c>
      <c r="E533" s="38" t="s">
        <v>4804</v>
      </c>
      <c r="F533" s="38" t="s">
        <v>5850</v>
      </c>
      <c r="G533" s="38" t="s">
        <v>5851</v>
      </c>
    </row>
    <row r="534">
      <c r="B534" s="44"/>
      <c r="C534" s="44"/>
      <c r="D534" s="44"/>
      <c r="E534" s="38" t="s">
        <v>974</v>
      </c>
      <c r="F534" s="38" t="s">
        <v>5852</v>
      </c>
      <c r="G534" s="38" t="s">
        <v>5853</v>
      </c>
      <c r="H534" s="38" t="s">
        <v>4421</v>
      </c>
    </row>
    <row r="535">
      <c r="B535" s="38" t="s">
        <v>5854</v>
      </c>
      <c r="C535" s="38">
        <v>4.0</v>
      </c>
      <c r="D535" s="276" t="s">
        <v>5855</v>
      </c>
      <c r="E535" s="38" t="s">
        <v>5856</v>
      </c>
      <c r="F535" s="38" t="s">
        <v>5857</v>
      </c>
      <c r="G535" s="38" t="s">
        <v>5858</v>
      </c>
      <c r="H535" s="44"/>
    </row>
    <row r="536">
      <c r="B536" s="38" t="s">
        <v>2774</v>
      </c>
      <c r="C536" s="38">
        <v>4.0</v>
      </c>
      <c r="D536" s="38" t="s">
        <v>1305</v>
      </c>
      <c r="E536" s="38" t="s">
        <v>5856</v>
      </c>
      <c r="F536" s="38" t="s">
        <v>5859</v>
      </c>
      <c r="G536" s="38" t="s">
        <v>175</v>
      </c>
      <c r="H536" s="38"/>
    </row>
    <row r="537">
      <c r="B537" s="44"/>
      <c r="C537" s="44"/>
      <c r="D537" s="351" t="s">
        <v>5860</v>
      </c>
      <c r="E537" s="38" t="s">
        <v>5861</v>
      </c>
      <c r="F537" s="38" t="s">
        <v>5862</v>
      </c>
      <c r="G537" s="38" t="s">
        <v>5863</v>
      </c>
    </row>
    <row r="538">
      <c r="B538" s="44"/>
      <c r="C538" s="44"/>
      <c r="D538" s="351" t="s">
        <v>5864</v>
      </c>
      <c r="E538" s="38" t="s">
        <v>5865</v>
      </c>
      <c r="F538" s="44"/>
      <c r="G538" s="38" t="s">
        <v>5866</v>
      </c>
      <c r="H538" s="38" t="s">
        <v>5867</v>
      </c>
    </row>
    <row r="539">
      <c r="B539" s="44"/>
      <c r="C539" s="44"/>
      <c r="D539" s="38" t="s">
        <v>5868</v>
      </c>
      <c r="E539" s="38" t="s">
        <v>5869</v>
      </c>
      <c r="F539" s="59" t="s">
        <v>5870</v>
      </c>
      <c r="G539" s="38" t="s">
        <v>5871</v>
      </c>
      <c r="H539" s="38" t="s">
        <v>5872</v>
      </c>
      <c r="I539" s="1" t="s">
        <v>4268</v>
      </c>
    </row>
    <row r="540">
      <c r="B540" s="44"/>
      <c r="C540" s="44"/>
      <c r="D540" s="44"/>
      <c r="E540" s="38" t="s">
        <v>5869</v>
      </c>
      <c r="F540" s="59" t="s">
        <v>5873</v>
      </c>
      <c r="G540" s="38" t="s">
        <v>5874</v>
      </c>
      <c r="H540" s="38" t="s">
        <v>5872</v>
      </c>
    </row>
    <row r="541">
      <c r="B541" s="44"/>
      <c r="C541" s="44"/>
      <c r="D541" s="44"/>
      <c r="E541" s="38" t="s">
        <v>5869</v>
      </c>
      <c r="F541" s="59" t="s">
        <v>5875</v>
      </c>
      <c r="G541" s="38" t="s">
        <v>5876</v>
      </c>
      <c r="H541" s="38" t="s">
        <v>5872</v>
      </c>
    </row>
    <row r="542">
      <c r="B542" s="38" t="s">
        <v>195</v>
      </c>
      <c r="C542" s="38">
        <v>2.0</v>
      </c>
      <c r="D542" s="38" t="s">
        <v>992</v>
      </c>
      <c r="E542" s="38" t="s">
        <v>5877</v>
      </c>
      <c r="F542" s="38" t="s">
        <v>5878</v>
      </c>
      <c r="G542" s="38" t="s">
        <v>5879</v>
      </c>
    </row>
    <row r="543">
      <c r="B543" s="38" t="s">
        <v>199</v>
      </c>
      <c r="C543" s="38">
        <v>2.0</v>
      </c>
      <c r="D543" s="38" t="s">
        <v>992</v>
      </c>
      <c r="E543" s="38" t="s">
        <v>5877</v>
      </c>
      <c r="F543" s="38" t="s">
        <v>5880</v>
      </c>
      <c r="G543" s="38" t="s">
        <v>5881</v>
      </c>
    </row>
    <row r="544">
      <c r="B544" s="44"/>
      <c r="C544" s="44"/>
      <c r="D544" s="44"/>
      <c r="E544" s="38" t="s">
        <v>5882</v>
      </c>
      <c r="F544" s="38" t="s">
        <v>5883</v>
      </c>
      <c r="G544" s="38" t="s">
        <v>5884</v>
      </c>
    </row>
    <row r="545">
      <c r="B545" s="44"/>
      <c r="C545" s="44"/>
      <c r="D545" s="38" t="s">
        <v>5885</v>
      </c>
      <c r="E545" s="38" t="s">
        <v>3941</v>
      </c>
      <c r="F545" s="178" t="s">
        <v>5886</v>
      </c>
      <c r="G545" s="272" t="s">
        <v>5887</v>
      </c>
    </row>
    <row r="546">
      <c r="B546" s="38" t="s">
        <v>25</v>
      </c>
      <c r="C546" s="38">
        <v>4.0</v>
      </c>
      <c r="D546" s="38" t="s">
        <v>232</v>
      </c>
      <c r="E546" s="38" t="s">
        <v>5888</v>
      </c>
      <c r="F546" s="38" t="s">
        <v>5587</v>
      </c>
      <c r="G546" s="38" t="s">
        <v>5889</v>
      </c>
    </row>
    <row r="547">
      <c r="B547" s="38"/>
      <c r="C547" s="38"/>
      <c r="D547" s="38"/>
      <c r="E547" s="38" t="s">
        <v>5890</v>
      </c>
      <c r="F547" s="38" t="s">
        <v>5638</v>
      </c>
      <c r="G547" s="38" t="s">
        <v>5891</v>
      </c>
    </row>
    <row r="548">
      <c r="B548" s="44"/>
      <c r="C548" s="44"/>
      <c r="D548" s="38" t="s">
        <v>1775</v>
      </c>
      <c r="E548" s="38" t="s">
        <v>5892</v>
      </c>
      <c r="F548" s="294" t="s">
        <v>5893</v>
      </c>
      <c r="G548" s="294" t="s">
        <v>5894</v>
      </c>
    </row>
    <row r="549">
      <c r="B549" s="38" t="s">
        <v>2573</v>
      </c>
      <c r="C549" s="38">
        <v>4.0</v>
      </c>
      <c r="D549" s="38" t="s">
        <v>4311</v>
      </c>
      <c r="E549" s="38" t="s">
        <v>5895</v>
      </c>
      <c r="F549" s="44"/>
      <c r="G549" s="44"/>
    </row>
    <row r="550">
      <c r="B550" s="38" t="s">
        <v>25</v>
      </c>
      <c r="C550" s="38">
        <v>2.0</v>
      </c>
      <c r="D550" s="38" t="s">
        <v>5896</v>
      </c>
      <c r="E550" s="38" t="s">
        <v>5897</v>
      </c>
      <c r="F550" s="38" t="s">
        <v>5898</v>
      </c>
      <c r="G550" s="38" t="s">
        <v>5851</v>
      </c>
    </row>
    <row r="551">
      <c r="B551" s="44"/>
      <c r="C551" s="44"/>
      <c r="D551" s="44"/>
      <c r="E551" s="38" t="s">
        <v>974</v>
      </c>
      <c r="F551" s="38" t="s">
        <v>5899</v>
      </c>
      <c r="G551" s="44"/>
      <c r="H551" s="38" t="s">
        <v>4421</v>
      </c>
    </row>
    <row r="552">
      <c r="B552" s="44"/>
      <c r="C552" s="44"/>
      <c r="D552" s="44"/>
      <c r="E552" s="38" t="s">
        <v>974</v>
      </c>
      <c r="F552" s="38" t="s">
        <v>5900</v>
      </c>
      <c r="G552" s="38" t="s">
        <v>5901</v>
      </c>
      <c r="H552" s="38" t="s">
        <v>4421</v>
      </c>
    </row>
    <row r="553">
      <c r="B553" s="44"/>
      <c r="C553" s="44"/>
      <c r="D553" s="44"/>
      <c r="E553" s="38" t="s">
        <v>5043</v>
      </c>
      <c r="F553" s="349" t="s">
        <v>5902</v>
      </c>
      <c r="G553" s="38" t="s">
        <v>144</v>
      </c>
    </row>
    <row r="554">
      <c r="B554" s="131" t="s">
        <v>85</v>
      </c>
      <c r="C554" s="131">
        <v>2.0</v>
      </c>
      <c r="D554" s="131" t="s">
        <v>2097</v>
      </c>
      <c r="E554" s="131" t="s">
        <v>1017</v>
      </c>
      <c r="F554" s="130"/>
      <c r="G554" s="131" t="s">
        <v>5903</v>
      </c>
    </row>
    <row r="555">
      <c r="B555" s="38" t="s">
        <v>22</v>
      </c>
      <c r="C555" s="38">
        <v>4.0</v>
      </c>
      <c r="D555" s="38" t="s">
        <v>5904</v>
      </c>
      <c r="E555" s="38" t="s">
        <v>5905</v>
      </c>
      <c r="F555" s="38" t="s">
        <v>175</v>
      </c>
      <c r="G555" s="38" t="s">
        <v>5349</v>
      </c>
    </row>
    <row r="556">
      <c r="B556" s="276" t="s">
        <v>5906</v>
      </c>
      <c r="C556" s="38">
        <v>1.0</v>
      </c>
      <c r="D556" s="38" t="s">
        <v>5907</v>
      </c>
      <c r="E556" s="298" t="s">
        <v>5908</v>
      </c>
      <c r="F556" s="38" t="s">
        <v>5909</v>
      </c>
      <c r="G556" s="38" t="s">
        <v>5910</v>
      </c>
    </row>
    <row r="557">
      <c r="B557" s="44"/>
      <c r="C557" s="44"/>
      <c r="D557" s="38" t="s">
        <v>5911</v>
      </c>
      <c r="E557" s="38" t="s">
        <v>413</v>
      </c>
      <c r="F557" s="38" t="s">
        <v>5912</v>
      </c>
      <c r="G557" s="44"/>
    </row>
    <row r="558">
      <c r="B558" s="44"/>
      <c r="C558" s="44"/>
      <c r="D558" s="44"/>
      <c r="E558" s="38" t="s">
        <v>5799</v>
      </c>
      <c r="F558" s="38" t="s">
        <v>5913</v>
      </c>
      <c r="G558" s="44"/>
    </row>
    <row r="559">
      <c r="B559" s="38" t="s">
        <v>5914</v>
      </c>
      <c r="C559" s="44"/>
      <c r="D559" s="352" t="s">
        <v>5915</v>
      </c>
      <c r="E559" s="38" t="s">
        <v>5916</v>
      </c>
      <c r="F559" s="352" t="s">
        <v>5917</v>
      </c>
      <c r="G559" s="352" t="s">
        <v>5918</v>
      </c>
      <c r="H559" s="38" t="s">
        <v>4299</v>
      </c>
      <c r="I559" s="38" t="s">
        <v>5919</v>
      </c>
    </row>
    <row r="560">
      <c r="B560" s="353" t="s">
        <v>5920</v>
      </c>
      <c r="C560" s="353" t="s">
        <v>5921</v>
      </c>
      <c r="D560" s="353" t="s">
        <v>5922</v>
      </c>
      <c r="E560" s="38" t="s">
        <v>5916</v>
      </c>
      <c r="F560" s="38" t="s">
        <v>5923</v>
      </c>
      <c r="G560" s="38" t="s">
        <v>5924</v>
      </c>
      <c r="H560" s="38" t="s">
        <v>5925</v>
      </c>
      <c r="I560" s="38" t="s">
        <v>5919</v>
      </c>
    </row>
    <row r="561">
      <c r="B561" s="44"/>
      <c r="C561" s="44"/>
      <c r="D561" s="44"/>
      <c r="E561" s="38" t="s">
        <v>2290</v>
      </c>
      <c r="F561" s="284" t="s">
        <v>5926</v>
      </c>
      <c r="G561" s="38" t="s">
        <v>4844</v>
      </c>
    </row>
    <row r="562">
      <c r="B562" s="38" t="s">
        <v>5927</v>
      </c>
      <c r="C562" s="44"/>
      <c r="D562" s="38" t="s">
        <v>5928</v>
      </c>
      <c r="E562" s="38" t="s">
        <v>5929</v>
      </c>
      <c r="F562" s="38" t="s">
        <v>5930</v>
      </c>
      <c r="G562" s="38" t="s">
        <v>5931</v>
      </c>
    </row>
    <row r="563">
      <c r="B563" s="38" t="s">
        <v>5932</v>
      </c>
      <c r="C563" s="44"/>
      <c r="D563" s="38"/>
      <c r="E563" s="38" t="s">
        <v>5929</v>
      </c>
      <c r="F563" s="38" t="s">
        <v>5933</v>
      </c>
      <c r="G563" s="38"/>
    </row>
    <row r="564">
      <c r="B564" s="38" t="s">
        <v>5934</v>
      </c>
      <c r="C564" s="44"/>
      <c r="D564" s="38" t="s">
        <v>5935</v>
      </c>
      <c r="E564" s="38" t="s">
        <v>5929</v>
      </c>
      <c r="F564" s="38" t="s">
        <v>5936</v>
      </c>
      <c r="G564" s="38"/>
      <c r="H564" s="1"/>
    </row>
    <row r="565">
      <c r="B565" s="38"/>
      <c r="C565" s="44"/>
      <c r="D565" s="38" t="s">
        <v>5937</v>
      </c>
      <c r="E565" s="38" t="s">
        <v>5929</v>
      </c>
      <c r="F565" s="38" t="s">
        <v>5938</v>
      </c>
      <c r="G565" s="44"/>
      <c r="H565" s="1"/>
    </row>
    <row r="566">
      <c r="B566" s="38" t="s">
        <v>205</v>
      </c>
      <c r="C566" s="38">
        <v>4.0</v>
      </c>
      <c r="D566" s="38" t="s">
        <v>5939</v>
      </c>
      <c r="E566" s="38" t="s">
        <v>2914</v>
      </c>
      <c r="F566" s="38" t="s">
        <v>5940</v>
      </c>
      <c r="G566" s="44"/>
    </row>
    <row r="567">
      <c r="B567" s="38"/>
      <c r="C567" s="38"/>
      <c r="D567" s="38"/>
      <c r="E567" s="38"/>
      <c r="F567" s="38"/>
      <c r="G567" s="44"/>
    </row>
    <row r="568">
      <c r="B568" s="38"/>
      <c r="C568" s="38"/>
      <c r="D568" s="38"/>
      <c r="E568" s="38" t="s">
        <v>2914</v>
      </c>
      <c r="F568" s="38" t="s">
        <v>5941</v>
      </c>
      <c r="G568" s="44"/>
      <c r="H568" s="38" t="s">
        <v>144</v>
      </c>
    </row>
    <row r="569">
      <c r="B569" s="38" t="s">
        <v>5942</v>
      </c>
      <c r="C569" s="38" t="s">
        <v>5943</v>
      </c>
      <c r="D569" s="38" t="s">
        <v>5944</v>
      </c>
      <c r="E569" s="38" t="s">
        <v>4217</v>
      </c>
      <c r="F569" s="38" t="s">
        <v>5945</v>
      </c>
      <c r="G569" s="38" t="s">
        <v>5946</v>
      </c>
      <c r="H569" s="38" t="s">
        <v>5947</v>
      </c>
      <c r="I569" s="44"/>
      <c r="J569" s="38" t="s">
        <v>5948</v>
      </c>
      <c r="K569" s="38" t="s">
        <v>5949</v>
      </c>
    </row>
    <row r="570">
      <c r="B570" s="44"/>
      <c r="C570" s="44"/>
      <c r="D570" s="38" t="s">
        <v>5950</v>
      </c>
      <c r="E570" s="38" t="s">
        <v>5951</v>
      </c>
      <c r="F570" s="38" t="s">
        <v>5952</v>
      </c>
    </row>
    <row r="571">
      <c r="B571" s="38" t="s">
        <v>1010</v>
      </c>
      <c r="C571" s="38">
        <v>4.0</v>
      </c>
      <c r="D571" s="38" t="s">
        <v>315</v>
      </c>
      <c r="E571" s="38" t="s">
        <v>5953</v>
      </c>
      <c r="F571" s="44"/>
      <c r="G571" s="38" t="s">
        <v>5954</v>
      </c>
    </row>
    <row r="572">
      <c r="B572" s="38" t="s">
        <v>25</v>
      </c>
      <c r="C572" s="38">
        <v>2.0</v>
      </c>
      <c r="D572" s="38" t="s">
        <v>5955</v>
      </c>
      <c r="E572" s="38" t="s">
        <v>5956</v>
      </c>
      <c r="F572" s="38" t="s">
        <v>5957</v>
      </c>
      <c r="G572" s="38" t="s">
        <v>5958</v>
      </c>
      <c r="H572" s="38" t="s">
        <v>5959</v>
      </c>
    </row>
    <row r="573">
      <c r="B573" s="44"/>
      <c r="C573" s="44"/>
      <c r="D573" s="44"/>
      <c r="E573" s="38" t="s">
        <v>5960</v>
      </c>
      <c r="F573" s="38" t="s">
        <v>5961</v>
      </c>
      <c r="G573" s="38" t="s">
        <v>5962</v>
      </c>
    </row>
    <row r="574">
      <c r="B574" s="38" t="s">
        <v>1251</v>
      </c>
      <c r="C574" s="38" t="s">
        <v>5963</v>
      </c>
      <c r="D574" s="354" t="s">
        <v>5964</v>
      </c>
      <c r="E574" s="38" t="s">
        <v>5965</v>
      </c>
      <c r="F574" s="355" t="s">
        <v>5966</v>
      </c>
      <c r="G574" s="272" t="s">
        <v>5967</v>
      </c>
      <c r="H574" s="38" t="s">
        <v>175</v>
      </c>
    </row>
    <row r="575">
      <c r="B575" s="44"/>
      <c r="C575" s="44"/>
      <c r="D575" s="44"/>
      <c r="E575" s="38" t="s">
        <v>5968</v>
      </c>
      <c r="F575" s="38" t="s">
        <v>5969</v>
      </c>
      <c r="G575" s="38" t="s">
        <v>5970</v>
      </c>
      <c r="H575" s="38" t="s">
        <v>5971</v>
      </c>
    </row>
    <row r="576">
      <c r="B576" s="38" t="s">
        <v>718</v>
      </c>
      <c r="C576" s="38">
        <v>4.0</v>
      </c>
      <c r="D576" s="38" t="s">
        <v>973</v>
      </c>
      <c r="E576" s="38" t="s">
        <v>1017</v>
      </c>
      <c r="F576" s="38" t="s">
        <v>5972</v>
      </c>
      <c r="G576" s="38" t="s">
        <v>175</v>
      </c>
      <c r="H576" s="38" t="s">
        <v>5973</v>
      </c>
    </row>
    <row r="577">
      <c r="B577" s="38" t="s">
        <v>25</v>
      </c>
      <c r="C577" s="38">
        <v>1.0</v>
      </c>
      <c r="D577" s="38" t="s">
        <v>5974</v>
      </c>
      <c r="E577" s="38" t="s">
        <v>5975</v>
      </c>
      <c r="F577" s="38" t="s">
        <v>2507</v>
      </c>
      <c r="G577" s="38" t="s">
        <v>5976</v>
      </c>
      <c r="H577" s="38" t="s">
        <v>5977</v>
      </c>
    </row>
    <row r="578">
      <c r="B578" s="38" t="s">
        <v>25</v>
      </c>
      <c r="C578" s="38">
        <v>1.0</v>
      </c>
      <c r="D578" s="38" t="s">
        <v>4543</v>
      </c>
      <c r="E578" s="38" t="s">
        <v>5978</v>
      </c>
      <c r="F578" s="38" t="s">
        <v>5979</v>
      </c>
      <c r="G578" s="38" t="s">
        <v>5980</v>
      </c>
      <c r="H578" s="38" t="s">
        <v>5981</v>
      </c>
    </row>
    <row r="579">
      <c r="B579" s="38" t="s">
        <v>5982</v>
      </c>
      <c r="C579" s="38">
        <v>4.0</v>
      </c>
      <c r="D579" s="38" t="s">
        <v>5983</v>
      </c>
      <c r="E579" s="38" t="s">
        <v>3330</v>
      </c>
      <c r="F579" s="38" t="s">
        <v>5984</v>
      </c>
      <c r="G579" s="38" t="s">
        <v>5985</v>
      </c>
    </row>
    <row r="580">
      <c r="B580" s="38" t="s">
        <v>5986</v>
      </c>
      <c r="C580" s="44"/>
      <c r="D580" s="38" t="s">
        <v>5987</v>
      </c>
      <c r="E580" s="38" t="s">
        <v>5988</v>
      </c>
      <c r="F580" s="38" t="s">
        <v>5989</v>
      </c>
      <c r="G580" s="38" t="s">
        <v>5990</v>
      </c>
    </row>
    <row r="581">
      <c r="B581" s="38" t="s">
        <v>5991</v>
      </c>
      <c r="C581" s="38" t="s">
        <v>5992</v>
      </c>
      <c r="D581" s="38" t="s">
        <v>5993</v>
      </c>
      <c r="E581" s="38" t="s">
        <v>5994</v>
      </c>
      <c r="F581" s="38" t="s">
        <v>5995</v>
      </c>
      <c r="G581" s="38" t="s">
        <v>5996</v>
      </c>
      <c r="H581" s="38" t="s">
        <v>5997</v>
      </c>
      <c r="I581" s="38" t="s">
        <v>5998</v>
      </c>
    </row>
    <row r="582">
      <c r="B582" s="38" t="s">
        <v>5999</v>
      </c>
      <c r="C582" s="38">
        <v>4.0</v>
      </c>
      <c r="D582" s="38" t="s">
        <v>6000</v>
      </c>
      <c r="E582" s="274" t="s">
        <v>6001</v>
      </c>
      <c r="F582" s="38" t="s">
        <v>338</v>
      </c>
      <c r="G582" s="38" t="s">
        <v>6002</v>
      </c>
    </row>
    <row r="583">
      <c r="B583" s="38" t="s">
        <v>875</v>
      </c>
      <c r="C583" s="38">
        <v>4.0</v>
      </c>
      <c r="D583" s="38" t="s">
        <v>2457</v>
      </c>
      <c r="E583" s="38" t="s">
        <v>396</v>
      </c>
      <c r="F583" s="38" t="s">
        <v>6003</v>
      </c>
      <c r="G583" s="38" t="s">
        <v>6004</v>
      </c>
    </row>
    <row r="584">
      <c r="B584" s="44"/>
      <c r="C584" s="44"/>
      <c r="D584" s="38" t="s">
        <v>6005</v>
      </c>
      <c r="E584" s="38" t="s">
        <v>6006</v>
      </c>
      <c r="F584" s="38" t="s">
        <v>6007</v>
      </c>
      <c r="G584" s="44"/>
    </row>
    <row r="585">
      <c r="E585" s="1" t="s">
        <v>6008</v>
      </c>
      <c r="F585" s="1" t="s">
        <v>6009</v>
      </c>
    </row>
    <row r="586">
      <c r="B586" s="44"/>
      <c r="C586" s="44"/>
      <c r="D586" s="44"/>
      <c r="E586" s="38" t="s">
        <v>974</v>
      </c>
      <c r="F586" s="38" t="s">
        <v>6010</v>
      </c>
      <c r="G586" s="38" t="s">
        <v>6011</v>
      </c>
      <c r="H586" s="38" t="s">
        <v>4421</v>
      </c>
    </row>
    <row r="587">
      <c r="B587" s="38" t="s">
        <v>25</v>
      </c>
      <c r="C587" s="38">
        <v>2.0</v>
      </c>
      <c r="D587" s="38" t="s">
        <v>6012</v>
      </c>
      <c r="E587" s="38" t="s">
        <v>6013</v>
      </c>
      <c r="F587" s="44"/>
      <c r="G587" s="38" t="s">
        <v>4665</v>
      </c>
      <c r="H587" s="44"/>
    </row>
    <row r="588">
      <c r="B588" s="38" t="s">
        <v>6014</v>
      </c>
      <c r="C588" s="44"/>
      <c r="D588" s="38" t="s">
        <v>6015</v>
      </c>
      <c r="E588" s="38" t="s">
        <v>6016</v>
      </c>
      <c r="F588" s="38" t="s">
        <v>6017</v>
      </c>
      <c r="G588" s="38" t="s">
        <v>6018</v>
      </c>
      <c r="H588" s="44"/>
      <c r="I588" s="38" t="s">
        <v>4421</v>
      </c>
    </row>
    <row r="589">
      <c r="B589" s="38" t="s">
        <v>6019</v>
      </c>
      <c r="C589" s="38" t="s">
        <v>6020</v>
      </c>
      <c r="D589" s="44"/>
      <c r="E589" s="38" t="s">
        <v>6016</v>
      </c>
      <c r="F589" s="38" t="s">
        <v>6021</v>
      </c>
      <c r="G589" s="38" t="s">
        <v>6022</v>
      </c>
      <c r="H589" s="44"/>
      <c r="I589" s="38" t="s">
        <v>4421</v>
      </c>
    </row>
    <row r="590">
      <c r="B590" s="38"/>
      <c r="C590" s="38"/>
      <c r="D590" s="38" t="s">
        <v>6023</v>
      </c>
      <c r="E590" s="38" t="s">
        <v>6016</v>
      </c>
      <c r="F590" s="38" t="s">
        <v>6024</v>
      </c>
      <c r="G590" s="38" t="s">
        <v>6025</v>
      </c>
      <c r="H590" s="44"/>
      <c r="I590" s="38" t="s">
        <v>4421</v>
      </c>
    </row>
    <row r="591">
      <c r="B591" s="38" t="s">
        <v>6026</v>
      </c>
      <c r="C591" s="38"/>
      <c r="D591" s="38" t="s">
        <v>6027</v>
      </c>
      <c r="E591" s="38" t="s">
        <v>6016</v>
      </c>
      <c r="F591" s="38" t="s">
        <v>6028</v>
      </c>
      <c r="G591" s="44"/>
      <c r="H591" s="38" t="s">
        <v>6029</v>
      </c>
      <c r="I591" s="38" t="s">
        <v>4421</v>
      </c>
    </row>
    <row r="592">
      <c r="B592" s="38"/>
      <c r="C592" s="38"/>
      <c r="D592" s="38"/>
      <c r="E592" s="38" t="s">
        <v>6016</v>
      </c>
      <c r="F592" s="293" t="s">
        <v>6030</v>
      </c>
      <c r="G592" s="44"/>
      <c r="H592" s="38"/>
      <c r="I592" s="38" t="s">
        <v>4421</v>
      </c>
    </row>
    <row r="593">
      <c r="B593" s="38"/>
      <c r="C593" s="38"/>
      <c r="D593" s="38" t="s">
        <v>6031</v>
      </c>
      <c r="E593" s="38" t="s">
        <v>6032</v>
      </c>
      <c r="F593" s="293" t="s">
        <v>6033</v>
      </c>
      <c r="G593" s="38" t="s">
        <v>6034</v>
      </c>
      <c r="H593" s="38"/>
      <c r="I593" s="38" t="s">
        <v>4421</v>
      </c>
    </row>
    <row r="594">
      <c r="B594" s="38"/>
      <c r="C594" s="38"/>
      <c r="D594" s="38"/>
      <c r="E594" s="38" t="s">
        <v>6016</v>
      </c>
      <c r="F594" s="38" t="s">
        <v>6035</v>
      </c>
      <c r="G594" s="44"/>
      <c r="H594" s="1"/>
    </row>
    <row r="595">
      <c r="B595" s="38" t="s">
        <v>4563</v>
      </c>
      <c r="C595" s="38">
        <v>4.0</v>
      </c>
      <c r="D595" s="38" t="s">
        <v>5939</v>
      </c>
      <c r="E595" s="38" t="s">
        <v>4634</v>
      </c>
      <c r="F595" s="38" t="s">
        <v>6036</v>
      </c>
      <c r="G595" s="38" t="s">
        <v>6037</v>
      </c>
    </row>
    <row r="596">
      <c r="B596" s="38" t="s">
        <v>357</v>
      </c>
      <c r="C596" s="38">
        <v>4.0</v>
      </c>
      <c r="D596" s="38" t="s">
        <v>6038</v>
      </c>
      <c r="E596" s="38" t="s">
        <v>3330</v>
      </c>
      <c r="F596" s="38" t="s">
        <v>175</v>
      </c>
      <c r="G596" s="38" t="s">
        <v>6039</v>
      </c>
    </row>
    <row r="597">
      <c r="B597" s="38" t="s">
        <v>6040</v>
      </c>
      <c r="C597" s="38" t="s">
        <v>6041</v>
      </c>
      <c r="D597" s="38" t="s">
        <v>6042</v>
      </c>
      <c r="E597" s="38" t="s">
        <v>6043</v>
      </c>
      <c r="F597" s="38" t="s">
        <v>6044</v>
      </c>
      <c r="G597" s="38" t="s">
        <v>6045</v>
      </c>
      <c r="H597" s="38" t="s">
        <v>6046</v>
      </c>
    </row>
    <row r="598">
      <c r="B598" s="38" t="s">
        <v>6047</v>
      </c>
      <c r="C598" s="38" t="s">
        <v>6048</v>
      </c>
      <c r="D598" s="38" t="s">
        <v>6049</v>
      </c>
      <c r="E598" s="38" t="s">
        <v>6043</v>
      </c>
      <c r="F598" s="38" t="s">
        <v>6050</v>
      </c>
      <c r="G598" s="38" t="s">
        <v>6051</v>
      </c>
      <c r="H598" s="38" t="s">
        <v>6046</v>
      </c>
    </row>
    <row r="599">
      <c r="B599" s="38"/>
      <c r="C599" s="38"/>
      <c r="D599" s="38"/>
      <c r="E599" s="38" t="s">
        <v>6043</v>
      </c>
      <c r="F599" s="38" t="s">
        <v>6052</v>
      </c>
      <c r="G599" s="44"/>
      <c r="H599" s="38" t="s">
        <v>6046</v>
      </c>
    </row>
    <row r="600">
      <c r="B600" s="44"/>
      <c r="C600" s="44"/>
      <c r="D600" s="44"/>
      <c r="E600" s="38" t="s">
        <v>974</v>
      </c>
      <c r="F600" s="282" t="s">
        <v>6053</v>
      </c>
      <c r="G600" s="44"/>
      <c r="H600" s="38" t="s">
        <v>4421</v>
      </c>
    </row>
    <row r="601">
      <c r="B601" s="38" t="s">
        <v>283</v>
      </c>
      <c r="C601" s="38">
        <v>4.0</v>
      </c>
      <c r="D601" s="38" t="s">
        <v>3988</v>
      </c>
      <c r="E601" s="38" t="s">
        <v>6054</v>
      </c>
      <c r="F601" s="44"/>
      <c r="G601" s="38" t="s">
        <v>6055</v>
      </c>
    </row>
    <row r="602">
      <c r="B602" s="38" t="s">
        <v>2774</v>
      </c>
      <c r="C602" s="38">
        <v>1.0</v>
      </c>
      <c r="D602" s="38" t="s">
        <v>6056</v>
      </c>
      <c r="E602" s="38" t="s">
        <v>873</v>
      </c>
      <c r="F602" s="38" t="s">
        <v>6057</v>
      </c>
      <c r="G602" s="38" t="s">
        <v>6058</v>
      </c>
      <c r="H602" s="38" t="s">
        <v>6059</v>
      </c>
    </row>
    <row r="603">
      <c r="B603" s="44"/>
      <c r="C603" s="38" t="s">
        <v>6060</v>
      </c>
      <c r="D603" s="38" t="s">
        <v>6061</v>
      </c>
      <c r="E603" s="57" t="s">
        <v>6062</v>
      </c>
      <c r="F603" s="277" t="s">
        <v>6063</v>
      </c>
      <c r="G603" s="38" t="s">
        <v>6064</v>
      </c>
      <c r="H603" s="38" t="s">
        <v>6065</v>
      </c>
    </row>
    <row r="604">
      <c r="B604" s="44"/>
      <c r="C604" s="44"/>
      <c r="D604" s="38" t="s">
        <v>6066</v>
      </c>
      <c r="E604" s="38" t="s">
        <v>1260</v>
      </c>
      <c r="F604" s="38" t="s">
        <v>6067</v>
      </c>
      <c r="G604" s="38" t="s">
        <v>6068</v>
      </c>
    </row>
    <row r="605">
      <c r="B605" s="38" t="s">
        <v>6069</v>
      </c>
      <c r="C605" s="38" t="s">
        <v>720</v>
      </c>
      <c r="D605" s="38" t="s">
        <v>6070</v>
      </c>
      <c r="E605" s="44"/>
      <c r="F605" s="44"/>
      <c r="G605" s="38" t="s">
        <v>6071</v>
      </c>
    </row>
    <row r="606">
      <c r="B606" s="38" t="s">
        <v>6072</v>
      </c>
      <c r="C606" s="38">
        <v>2.0</v>
      </c>
      <c r="D606" s="38" t="s">
        <v>6073</v>
      </c>
      <c r="E606" s="99" t="s">
        <v>6074</v>
      </c>
      <c r="F606" s="38" t="s">
        <v>6075</v>
      </c>
      <c r="G606" s="38" t="s">
        <v>6076</v>
      </c>
    </row>
    <row r="607">
      <c r="B607" s="38" t="s">
        <v>1575</v>
      </c>
      <c r="C607" s="38">
        <v>2.0</v>
      </c>
      <c r="D607" s="38" t="s">
        <v>6073</v>
      </c>
      <c r="E607" s="99" t="s">
        <v>6077</v>
      </c>
      <c r="F607" s="38" t="s">
        <v>2218</v>
      </c>
      <c r="G607" s="38" t="s">
        <v>6076</v>
      </c>
    </row>
    <row r="608">
      <c r="B608" s="38" t="s">
        <v>1183</v>
      </c>
      <c r="C608" s="38">
        <v>2.0</v>
      </c>
      <c r="D608" s="38" t="s">
        <v>6078</v>
      </c>
      <c r="E608" s="38" t="s">
        <v>873</v>
      </c>
      <c r="F608" s="38" t="s">
        <v>5638</v>
      </c>
      <c r="G608" s="38" t="s">
        <v>175</v>
      </c>
      <c r="H608" s="38" t="s">
        <v>6079</v>
      </c>
    </row>
    <row r="609">
      <c r="B609" s="38" t="s">
        <v>128</v>
      </c>
      <c r="C609" s="38">
        <v>2.0</v>
      </c>
      <c r="D609" s="38" t="s">
        <v>6078</v>
      </c>
      <c r="E609" s="38" t="s">
        <v>873</v>
      </c>
      <c r="F609" s="38" t="s">
        <v>3990</v>
      </c>
      <c r="G609" s="38" t="s">
        <v>6080</v>
      </c>
      <c r="H609" s="38" t="s">
        <v>6079</v>
      </c>
    </row>
    <row r="610">
      <c r="B610" s="38" t="s">
        <v>25</v>
      </c>
      <c r="C610" s="38">
        <v>4.0</v>
      </c>
      <c r="D610" s="38" t="s">
        <v>4898</v>
      </c>
      <c r="E610" s="38" t="s">
        <v>873</v>
      </c>
      <c r="F610" s="38" t="s">
        <v>175</v>
      </c>
      <c r="G610" s="38" t="s">
        <v>6081</v>
      </c>
    </row>
    <row r="611">
      <c r="B611" s="38" t="s">
        <v>6082</v>
      </c>
      <c r="C611" s="44"/>
      <c r="D611" s="38" t="s">
        <v>6083</v>
      </c>
      <c r="E611" s="38" t="s">
        <v>6084</v>
      </c>
      <c r="F611" s="38" t="s">
        <v>6085</v>
      </c>
      <c r="G611" s="38" t="s">
        <v>6086</v>
      </c>
    </row>
    <row r="612">
      <c r="B612" s="38" t="s">
        <v>6087</v>
      </c>
      <c r="C612" s="272" t="s">
        <v>6088</v>
      </c>
      <c r="D612" s="272" t="s">
        <v>6089</v>
      </c>
      <c r="E612" s="38" t="s">
        <v>4796</v>
      </c>
      <c r="F612" s="38" t="s">
        <v>866</v>
      </c>
      <c r="G612" s="38" t="s">
        <v>4299</v>
      </c>
      <c r="H612" s="38" t="s">
        <v>6090</v>
      </c>
      <c r="I612" s="38" t="s">
        <v>4421</v>
      </c>
    </row>
    <row r="613">
      <c r="B613" s="38" t="s">
        <v>183</v>
      </c>
      <c r="C613" s="38">
        <v>2.0</v>
      </c>
      <c r="D613" s="38" t="s">
        <v>6091</v>
      </c>
      <c r="E613" s="38" t="s">
        <v>418</v>
      </c>
      <c r="F613" s="44"/>
      <c r="G613" s="38" t="s">
        <v>6092</v>
      </c>
    </row>
    <row r="614">
      <c r="B614" s="38" t="s">
        <v>183</v>
      </c>
      <c r="C614" s="272">
        <v>4.0</v>
      </c>
      <c r="D614" s="272" t="s">
        <v>1109</v>
      </c>
      <c r="E614" s="274" t="s">
        <v>6093</v>
      </c>
      <c r="F614" s="44"/>
      <c r="G614" s="44"/>
    </row>
    <row r="615">
      <c r="B615" s="38" t="s">
        <v>6094</v>
      </c>
      <c r="C615" s="44"/>
      <c r="D615" s="38" t="s">
        <v>6095</v>
      </c>
      <c r="E615" s="38" t="s">
        <v>413</v>
      </c>
      <c r="F615" s="44"/>
      <c r="G615" s="44"/>
    </row>
    <row r="616">
      <c r="B616" s="38" t="s">
        <v>3682</v>
      </c>
      <c r="C616" s="38">
        <v>4.0</v>
      </c>
      <c r="D616" s="38" t="s">
        <v>4898</v>
      </c>
      <c r="E616" s="38" t="s">
        <v>4709</v>
      </c>
      <c r="F616" s="38" t="s">
        <v>6096</v>
      </c>
      <c r="G616" s="38" t="s">
        <v>6097</v>
      </c>
    </row>
    <row r="617">
      <c r="B617" s="38" t="s">
        <v>128</v>
      </c>
      <c r="C617" s="38">
        <v>4.0</v>
      </c>
      <c r="D617" s="38" t="s">
        <v>6098</v>
      </c>
      <c r="E617" s="38" t="s">
        <v>6099</v>
      </c>
      <c r="F617" s="38" t="s">
        <v>1093</v>
      </c>
      <c r="G617" s="38" t="s">
        <v>6100</v>
      </c>
    </row>
    <row r="618">
      <c r="B618" s="44"/>
      <c r="C618" s="44"/>
      <c r="D618" s="44"/>
      <c r="E618" s="38" t="s">
        <v>4865</v>
      </c>
      <c r="F618" s="38" t="s">
        <v>6101</v>
      </c>
      <c r="G618" s="38" t="s">
        <v>6102</v>
      </c>
    </row>
    <row r="619">
      <c r="B619" s="44"/>
      <c r="C619" s="44"/>
      <c r="D619" s="44"/>
      <c r="E619" s="38" t="s">
        <v>4865</v>
      </c>
      <c r="F619" s="38" t="s">
        <v>6103</v>
      </c>
      <c r="G619" s="38" t="s">
        <v>6102</v>
      </c>
    </row>
    <row r="620">
      <c r="B620" s="38" t="s">
        <v>25</v>
      </c>
      <c r="C620" s="38">
        <v>8.0</v>
      </c>
      <c r="D620" s="38" t="s">
        <v>6104</v>
      </c>
      <c r="E620" s="274" t="s">
        <v>6105</v>
      </c>
      <c r="F620" s="44"/>
      <c r="G620" s="38" t="s">
        <v>6106</v>
      </c>
    </row>
    <row r="621">
      <c r="B621" s="38" t="s">
        <v>22</v>
      </c>
      <c r="C621" s="38">
        <v>4.0</v>
      </c>
      <c r="D621" s="38" t="s">
        <v>6104</v>
      </c>
      <c r="E621" s="274" t="s">
        <v>6105</v>
      </c>
      <c r="F621" s="44"/>
      <c r="G621" s="38" t="s">
        <v>6106</v>
      </c>
    </row>
    <row r="622">
      <c r="B622" s="38" t="s">
        <v>205</v>
      </c>
      <c r="C622" s="38">
        <v>1.0</v>
      </c>
      <c r="D622" s="38" t="s">
        <v>294</v>
      </c>
      <c r="E622" s="38" t="s">
        <v>6107</v>
      </c>
      <c r="F622" s="44"/>
      <c r="G622" s="38" t="s">
        <v>6108</v>
      </c>
    </row>
    <row r="623">
      <c r="B623" s="38" t="s">
        <v>4563</v>
      </c>
      <c r="C623" s="38">
        <v>4.0</v>
      </c>
      <c r="D623" s="38" t="s">
        <v>1908</v>
      </c>
      <c r="E623" s="38" t="s">
        <v>6109</v>
      </c>
      <c r="F623" s="38" t="s">
        <v>6110</v>
      </c>
      <c r="G623" s="38" t="s">
        <v>6111</v>
      </c>
    </row>
    <row r="624">
      <c r="B624" s="38" t="s">
        <v>77</v>
      </c>
      <c r="C624" s="38">
        <v>2.0</v>
      </c>
      <c r="D624" s="38" t="s">
        <v>6112</v>
      </c>
      <c r="E624" s="38" t="s">
        <v>6113</v>
      </c>
      <c r="F624" s="38" t="s">
        <v>4260</v>
      </c>
      <c r="G624" s="38" t="s">
        <v>6114</v>
      </c>
    </row>
    <row r="625">
      <c r="B625" s="38" t="s">
        <v>6115</v>
      </c>
      <c r="C625" s="44"/>
      <c r="D625" s="44"/>
      <c r="E625" s="38" t="s">
        <v>6116</v>
      </c>
      <c r="F625" s="44"/>
      <c r="G625" s="38" t="s">
        <v>144</v>
      </c>
    </row>
    <row r="626">
      <c r="B626" s="38" t="s">
        <v>2774</v>
      </c>
      <c r="C626" s="38">
        <v>2.0</v>
      </c>
      <c r="D626" s="38" t="s">
        <v>6117</v>
      </c>
      <c r="E626" s="40" t="s">
        <v>6118</v>
      </c>
      <c r="F626" s="44"/>
      <c r="G626" s="38" t="s">
        <v>6119</v>
      </c>
    </row>
    <row r="627">
      <c r="B627" s="38" t="s">
        <v>1182</v>
      </c>
      <c r="C627" s="38">
        <v>2.0</v>
      </c>
      <c r="D627" s="38" t="s">
        <v>2296</v>
      </c>
      <c r="E627" s="38" t="s">
        <v>6120</v>
      </c>
      <c r="F627" s="44"/>
      <c r="G627" s="38" t="s">
        <v>6121</v>
      </c>
    </row>
    <row r="628">
      <c r="B628" s="38" t="s">
        <v>982</v>
      </c>
      <c r="C628" s="38">
        <v>4.0</v>
      </c>
      <c r="D628" s="38" t="s">
        <v>6122</v>
      </c>
      <c r="E628" s="40" t="s">
        <v>6123</v>
      </c>
      <c r="F628" s="44"/>
      <c r="G628" s="38" t="s">
        <v>6124</v>
      </c>
    </row>
    <row r="629">
      <c r="B629" s="38" t="s">
        <v>246</v>
      </c>
      <c r="C629" s="38">
        <v>4.0</v>
      </c>
      <c r="D629" s="38" t="s">
        <v>6125</v>
      </c>
      <c r="E629" s="38" t="s">
        <v>6126</v>
      </c>
      <c r="F629" s="38" t="s">
        <v>6127</v>
      </c>
    </row>
    <row r="630">
      <c r="B630" s="38" t="s">
        <v>1271</v>
      </c>
      <c r="C630" s="38">
        <v>4.0</v>
      </c>
      <c r="D630" s="38" t="s">
        <v>395</v>
      </c>
      <c r="E630" s="38" t="s">
        <v>6128</v>
      </c>
      <c r="F630" s="38" t="s">
        <v>4474</v>
      </c>
      <c r="G630" s="38" t="s">
        <v>6129</v>
      </c>
    </row>
    <row r="631">
      <c r="B631" s="38" t="s">
        <v>1010</v>
      </c>
      <c r="C631" s="38">
        <v>2.0</v>
      </c>
      <c r="D631" s="38" t="s">
        <v>2405</v>
      </c>
      <c r="E631" s="38" t="s">
        <v>6128</v>
      </c>
      <c r="F631" s="38" t="s">
        <v>6130</v>
      </c>
      <c r="G631" s="38" t="s">
        <v>6131</v>
      </c>
    </row>
    <row r="632">
      <c r="B632" s="38" t="s">
        <v>718</v>
      </c>
      <c r="C632" s="38">
        <v>2.0</v>
      </c>
      <c r="D632" s="38" t="s">
        <v>2405</v>
      </c>
      <c r="E632" s="38" t="s">
        <v>6128</v>
      </c>
      <c r="F632" s="38" t="s">
        <v>6130</v>
      </c>
      <c r="G632" s="38" t="s">
        <v>6132</v>
      </c>
    </row>
    <row r="633">
      <c r="A633" s="1"/>
      <c r="B633" s="38" t="s">
        <v>38</v>
      </c>
      <c r="C633" s="38">
        <v>2.0</v>
      </c>
      <c r="D633" s="38" t="s">
        <v>6133</v>
      </c>
      <c r="E633" s="38" t="s">
        <v>217</v>
      </c>
      <c r="F633" s="38" t="s">
        <v>6134</v>
      </c>
      <c r="G633" s="44"/>
    </row>
    <row r="634">
      <c r="A634" s="1"/>
      <c r="B634" s="38" t="s">
        <v>3878</v>
      </c>
      <c r="C634" s="38">
        <v>2.0</v>
      </c>
      <c r="D634" s="38" t="s">
        <v>6133</v>
      </c>
      <c r="E634" s="38" t="s">
        <v>217</v>
      </c>
      <c r="F634" s="38" t="s">
        <v>6135</v>
      </c>
      <c r="G634" s="44"/>
    </row>
    <row r="635">
      <c r="B635" s="38" t="s">
        <v>85</v>
      </c>
      <c r="C635" s="38">
        <v>4.0</v>
      </c>
      <c r="D635" s="38" t="s">
        <v>6136</v>
      </c>
      <c r="E635" s="38" t="s">
        <v>6137</v>
      </c>
      <c r="F635" s="38" t="s">
        <v>6138</v>
      </c>
      <c r="G635" s="38" t="s">
        <v>6139</v>
      </c>
    </row>
    <row r="636">
      <c r="A636" s="38" t="s">
        <v>1113</v>
      </c>
      <c r="B636" s="38" t="s">
        <v>81</v>
      </c>
      <c r="C636" s="38">
        <v>4.0</v>
      </c>
      <c r="D636" s="38" t="s">
        <v>6140</v>
      </c>
      <c r="E636" s="38" t="s">
        <v>1156</v>
      </c>
      <c r="F636" s="38" t="s">
        <v>6141</v>
      </c>
      <c r="G636" s="38" t="s">
        <v>6142</v>
      </c>
    </row>
    <row r="637">
      <c r="A637" s="38" t="s">
        <v>1113</v>
      </c>
      <c r="B637" s="38" t="s">
        <v>4563</v>
      </c>
      <c r="C637" s="38">
        <v>4.0</v>
      </c>
      <c r="D637" s="38" t="s">
        <v>6143</v>
      </c>
      <c r="E637" s="38" t="s">
        <v>6144</v>
      </c>
      <c r="F637" s="38" t="s">
        <v>6145</v>
      </c>
      <c r="G637" s="38" t="s">
        <v>6146</v>
      </c>
    </row>
    <row r="638">
      <c r="B638" s="38" t="s">
        <v>77</v>
      </c>
      <c r="C638" s="38">
        <v>4.0</v>
      </c>
      <c r="D638" s="38" t="s">
        <v>6147</v>
      </c>
      <c r="E638" s="38" t="s">
        <v>6148</v>
      </c>
      <c r="F638" s="38" t="s">
        <v>175</v>
      </c>
      <c r="G638" s="38" t="s">
        <v>6149</v>
      </c>
    </row>
    <row r="639">
      <c r="B639" s="38" t="s">
        <v>261</v>
      </c>
      <c r="C639" s="38">
        <v>2.0</v>
      </c>
      <c r="D639" s="38" t="s">
        <v>545</v>
      </c>
      <c r="E639" s="40" t="s">
        <v>6150</v>
      </c>
      <c r="F639" s="44"/>
      <c r="G639" s="38" t="s">
        <v>6124</v>
      </c>
    </row>
    <row r="640">
      <c r="A640" s="38" t="s">
        <v>1113</v>
      </c>
      <c r="B640" s="38" t="s">
        <v>1162</v>
      </c>
      <c r="C640" s="38">
        <v>4.0</v>
      </c>
      <c r="D640" s="38" t="s">
        <v>6151</v>
      </c>
      <c r="E640" s="38" t="s">
        <v>5372</v>
      </c>
      <c r="F640" s="38" t="s">
        <v>6152</v>
      </c>
      <c r="G640" s="38" t="s">
        <v>6153</v>
      </c>
    </row>
    <row r="641">
      <c r="A641" s="38" t="s">
        <v>1113</v>
      </c>
      <c r="B641" s="38" t="s">
        <v>3433</v>
      </c>
      <c r="C641" s="38">
        <v>4.0</v>
      </c>
      <c r="D641" s="38" t="s">
        <v>6154</v>
      </c>
      <c r="E641" s="38" t="s">
        <v>5372</v>
      </c>
      <c r="F641" s="38" t="s">
        <v>6155</v>
      </c>
      <c r="G641" s="38" t="s">
        <v>6153</v>
      </c>
    </row>
    <row r="642">
      <c r="B642" s="38" t="s">
        <v>91</v>
      </c>
      <c r="C642" s="38">
        <v>4.0</v>
      </c>
      <c r="D642" s="38" t="s">
        <v>6156</v>
      </c>
      <c r="E642" s="38" t="s">
        <v>4478</v>
      </c>
      <c r="F642" s="38" t="s">
        <v>6157</v>
      </c>
      <c r="G642" s="38" t="s">
        <v>6158</v>
      </c>
    </row>
    <row r="643">
      <c r="A643" s="38" t="s">
        <v>1113</v>
      </c>
      <c r="B643" s="38" t="s">
        <v>339</v>
      </c>
      <c r="C643" s="38">
        <v>4.0</v>
      </c>
      <c r="D643" s="38" t="s">
        <v>6156</v>
      </c>
      <c r="E643" s="57" t="s">
        <v>6159</v>
      </c>
      <c r="F643" s="38" t="s">
        <v>6145</v>
      </c>
      <c r="G643" s="38" t="s">
        <v>6146</v>
      </c>
    </row>
    <row r="644">
      <c r="A644" s="38" t="s">
        <v>1113</v>
      </c>
      <c r="B644" s="38" t="s">
        <v>339</v>
      </c>
      <c r="C644" s="38">
        <v>4.0</v>
      </c>
      <c r="D644" s="38" t="s">
        <v>6156</v>
      </c>
      <c r="E644" s="57" t="s">
        <v>6160</v>
      </c>
      <c r="F644" s="38" t="s">
        <v>6145</v>
      </c>
      <c r="G644" s="38" t="s">
        <v>6146</v>
      </c>
    </row>
    <row r="645">
      <c r="A645" s="38" t="s">
        <v>1113</v>
      </c>
      <c r="B645" s="38" t="s">
        <v>339</v>
      </c>
      <c r="C645" s="38">
        <v>4.0</v>
      </c>
      <c r="D645" s="38" t="s">
        <v>6156</v>
      </c>
      <c r="E645" s="38" t="s">
        <v>6161</v>
      </c>
      <c r="F645" s="38" t="s">
        <v>6145</v>
      </c>
      <c r="G645" s="38" t="s">
        <v>6146</v>
      </c>
    </row>
    <row r="646">
      <c r="A646" s="38" t="s">
        <v>1113</v>
      </c>
      <c r="B646" s="38" t="s">
        <v>6162</v>
      </c>
      <c r="C646" s="38">
        <v>4.0</v>
      </c>
      <c r="D646" s="38" t="s">
        <v>6163</v>
      </c>
      <c r="E646" s="40" t="s">
        <v>6164</v>
      </c>
      <c r="F646" s="38" t="s">
        <v>6145</v>
      </c>
      <c r="G646" s="38" t="s">
        <v>6165</v>
      </c>
    </row>
    <row r="647">
      <c r="B647" s="38" t="s">
        <v>357</v>
      </c>
      <c r="C647" s="38">
        <v>4.0</v>
      </c>
      <c r="D647" s="38" t="s">
        <v>289</v>
      </c>
      <c r="E647" s="40" t="s">
        <v>6166</v>
      </c>
      <c r="F647" s="44"/>
      <c r="G647" s="38" t="s">
        <v>6124</v>
      </c>
    </row>
    <row r="648">
      <c r="B648" s="38" t="s">
        <v>77</v>
      </c>
      <c r="C648" s="38">
        <v>1.0</v>
      </c>
      <c r="D648" s="38" t="s">
        <v>6167</v>
      </c>
      <c r="E648" s="40" t="s">
        <v>6168</v>
      </c>
      <c r="F648" s="44"/>
      <c r="G648" s="38" t="s">
        <v>6169</v>
      </c>
    </row>
    <row r="649">
      <c r="B649" s="38" t="s">
        <v>876</v>
      </c>
      <c r="C649" s="38">
        <v>4.0</v>
      </c>
      <c r="D649" s="38" t="s">
        <v>289</v>
      </c>
      <c r="E649" s="356" t="s">
        <v>6170</v>
      </c>
      <c r="F649" s="44"/>
      <c r="G649" s="38" t="s">
        <v>6124</v>
      </c>
    </row>
    <row r="650">
      <c r="B650" s="38" t="s">
        <v>183</v>
      </c>
      <c r="C650" s="38">
        <v>2.0</v>
      </c>
      <c r="D650" s="38" t="s">
        <v>6171</v>
      </c>
      <c r="E650" s="40" t="s">
        <v>6172</v>
      </c>
      <c r="F650" s="44"/>
      <c r="G650" s="38" t="s">
        <v>6124</v>
      </c>
    </row>
    <row r="651">
      <c r="B651" s="38" t="s">
        <v>81</v>
      </c>
      <c r="C651" s="38">
        <v>4.0</v>
      </c>
      <c r="D651" s="357" t="s">
        <v>6173</v>
      </c>
      <c r="E651" s="40" t="s">
        <v>6174</v>
      </c>
      <c r="F651" s="44"/>
      <c r="G651" s="38" t="s">
        <v>6175</v>
      </c>
    </row>
    <row r="652">
      <c r="B652" s="38" t="s">
        <v>271</v>
      </c>
      <c r="C652" s="38">
        <v>4.0</v>
      </c>
      <c r="D652" s="38" t="s">
        <v>289</v>
      </c>
      <c r="E652" s="57" t="s">
        <v>6176</v>
      </c>
      <c r="F652" s="44"/>
      <c r="G652" s="38" t="s">
        <v>6177</v>
      </c>
    </row>
    <row r="653">
      <c r="B653" s="38" t="s">
        <v>271</v>
      </c>
      <c r="C653" s="38">
        <v>4.0</v>
      </c>
      <c r="D653" s="38" t="s">
        <v>289</v>
      </c>
      <c r="E653" s="40" t="s">
        <v>6178</v>
      </c>
      <c r="F653" s="44"/>
      <c r="G653" s="40" t="s">
        <v>6179</v>
      </c>
    </row>
    <row r="654">
      <c r="B654" s="38" t="s">
        <v>81</v>
      </c>
      <c r="C654" s="38">
        <v>2.0</v>
      </c>
      <c r="D654" s="38" t="s">
        <v>6180</v>
      </c>
      <c r="E654" s="40" t="s">
        <v>6181</v>
      </c>
      <c r="F654" s="44"/>
      <c r="G654" s="38" t="s">
        <v>6182</v>
      </c>
    </row>
    <row r="655">
      <c r="B655" s="38" t="s">
        <v>271</v>
      </c>
      <c r="C655" s="38">
        <v>2.0</v>
      </c>
      <c r="D655" s="38" t="s">
        <v>6183</v>
      </c>
      <c r="E655" s="38" t="s">
        <v>6184</v>
      </c>
      <c r="F655" s="44"/>
      <c r="G655" s="38" t="s">
        <v>6185</v>
      </c>
    </row>
    <row r="656">
      <c r="B656" s="38" t="s">
        <v>77</v>
      </c>
      <c r="C656" s="38">
        <v>4.0</v>
      </c>
      <c r="D656" s="38" t="s">
        <v>289</v>
      </c>
      <c r="E656" s="40" t="s">
        <v>6186</v>
      </c>
      <c r="F656" s="44"/>
      <c r="G656" s="38" t="s">
        <v>6187</v>
      </c>
    </row>
    <row r="657">
      <c r="B657" s="38" t="s">
        <v>1006</v>
      </c>
      <c r="C657" s="38">
        <v>4.0</v>
      </c>
      <c r="D657" s="38" t="s">
        <v>289</v>
      </c>
      <c r="E657" s="40" t="s">
        <v>6188</v>
      </c>
      <c r="F657" s="44"/>
      <c r="G657" s="38" t="s">
        <v>6124</v>
      </c>
    </row>
    <row r="658">
      <c r="B658" s="38" t="s">
        <v>261</v>
      </c>
      <c r="C658" s="38">
        <v>1.0</v>
      </c>
      <c r="D658" s="38" t="s">
        <v>545</v>
      </c>
      <c r="E658" s="356" t="s">
        <v>6189</v>
      </c>
      <c r="F658" s="44"/>
      <c r="G658" s="38" t="s">
        <v>6182</v>
      </c>
    </row>
    <row r="659">
      <c r="B659" s="38" t="s">
        <v>28</v>
      </c>
      <c r="C659" s="38">
        <v>4.0</v>
      </c>
      <c r="D659" s="38" t="s">
        <v>289</v>
      </c>
      <c r="E659" s="40" t="s">
        <v>4869</v>
      </c>
      <c r="F659" s="44"/>
      <c r="G659" s="38" t="s">
        <v>6124</v>
      </c>
    </row>
    <row r="660">
      <c r="B660" s="38" t="s">
        <v>430</v>
      </c>
      <c r="C660" s="38">
        <v>4.0</v>
      </c>
      <c r="D660" s="38" t="s">
        <v>289</v>
      </c>
      <c r="E660" s="40" t="s">
        <v>6190</v>
      </c>
      <c r="F660" s="44"/>
      <c r="G660" s="38" t="s">
        <v>6191</v>
      </c>
    </row>
    <row r="661">
      <c r="B661" s="38" t="s">
        <v>183</v>
      </c>
      <c r="C661" s="38">
        <v>2.0</v>
      </c>
      <c r="D661" s="38" t="s">
        <v>6192</v>
      </c>
      <c r="E661" s="40" t="s">
        <v>6193</v>
      </c>
      <c r="F661" s="44"/>
      <c r="G661" s="38" t="s">
        <v>6194</v>
      </c>
    </row>
    <row r="662">
      <c r="B662" s="38" t="s">
        <v>85</v>
      </c>
      <c r="C662" s="38">
        <v>2.0</v>
      </c>
      <c r="D662" s="38" t="s">
        <v>1084</v>
      </c>
      <c r="E662" s="40" t="s">
        <v>6195</v>
      </c>
      <c r="F662" s="44"/>
      <c r="G662" s="38" t="s">
        <v>6196</v>
      </c>
    </row>
    <row r="663">
      <c r="B663" s="38" t="s">
        <v>6197</v>
      </c>
      <c r="C663" s="38">
        <v>2.0</v>
      </c>
      <c r="D663" s="357" t="s">
        <v>6198</v>
      </c>
      <c r="E663" s="38" t="s">
        <v>6199</v>
      </c>
      <c r="F663" s="44"/>
      <c r="G663" s="38" t="s">
        <v>6200</v>
      </c>
    </row>
    <row r="664">
      <c r="B664" s="38" t="s">
        <v>6201</v>
      </c>
      <c r="C664" s="38">
        <v>4.0</v>
      </c>
      <c r="D664" s="357" t="s">
        <v>6202</v>
      </c>
      <c r="E664" s="40" t="s">
        <v>6203</v>
      </c>
      <c r="F664" s="44"/>
      <c r="G664" s="38" t="s">
        <v>6121</v>
      </c>
    </row>
    <row r="665">
      <c r="B665" s="38" t="s">
        <v>22</v>
      </c>
      <c r="C665" s="38">
        <v>4.0</v>
      </c>
      <c r="D665" s="357" t="s">
        <v>6204</v>
      </c>
      <c r="E665" s="38" t="s">
        <v>6205</v>
      </c>
      <c r="F665" s="44"/>
      <c r="G665" s="38" t="s">
        <v>6121</v>
      </c>
    </row>
    <row r="666">
      <c r="B666" s="38" t="s">
        <v>22</v>
      </c>
      <c r="C666" s="38">
        <v>2.0</v>
      </c>
      <c r="D666" s="357" t="s">
        <v>6204</v>
      </c>
      <c r="E666" s="38" t="s">
        <v>6206</v>
      </c>
      <c r="F666" s="44"/>
      <c r="G666" s="38" t="s">
        <v>6200</v>
      </c>
    </row>
    <row r="667">
      <c r="B667" s="38" t="s">
        <v>283</v>
      </c>
      <c r="C667" s="38">
        <v>4.0</v>
      </c>
      <c r="D667" s="358" t="s">
        <v>6207</v>
      </c>
      <c r="E667" s="40" t="s">
        <v>1141</v>
      </c>
      <c r="F667" s="38" t="s">
        <v>2557</v>
      </c>
      <c r="G667" s="38" t="s">
        <v>6208</v>
      </c>
    </row>
    <row r="668">
      <c r="A668" s="38" t="s">
        <v>1113</v>
      </c>
      <c r="B668" s="38" t="s">
        <v>1159</v>
      </c>
      <c r="C668" s="38">
        <v>4.0</v>
      </c>
      <c r="D668" s="38" t="s">
        <v>545</v>
      </c>
      <c r="E668" s="40" t="s">
        <v>6209</v>
      </c>
      <c r="F668" s="38" t="s">
        <v>6145</v>
      </c>
      <c r="G668" s="38" t="s">
        <v>6210</v>
      </c>
    </row>
    <row r="669">
      <c r="B669" s="38" t="s">
        <v>31</v>
      </c>
      <c r="C669" s="38">
        <v>4.0</v>
      </c>
      <c r="D669" s="357" t="s">
        <v>6211</v>
      </c>
      <c r="E669" s="40" t="s">
        <v>6212</v>
      </c>
      <c r="F669" s="38" t="s">
        <v>6213</v>
      </c>
      <c r="G669" s="38" t="s">
        <v>6214</v>
      </c>
    </row>
    <row r="670">
      <c r="B670" s="38" t="s">
        <v>1296</v>
      </c>
      <c r="C670" s="38">
        <v>4.0</v>
      </c>
      <c r="D670" s="359" t="s">
        <v>6215</v>
      </c>
      <c r="E670" s="40" t="s">
        <v>4206</v>
      </c>
      <c r="F670" s="38" t="s">
        <v>6216</v>
      </c>
    </row>
    <row r="671">
      <c r="A671" s="38" t="s">
        <v>1113</v>
      </c>
      <c r="B671" s="38" t="s">
        <v>22</v>
      </c>
      <c r="C671" s="38">
        <v>4.0</v>
      </c>
      <c r="D671" s="359" t="s">
        <v>6217</v>
      </c>
      <c r="E671" s="40" t="s">
        <v>6218</v>
      </c>
      <c r="F671" s="360"/>
      <c r="G671" s="38" t="s">
        <v>6219</v>
      </c>
    </row>
    <row r="672">
      <c r="A672" s="38" t="s">
        <v>1113</v>
      </c>
      <c r="B672" s="38" t="s">
        <v>25</v>
      </c>
      <c r="C672" s="38">
        <v>4.0</v>
      </c>
      <c r="D672" s="359" t="s">
        <v>6217</v>
      </c>
      <c r="E672" s="40" t="s">
        <v>6218</v>
      </c>
      <c r="F672" s="360"/>
      <c r="G672" s="38" t="s">
        <v>6219</v>
      </c>
    </row>
    <row r="673">
      <c r="A673" s="38" t="s">
        <v>1113</v>
      </c>
      <c r="B673" s="38" t="s">
        <v>28</v>
      </c>
      <c r="C673" s="38">
        <v>4.0</v>
      </c>
      <c r="D673" s="359" t="s">
        <v>6217</v>
      </c>
      <c r="E673" s="40" t="s">
        <v>6218</v>
      </c>
      <c r="F673" s="360"/>
      <c r="G673" s="38" t="s">
        <v>6220</v>
      </c>
    </row>
    <row r="674">
      <c r="A674" s="38" t="s">
        <v>1113</v>
      </c>
      <c r="B674" s="38" t="s">
        <v>205</v>
      </c>
      <c r="C674" s="38">
        <v>4.0</v>
      </c>
      <c r="D674" s="359" t="s">
        <v>6221</v>
      </c>
      <c r="E674" s="40" t="s">
        <v>6218</v>
      </c>
      <c r="F674" s="360"/>
      <c r="G674" s="38" t="s">
        <v>6219</v>
      </c>
    </row>
    <row r="675">
      <c r="A675" s="38" t="s">
        <v>1113</v>
      </c>
      <c r="B675" s="38" t="s">
        <v>183</v>
      </c>
      <c r="C675" s="38">
        <v>4.0</v>
      </c>
      <c r="D675" s="359" t="s">
        <v>6221</v>
      </c>
      <c r="E675" s="40" t="s">
        <v>6218</v>
      </c>
      <c r="F675" s="360"/>
      <c r="G675" s="38" t="s">
        <v>6220</v>
      </c>
    </row>
    <row r="676">
      <c r="A676" s="38" t="s">
        <v>1113</v>
      </c>
      <c r="B676" s="38" t="s">
        <v>876</v>
      </c>
      <c r="C676" s="38">
        <v>4.0</v>
      </c>
      <c r="D676" s="359" t="s">
        <v>6221</v>
      </c>
      <c r="E676" s="40" t="s">
        <v>6218</v>
      </c>
      <c r="F676" s="360"/>
      <c r="G676" s="38" t="s">
        <v>6220</v>
      </c>
    </row>
    <row r="677">
      <c r="B677" s="38" t="s">
        <v>718</v>
      </c>
      <c r="C677" s="38">
        <v>4.0</v>
      </c>
      <c r="D677" s="359" t="s">
        <v>6221</v>
      </c>
      <c r="E677" s="40" t="s">
        <v>6222</v>
      </c>
      <c r="F677" s="360" t="s">
        <v>6145</v>
      </c>
      <c r="G677" s="38" t="s">
        <v>6223</v>
      </c>
    </row>
    <row r="678">
      <c r="A678" s="1"/>
      <c r="B678" s="38" t="s">
        <v>205</v>
      </c>
      <c r="C678" s="38">
        <v>4.0</v>
      </c>
      <c r="D678" s="359" t="s">
        <v>6221</v>
      </c>
      <c r="E678" s="40" t="s">
        <v>5882</v>
      </c>
      <c r="F678" s="360" t="s">
        <v>6224</v>
      </c>
      <c r="G678" s="38" t="s">
        <v>5884</v>
      </c>
    </row>
    <row r="679">
      <c r="B679" s="38" t="s">
        <v>85</v>
      </c>
      <c r="C679" s="38">
        <v>4.0</v>
      </c>
      <c r="D679" s="38" t="s">
        <v>6225</v>
      </c>
      <c r="E679" s="38" t="s">
        <v>337</v>
      </c>
      <c r="F679" s="44"/>
      <c r="G679" s="44"/>
    </row>
    <row r="680">
      <c r="B680" s="38" t="s">
        <v>6226</v>
      </c>
      <c r="C680" s="44"/>
      <c r="D680" s="38" t="s">
        <v>6227</v>
      </c>
      <c r="E680" s="38" t="s">
        <v>6228</v>
      </c>
      <c r="F680" s="38" t="s">
        <v>6229</v>
      </c>
      <c r="G680" s="38" t="s">
        <v>6230</v>
      </c>
      <c r="H680" s="38" t="s">
        <v>6231</v>
      </c>
    </row>
    <row r="681">
      <c r="B681" s="38" t="s">
        <v>6232</v>
      </c>
      <c r="C681" s="44"/>
      <c r="D681" s="38" t="s">
        <v>6233</v>
      </c>
      <c r="E681" s="38" t="s">
        <v>6228</v>
      </c>
      <c r="F681" s="38" t="s">
        <v>6234</v>
      </c>
      <c r="G681" s="38" t="s">
        <v>6235</v>
      </c>
      <c r="H681" s="38" t="s">
        <v>6231</v>
      </c>
    </row>
    <row r="682">
      <c r="B682" s="38" t="s">
        <v>6236</v>
      </c>
      <c r="C682" s="44"/>
      <c r="D682" s="276" t="s">
        <v>6237</v>
      </c>
      <c r="E682" s="38" t="s">
        <v>6238</v>
      </c>
      <c r="F682" s="38" t="s">
        <v>6239</v>
      </c>
      <c r="G682" s="38" t="s">
        <v>6240</v>
      </c>
      <c r="H682" s="38" t="s">
        <v>6241</v>
      </c>
    </row>
    <row r="683">
      <c r="B683" s="44"/>
      <c r="C683" s="44"/>
      <c r="D683" s="38" t="s">
        <v>6242</v>
      </c>
      <c r="E683" s="38" t="s">
        <v>6243</v>
      </c>
      <c r="F683" s="38" t="s">
        <v>6244</v>
      </c>
      <c r="G683" s="38" t="s">
        <v>6245</v>
      </c>
    </row>
    <row r="684">
      <c r="A684" s="44"/>
      <c r="B684" s="38" t="s">
        <v>6246</v>
      </c>
      <c r="C684" s="44"/>
      <c r="D684" s="38" t="s">
        <v>6247</v>
      </c>
      <c r="E684" s="38" t="s">
        <v>6248</v>
      </c>
      <c r="F684" s="38" t="s">
        <v>6249</v>
      </c>
      <c r="G684" s="38" t="s">
        <v>6250</v>
      </c>
      <c r="H684" s="38" t="s">
        <v>6251</v>
      </c>
      <c r="I684" s="38" t="s">
        <v>6252</v>
      </c>
    </row>
    <row r="685">
      <c r="A685" s="44"/>
      <c r="B685" s="38" t="s">
        <v>6253</v>
      </c>
      <c r="C685" s="44"/>
      <c r="D685" s="38" t="s">
        <v>6254</v>
      </c>
      <c r="E685" s="38" t="s">
        <v>6248</v>
      </c>
      <c r="F685" s="38" t="s">
        <v>6255</v>
      </c>
      <c r="G685" s="38" t="s">
        <v>6256</v>
      </c>
      <c r="H685" s="38" t="s">
        <v>6257</v>
      </c>
      <c r="I685" s="38" t="s">
        <v>6252</v>
      </c>
    </row>
    <row r="686">
      <c r="A686" s="44"/>
      <c r="B686" s="38" t="s">
        <v>6258</v>
      </c>
      <c r="C686" s="44"/>
      <c r="D686" s="44"/>
      <c r="E686" s="38" t="s">
        <v>6248</v>
      </c>
      <c r="F686" s="38" t="s">
        <v>6259</v>
      </c>
      <c r="G686" s="38" t="s">
        <v>6260</v>
      </c>
      <c r="H686" s="38"/>
      <c r="I686" s="38" t="s">
        <v>6252</v>
      </c>
    </row>
    <row r="687">
      <c r="B687" s="44"/>
      <c r="C687" s="38">
        <v>1.0</v>
      </c>
      <c r="D687" s="38" t="s">
        <v>6261</v>
      </c>
      <c r="E687" s="38" t="s">
        <v>5289</v>
      </c>
      <c r="F687" s="38" t="s">
        <v>175</v>
      </c>
      <c r="G687" s="38" t="s">
        <v>6262</v>
      </c>
    </row>
    <row r="688">
      <c r="B688" s="38" t="s">
        <v>3822</v>
      </c>
      <c r="C688" s="38">
        <v>1.0</v>
      </c>
      <c r="D688" s="38" t="s">
        <v>6263</v>
      </c>
      <c r="E688" s="38" t="s">
        <v>5289</v>
      </c>
      <c r="F688" s="38" t="s">
        <v>6264</v>
      </c>
      <c r="G688" s="38" t="s">
        <v>6262</v>
      </c>
    </row>
    <row r="689">
      <c r="B689" s="38" t="s">
        <v>416</v>
      </c>
      <c r="C689" s="38">
        <v>1.0</v>
      </c>
      <c r="D689" s="38" t="s">
        <v>6265</v>
      </c>
      <c r="E689" s="38" t="s">
        <v>6266</v>
      </c>
      <c r="F689" s="38" t="s">
        <v>6267</v>
      </c>
      <c r="G689" s="38" t="s">
        <v>6268</v>
      </c>
      <c r="H689" s="361"/>
    </row>
    <row r="690">
      <c r="B690" s="38" t="s">
        <v>170</v>
      </c>
      <c r="C690" s="38">
        <v>2.0</v>
      </c>
      <c r="D690" s="38" t="s">
        <v>2097</v>
      </c>
      <c r="E690" s="38" t="s">
        <v>6269</v>
      </c>
      <c r="F690" s="44"/>
      <c r="G690" s="38" t="s">
        <v>6270</v>
      </c>
    </row>
    <row r="691">
      <c r="B691" s="38" t="s">
        <v>166</v>
      </c>
      <c r="C691" s="38">
        <v>2.0</v>
      </c>
      <c r="D691" s="38" t="s">
        <v>2097</v>
      </c>
      <c r="E691" s="38" t="s">
        <v>6269</v>
      </c>
      <c r="F691" s="44"/>
      <c r="G691" s="38" t="s">
        <v>6270</v>
      </c>
    </row>
    <row r="692">
      <c r="B692" s="1" t="s">
        <v>122</v>
      </c>
      <c r="C692" s="1">
        <v>4.0</v>
      </c>
      <c r="D692" s="1" t="s">
        <v>881</v>
      </c>
      <c r="E692" s="1" t="s">
        <v>6271</v>
      </c>
      <c r="F692" s="1" t="s">
        <v>6272</v>
      </c>
      <c r="G692" s="1" t="s">
        <v>6273</v>
      </c>
    </row>
    <row r="693">
      <c r="B693" s="1"/>
      <c r="C693" s="1"/>
      <c r="D693" s="1"/>
      <c r="E693" s="1" t="s">
        <v>6271</v>
      </c>
      <c r="F693" s="1" t="s">
        <v>6274</v>
      </c>
      <c r="G693" s="1"/>
    </row>
    <row r="694">
      <c r="B694" s="38" t="s">
        <v>261</v>
      </c>
      <c r="C694" s="38">
        <v>4.0</v>
      </c>
      <c r="D694" s="59" t="s">
        <v>6275</v>
      </c>
      <c r="E694" s="274" t="s">
        <v>6276</v>
      </c>
      <c r="F694" s="38" t="s">
        <v>4717</v>
      </c>
      <c r="G694" s="38" t="s">
        <v>6277</v>
      </c>
    </row>
    <row r="695">
      <c r="B695" s="298" t="s">
        <v>6278</v>
      </c>
      <c r="C695" s="38">
        <v>4.0</v>
      </c>
      <c r="D695" s="298" t="s">
        <v>6279</v>
      </c>
      <c r="E695" s="274" t="s">
        <v>6276</v>
      </c>
      <c r="F695" s="44"/>
      <c r="G695" s="44"/>
    </row>
    <row r="696">
      <c r="B696" s="44"/>
      <c r="C696" s="44"/>
      <c r="D696" s="298" t="s">
        <v>6280</v>
      </c>
      <c r="E696" s="298" t="s">
        <v>6281</v>
      </c>
      <c r="F696" s="38" t="s">
        <v>6282</v>
      </c>
      <c r="G696" s="44"/>
    </row>
    <row r="697">
      <c r="B697" s="38" t="s">
        <v>25</v>
      </c>
      <c r="C697" s="38">
        <v>2.0</v>
      </c>
      <c r="D697" s="38" t="s">
        <v>1237</v>
      </c>
      <c r="E697" s="38" t="s">
        <v>6283</v>
      </c>
      <c r="F697" s="38" t="s">
        <v>4650</v>
      </c>
      <c r="G697" s="38" t="s">
        <v>5654</v>
      </c>
      <c r="H697" s="1"/>
    </row>
    <row r="698">
      <c r="B698" s="38" t="s">
        <v>31</v>
      </c>
      <c r="C698" s="38">
        <v>4.0</v>
      </c>
      <c r="D698" s="38" t="s">
        <v>6284</v>
      </c>
      <c r="E698" s="38" t="s">
        <v>6285</v>
      </c>
      <c r="F698" s="44"/>
      <c r="G698" s="38" t="s">
        <v>6286</v>
      </c>
    </row>
    <row r="699">
      <c r="B699" s="38" t="s">
        <v>1407</v>
      </c>
      <c r="C699" s="38">
        <v>4.0</v>
      </c>
      <c r="D699" s="38" t="s">
        <v>4254</v>
      </c>
      <c r="E699" s="38" t="s">
        <v>6287</v>
      </c>
      <c r="F699" s="38" t="s">
        <v>175</v>
      </c>
      <c r="G699" s="38" t="s">
        <v>6288</v>
      </c>
    </row>
    <row r="700">
      <c r="B700" s="38" t="s">
        <v>1400</v>
      </c>
      <c r="C700" s="38">
        <v>2.0</v>
      </c>
      <c r="D700" s="38" t="s">
        <v>6289</v>
      </c>
      <c r="E700" s="38" t="s">
        <v>6290</v>
      </c>
      <c r="F700" s="38" t="s">
        <v>6291</v>
      </c>
      <c r="G700" s="38" t="s">
        <v>6292</v>
      </c>
    </row>
    <row r="701">
      <c r="B701" s="44"/>
      <c r="C701" s="44"/>
      <c r="D701" s="38" t="s">
        <v>6293</v>
      </c>
      <c r="E701" s="38" t="s">
        <v>6294</v>
      </c>
      <c r="F701" s="38" t="s">
        <v>6295</v>
      </c>
      <c r="G701" s="44"/>
    </row>
    <row r="702">
      <c r="B702" s="38" t="s">
        <v>464</v>
      </c>
      <c r="C702" s="38">
        <v>1.0</v>
      </c>
      <c r="D702" s="38" t="s">
        <v>6296</v>
      </c>
      <c r="E702" s="38" t="s">
        <v>873</v>
      </c>
      <c r="F702" s="38" t="s">
        <v>6297</v>
      </c>
      <c r="G702" s="38" t="s">
        <v>6298</v>
      </c>
    </row>
    <row r="703">
      <c r="B703" s="38" t="s">
        <v>6299</v>
      </c>
      <c r="C703" s="38" t="s">
        <v>6300</v>
      </c>
      <c r="D703" s="38" t="s">
        <v>6301</v>
      </c>
      <c r="E703" s="38" t="s">
        <v>6302</v>
      </c>
      <c r="F703" s="38" t="s">
        <v>6303</v>
      </c>
      <c r="G703" s="38" t="s">
        <v>6304</v>
      </c>
      <c r="H703" s="38" t="s">
        <v>6305</v>
      </c>
    </row>
    <row r="704">
      <c r="B704" s="38" t="s">
        <v>6306</v>
      </c>
      <c r="C704" s="38" t="s">
        <v>6307</v>
      </c>
      <c r="D704" s="44"/>
      <c r="E704" s="38" t="s">
        <v>6302</v>
      </c>
      <c r="F704" s="38" t="s">
        <v>6308</v>
      </c>
      <c r="G704" s="44"/>
      <c r="H704" s="38" t="s">
        <v>6305</v>
      </c>
    </row>
    <row r="705">
      <c r="B705" s="44"/>
      <c r="C705" s="38">
        <v>1.0</v>
      </c>
      <c r="D705" s="38" t="s">
        <v>6309</v>
      </c>
      <c r="E705" s="38" t="s">
        <v>6310</v>
      </c>
      <c r="F705" s="38" t="s">
        <v>6311</v>
      </c>
      <c r="G705" s="38" t="s">
        <v>6312</v>
      </c>
    </row>
    <row r="706">
      <c r="B706" s="44"/>
      <c r="C706" s="44"/>
      <c r="D706" s="38" t="s">
        <v>6313</v>
      </c>
      <c r="E706" s="38" t="s">
        <v>6314</v>
      </c>
      <c r="F706" s="44"/>
      <c r="G706" s="38" t="s">
        <v>6315</v>
      </c>
    </row>
    <row r="707">
      <c r="B707" s="38" t="s">
        <v>22</v>
      </c>
      <c r="C707" s="38">
        <v>4.0</v>
      </c>
      <c r="D707" s="38" t="s">
        <v>6316</v>
      </c>
      <c r="E707" s="38" t="s">
        <v>5372</v>
      </c>
      <c r="F707" s="38" t="s">
        <v>6317</v>
      </c>
      <c r="G707" s="38" t="s">
        <v>6318</v>
      </c>
    </row>
    <row r="708">
      <c r="B708" s="59" t="s">
        <v>6319</v>
      </c>
      <c r="C708" s="38" t="s">
        <v>6320</v>
      </c>
      <c r="D708" s="38" t="s">
        <v>6321</v>
      </c>
      <c r="E708" s="38" t="s">
        <v>6322</v>
      </c>
      <c r="F708" s="178" t="s">
        <v>6323</v>
      </c>
      <c r="G708" s="178" t="s">
        <v>6324</v>
      </c>
    </row>
    <row r="709">
      <c r="B709" s="38" t="s">
        <v>6325</v>
      </c>
      <c r="C709" s="38" t="s">
        <v>6326</v>
      </c>
      <c r="D709" s="38" t="s">
        <v>372</v>
      </c>
      <c r="E709" s="38" t="s">
        <v>6322</v>
      </c>
      <c r="F709" s="272" t="s">
        <v>6327</v>
      </c>
      <c r="G709" s="38" t="s">
        <v>6328</v>
      </c>
    </row>
    <row r="710">
      <c r="B710" s="38" t="s">
        <v>6329</v>
      </c>
      <c r="C710" s="38"/>
      <c r="D710" s="38" t="s">
        <v>6330</v>
      </c>
      <c r="E710" s="38" t="s">
        <v>6322</v>
      </c>
      <c r="F710" s="272" t="s">
        <v>6331</v>
      </c>
      <c r="G710" s="362"/>
    </row>
    <row r="711">
      <c r="B711" s="38" t="s">
        <v>94</v>
      </c>
      <c r="C711" s="38">
        <v>2.0</v>
      </c>
      <c r="D711" s="38" t="s">
        <v>315</v>
      </c>
      <c r="E711" s="38" t="s">
        <v>6332</v>
      </c>
      <c r="F711" s="272" t="s">
        <v>5638</v>
      </c>
      <c r="G711" s="38" t="s">
        <v>6333</v>
      </c>
    </row>
    <row r="712">
      <c r="B712" s="38" t="s">
        <v>25</v>
      </c>
      <c r="C712" s="38">
        <v>1.0</v>
      </c>
      <c r="D712" s="38" t="s">
        <v>6334</v>
      </c>
      <c r="E712" s="38" t="s">
        <v>418</v>
      </c>
      <c r="F712" s="44"/>
      <c r="G712" s="38" t="s">
        <v>6335</v>
      </c>
    </row>
    <row r="713">
      <c r="B713" s="44"/>
      <c r="C713" s="44"/>
      <c r="D713" s="38" t="s">
        <v>6336</v>
      </c>
      <c r="E713" s="38" t="s">
        <v>2546</v>
      </c>
      <c r="F713" s="38" t="s">
        <v>6337</v>
      </c>
      <c r="G713" s="44"/>
    </row>
    <row r="714">
      <c r="B714" s="38" t="s">
        <v>31</v>
      </c>
      <c r="C714" s="38">
        <v>4.0</v>
      </c>
      <c r="D714" s="38" t="s">
        <v>171</v>
      </c>
      <c r="E714" s="38" t="s">
        <v>6338</v>
      </c>
      <c r="F714" s="38" t="s">
        <v>6339</v>
      </c>
      <c r="G714" s="44"/>
    </row>
    <row r="715">
      <c r="B715" s="38" t="s">
        <v>283</v>
      </c>
      <c r="C715" s="38">
        <v>4.0</v>
      </c>
      <c r="D715" s="38" t="s">
        <v>6340</v>
      </c>
      <c r="E715" s="38" t="s">
        <v>6341</v>
      </c>
      <c r="F715" s="284" t="s">
        <v>6342</v>
      </c>
      <c r="G715" s="38" t="s">
        <v>6343</v>
      </c>
    </row>
    <row r="716">
      <c r="B716" s="38" t="s">
        <v>205</v>
      </c>
      <c r="C716" s="38">
        <v>4.0</v>
      </c>
      <c r="D716" s="38" t="s">
        <v>1109</v>
      </c>
      <c r="E716" s="38" t="s">
        <v>6344</v>
      </c>
      <c r="F716" s="38" t="s">
        <v>6345</v>
      </c>
    </row>
    <row r="717">
      <c r="B717" s="38" t="s">
        <v>6346</v>
      </c>
      <c r="C717" s="38" t="s">
        <v>1542</v>
      </c>
      <c r="D717" s="38" t="s">
        <v>6347</v>
      </c>
      <c r="E717" s="38" t="s">
        <v>4762</v>
      </c>
      <c r="F717" s="38" t="s">
        <v>6348</v>
      </c>
      <c r="G717" s="38" t="s">
        <v>6349</v>
      </c>
      <c r="H717" s="38" t="s">
        <v>6350</v>
      </c>
    </row>
    <row r="718">
      <c r="B718" s="38" t="s">
        <v>147</v>
      </c>
      <c r="C718" s="38">
        <v>2.0</v>
      </c>
      <c r="D718" s="38" t="s">
        <v>6351</v>
      </c>
      <c r="E718" s="38" t="s">
        <v>6352</v>
      </c>
      <c r="F718" s="38" t="s">
        <v>6353</v>
      </c>
      <c r="G718" s="44"/>
    </row>
    <row r="719">
      <c r="B719" s="38" t="s">
        <v>3682</v>
      </c>
      <c r="C719" s="38">
        <v>4.0</v>
      </c>
      <c r="D719" s="38" t="s">
        <v>289</v>
      </c>
      <c r="E719" s="38" t="s">
        <v>6354</v>
      </c>
      <c r="F719" s="38"/>
      <c r="G719" s="44"/>
    </row>
    <row r="720">
      <c r="B720" s="38" t="s">
        <v>623</v>
      </c>
      <c r="C720" s="38">
        <v>2.0</v>
      </c>
      <c r="D720" s="38" t="s">
        <v>5045</v>
      </c>
      <c r="E720" s="38" t="s">
        <v>6355</v>
      </c>
      <c r="F720" s="38" t="s">
        <v>6356</v>
      </c>
      <c r="G720" s="38" t="s">
        <v>6357</v>
      </c>
    </row>
    <row r="721">
      <c r="D721" s="1" t="s">
        <v>6358</v>
      </c>
      <c r="E721" s="1" t="s">
        <v>6359</v>
      </c>
    </row>
    <row r="722">
      <c r="B722" s="38" t="s">
        <v>28</v>
      </c>
      <c r="C722" s="38">
        <v>4.0</v>
      </c>
      <c r="D722" s="38" t="s">
        <v>1084</v>
      </c>
      <c r="E722" s="274" t="s">
        <v>6360</v>
      </c>
      <c r="F722" s="38" t="s">
        <v>6361</v>
      </c>
      <c r="G722" s="38" t="s">
        <v>6362</v>
      </c>
    </row>
    <row r="723">
      <c r="B723" s="280" t="s">
        <v>6363</v>
      </c>
      <c r="C723" s="44"/>
      <c r="D723" s="59" t="s">
        <v>6364</v>
      </c>
      <c r="E723" s="274" t="s">
        <v>6360</v>
      </c>
      <c r="F723" s="38" t="s">
        <v>5526</v>
      </c>
      <c r="G723" s="38" t="s">
        <v>6365</v>
      </c>
    </row>
    <row r="724">
      <c r="B724" s="38" t="s">
        <v>6366</v>
      </c>
      <c r="C724" s="38">
        <v>2.0</v>
      </c>
      <c r="D724" s="38" t="s">
        <v>6367</v>
      </c>
      <c r="E724" s="38" t="s">
        <v>202</v>
      </c>
      <c r="F724" s="38" t="s">
        <v>6368</v>
      </c>
      <c r="G724" s="38" t="s">
        <v>6369</v>
      </c>
    </row>
    <row r="725">
      <c r="B725" s="44"/>
      <c r="C725" s="44"/>
      <c r="D725" s="44"/>
      <c r="E725" s="38" t="s">
        <v>6370</v>
      </c>
      <c r="F725" s="44"/>
      <c r="G725" s="38" t="s">
        <v>4421</v>
      </c>
    </row>
    <row r="726">
      <c r="B726" s="38" t="s">
        <v>718</v>
      </c>
      <c r="C726" s="38">
        <v>4.0</v>
      </c>
      <c r="D726" s="38" t="s">
        <v>684</v>
      </c>
      <c r="E726" s="38" t="s">
        <v>6371</v>
      </c>
      <c r="F726" s="38" t="s">
        <v>4211</v>
      </c>
      <c r="G726" s="38" t="s">
        <v>6372</v>
      </c>
    </row>
    <row r="727">
      <c r="B727" s="44"/>
      <c r="C727" s="44"/>
      <c r="D727" s="38" t="s">
        <v>6373</v>
      </c>
      <c r="E727" s="38" t="s">
        <v>6374</v>
      </c>
      <c r="F727" s="38" t="s">
        <v>6375</v>
      </c>
      <c r="G727" s="38" t="s">
        <v>4421</v>
      </c>
    </row>
    <row r="728">
      <c r="B728" s="38" t="s">
        <v>6376</v>
      </c>
      <c r="C728" s="44"/>
      <c r="D728" s="38" t="s">
        <v>6377</v>
      </c>
      <c r="E728" s="38" t="s">
        <v>6378</v>
      </c>
      <c r="F728" s="38" t="s">
        <v>6379</v>
      </c>
      <c r="G728" s="38" t="s">
        <v>5786</v>
      </c>
    </row>
    <row r="729">
      <c r="B729" s="38" t="s">
        <v>6380</v>
      </c>
      <c r="C729" s="38" t="s">
        <v>6381</v>
      </c>
      <c r="D729" s="178" t="s">
        <v>6382</v>
      </c>
      <c r="E729" s="38" t="s">
        <v>6383</v>
      </c>
      <c r="F729" s="38" t="s">
        <v>6384</v>
      </c>
      <c r="G729" s="38" t="s">
        <v>4683</v>
      </c>
    </row>
    <row r="730">
      <c r="B730" s="38" t="s">
        <v>6385</v>
      </c>
      <c r="C730" s="38" t="s">
        <v>4844</v>
      </c>
      <c r="D730" s="294" t="s">
        <v>6386</v>
      </c>
      <c r="E730" s="38" t="s">
        <v>6383</v>
      </c>
      <c r="F730" s="178" t="s">
        <v>6387</v>
      </c>
      <c r="G730" s="38" t="s">
        <v>6388</v>
      </c>
      <c r="H730" s="1"/>
    </row>
    <row r="731">
      <c r="B731" s="38" t="s">
        <v>283</v>
      </c>
      <c r="C731" s="38">
        <v>4.0</v>
      </c>
      <c r="D731" s="38" t="s">
        <v>684</v>
      </c>
      <c r="E731" s="38" t="s">
        <v>6389</v>
      </c>
      <c r="F731" s="38"/>
      <c r="G731" s="38" t="s">
        <v>6390</v>
      </c>
    </row>
    <row r="732">
      <c r="B732" s="294" t="s">
        <v>6391</v>
      </c>
      <c r="C732" s="294" t="s">
        <v>6392</v>
      </c>
      <c r="D732" s="294" t="s">
        <v>6393</v>
      </c>
      <c r="E732" s="38" t="s">
        <v>6394</v>
      </c>
      <c r="F732" s="294" t="s">
        <v>6395</v>
      </c>
      <c r="G732" s="38" t="s">
        <v>6396</v>
      </c>
      <c r="H732" s="38" t="s">
        <v>6397</v>
      </c>
      <c r="I732" s="38" t="s">
        <v>6398</v>
      </c>
    </row>
    <row r="733">
      <c r="B733" s="294" t="s">
        <v>6399</v>
      </c>
      <c r="C733" s="294" t="s">
        <v>6400</v>
      </c>
      <c r="D733" s="294" t="s">
        <v>6401</v>
      </c>
      <c r="E733" s="38" t="s">
        <v>6402</v>
      </c>
      <c r="F733" s="294" t="s">
        <v>6403</v>
      </c>
      <c r="G733" s="38" t="s">
        <v>6404</v>
      </c>
      <c r="H733" s="38" t="s">
        <v>6405</v>
      </c>
    </row>
    <row r="734">
      <c r="B734" s="44"/>
      <c r="C734" s="44"/>
      <c r="D734" s="38" t="s">
        <v>6406</v>
      </c>
      <c r="E734" s="38" t="s">
        <v>217</v>
      </c>
      <c r="F734" s="44"/>
      <c r="G734" s="38" t="s">
        <v>6407</v>
      </c>
      <c r="H734" s="38" t="s">
        <v>4421</v>
      </c>
    </row>
    <row r="735">
      <c r="B735" s="38" t="s">
        <v>147</v>
      </c>
      <c r="C735" s="38">
        <v>4.0</v>
      </c>
      <c r="D735" s="294" t="s">
        <v>6408</v>
      </c>
      <c r="E735" s="38" t="s">
        <v>6409</v>
      </c>
      <c r="F735" s="38" t="s">
        <v>6410</v>
      </c>
      <c r="G735" s="38" t="s">
        <v>6411</v>
      </c>
      <c r="H735" s="1" t="s">
        <v>6412</v>
      </c>
    </row>
    <row r="736">
      <c r="B736" s="44"/>
      <c r="C736" s="44"/>
      <c r="D736" s="276" t="s">
        <v>6413</v>
      </c>
      <c r="E736" s="38" t="s">
        <v>6409</v>
      </c>
      <c r="F736" s="38" t="s">
        <v>4657</v>
      </c>
      <c r="G736" s="272" t="s">
        <v>4268</v>
      </c>
    </row>
    <row r="737">
      <c r="B737" s="38" t="s">
        <v>22</v>
      </c>
      <c r="C737" s="38">
        <v>4.0</v>
      </c>
      <c r="D737" s="38" t="s">
        <v>6414</v>
      </c>
      <c r="E737" s="38" t="s">
        <v>5131</v>
      </c>
      <c r="F737" s="38" t="s">
        <v>6415</v>
      </c>
      <c r="G737" s="44"/>
    </row>
    <row r="738">
      <c r="B738" s="294" t="s">
        <v>6416</v>
      </c>
      <c r="C738" s="38" t="s">
        <v>6417</v>
      </c>
      <c r="D738" s="334" t="s">
        <v>6418</v>
      </c>
      <c r="E738" s="38" t="s">
        <v>2551</v>
      </c>
      <c r="F738" s="272" t="s">
        <v>6419</v>
      </c>
      <c r="G738" s="38" t="s">
        <v>6420</v>
      </c>
      <c r="H738" s="38" t="s">
        <v>6223</v>
      </c>
    </row>
    <row r="739">
      <c r="B739" s="1" t="s">
        <v>6421</v>
      </c>
      <c r="C739" s="1" t="s">
        <v>6422</v>
      </c>
      <c r="D739" s="1" t="s">
        <v>6423</v>
      </c>
      <c r="E739" s="1" t="s">
        <v>6424</v>
      </c>
      <c r="F739" s="1" t="s">
        <v>6425</v>
      </c>
      <c r="G739" s="1" t="s">
        <v>6426</v>
      </c>
    </row>
    <row r="740">
      <c r="B740" s="38" t="s">
        <v>25</v>
      </c>
      <c r="C740" s="38">
        <v>4.0</v>
      </c>
      <c r="D740" s="38" t="s">
        <v>6427</v>
      </c>
      <c r="E740" s="38" t="s">
        <v>6428</v>
      </c>
      <c r="F740" s="38"/>
      <c r="G740" s="44"/>
    </row>
    <row r="741">
      <c r="A741" s="44"/>
      <c r="B741" s="38" t="s">
        <v>6429</v>
      </c>
      <c r="C741" s="44"/>
      <c r="D741" s="38" t="s">
        <v>6430</v>
      </c>
      <c r="E741" s="38" t="s">
        <v>6431</v>
      </c>
      <c r="F741" s="38" t="s">
        <v>6432</v>
      </c>
      <c r="G741" s="44"/>
      <c r="H741" s="38" t="s">
        <v>4421</v>
      </c>
    </row>
    <row r="742">
      <c r="A742" s="44"/>
      <c r="B742" s="38" t="s">
        <v>1400</v>
      </c>
      <c r="C742" s="38">
        <v>2.0</v>
      </c>
      <c r="D742" s="38" t="s">
        <v>6433</v>
      </c>
      <c r="E742" s="38" t="s">
        <v>6434</v>
      </c>
      <c r="F742" s="38" t="s">
        <v>5063</v>
      </c>
      <c r="G742" s="38" t="s">
        <v>5526</v>
      </c>
      <c r="H742" s="44"/>
    </row>
    <row r="743">
      <c r="A743" s="44"/>
      <c r="B743" s="38" t="s">
        <v>6435</v>
      </c>
      <c r="C743" s="44"/>
      <c r="D743" s="38" t="s">
        <v>6436</v>
      </c>
      <c r="E743" s="38" t="s">
        <v>5869</v>
      </c>
      <c r="F743" s="38" t="s">
        <v>6437</v>
      </c>
      <c r="G743" s="284" t="s">
        <v>6438</v>
      </c>
      <c r="H743" s="38" t="s">
        <v>6439</v>
      </c>
    </row>
    <row r="744">
      <c r="A744" s="44"/>
      <c r="B744" s="44"/>
      <c r="C744" s="44"/>
      <c r="D744" s="44"/>
      <c r="E744" s="38" t="s">
        <v>6440</v>
      </c>
      <c r="F744" s="272" t="s">
        <v>6441</v>
      </c>
      <c r="G744" s="38" t="s">
        <v>4268</v>
      </c>
      <c r="H744" s="44"/>
    </row>
    <row r="745">
      <c r="A745" s="44"/>
      <c r="B745" s="44"/>
      <c r="C745" s="44"/>
      <c r="D745" s="44"/>
      <c r="E745" s="38" t="s">
        <v>2546</v>
      </c>
      <c r="F745" s="272" t="s">
        <v>4234</v>
      </c>
      <c r="G745" s="44"/>
      <c r="H745" s="44"/>
    </row>
    <row r="746">
      <c r="A746" s="44"/>
      <c r="B746" s="38" t="s">
        <v>4683</v>
      </c>
      <c r="C746" s="38" t="s">
        <v>6442</v>
      </c>
      <c r="D746" s="294" t="s">
        <v>6443</v>
      </c>
      <c r="E746" s="38" t="s">
        <v>6444</v>
      </c>
      <c r="F746" s="272" t="s">
        <v>535</v>
      </c>
      <c r="G746" s="38" t="s">
        <v>144</v>
      </c>
      <c r="H746" s="44"/>
    </row>
    <row r="747">
      <c r="A747" s="44"/>
      <c r="B747" s="38" t="s">
        <v>1407</v>
      </c>
      <c r="C747" s="38">
        <v>1.0</v>
      </c>
      <c r="D747" s="38" t="s">
        <v>6445</v>
      </c>
      <c r="E747" s="38" t="s">
        <v>6446</v>
      </c>
      <c r="F747" s="272" t="s">
        <v>6447</v>
      </c>
      <c r="G747" s="44"/>
      <c r="H747" s="44"/>
    </row>
    <row r="748">
      <c r="B748" s="272" t="s">
        <v>6448</v>
      </c>
      <c r="C748" s="38" t="s">
        <v>6449</v>
      </c>
      <c r="D748" s="272" t="s">
        <v>6450</v>
      </c>
      <c r="E748" s="38" t="s">
        <v>413</v>
      </c>
      <c r="F748" s="272" t="s">
        <v>6451</v>
      </c>
      <c r="G748" s="334" t="s">
        <v>6452</v>
      </c>
    </row>
    <row r="749">
      <c r="B749" s="44"/>
      <c r="C749" s="44"/>
      <c r="D749" s="38" t="s">
        <v>5615</v>
      </c>
      <c r="E749" s="38" t="s">
        <v>6453</v>
      </c>
      <c r="F749" s="38" t="s">
        <v>6454</v>
      </c>
      <c r="G749" s="38" t="s">
        <v>6455</v>
      </c>
    </row>
    <row r="750">
      <c r="B750" s="44"/>
      <c r="C750" s="44"/>
      <c r="D750" s="44"/>
      <c r="E750" s="38" t="s">
        <v>392</v>
      </c>
      <c r="F750" s="38" t="s">
        <v>6456</v>
      </c>
      <c r="G750" s="38" t="s">
        <v>6457</v>
      </c>
    </row>
    <row r="751">
      <c r="A751" s="1"/>
      <c r="B751" s="38" t="s">
        <v>3433</v>
      </c>
      <c r="C751" s="38">
        <v>4.0</v>
      </c>
      <c r="D751" s="38" t="s">
        <v>684</v>
      </c>
      <c r="E751" s="38" t="s">
        <v>6458</v>
      </c>
      <c r="F751" s="38" t="s">
        <v>6459</v>
      </c>
      <c r="G751" s="38" t="s">
        <v>6460</v>
      </c>
    </row>
    <row r="752">
      <c r="B752" s="38" t="s">
        <v>25</v>
      </c>
      <c r="C752" s="38">
        <v>4.0</v>
      </c>
      <c r="D752" s="38" t="s">
        <v>229</v>
      </c>
      <c r="E752" s="38" t="s">
        <v>418</v>
      </c>
      <c r="F752" s="44"/>
      <c r="G752" s="38" t="s">
        <v>6335</v>
      </c>
    </row>
    <row r="753">
      <c r="B753" s="44"/>
      <c r="C753" s="44"/>
      <c r="D753" s="38" t="s">
        <v>6461</v>
      </c>
      <c r="E753" s="38" t="s">
        <v>413</v>
      </c>
      <c r="F753" s="38" t="s">
        <v>6462</v>
      </c>
      <c r="G753" s="44"/>
    </row>
    <row r="754">
      <c r="B754" s="38" t="s">
        <v>199</v>
      </c>
      <c r="C754" s="38">
        <v>2.0</v>
      </c>
      <c r="D754" s="38" t="s">
        <v>6463</v>
      </c>
      <c r="E754" s="363" t="s">
        <v>6464</v>
      </c>
      <c r="F754" s="44"/>
      <c r="G754" s="38" t="s">
        <v>6465</v>
      </c>
    </row>
    <row r="755">
      <c r="B755" s="38" t="s">
        <v>195</v>
      </c>
      <c r="C755" s="38">
        <v>2.0</v>
      </c>
      <c r="D755" s="38" t="s">
        <v>6463</v>
      </c>
      <c r="E755" s="363" t="s">
        <v>6464</v>
      </c>
      <c r="F755" s="44"/>
      <c r="G755" s="38" t="s">
        <v>6465</v>
      </c>
    </row>
    <row r="756">
      <c r="B756" s="38" t="s">
        <v>6466</v>
      </c>
      <c r="C756" s="38"/>
      <c r="D756" s="292"/>
      <c r="E756" s="363" t="s">
        <v>4787</v>
      </c>
      <c r="F756" s="44"/>
      <c r="G756" s="38" t="s">
        <v>4785</v>
      </c>
    </row>
    <row r="757">
      <c r="B757" s="38"/>
      <c r="C757" s="38"/>
      <c r="D757" s="292" t="s">
        <v>6467</v>
      </c>
      <c r="E757" s="363" t="s">
        <v>4787</v>
      </c>
      <c r="F757" s="44"/>
      <c r="G757" s="38" t="s">
        <v>6468</v>
      </c>
    </row>
    <row r="758">
      <c r="B758" s="38" t="s">
        <v>439</v>
      </c>
      <c r="C758" s="38">
        <v>2.0</v>
      </c>
      <c r="D758" s="38" t="s">
        <v>992</v>
      </c>
      <c r="E758" s="363" t="s">
        <v>6469</v>
      </c>
      <c r="F758" s="292" t="s">
        <v>6470</v>
      </c>
      <c r="G758" s="38" t="s">
        <v>6471</v>
      </c>
    </row>
    <row r="759">
      <c r="B759" s="38" t="s">
        <v>972</v>
      </c>
      <c r="C759" s="38">
        <v>2.0</v>
      </c>
      <c r="D759" s="38" t="s">
        <v>992</v>
      </c>
      <c r="E759" s="363" t="s">
        <v>6469</v>
      </c>
      <c r="F759" s="38" t="s">
        <v>6472</v>
      </c>
      <c r="G759" s="38" t="s">
        <v>6473</v>
      </c>
    </row>
    <row r="760">
      <c r="C760" s="44"/>
      <c r="D760" s="44"/>
      <c r="E760" s="38" t="s">
        <v>2914</v>
      </c>
      <c r="F760" s="38" t="s">
        <v>6474</v>
      </c>
      <c r="G760" s="38" t="s">
        <v>6475</v>
      </c>
      <c r="H760" s="1" t="s">
        <v>144</v>
      </c>
    </row>
    <row r="761">
      <c r="B761" s="38" t="s">
        <v>5805</v>
      </c>
      <c r="C761" s="38">
        <v>2.0</v>
      </c>
      <c r="D761" s="38" t="s">
        <v>6476</v>
      </c>
      <c r="E761" s="38" t="s">
        <v>217</v>
      </c>
      <c r="F761" s="38" t="s">
        <v>2027</v>
      </c>
      <c r="G761" s="38" t="s">
        <v>6477</v>
      </c>
    </row>
    <row r="762">
      <c r="B762" s="38"/>
      <c r="C762" s="38"/>
      <c r="D762" s="38"/>
      <c r="E762" s="38" t="s">
        <v>217</v>
      </c>
      <c r="F762" s="38" t="s">
        <v>6478</v>
      </c>
      <c r="G762" s="38" t="s">
        <v>4421</v>
      </c>
    </row>
    <row r="763">
      <c r="B763" s="38" t="s">
        <v>2385</v>
      </c>
      <c r="C763" s="38">
        <v>4.0</v>
      </c>
      <c r="D763" s="38" t="s">
        <v>4383</v>
      </c>
      <c r="E763" s="38" t="s">
        <v>1758</v>
      </c>
      <c r="F763" s="38" t="s">
        <v>6479</v>
      </c>
      <c r="G763" s="38" t="s">
        <v>6480</v>
      </c>
      <c r="H763" s="38" t="s">
        <v>6481</v>
      </c>
    </row>
    <row r="764">
      <c r="B764" s="38"/>
      <c r="C764" s="38">
        <v>4.0</v>
      </c>
      <c r="D764" s="38" t="s">
        <v>6482</v>
      </c>
      <c r="E764" s="38" t="s">
        <v>1758</v>
      </c>
      <c r="F764" s="38" t="s">
        <v>6483</v>
      </c>
      <c r="G764" s="44"/>
      <c r="H764" s="38" t="s">
        <v>6481</v>
      </c>
    </row>
    <row r="765">
      <c r="B765" s="334"/>
      <c r="C765" s="284"/>
      <c r="D765" s="294" t="s">
        <v>6484</v>
      </c>
      <c r="E765" s="38" t="s">
        <v>6485</v>
      </c>
      <c r="F765" s="38" t="s">
        <v>6486</v>
      </c>
      <c r="G765" s="38" t="s">
        <v>6487</v>
      </c>
      <c r="H765" s="38" t="s">
        <v>6455</v>
      </c>
    </row>
    <row r="766">
      <c r="B766" s="44"/>
      <c r="C766" s="44"/>
      <c r="D766" s="44"/>
      <c r="E766" s="38" t="s">
        <v>5141</v>
      </c>
      <c r="F766" s="38" t="s">
        <v>6488</v>
      </c>
      <c r="G766" s="38" t="s">
        <v>4421</v>
      </c>
      <c r="H766" s="44"/>
    </row>
    <row r="767">
      <c r="B767" s="44"/>
      <c r="C767" s="44"/>
      <c r="D767" s="332"/>
      <c r="E767" s="38" t="s">
        <v>396</v>
      </c>
      <c r="F767" s="38" t="s">
        <v>6489</v>
      </c>
      <c r="G767" s="38" t="s">
        <v>5418</v>
      </c>
      <c r="H767" s="38" t="s">
        <v>6490</v>
      </c>
    </row>
    <row r="768">
      <c r="B768" s="1" t="s">
        <v>6491</v>
      </c>
      <c r="C768" s="1" t="s">
        <v>6492</v>
      </c>
      <c r="D768" s="1" t="s">
        <v>6493</v>
      </c>
      <c r="E768" s="1" t="s">
        <v>6494</v>
      </c>
      <c r="F768" s="1" t="s">
        <v>6495</v>
      </c>
      <c r="G768" s="1" t="s">
        <v>6496</v>
      </c>
      <c r="H768" s="1" t="s">
        <v>535</v>
      </c>
    </row>
    <row r="769">
      <c r="B769" s="1" t="s">
        <v>6497</v>
      </c>
      <c r="C769" s="1" t="s">
        <v>6498</v>
      </c>
      <c r="E769" s="1" t="s">
        <v>6494</v>
      </c>
      <c r="F769" s="1" t="s">
        <v>6499</v>
      </c>
      <c r="G769" s="1" t="s">
        <v>6500</v>
      </c>
      <c r="H769" s="1" t="s">
        <v>6501</v>
      </c>
    </row>
    <row r="770">
      <c r="B770" s="1" t="s">
        <v>6502</v>
      </c>
      <c r="C770" s="1"/>
      <c r="D770" s="1" t="s">
        <v>6503</v>
      </c>
      <c r="E770" s="1" t="s">
        <v>6494</v>
      </c>
      <c r="F770" s="1"/>
      <c r="G770" s="1"/>
      <c r="H770" s="1"/>
    </row>
    <row r="771">
      <c r="B771" s="1" t="s">
        <v>6504</v>
      </c>
      <c r="D771" s="1" t="s">
        <v>6505</v>
      </c>
      <c r="E771" s="1" t="s">
        <v>6494</v>
      </c>
      <c r="F771" s="1" t="s">
        <v>6506</v>
      </c>
      <c r="G771" s="1" t="s">
        <v>6507</v>
      </c>
    </row>
    <row r="772">
      <c r="B772" s="1" t="s">
        <v>6508</v>
      </c>
      <c r="D772" s="1" t="s">
        <v>6509</v>
      </c>
      <c r="E772" s="1" t="s">
        <v>6494</v>
      </c>
      <c r="F772" s="1" t="s">
        <v>6510</v>
      </c>
      <c r="G772" s="1" t="s">
        <v>6511</v>
      </c>
      <c r="H772" s="1" t="s">
        <v>6512</v>
      </c>
    </row>
    <row r="773">
      <c r="D773" s="38" t="s">
        <v>6513</v>
      </c>
      <c r="E773" s="38" t="s">
        <v>6514</v>
      </c>
      <c r="F773" s="38" t="s">
        <v>6515</v>
      </c>
      <c r="G773" s="38" t="s">
        <v>6516</v>
      </c>
    </row>
    <row r="774">
      <c r="D774" s="38" t="s">
        <v>6517</v>
      </c>
      <c r="E774" s="38" t="s">
        <v>6514</v>
      </c>
      <c r="F774" s="38" t="s">
        <v>6518</v>
      </c>
      <c r="G774" s="38"/>
    </row>
    <row r="775">
      <c r="B775" s="38" t="s">
        <v>81</v>
      </c>
      <c r="C775" s="38">
        <v>4.0</v>
      </c>
      <c r="D775" s="38" t="s">
        <v>6519</v>
      </c>
      <c r="E775" s="38" t="s">
        <v>6520</v>
      </c>
      <c r="F775" s="44"/>
      <c r="G775" s="44"/>
    </row>
    <row r="776">
      <c r="B776" s="59"/>
      <c r="C776" s="38"/>
      <c r="D776" s="364" t="s">
        <v>6521</v>
      </c>
      <c r="E776" s="38" t="s">
        <v>6522</v>
      </c>
      <c r="F776" s="364" t="s">
        <v>6523</v>
      </c>
      <c r="G776" s="38" t="s">
        <v>6524</v>
      </c>
    </row>
    <row r="777">
      <c r="B777" s="38" t="s">
        <v>6525</v>
      </c>
      <c r="C777" s="38" t="s">
        <v>6526</v>
      </c>
      <c r="D777" s="38" t="s">
        <v>6527</v>
      </c>
      <c r="E777" s="38" t="s">
        <v>6528</v>
      </c>
      <c r="F777" s="38" t="s">
        <v>6529</v>
      </c>
      <c r="G777" s="38" t="s">
        <v>6530</v>
      </c>
      <c r="H777" s="38" t="s">
        <v>6531</v>
      </c>
      <c r="I777" s="38" t="s">
        <v>6532</v>
      </c>
    </row>
    <row r="778">
      <c r="B778" s="38" t="s">
        <v>876</v>
      </c>
      <c r="C778" s="38">
        <v>4.0</v>
      </c>
      <c r="D778" s="38" t="s">
        <v>6533</v>
      </c>
      <c r="E778" s="38" t="s">
        <v>5131</v>
      </c>
      <c r="F778" s="38" t="s">
        <v>6534</v>
      </c>
      <c r="G778" s="44"/>
    </row>
    <row r="779">
      <c r="B779" s="38" t="s">
        <v>357</v>
      </c>
      <c r="C779" s="38">
        <v>4.0</v>
      </c>
      <c r="D779" s="38" t="s">
        <v>6535</v>
      </c>
      <c r="E779" s="38" t="s">
        <v>6536</v>
      </c>
      <c r="F779" s="38" t="s">
        <v>6537</v>
      </c>
      <c r="G779" s="38" t="s">
        <v>6538</v>
      </c>
    </row>
    <row r="780">
      <c r="B780" s="38" t="s">
        <v>4044</v>
      </c>
      <c r="C780" s="38">
        <v>4.0</v>
      </c>
      <c r="D780" s="38" t="s">
        <v>6539</v>
      </c>
      <c r="E780" s="38" t="s">
        <v>6540</v>
      </c>
      <c r="F780" s="38" t="s">
        <v>6541</v>
      </c>
      <c r="G780" s="38" t="s">
        <v>6542</v>
      </c>
    </row>
    <row r="781">
      <c r="B781" s="38" t="s">
        <v>3060</v>
      </c>
      <c r="C781" s="38">
        <v>4.0</v>
      </c>
      <c r="D781" s="38" t="s">
        <v>6539</v>
      </c>
      <c r="E781" s="38" t="s">
        <v>6540</v>
      </c>
      <c r="F781" s="44"/>
      <c r="G781" s="38" t="s">
        <v>6542</v>
      </c>
    </row>
    <row r="782">
      <c r="B782" s="38" t="s">
        <v>88</v>
      </c>
      <c r="C782" s="38">
        <v>4.0</v>
      </c>
      <c r="D782" s="38" t="s">
        <v>6543</v>
      </c>
      <c r="E782" s="38" t="s">
        <v>6520</v>
      </c>
      <c r="F782" s="38" t="s">
        <v>6544</v>
      </c>
      <c r="G782" s="38" t="s">
        <v>6545</v>
      </c>
    </row>
    <row r="783">
      <c r="B783" s="38" t="s">
        <v>6546</v>
      </c>
      <c r="C783" s="44"/>
      <c r="D783" s="38" t="s">
        <v>6547</v>
      </c>
      <c r="E783" s="38" t="s">
        <v>6548</v>
      </c>
      <c r="F783" s="38" t="s">
        <v>6549</v>
      </c>
      <c r="G783" s="38" t="s">
        <v>6550</v>
      </c>
      <c r="H783" s="38" t="s">
        <v>4421</v>
      </c>
    </row>
    <row r="784">
      <c r="B784" s="38"/>
      <c r="C784" s="44"/>
      <c r="D784" s="38" t="s">
        <v>6551</v>
      </c>
      <c r="E784" s="38" t="s">
        <v>6548</v>
      </c>
      <c r="F784" s="38" t="s">
        <v>6549</v>
      </c>
      <c r="G784" s="38" t="s">
        <v>6552</v>
      </c>
      <c r="H784" s="38" t="s">
        <v>4421</v>
      </c>
    </row>
    <row r="785">
      <c r="B785" s="38" t="s">
        <v>6553</v>
      </c>
      <c r="C785" s="38" t="s">
        <v>6554</v>
      </c>
      <c r="D785" s="38" t="s">
        <v>6555</v>
      </c>
      <c r="E785" s="38" t="s">
        <v>6556</v>
      </c>
      <c r="F785" s="38" t="s">
        <v>6557</v>
      </c>
      <c r="G785" s="38" t="s">
        <v>6558</v>
      </c>
      <c r="H785" s="38" t="s">
        <v>6559</v>
      </c>
    </row>
    <row r="786">
      <c r="B786" s="44"/>
      <c r="C786" s="44"/>
      <c r="D786" s="44"/>
      <c r="E786" s="38" t="s">
        <v>6556</v>
      </c>
      <c r="F786" s="38" t="s">
        <v>6560</v>
      </c>
      <c r="G786" s="38" t="s">
        <v>4421</v>
      </c>
    </row>
    <row r="787">
      <c r="B787" s="38" t="s">
        <v>31</v>
      </c>
      <c r="C787" s="38">
        <v>4.0</v>
      </c>
      <c r="D787" s="38" t="s">
        <v>6156</v>
      </c>
      <c r="E787" s="38" t="s">
        <v>4478</v>
      </c>
      <c r="F787" s="38" t="s">
        <v>4430</v>
      </c>
      <c r="G787" s="38" t="s">
        <v>6561</v>
      </c>
    </row>
    <row r="788">
      <c r="B788" s="38" t="s">
        <v>430</v>
      </c>
      <c r="C788" s="38">
        <v>4.0</v>
      </c>
      <c r="D788" s="38" t="s">
        <v>6562</v>
      </c>
      <c r="E788" s="38" t="s">
        <v>6563</v>
      </c>
      <c r="F788" s="38" t="s">
        <v>6564</v>
      </c>
      <c r="G788" s="38" t="s">
        <v>6565</v>
      </c>
    </row>
    <row r="789">
      <c r="B789" s="38" t="s">
        <v>1454</v>
      </c>
      <c r="C789" s="38">
        <v>4.0</v>
      </c>
      <c r="D789" s="38" t="s">
        <v>6566</v>
      </c>
      <c r="E789" s="38" t="s">
        <v>873</v>
      </c>
      <c r="F789" s="38" t="s">
        <v>6567</v>
      </c>
      <c r="G789" s="38" t="s">
        <v>6568</v>
      </c>
    </row>
    <row r="790">
      <c r="B790" s="365" t="s">
        <v>22</v>
      </c>
      <c r="C790" s="365">
        <v>4.0</v>
      </c>
      <c r="D790" s="365" t="s">
        <v>6569</v>
      </c>
      <c r="E790" s="365" t="s">
        <v>6570</v>
      </c>
      <c r="F790" s="366"/>
      <c r="G790" s="366"/>
    </row>
    <row r="791">
      <c r="B791" s="38" t="s">
        <v>430</v>
      </c>
      <c r="C791" s="38">
        <v>4.0</v>
      </c>
      <c r="D791" s="38" t="s">
        <v>6571</v>
      </c>
      <c r="E791" s="38" t="s">
        <v>6572</v>
      </c>
      <c r="F791" s="44"/>
      <c r="G791" s="44"/>
    </row>
    <row r="792">
      <c r="B792" s="38" t="s">
        <v>6573</v>
      </c>
      <c r="C792" s="38">
        <v>4.0</v>
      </c>
      <c r="D792" s="38" t="s">
        <v>6574</v>
      </c>
      <c r="E792" s="38" t="s">
        <v>6575</v>
      </c>
      <c r="F792" s="38" t="s">
        <v>6576</v>
      </c>
      <c r="G792" s="38" t="s">
        <v>6577</v>
      </c>
    </row>
    <row r="793">
      <c r="B793" s="38" t="s">
        <v>6578</v>
      </c>
      <c r="C793" s="44"/>
      <c r="D793" s="38" t="s">
        <v>6579</v>
      </c>
      <c r="E793" s="38" t="s">
        <v>974</v>
      </c>
      <c r="F793" s="38" t="s">
        <v>6580</v>
      </c>
      <c r="G793" s="38" t="s">
        <v>4421</v>
      </c>
    </row>
    <row r="794">
      <c r="B794" s="38" t="s">
        <v>205</v>
      </c>
      <c r="C794" s="38">
        <v>2.0</v>
      </c>
      <c r="D794" s="38" t="s">
        <v>6581</v>
      </c>
      <c r="E794" s="38" t="s">
        <v>4939</v>
      </c>
      <c r="F794" s="44"/>
      <c r="G794" s="38" t="s">
        <v>6582</v>
      </c>
    </row>
    <row r="795">
      <c r="B795" s="38" t="s">
        <v>1349</v>
      </c>
      <c r="C795" s="38">
        <v>2.0</v>
      </c>
      <c r="D795" s="38" t="s">
        <v>6581</v>
      </c>
      <c r="E795" s="38" t="s">
        <v>4939</v>
      </c>
      <c r="F795" s="44"/>
      <c r="G795" s="38" t="s">
        <v>6582</v>
      </c>
    </row>
    <row r="796">
      <c r="B796" s="38" t="s">
        <v>6583</v>
      </c>
      <c r="C796" s="44"/>
      <c r="D796" s="38" t="s">
        <v>6584</v>
      </c>
      <c r="E796" s="38" t="s">
        <v>6585</v>
      </c>
      <c r="F796" s="38" t="s">
        <v>6586</v>
      </c>
      <c r="G796" s="38" t="s">
        <v>5884</v>
      </c>
    </row>
    <row r="797">
      <c r="B797" s="38" t="s">
        <v>416</v>
      </c>
      <c r="C797" s="38">
        <v>4.0</v>
      </c>
      <c r="D797" s="38" t="s">
        <v>134</v>
      </c>
      <c r="E797" s="38" t="s">
        <v>6587</v>
      </c>
      <c r="F797" s="38" t="s">
        <v>4759</v>
      </c>
      <c r="G797" s="38" t="s">
        <v>6588</v>
      </c>
    </row>
    <row r="798">
      <c r="B798" s="38" t="s">
        <v>876</v>
      </c>
      <c r="C798" s="38">
        <v>4.0</v>
      </c>
      <c r="D798" s="38" t="s">
        <v>294</v>
      </c>
      <c r="E798" s="38" t="s">
        <v>6589</v>
      </c>
      <c r="F798" s="38" t="s">
        <v>6590</v>
      </c>
      <c r="G798" s="38" t="s">
        <v>6591</v>
      </c>
    </row>
    <row r="799">
      <c r="B799" s="44"/>
      <c r="C799" s="38" t="s">
        <v>6592</v>
      </c>
      <c r="D799" s="38" t="s">
        <v>6593</v>
      </c>
      <c r="E799" s="38" t="s">
        <v>2914</v>
      </c>
      <c r="F799" s="38" t="s">
        <v>6594</v>
      </c>
      <c r="G799" s="38" t="s">
        <v>4421</v>
      </c>
    </row>
    <row r="800">
      <c r="B800" s="38" t="s">
        <v>6595</v>
      </c>
      <c r="C800" s="44"/>
      <c r="D800" s="38" t="s">
        <v>6596</v>
      </c>
      <c r="E800" s="38" t="s">
        <v>6597</v>
      </c>
      <c r="F800" s="38" t="s">
        <v>6598</v>
      </c>
      <c r="G800" s="38" t="s">
        <v>6298</v>
      </c>
    </row>
    <row r="801">
      <c r="B801" s="38" t="s">
        <v>5381</v>
      </c>
      <c r="C801" s="38">
        <v>4.0</v>
      </c>
      <c r="D801" s="38" t="s">
        <v>1964</v>
      </c>
      <c r="E801" s="38" t="s">
        <v>6599</v>
      </c>
      <c r="F801" s="38" t="s">
        <v>1743</v>
      </c>
      <c r="G801" s="38" t="s">
        <v>6600</v>
      </c>
    </row>
    <row r="802">
      <c r="B802" s="276" t="s">
        <v>6601</v>
      </c>
      <c r="C802" s="38">
        <v>1.0</v>
      </c>
      <c r="D802" s="38" t="s">
        <v>6602</v>
      </c>
      <c r="E802" s="38" t="s">
        <v>6603</v>
      </c>
      <c r="F802" s="38" t="s">
        <v>4837</v>
      </c>
      <c r="G802" s="38" t="s">
        <v>6604</v>
      </c>
      <c r="H802" s="38" t="s">
        <v>4268</v>
      </c>
    </row>
    <row r="803">
      <c r="B803" s="38" t="s">
        <v>876</v>
      </c>
      <c r="C803" s="38">
        <v>4.0</v>
      </c>
      <c r="D803" s="38" t="s">
        <v>289</v>
      </c>
      <c r="E803" s="38" t="s">
        <v>6605</v>
      </c>
      <c r="F803" s="38" t="s">
        <v>6606</v>
      </c>
      <c r="G803" s="38" t="s">
        <v>6607</v>
      </c>
    </row>
    <row r="804">
      <c r="B804" s="38" t="s">
        <v>210</v>
      </c>
      <c r="C804" s="38">
        <v>4.0</v>
      </c>
      <c r="D804" s="38" t="s">
        <v>6156</v>
      </c>
      <c r="E804" s="267" t="s">
        <v>6608</v>
      </c>
      <c r="F804" s="38" t="s">
        <v>6609</v>
      </c>
      <c r="G804" s="38" t="s">
        <v>6610</v>
      </c>
    </row>
    <row r="805">
      <c r="B805" s="38" t="s">
        <v>28</v>
      </c>
      <c r="C805" s="38">
        <v>4.0</v>
      </c>
      <c r="D805" s="38" t="s">
        <v>1084</v>
      </c>
      <c r="E805" s="306" t="s">
        <v>514</v>
      </c>
      <c r="F805" s="38" t="s">
        <v>6611</v>
      </c>
      <c r="G805" s="44"/>
    </row>
    <row r="806">
      <c r="B806" s="38" t="s">
        <v>6612</v>
      </c>
      <c r="C806" s="44"/>
      <c r="D806" s="38" t="s">
        <v>6613</v>
      </c>
      <c r="E806" s="38" t="s">
        <v>5405</v>
      </c>
      <c r="F806" s="38" t="s">
        <v>6614</v>
      </c>
      <c r="G806" s="38" t="s">
        <v>6549</v>
      </c>
      <c r="H806" s="38" t="s">
        <v>6615</v>
      </c>
    </row>
    <row r="807">
      <c r="B807" s="44"/>
      <c r="C807" s="44"/>
      <c r="D807" s="38" t="s">
        <v>6616</v>
      </c>
      <c r="E807" s="38" t="s">
        <v>6617</v>
      </c>
      <c r="F807" s="38" t="s">
        <v>6618</v>
      </c>
      <c r="G807" s="38" t="s">
        <v>6619</v>
      </c>
    </row>
    <row r="808">
      <c r="B808" s="38" t="s">
        <v>28</v>
      </c>
      <c r="C808" s="38">
        <v>4.0</v>
      </c>
      <c r="D808" s="38" t="s">
        <v>1084</v>
      </c>
      <c r="E808" s="274" t="s">
        <v>6620</v>
      </c>
      <c r="F808" s="44"/>
      <c r="G808" s="38" t="s">
        <v>6621</v>
      </c>
    </row>
    <row r="809">
      <c r="B809" s="38" t="s">
        <v>43</v>
      </c>
      <c r="C809" s="38">
        <v>4.0</v>
      </c>
      <c r="D809" s="38" t="s">
        <v>2814</v>
      </c>
      <c r="E809" s="38" t="s">
        <v>6540</v>
      </c>
      <c r="F809" s="44"/>
      <c r="G809" s="38" t="s">
        <v>6622</v>
      </c>
    </row>
    <row r="810">
      <c r="B810" s="38" t="s">
        <v>47</v>
      </c>
      <c r="C810" s="38">
        <v>4.0</v>
      </c>
      <c r="D810" s="38" t="s">
        <v>2814</v>
      </c>
      <c r="E810" s="38" t="s">
        <v>6540</v>
      </c>
      <c r="F810" s="44"/>
      <c r="G810" s="38" t="s">
        <v>6622</v>
      </c>
    </row>
    <row r="811">
      <c r="B811" s="38" t="s">
        <v>416</v>
      </c>
      <c r="C811" s="38">
        <v>4.0</v>
      </c>
      <c r="D811" s="38" t="s">
        <v>6623</v>
      </c>
      <c r="E811" s="38" t="s">
        <v>6540</v>
      </c>
      <c r="F811" s="44"/>
      <c r="G811" s="38" t="s">
        <v>6622</v>
      </c>
    </row>
    <row r="812">
      <c r="B812" s="38" t="s">
        <v>22</v>
      </c>
      <c r="C812" s="38">
        <v>4.0</v>
      </c>
      <c r="D812" s="38" t="s">
        <v>6569</v>
      </c>
      <c r="E812" s="38" t="s">
        <v>6624</v>
      </c>
      <c r="F812" s="38" t="s">
        <v>6625</v>
      </c>
      <c r="G812" s="38" t="s">
        <v>6626</v>
      </c>
    </row>
    <row r="813">
      <c r="B813" s="38" t="s">
        <v>853</v>
      </c>
      <c r="C813" s="38">
        <v>1.0</v>
      </c>
      <c r="D813" s="38" t="s">
        <v>6627</v>
      </c>
      <c r="E813" s="38" t="s">
        <v>4478</v>
      </c>
      <c r="F813" s="38" t="s">
        <v>6628</v>
      </c>
      <c r="G813" s="44"/>
    </row>
    <row r="814">
      <c r="B814" s="38" t="s">
        <v>3061</v>
      </c>
      <c r="C814" s="38">
        <v>1.0</v>
      </c>
      <c r="D814" s="38" t="s">
        <v>6627</v>
      </c>
      <c r="E814" s="38" t="s">
        <v>4478</v>
      </c>
      <c r="F814" s="38" t="s">
        <v>6629</v>
      </c>
      <c r="G814" s="44"/>
    </row>
    <row r="815">
      <c r="B815" s="44"/>
      <c r="C815" s="44"/>
      <c r="D815" s="38" t="s">
        <v>6630</v>
      </c>
      <c r="E815" s="363" t="s">
        <v>6469</v>
      </c>
      <c r="F815" s="38" t="s">
        <v>6631</v>
      </c>
      <c r="G815" s="38" t="s">
        <v>6473</v>
      </c>
    </row>
    <row r="816">
      <c r="A816" s="38" t="s">
        <v>6632</v>
      </c>
      <c r="B816" s="38" t="s">
        <v>6633</v>
      </c>
      <c r="C816" s="38" t="s">
        <v>6634</v>
      </c>
      <c r="D816" s="38" t="s">
        <v>6635</v>
      </c>
      <c r="E816" s="38" t="s">
        <v>6636</v>
      </c>
      <c r="F816" s="38" t="s">
        <v>6637</v>
      </c>
      <c r="G816" s="38" t="s">
        <v>6638</v>
      </c>
      <c r="H816" s="44"/>
      <c r="I816" s="44"/>
    </row>
    <row r="817">
      <c r="B817" s="38" t="s">
        <v>6639</v>
      </c>
      <c r="C817" s="38" t="s">
        <v>6640</v>
      </c>
      <c r="D817" s="38"/>
      <c r="E817" s="38" t="s">
        <v>6636</v>
      </c>
      <c r="F817" s="38" t="s">
        <v>6641</v>
      </c>
      <c r="G817" s="38" t="s">
        <v>6642</v>
      </c>
      <c r="H817" s="38" t="s">
        <v>4657</v>
      </c>
      <c r="I817" s="44"/>
    </row>
    <row r="818">
      <c r="B818" s="38" t="s">
        <v>6386</v>
      </c>
      <c r="C818" s="44"/>
      <c r="D818" s="38" t="s">
        <v>6643</v>
      </c>
      <c r="E818" s="38" t="s">
        <v>6636</v>
      </c>
      <c r="F818" s="38" t="s">
        <v>6024</v>
      </c>
      <c r="G818" s="38" t="s">
        <v>6644</v>
      </c>
      <c r="H818" s="44"/>
      <c r="I818" s="38" t="s">
        <v>208</v>
      </c>
    </row>
    <row r="819">
      <c r="B819" s="38" t="s">
        <v>6645</v>
      </c>
      <c r="C819" s="294" t="s">
        <v>6646</v>
      </c>
      <c r="D819" s="38" t="s">
        <v>6647</v>
      </c>
      <c r="E819" s="38" t="s">
        <v>6636</v>
      </c>
      <c r="F819" s="324" t="s">
        <v>6648</v>
      </c>
      <c r="G819" s="38" t="s">
        <v>6649</v>
      </c>
      <c r="H819" s="44"/>
      <c r="I819" s="38" t="s">
        <v>6650</v>
      </c>
    </row>
    <row r="820">
      <c r="B820" s="38" t="s">
        <v>1432</v>
      </c>
      <c r="C820" s="38">
        <v>4.0</v>
      </c>
      <c r="D820" s="38" t="s">
        <v>3215</v>
      </c>
      <c r="E820" s="38" t="s">
        <v>4077</v>
      </c>
      <c r="F820" s="38" t="s">
        <v>6651</v>
      </c>
      <c r="G820" s="294" t="s">
        <v>6652</v>
      </c>
    </row>
    <row r="821">
      <c r="B821" s="38" t="s">
        <v>4791</v>
      </c>
      <c r="C821" s="38">
        <v>2.0</v>
      </c>
      <c r="D821" s="38" t="s">
        <v>6653</v>
      </c>
      <c r="E821" s="38" t="s">
        <v>337</v>
      </c>
      <c r="F821" s="38" t="s">
        <v>6654</v>
      </c>
      <c r="G821" s="38" t="s">
        <v>4268</v>
      </c>
    </row>
    <row r="822">
      <c r="B822" s="38" t="s">
        <v>6655</v>
      </c>
      <c r="C822" s="38">
        <v>4.0</v>
      </c>
      <c r="D822" s="38" t="s">
        <v>6656</v>
      </c>
      <c r="E822" s="38" t="s">
        <v>6657</v>
      </c>
      <c r="F822" s="38" t="s">
        <v>6658</v>
      </c>
      <c r="G822" s="38" t="s">
        <v>6659</v>
      </c>
      <c r="H822" s="1"/>
    </row>
    <row r="823">
      <c r="B823" s="38" t="s">
        <v>6660</v>
      </c>
      <c r="C823" s="38" t="s">
        <v>6661</v>
      </c>
      <c r="D823" s="38" t="s">
        <v>6662</v>
      </c>
      <c r="E823" s="38" t="s">
        <v>6663</v>
      </c>
      <c r="F823" s="38" t="s">
        <v>6664</v>
      </c>
      <c r="G823" s="38" t="s">
        <v>6665</v>
      </c>
      <c r="H823" s="38" t="s">
        <v>5884</v>
      </c>
    </row>
    <row r="824">
      <c r="B824" s="38"/>
      <c r="C824" s="38" t="s">
        <v>6666</v>
      </c>
      <c r="D824" s="38" t="s">
        <v>6667</v>
      </c>
      <c r="E824" s="38" t="s">
        <v>6663</v>
      </c>
      <c r="F824" s="38" t="s">
        <v>6668</v>
      </c>
      <c r="G824" s="38" t="s">
        <v>6669</v>
      </c>
      <c r="H824" s="38" t="s">
        <v>5884</v>
      </c>
    </row>
    <row r="825">
      <c r="B825" s="38"/>
      <c r="C825" s="38"/>
      <c r="D825" s="38"/>
      <c r="E825" s="38" t="s">
        <v>6663</v>
      </c>
      <c r="F825" s="38" t="s">
        <v>6670</v>
      </c>
      <c r="G825" s="38"/>
      <c r="H825" s="38" t="s">
        <v>5884</v>
      </c>
    </row>
    <row r="826">
      <c r="B826" s="38"/>
      <c r="C826" s="38"/>
      <c r="D826" s="44"/>
      <c r="E826" s="38" t="s">
        <v>6663</v>
      </c>
      <c r="F826" s="38" t="s">
        <v>6671</v>
      </c>
      <c r="G826" s="38"/>
      <c r="H826" s="38" t="s">
        <v>5884</v>
      </c>
    </row>
    <row r="827">
      <c r="B827" s="38" t="s">
        <v>1010</v>
      </c>
      <c r="C827" s="38">
        <v>4.0</v>
      </c>
      <c r="D827" s="38" t="s">
        <v>1109</v>
      </c>
      <c r="E827" s="38" t="s">
        <v>6672</v>
      </c>
      <c r="F827" s="38" t="s">
        <v>4260</v>
      </c>
      <c r="G827" s="44"/>
    </row>
    <row r="828">
      <c r="B828" s="38" t="s">
        <v>77</v>
      </c>
      <c r="C828" s="38">
        <v>4.0</v>
      </c>
      <c r="D828" s="38" t="s">
        <v>1084</v>
      </c>
      <c r="E828" s="38" t="s">
        <v>6673</v>
      </c>
      <c r="F828" s="38" t="s">
        <v>6674</v>
      </c>
      <c r="G828" s="44"/>
    </row>
    <row r="829">
      <c r="B829" s="38" t="s">
        <v>25</v>
      </c>
      <c r="C829" s="38">
        <v>4.0</v>
      </c>
      <c r="D829" s="38" t="s">
        <v>289</v>
      </c>
      <c r="E829" s="38" t="s">
        <v>5131</v>
      </c>
      <c r="F829" s="38" t="s">
        <v>6675</v>
      </c>
      <c r="G829" s="44"/>
    </row>
    <row r="830">
      <c r="B830" s="38" t="s">
        <v>147</v>
      </c>
      <c r="C830" s="38">
        <v>4.0</v>
      </c>
      <c r="D830" s="38" t="s">
        <v>291</v>
      </c>
      <c r="E830" s="274" t="s">
        <v>6676</v>
      </c>
      <c r="F830" s="38" t="s">
        <v>6677</v>
      </c>
      <c r="G830" s="38" t="s">
        <v>6678</v>
      </c>
    </row>
    <row r="831">
      <c r="B831" s="38" t="s">
        <v>718</v>
      </c>
      <c r="C831" s="38">
        <v>4.0</v>
      </c>
      <c r="D831" s="38" t="s">
        <v>289</v>
      </c>
      <c r="E831" s="38" t="s">
        <v>6679</v>
      </c>
      <c r="F831" s="38" t="s">
        <v>6680</v>
      </c>
      <c r="G831" s="38" t="s">
        <v>6681</v>
      </c>
    </row>
    <row r="832">
      <c r="B832" s="38" t="s">
        <v>199</v>
      </c>
      <c r="C832" s="38">
        <v>4.0</v>
      </c>
      <c r="D832" s="38" t="s">
        <v>6682</v>
      </c>
      <c r="E832" s="38" t="s">
        <v>6683</v>
      </c>
      <c r="F832" s="38" t="s">
        <v>6684</v>
      </c>
      <c r="G832" s="38" t="s">
        <v>6685</v>
      </c>
    </row>
    <row r="833">
      <c r="B833" s="38" t="s">
        <v>6686</v>
      </c>
      <c r="C833" s="44"/>
      <c r="D833" s="38" t="s">
        <v>6687</v>
      </c>
      <c r="E833" s="38" t="s">
        <v>6688</v>
      </c>
      <c r="F833" s="38" t="s">
        <v>6689</v>
      </c>
      <c r="G833" s="38" t="s">
        <v>6690</v>
      </c>
    </row>
    <row r="834">
      <c r="B834" s="38"/>
      <c r="C834" s="44"/>
      <c r="D834" s="38"/>
      <c r="E834" s="38" t="s">
        <v>6688</v>
      </c>
      <c r="F834" s="38" t="s">
        <v>6691</v>
      </c>
      <c r="G834" s="38" t="s">
        <v>6692</v>
      </c>
    </row>
    <row r="835">
      <c r="B835" s="44"/>
      <c r="C835" s="44"/>
      <c r="D835" s="44"/>
      <c r="E835" s="38" t="s">
        <v>6693</v>
      </c>
      <c r="F835" s="38" t="s">
        <v>6694</v>
      </c>
      <c r="G835" s="38" t="s">
        <v>6695</v>
      </c>
    </row>
    <row r="836">
      <c r="B836" s="38" t="s">
        <v>85</v>
      </c>
      <c r="C836" s="38">
        <v>4.0</v>
      </c>
      <c r="D836" s="38" t="s">
        <v>684</v>
      </c>
      <c r="E836" s="38" t="s">
        <v>4762</v>
      </c>
      <c r="F836" s="44"/>
      <c r="G836" s="38" t="s">
        <v>6696</v>
      </c>
    </row>
    <row r="837">
      <c r="B837" s="38" t="s">
        <v>25</v>
      </c>
      <c r="C837" s="38">
        <v>4.0</v>
      </c>
      <c r="D837" s="38" t="s">
        <v>1084</v>
      </c>
      <c r="E837" s="274" t="s">
        <v>6697</v>
      </c>
      <c r="F837" s="38" t="s">
        <v>6698</v>
      </c>
      <c r="G837" s="38" t="s">
        <v>6699</v>
      </c>
    </row>
    <row r="838">
      <c r="B838" s="44"/>
      <c r="C838" s="44"/>
      <c r="D838" s="38" t="s">
        <v>6700</v>
      </c>
      <c r="E838" s="38" t="s">
        <v>6359</v>
      </c>
      <c r="F838" s="38" t="s">
        <v>6701</v>
      </c>
      <c r="G838" s="38" t="s">
        <v>6702</v>
      </c>
    </row>
    <row r="839">
      <c r="B839" s="1"/>
      <c r="C839" s="1"/>
      <c r="D839" s="1"/>
      <c r="E839" s="1" t="s">
        <v>6359</v>
      </c>
      <c r="F839" s="1" t="s">
        <v>6703</v>
      </c>
      <c r="G839" s="1" t="s">
        <v>6704</v>
      </c>
    </row>
    <row r="840">
      <c r="B840" s="38" t="s">
        <v>4229</v>
      </c>
      <c r="C840" s="38">
        <v>4.0</v>
      </c>
      <c r="D840" s="38" t="s">
        <v>6705</v>
      </c>
      <c r="E840" s="38" t="s">
        <v>514</v>
      </c>
      <c r="F840" s="38" t="s">
        <v>6706</v>
      </c>
      <c r="G840" s="38" t="s">
        <v>6462</v>
      </c>
    </row>
    <row r="841">
      <c r="B841" s="38" t="s">
        <v>219</v>
      </c>
      <c r="C841" s="38">
        <v>4.0</v>
      </c>
      <c r="D841" s="38" t="s">
        <v>6571</v>
      </c>
      <c r="E841" s="38" t="s">
        <v>6520</v>
      </c>
      <c r="F841" s="353"/>
      <c r="G841" s="38" t="s">
        <v>6707</v>
      </c>
    </row>
    <row r="842">
      <c r="B842" s="38" t="s">
        <v>6708</v>
      </c>
      <c r="C842" s="44"/>
      <c r="D842" s="38" t="s">
        <v>6709</v>
      </c>
      <c r="E842" s="38" t="s">
        <v>6710</v>
      </c>
      <c r="F842" s="38" t="s">
        <v>6711</v>
      </c>
      <c r="G842" s="38" t="s">
        <v>6712</v>
      </c>
      <c r="H842" s="299" t="s">
        <v>6713</v>
      </c>
      <c r="I842" s="44"/>
    </row>
    <row r="843">
      <c r="B843" s="38" t="s">
        <v>718</v>
      </c>
      <c r="C843" s="38">
        <v>4.0</v>
      </c>
      <c r="D843" s="38" t="s">
        <v>684</v>
      </c>
      <c r="E843" s="38" t="s">
        <v>6714</v>
      </c>
      <c r="F843" s="38" t="s">
        <v>175</v>
      </c>
      <c r="G843" s="38" t="s">
        <v>6715</v>
      </c>
    </row>
    <row r="844">
      <c r="B844" s="44"/>
      <c r="C844" s="38" t="s">
        <v>6716</v>
      </c>
      <c r="D844" s="38" t="s">
        <v>6717</v>
      </c>
      <c r="E844" s="38" t="s">
        <v>6718</v>
      </c>
      <c r="F844" s="38" t="s">
        <v>6719</v>
      </c>
      <c r="G844" s="38" t="s">
        <v>6720</v>
      </c>
    </row>
    <row r="845">
      <c r="B845" s="44"/>
      <c r="C845" s="44"/>
      <c r="D845" s="38"/>
      <c r="E845" s="38" t="s">
        <v>6718</v>
      </c>
      <c r="F845" s="38" t="s">
        <v>6721</v>
      </c>
      <c r="G845" s="38" t="s">
        <v>6722</v>
      </c>
    </row>
    <row r="846">
      <c r="B846" s="44"/>
      <c r="C846" s="44"/>
      <c r="D846" s="38"/>
      <c r="E846" s="38" t="s">
        <v>6718</v>
      </c>
      <c r="F846" s="38" t="s">
        <v>6723</v>
      </c>
      <c r="G846" s="38" t="s">
        <v>6724</v>
      </c>
    </row>
    <row r="847">
      <c r="B847" s="38" t="s">
        <v>6725</v>
      </c>
      <c r="C847" s="38" t="s">
        <v>6726</v>
      </c>
      <c r="D847" s="38" t="s">
        <v>6727</v>
      </c>
      <c r="E847" s="38" t="s">
        <v>6718</v>
      </c>
      <c r="F847" s="38" t="s">
        <v>6728</v>
      </c>
      <c r="G847" s="38"/>
    </row>
    <row r="848">
      <c r="B848" s="44"/>
      <c r="C848" s="44"/>
      <c r="D848" s="38"/>
      <c r="E848" s="38" t="s">
        <v>6718</v>
      </c>
      <c r="F848" s="38" t="s">
        <v>6729</v>
      </c>
      <c r="G848" s="38" t="s">
        <v>6730</v>
      </c>
    </row>
    <row r="849">
      <c r="B849" s="38" t="s">
        <v>5381</v>
      </c>
      <c r="C849" s="38">
        <v>4.0</v>
      </c>
      <c r="D849" s="38" t="s">
        <v>6731</v>
      </c>
      <c r="E849" s="306" t="s">
        <v>4811</v>
      </c>
      <c r="F849" s="367" t="s">
        <v>6732</v>
      </c>
      <c r="G849" s="272"/>
    </row>
    <row r="850">
      <c r="B850" s="38" t="s">
        <v>5596</v>
      </c>
      <c r="C850" s="38">
        <v>16.0</v>
      </c>
      <c r="D850" s="38" t="s">
        <v>6733</v>
      </c>
      <c r="E850" s="368" t="s">
        <v>6734</v>
      </c>
      <c r="F850" s="38" t="s">
        <v>6735</v>
      </c>
      <c r="G850" s="38" t="s">
        <v>6736</v>
      </c>
    </row>
    <row r="851">
      <c r="B851" s="38" t="s">
        <v>6737</v>
      </c>
      <c r="C851" s="38">
        <v>1.0</v>
      </c>
      <c r="D851" s="38" t="s">
        <v>6738</v>
      </c>
      <c r="E851" s="38" t="s">
        <v>6739</v>
      </c>
      <c r="F851" s="38" t="s">
        <v>6740</v>
      </c>
      <c r="G851" s="38" t="s">
        <v>6741</v>
      </c>
    </row>
    <row r="852">
      <c r="B852" s="38" t="s">
        <v>5381</v>
      </c>
      <c r="C852" s="38">
        <v>4.0</v>
      </c>
      <c r="D852" s="38" t="s">
        <v>6742</v>
      </c>
      <c r="E852" s="38" t="s">
        <v>6743</v>
      </c>
      <c r="F852" s="38" t="s">
        <v>6744</v>
      </c>
      <c r="G852" s="38" t="s">
        <v>6745</v>
      </c>
    </row>
    <row r="853">
      <c r="B853" s="38" t="s">
        <v>25</v>
      </c>
      <c r="C853" s="38">
        <v>4.0</v>
      </c>
      <c r="D853" s="38" t="s">
        <v>1964</v>
      </c>
      <c r="E853" s="38" t="s">
        <v>6746</v>
      </c>
      <c r="F853" s="38" t="s">
        <v>208</v>
      </c>
      <c r="G853" s="44"/>
    </row>
    <row r="854">
      <c r="B854" s="38" t="s">
        <v>205</v>
      </c>
      <c r="C854" s="38">
        <v>4.0</v>
      </c>
      <c r="D854" s="38" t="s">
        <v>6747</v>
      </c>
      <c r="E854" s="38" t="s">
        <v>6748</v>
      </c>
      <c r="F854" s="44"/>
      <c r="G854" s="44"/>
    </row>
    <row r="855">
      <c r="B855" s="38" t="s">
        <v>271</v>
      </c>
      <c r="C855" s="38">
        <v>4.0</v>
      </c>
      <c r="D855" s="38" t="s">
        <v>3135</v>
      </c>
      <c r="E855" s="281" t="s">
        <v>2461</v>
      </c>
      <c r="F855" s="38" t="s">
        <v>4211</v>
      </c>
      <c r="G855" s="38" t="s">
        <v>6749</v>
      </c>
    </row>
    <row r="856">
      <c r="B856" s="38" t="s">
        <v>47</v>
      </c>
      <c r="C856" s="38">
        <v>2.0</v>
      </c>
      <c r="D856" s="38" t="s">
        <v>2827</v>
      </c>
      <c r="E856" s="38" t="s">
        <v>974</v>
      </c>
      <c r="F856" s="44"/>
      <c r="G856" s="38" t="s">
        <v>4421</v>
      </c>
    </row>
    <row r="857">
      <c r="B857" s="38" t="s">
        <v>48</v>
      </c>
      <c r="C857" s="38">
        <v>2.0</v>
      </c>
      <c r="D857" s="38" t="s">
        <v>2827</v>
      </c>
      <c r="E857" s="38" t="s">
        <v>974</v>
      </c>
      <c r="F857" s="44"/>
      <c r="G857" s="38" t="s">
        <v>4421</v>
      </c>
    </row>
    <row r="858">
      <c r="B858" s="44"/>
      <c r="C858" s="44"/>
      <c r="D858" s="38" t="s">
        <v>6750</v>
      </c>
      <c r="E858" s="38" t="s">
        <v>2914</v>
      </c>
      <c r="F858" s="44"/>
      <c r="G858" s="38" t="s">
        <v>4421</v>
      </c>
    </row>
    <row r="859">
      <c r="A859" s="1" t="s">
        <v>6751</v>
      </c>
      <c r="B859" s="337" t="s">
        <v>6752</v>
      </c>
      <c r="C859" s="1" t="s">
        <v>6753</v>
      </c>
      <c r="D859" s="369" t="s">
        <v>6754</v>
      </c>
      <c r="E859" s="1" t="s">
        <v>6755</v>
      </c>
      <c r="F859" s="1" t="s">
        <v>6756</v>
      </c>
      <c r="G859" s="337" t="s">
        <v>6757</v>
      </c>
      <c r="H859" s="1" t="s">
        <v>6758</v>
      </c>
    </row>
    <row r="860">
      <c r="A860" s="1"/>
      <c r="B860" s="337"/>
      <c r="C860" s="1"/>
      <c r="D860" s="369" t="s">
        <v>6759</v>
      </c>
      <c r="E860" s="1" t="s">
        <v>6755</v>
      </c>
      <c r="F860" s="1" t="s">
        <v>6760</v>
      </c>
      <c r="G860" s="337"/>
      <c r="H860" s="1"/>
    </row>
    <row r="861">
      <c r="D861" s="38" t="s">
        <v>6761</v>
      </c>
      <c r="E861" s="38" t="s">
        <v>6762</v>
      </c>
      <c r="F861" s="38" t="s">
        <v>6763</v>
      </c>
      <c r="G861" s="38" t="s">
        <v>6764</v>
      </c>
      <c r="H861" s="38" t="s">
        <v>6765</v>
      </c>
    </row>
    <row r="862">
      <c r="B862" s="272" t="s">
        <v>6766</v>
      </c>
      <c r="C862" s="272" t="s">
        <v>6767</v>
      </c>
      <c r="D862" s="272" t="s">
        <v>6768</v>
      </c>
      <c r="E862" s="38" t="s">
        <v>1017</v>
      </c>
      <c r="F862" s="272" t="s">
        <v>6769</v>
      </c>
      <c r="G862" s="272" t="s">
        <v>6770</v>
      </c>
      <c r="H862" s="38" t="s">
        <v>6771</v>
      </c>
    </row>
    <row r="863">
      <c r="B863" s="272" t="s">
        <v>1871</v>
      </c>
      <c r="C863" s="272">
        <v>2.0</v>
      </c>
      <c r="D863" s="272" t="s">
        <v>1305</v>
      </c>
      <c r="E863" s="38" t="s">
        <v>3977</v>
      </c>
      <c r="F863" s="272" t="s">
        <v>6772</v>
      </c>
      <c r="G863" s="272"/>
    </row>
    <row r="864">
      <c r="B864" s="38" t="s">
        <v>549</v>
      </c>
      <c r="C864" s="38">
        <v>4.0</v>
      </c>
      <c r="D864" s="38" t="s">
        <v>6773</v>
      </c>
      <c r="E864" s="281" t="s">
        <v>1401</v>
      </c>
      <c r="F864" s="318" t="s">
        <v>6774</v>
      </c>
      <c r="G864" s="38" t="s">
        <v>6775</v>
      </c>
    </row>
    <row r="865">
      <c r="B865" s="38" t="s">
        <v>170</v>
      </c>
      <c r="C865" s="38">
        <v>2.0</v>
      </c>
      <c r="D865" s="38" t="s">
        <v>684</v>
      </c>
      <c r="E865" s="38" t="s">
        <v>6776</v>
      </c>
      <c r="F865" s="38" t="s">
        <v>6777</v>
      </c>
      <c r="G865" s="38" t="s">
        <v>6778</v>
      </c>
    </row>
    <row r="866">
      <c r="B866" s="272" t="s">
        <v>166</v>
      </c>
      <c r="C866" s="272">
        <v>2.0</v>
      </c>
      <c r="D866" s="38" t="s">
        <v>684</v>
      </c>
      <c r="E866" s="38" t="s">
        <v>6776</v>
      </c>
      <c r="F866" s="38" t="s">
        <v>6777</v>
      </c>
      <c r="G866" s="272" t="s">
        <v>6778</v>
      </c>
    </row>
    <row r="867">
      <c r="B867" s="38" t="s">
        <v>25</v>
      </c>
      <c r="C867" s="38">
        <v>4.0</v>
      </c>
      <c r="D867" s="38" t="s">
        <v>6192</v>
      </c>
      <c r="E867" s="38" t="s">
        <v>5540</v>
      </c>
      <c r="F867" s="44"/>
      <c r="G867" s="323"/>
    </row>
    <row r="868">
      <c r="B868" s="38" t="s">
        <v>430</v>
      </c>
      <c r="C868" s="38">
        <v>4.0</v>
      </c>
      <c r="D868" s="38" t="s">
        <v>6779</v>
      </c>
      <c r="E868" s="267" t="s">
        <v>6780</v>
      </c>
      <c r="F868" s="38" t="s">
        <v>404</v>
      </c>
      <c r="G868" s="44"/>
    </row>
    <row r="869">
      <c r="B869" s="38" t="s">
        <v>430</v>
      </c>
      <c r="C869" s="38">
        <v>4.0</v>
      </c>
      <c r="D869" s="38" t="s">
        <v>4383</v>
      </c>
      <c r="E869" s="38" t="s">
        <v>6781</v>
      </c>
      <c r="F869" s="38" t="s">
        <v>6110</v>
      </c>
    </row>
    <row r="870">
      <c r="B870" s="38" t="s">
        <v>333</v>
      </c>
      <c r="C870" s="38">
        <v>4.0</v>
      </c>
      <c r="D870" s="38" t="s">
        <v>6782</v>
      </c>
      <c r="E870" s="38" t="s">
        <v>6783</v>
      </c>
      <c r="F870" s="38" t="s">
        <v>6784</v>
      </c>
    </row>
    <row r="871">
      <c r="B871" s="38" t="s">
        <v>718</v>
      </c>
      <c r="C871" s="38">
        <v>4.0</v>
      </c>
      <c r="D871" s="38" t="s">
        <v>684</v>
      </c>
      <c r="E871" s="38" t="s">
        <v>6785</v>
      </c>
      <c r="F871" s="38" t="s">
        <v>6786</v>
      </c>
      <c r="G871" s="38" t="s">
        <v>5655</v>
      </c>
    </row>
    <row r="872">
      <c r="B872" s="38" t="s">
        <v>25</v>
      </c>
      <c r="C872" s="38">
        <v>4.0</v>
      </c>
      <c r="D872" s="38" t="s">
        <v>4030</v>
      </c>
      <c r="E872" s="38" t="s">
        <v>4634</v>
      </c>
      <c r="F872" s="38" t="s">
        <v>6684</v>
      </c>
      <c r="G872" s="44"/>
    </row>
    <row r="873">
      <c r="B873" s="38" t="s">
        <v>77</v>
      </c>
      <c r="C873" s="38">
        <v>12.0</v>
      </c>
      <c r="D873" s="38" t="s">
        <v>684</v>
      </c>
      <c r="E873" s="38" t="s">
        <v>4634</v>
      </c>
      <c r="F873" s="38" t="s">
        <v>6787</v>
      </c>
      <c r="G873" s="38" t="s">
        <v>6788</v>
      </c>
    </row>
    <row r="874">
      <c r="B874" s="38" t="s">
        <v>77</v>
      </c>
      <c r="C874" s="38">
        <v>4.0</v>
      </c>
      <c r="D874" s="38" t="s">
        <v>684</v>
      </c>
      <c r="E874" s="38" t="s">
        <v>4634</v>
      </c>
      <c r="F874" s="44"/>
      <c r="G874" s="38" t="s">
        <v>6788</v>
      </c>
    </row>
    <row r="875">
      <c r="B875" s="38" t="s">
        <v>22</v>
      </c>
      <c r="C875" s="38">
        <v>4.0</v>
      </c>
      <c r="D875" s="38" t="s">
        <v>6569</v>
      </c>
      <c r="E875" s="38" t="s">
        <v>4634</v>
      </c>
      <c r="F875" s="38" t="s">
        <v>6789</v>
      </c>
      <c r="G875" s="38" t="s">
        <v>6786</v>
      </c>
    </row>
    <row r="876">
      <c r="B876" s="272" t="s">
        <v>25</v>
      </c>
      <c r="C876" s="38">
        <v>16.0</v>
      </c>
      <c r="D876" s="38" t="s">
        <v>6569</v>
      </c>
      <c r="E876" s="38" t="s">
        <v>4634</v>
      </c>
      <c r="F876" s="44"/>
      <c r="G876" s="38" t="s">
        <v>6790</v>
      </c>
    </row>
    <row r="877">
      <c r="B877" s="38" t="s">
        <v>2329</v>
      </c>
      <c r="C877" s="38">
        <v>4.0</v>
      </c>
      <c r="D877" s="38" t="s">
        <v>6791</v>
      </c>
      <c r="E877" s="38" t="s">
        <v>4634</v>
      </c>
      <c r="F877" s="38" t="s">
        <v>6792</v>
      </c>
      <c r="G877" s="38" t="s">
        <v>6788</v>
      </c>
    </row>
    <row r="878">
      <c r="B878" s="38" t="s">
        <v>3853</v>
      </c>
      <c r="C878" s="38">
        <v>4.0</v>
      </c>
      <c r="D878" s="38" t="s">
        <v>630</v>
      </c>
      <c r="E878" s="38" t="s">
        <v>4634</v>
      </c>
      <c r="F878" s="38" t="s">
        <v>6793</v>
      </c>
      <c r="G878" s="38" t="s">
        <v>6788</v>
      </c>
    </row>
    <row r="879">
      <c r="B879" s="38" t="s">
        <v>3853</v>
      </c>
      <c r="C879" s="38">
        <v>4.0</v>
      </c>
      <c r="D879" s="38" t="s">
        <v>630</v>
      </c>
      <c r="E879" s="38" t="s">
        <v>4634</v>
      </c>
      <c r="F879" s="38" t="s">
        <v>6794</v>
      </c>
      <c r="G879" s="38" t="s">
        <v>6788</v>
      </c>
    </row>
    <row r="880">
      <c r="B880" s="38" t="s">
        <v>3853</v>
      </c>
      <c r="C880" s="38">
        <v>4.0</v>
      </c>
      <c r="D880" s="38" t="s">
        <v>630</v>
      </c>
      <c r="E880" s="38" t="s">
        <v>4634</v>
      </c>
      <c r="F880" s="38" t="s">
        <v>6795</v>
      </c>
      <c r="G880" s="38" t="s">
        <v>6788</v>
      </c>
    </row>
    <row r="881">
      <c r="B881" s="272" t="s">
        <v>6796</v>
      </c>
      <c r="C881" s="38" t="s">
        <v>6797</v>
      </c>
      <c r="D881" s="38" t="s">
        <v>6798</v>
      </c>
      <c r="E881" s="38" t="s">
        <v>4466</v>
      </c>
      <c r="F881" s="38" t="s">
        <v>6799</v>
      </c>
      <c r="G881" s="44"/>
    </row>
    <row r="882">
      <c r="B882" s="38" t="s">
        <v>205</v>
      </c>
      <c r="C882" s="38">
        <v>2.0</v>
      </c>
      <c r="D882" s="38" t="s">
        <v>6800</v>
      </c>
      <c r="E882" s="38" t="s">
        <v>6801</v>
      </c>
      <c r="F882" s="38" t="s">
        <v>6802</v>
      </c>
      <c r="G882" s="38" t="s">
        <v>6803</v>
      </c>
    </row>
    <row r="883">
      <c r="B883" s="44"/>
      <c r="C883" s="44"/>
      <c r="D883" s="38" t="s">
        <v>6804</v>
      </c>
      <c r="E883" s="38" t="s">
        <v>6805</v>
      </c>
      <c r="F883" s="44"/>
      <c r="G883" s="38" t="s">
        <v>4421</v>
      </c>
    </row>
    <row r="884">
      <c r="B884" s="38" t="s">
        <v>430</v>
      </c>
      <c r="C884" s="38">
        <v>4.0</v>
      </c>
      <c r="D884" s="38" t="s">
        <v>6806</v>
      </c>
      <c r="E884" s="38" t="s">
        <v>6739</v>
      </c>
      <c r="F884" s="38" t="s">
        <v>208</v>
      </c>
      <c r="G884" s="38" t="s">
        <v>6807</v>
      </c>
    </row>
    <row r="885">
      <c r="B885" s="38" t="s">
        <v>3682</v>
      </c>
      <c r="C885" s="38">
        <v>4.0</v>
      </c>
      <c r="D885" s="38" t="s">
        <v>6808</v>
      </c>
      <c r="E885" s="38" t="s">
        <v>6809</v>
      </c>
      <c r="F885" s="38" t="s">
        <v>6810</v>
      </c>
      <c r="G885" s="38" t="s">
        <v>6811</v>
      </c>
    </row>
    <row r="886">
      <c r="B886" s="38" t="s">
        <v>357</v>
      </c>
      <c r="C886" s="38">
        <v>4.0</v>
      </c>
      <c r="D886" s="38" t="s">
        <v>6812</v>
      </c>
      <c r="E886" s="38" t="s">
        <v>6809</v>
      </c>
      <c r="F886" s="38" t="s">
        <v>175</v>
      </c>
      <c r="G886" s="38" t="s">
        <v>6811</v>
      </c>
    </row>
    <row r="887">
      <c r="B887" s="38" t="s">
        <v>28</v>
      </c>
      <c r="C887" s="38">
        <v>4.0</v>
      </c>
      <c r="D887" s="38" t="s">
        <v>1084</v>
      </c>
      <c r="E887" s="38" t="s">
        <v>6813</v>
      </c>
      <c r="F887" s="38" t="s">
        <v>6814</v>
      </c>
      <c r="G887" s="38" t="s">
        <v>6815</v>
      </c>
    </row>
    <row r="888">
      <c r="B888" s="38" t="s">
        <v>357</v>
      </c>
      <c r="C888" s="38">
        <v>4.0</v>
      </c>
      <c r="D888" s="38" t="s">
        <v>6816</v>
      </c>
      <c r="E888" s="38" t="s">
        <v>6817</v>
      </c>
      <c r="F888" s="38" t="s">
        <v>6818</v>
      </c>
      <c r="G888" s="38" t="s">
        <v>6819</v>
      </c>
      <c r="H888" s="38" t="s">
        <v>6820</v>
      </c>
    </row>
    <row r="889">
      <c r="B889" s="38" t="s">
        <v>219</v>
      </c>
      <c r="C889" s="38">
        <v>4.0</v>
      </c>
      <c r="D889" s="38" t="s">
        <v>6571</v>
      </c>
      <c r="E889" s="281" t="s">
        <v>6821</v>
      </c>
      <c r="F889" s="38" t="s">
        <v>6822</v>
      </c>
      <c r="G889" s="38" t="s">
        <v>6823</v>
      </c>
    </row>
    <row r="890">
      <c r="B890" s="38" t="s">
        <v>2728</v>
      </c>
      <c r="C890" s="38">
        <v>4.0</v>
      </c>
      <c r="D890" s="38" t="s">
        <v>6824</v>
      </c>
      <c r="E890" s="38" t="s">
        <v>6825</v>
      </c>
      <c r="F890" s="38" t="s">
        <v>6826</v>
      </c>
      <c r="G890" s="38"/>
      <c r="H890" s="1"/>
    </row>
    <row r="891">
      <c r="B891" s="38" t="s">
        <v>271</v>
      </c>
      <c r="C891" s="38">
        <v>4.0</v>
      </c>
      <c r="D891" s="38" t="s">
        <v>1084</v>
      </c>
      <c r="E891" s="38" t="s">
        <v>6520</v>
      </c>
      <c r="F891" s="38"/>
      <c r="G891" s="38" t="s">
        <v>6827</v>
      </c>
    </row>
    <row r="892">
      <c r="B892" s="38" t="s">
        <v>22</v>
      </c>
      <c r="C892" s="38">
        <v>4.0</v>
      </c>
      <c r="D892" s="38" t="s">
        <v>513</v>
      </c>
      <c r="E892" s="38" t="s">
        <v>633</v>
      </c>
      <c r="F892" s="38" t="s">
        <v>6828</v>
      </c>
      <c r="G892" s="38" t="s">
        <v>6829</v>
      </c>
    </row>
    <row r="893">
      <c r="B893" s="38" t="s">
        <v>6830</v>
      </c>
      <c r="C893" s="44"/>
      <c r="D893" s="38" t="s">
        <v>6831</v>
      </c>
      <c r="E893" s="38" t="s">
        <v>6832</v>
      </c>
      <c r="F893" s="38" t="s">
        <v>6833</v>
      </c>
      <c r="G893" s="38" t="s">
        <v>6834</v>
      </c>
    </row>
    <row r="894">
      <c r="B894" s="38" t="s">
        <v>6835</v>
      </c>
      <c r="C894" s="38">
        <v>1.0</v>
      </c>
      <c r="D894" s="276" t="s">
        <v>6836</v>
      </c>
      <c r="E894" s="38" t="s">
        <v>6837</v>
      </c>
      <c r="F894" s="38" t="s">
        <v>6838</v>
      </c>
      <c r="G894" s="38" t="s">
        <v>6839</v>
      </c>
      <c r="H894" s="38" t="s">
        <v>6840</v>
      </c>
    </row>
    <row r="895">
      <c r="B895" s="38" t="s">
        <v>354</v>
      </c>
      <c r="C895" s="38">
        <v>4.0</v>
      </c>
      <c r="D895" s="38" t="s">
        <v>6841</v>
      </c>
      <c r="E895" s="38" t="s">
        <v>5131</v>
      </c>
      <c r="F895" s="44"/>
      <c r="G895" s="44"/>
    </row>
    <row r="896">
      <c r="B896" s="38" t="s">
        <v>25</v>
      </c>
      <c r="C896" s="38">
        <v>4.0</v>
      </c>
      <c r="D896" s="38" t="s">
        <v>6842</v>
      </c>
      <c r="E896" s="274" t="s">
        <v>6843</v>
      </c>
      <c r="F896" s="44"/>
      <c r="G896" s="44"/>
    </row>
    <row r="897">
      <c r="B897" s="38" t="s">
        <v>6844</v>
      </c>
      <c r="C897" s="38">
        <v>4.0</v>
      </c>
      <c r="D897" s="38" t="s">
        <v>1927</v>
      </c>
      <c r="E897" s="38" t="s">
        <v>6845</v>
      </c>
      <c r="F897" s="38" t="s">
        <v>6846</v>
      </c>
      <c r="G897" s="38" t="s">
        <v>6847</v>
      </c>
    </row>
    <row r="898">
      <c r="B898" s="38" t="s">
        <v>25</v>
      </c>
      <c r="C898" s="38">
        <v>4.0</v>
      </c>
      <c r="D898" s="38" t="s">
        <v>1964</v>
      </c>
      <c r="E898" s="38" t="s">
        <v>6848</v>
      </c>
      <c r="F898" s="44"/>
      <c r="G898" s="38" t="s">
        <v>6849</v>
      </c>
    </row>
    <row r="899">
      <c r="B899" s="38" t="s">
        <v>4666</v>
      </c>
      <c r="C899" s="38">
        <v>4.0</v>
      </c>
      <c r="D899" s="38" t="s">
        <v>6850</v>
      </c>
      <c r="E899" s="38" t="s">
        <v>1017</v>
      </c>
      <c r="F899" s="38" t="s">
        <v>6851</v>
      </c>
      <c r="G899" s="44"/>
    </row>
    <row r="900">
      <c r="B900" s="38" t="s">
        <v>6852</v>
      </c>
      <c r="C900" s="38" t="s">
        <v>175</v>
      </c>
      <c r="D900" s="38" t="s">
        <v>6853</v>
      </c>
      <c r="E900" s="38" t="s">
        <v>6854</v>
      </c>
      <c r="F900" s="38" t="s">
        <v>6855</v>
      </c>
      <c r="G900" s="38" t="s">
        <v>6856</v>
      </c>
      <c r="H900" s="44"/>
      <c r="I900" s="38" t="s">
        <v>6857</v>
      </c>
    </row>
    <row r="901">
      <c r="B901" s="38" t="s">
        <v>6858</v>
      </c>
      <c r="C901" s="44"/>
      <c r="D901" s="38" t="s">
        <v>6859</v>
      </c>
      <c r="E901" s="44"/>
      <c r="F901" s="38" t="s">
        <v>6860</v>
      </c>
    </row>
    <row r="902">
      <c r="B902" s="38" t="s">
        <v>25</v>
      </c>
      <c r="C902" s="38">
        <v>12.0</v>
      </c>
      <c r="D902" s="38" t="s">
        <v>6569</v>
      </c>
      <c r="E902" s="38" t="s">
        <v>6861</v>
      </c>
      <c r="F902" s="38" t="s">
        <v>6862</v>
      </c>
      <c r="G902" s="38" t="s">
        <v>6863</v>
      </c>
    </row>
    <row r="903">
      <c r="B903" s="38" t="s">
        <v>77</v>
      </c>
      <c r="C903" s="38">
        <v>4.0</v>
      </c>
      <c r="D903" s="38" t="s">
        <v>684</v>
      </c>
      <c r="E903" s="38" t="s">
        <v>6864</v>
      </c>
      <c r="F903" s="38" t="s">
        <v>6865</v>
      </c>
      <c r="G903" s="38" t="s">
        <v>6863</v>
      </c>
    </row>
    <row r="904">
      <c r="B904" s="38" t="s">
        <v>6866</v>
      </c>
      <c r="C904" s="38">
        <v>4.0</v>
      </c>
      <c r="D904" s="38" t="s">
        <v>6867</v>
      </c>
      <c r="E904" s="38" t="s">
        <v>6864</v>
      </c>
      <c r="F904" s="38" t="s">
        <v>6868</v>
      </c>
      <c r="G904" s="38" t="s">
        <v>6863</v>
      </c>
    </row>
    <row r="905">
      <c r="B905" s="38" t="s">
        <v>982</v>
      </c>
      <c r="C905" s="38">
        <v>4.0</v>
      </c>
      <c r="D905" s="38" t="s">
        <v>630</v>
      </c>
      <c r="E905" s="38" t="s">
        <v>6864</v>
      </c>
      <c r="F905" s="38" t="s">
        <v>6869</v>
      </c>
      <c r="G905" s="38" t="s">
        <v>6863</v>
      </c>
    </row>
    <row r="906">
      <c r="B906" s="38" t="s">
        <v>308</v>
      </c>
      <c r="C906" s="38">
        <v>4.0</v>
      </c>
      <c r="D906" s="38" t="s">
        <v>6569</v>
      </c>
      <c r="E906" s="38" t="s">
        <v>6864</v>
      </c>
      <c r="F906" s="38" t="s">
        <v>175</v>
      </c>
      <c r="G906" s="38" t="s">
        <v>6870</v>
      </c>
    </row>
    <row r="907">
      <c r="B907" s="38" t="s">
        <v>3725</v>
      </c>
      <c r="C907" s="38">
        <v>2.0</v>
      </c>
      <c r="D907" s="38" t="s">
        <v>6871</v>
      </c>
      <c r="E907" s="38" t="s">
        <v>6872</v>
      </c>
      <c r="F907" s="38" t="s">
        <v>6873</v>
      </c>
      <c r="G907" s="38" t="s">
        <v>6874</v>
      </c>
    </row>
    <row r="908">
      <c r="B908" s="38" t="s">
        <v>6875</v>
      </c>
      <c r="C908" s="38">
        <v>4.0</v>
      </c>
      <c r="D908" s="38" t="s">
        <v>6871</v>
      </c>
      <c r="E908" s="38" t="s">
        <v>221</v>
      </c>
      <c r="F908" s="38" t="s">
        <v>6876</v>
      </c>
      <c r="G908" s="38" t="s">
        <v>6877</v>
      </c>
    </row>
    <row r="909">
      <c r="B909" s="131" t="s">
        <v>1409</v>
      </c>
      <c r="C909" s="131">
        <v>2.0</v>
      </c>
      <c r="D909" s="131" t="s">
        <v>6878</v>
      </c>
      <c r="E909" s="131" t="s">
        <v>1758</v>
      </c>
      <c r="F909" s="131" t="s">
        <v>6879</v>
      </c>
      <c r="G909" s="131" t="s">
        <v>6880</v>
      </c>
    </row>
    <row r="910">
      <c r="B910" s="131" t="s">
        <v>1454</v>
      </c>
      <c r="C910" s="131">
        <v>2.0</v>
      </c>
      <c r="D910" s="131" t="s">
        <v>6878</v>
      </c>
      <c r="E910" s="131" t="s">
        <v>1758</v>
      </c>
      <c r="F910" s="131" t="s">
        <v>6881</v>
      </c>
      <c r="G910" s="131" t="s">
        <v>6880</v>
      </c>
    </row>
    <row r="911">
      <c r="B911" s="38" t="s">
        <v>6882</v>
      </c>
      <c r="C911" s="38">
        <v>2.0</v>
      </c>
      <c r="D911" s="38" t="s">
        <v>6878</v>
      </c>
      <c r="E911" s="38" t="s">
        <v>6883</v>
      </c>
      <c r="F911" s="38" t="s">
        <v>6884</v>
      </c>
      <c r="G911" s="38" t="s">
        <v>6885</v>
      </c>
    </row>
    <row r="912">
      <c r="B912" s="38" t="s">
        <v>6886</v>
      </c>
      <c r="C912" s="38">
        <v>4.0</v>
      </c>
      <c r="D912" s="38" t="s">
        <v>6887</v>
      </c>
      <c r="E912" s="38" t="s">
        <v>418</v>
      </c>
      <c r="F912" s="44"/>
      <c r="G912" s="38" t="s">
        <v>6888</v>
      </c>
    </row>
    <row r="913">
      <c r="B913" s="38" t="s">
        <v>63</v>
      </c>
      <c r="C913" s="38">
        <v>1.0</v>
      </c>
      <c r="D913" s="38" t="s">
        <v>412</v>
      </c>
      <c r="E913" s="38" t="s">
        <v>1017</v>
      </c>
      <c r="F913" s="38" t="s">
        <v>2833</v>
      </c>
      <c r="G913" s="38" t="s">
        <v>175</v>
      </c>
      <c r="H913" s="38" t="s">
        <v>6771</v>
      </c>
    </row>
    <row r="914">
      <c r="B914" s="38" t="s">
        <v>22</v>
      </c>
      <c r="C914" s="38">
        <v>8.0</v>
      </c>
      <c r="D914" s="38" t="s">
        <v>86</v>
      </c>
      <c r="E914" s="38" t="s">
        <v>1017</v>
      </c>
      <c r="F914" s="38" t="s">
        <v>6889</v>
      </c>
      <c r="G914" s="38" t="s">
        <v>175</v>
      </c>
      <c r="H914" s="38" t="s">
        <v>6771</v>
      </c>
    </row>
    <row r="915">
      <c r="B915" s="272" t="s">
        <v>6890</v>
      </c>
      <c r="C915" s="44"/>
      <c r="D915" s="284" t="s">
        <v>6891</v>
      </c>
      <c r="E915" s="38" t="s">
        <v>6892</v>
      </c>
      <c r="F915" s="284" t="s">
        <v>6893</v>
      </c>
      <c r="G915" s="38" t="s">
        <v>6894</v>
      </c>
      <c r="H915" s="272" t="s">
        <v>6895</v>
      </c>
    </row>
    <row r="916">
      <c r="B916" s="44"/>
      <c r="C916" s="44"/>
      <c r="D916" s="38" t="s">
        <v>6896</v>
      </c>
      <c r="E916" s="38" t="s">
        <v>974</v>
      </c>
      <c r="F916" s="38" t="s">
        <v>6897</v>
      </c>
      <c r="G916" s="38" t="s">
        <v>4421</v>
      </c>
    </row>
    <row r="917">
      <c r="B917" s="272" t="s">
        <v>308</v>
      </c>
      <c r="C917" s="38">
        <v>4.0</v>
      </c>
      <c r="D917" s="38" t="s">
        <v>6898</v>
      </c>
      <c r="E917" s="38" t="s">
        <v>6899</v>
      </c>
      <c r="F917" s="38" t="s">
        <v>1808</v>
      </c>
      <c r="G917" s="38" t="s">
        <v>2252</v>
      </c>
      <c r="H917" s="301"/>
    </row>
    <row r="918">
      <c r="B918" s="38" t="s">
        <v>81</v>
      </c>
      <c r="C918" s="38">
        <v>4.0</v>
      </c>
      <c r="D918" s="38" t="s">
        <v>433</v>
      </c>
      <c r="E918" s="38" t="s">
        <v>6900</v>
      </c>
      <c r="F918" s="38" t="s">
        <v>3224</v>
      </c>
      <c r="G918" s="44"/>
    </row>
    <row r="919">
      <c r="B919" s="38" t="s">
        <v>25</v>
      </c>
      <c r="C919" s="38">
        <v>4.0</v>
      </c>
      <c r="D919" s="38" t="s">
        <v>1979</v>
      </c>
      <c r="E919" s="38" t="s">
        <v>6739</v>
      </c>
      <c r="F919" s="38" t="s">
        <v>4474</v>
      </c>
      <c r="G919" s="38" t="s">
        <v>5655</v>
      </c>
    </row>
    <row r="920">
      <c r="B920" s="38" t="s">
        <v>25</v>
      </c>
      <c r="C920" s="38">
        <v>4.0</v>
      </c>
      <c r="D920" s="38" t="s">
        <v>1964</v>
      </c>
      <c r="E920" s="307" t="s">
        <v>6901</v>
      </c>
      <c r="F920" s="38" t="s">
        <v>5652</v>
      </c>
      <c r="G920" s="38" t="s">
        <v>6902</v>
      </c>
      <c r="H920" s="1"/>
    </row>
    <row r="921">
      <c r="B921" s="38" t="s">
        <v>876</v>
      </c>
      <c r="C921" s="38">
        <v>4.0</v>
      </c>
      <c r="D921" s="38" t="s">
        <v>6903</v>
      </c>
      <c r="E921" s="281" t="s">
        <v>6904</v>
      </c>
      <c r="F921" s="38" t="s">
        <v>6905</v>
      </c>
      <c r="G921" s="38" t="s">
        <v>6906</v>
      </c>
      <c r="H921" s="38" t="s">
        <v>6907</v>
      </c>
      <c r="I921" s="38" t="s">
        <v>6908</v>
      </c>
      <c r="J921" s="38" t="s">
        <v>6909</v>
      </c>
    </row>
    <row r="922">
      <c r="B922" s="38" t="s">
        <v>22</v>
      </c>
      <c r="C922" s="38">
        <v>2.0</v>
      </c>
      <c r="D922" s="38" t="s">
        <v>6192</v>
      </c>
      <c r="E922" s="38" t="s">
        <v>6910</v>
      </c>
      <c r="F922" s="38" t="s">
        <v>4759</v>
      </c>
      <c r="G922" s="38" t="s">
        <v>6911</v>
      </c>
    </row>
    <row r="923">
      <c r="B923" s="38" t="s">
        <v>6912</v>
      </c>
      <c r="C923" s="38">
        <v>2.0</v>
      </c>
      <c r="D923" s="38" t="s">
        <v>6913</v>
      </c>
      <c r="E923" s="38" t="s">
        <v>6520</v>
      </c>
      <c r="F923" s="38" t="s">
        <v>6914</v>
      </c>
    </row>
    <row r="924">
      <c r="B924" s="38" t="s">
        <v>205</v>
      </c>
      <c r="C924" s="38">
        <v>2.0</v>
      </c>
      <c r="D924" s="38" t="s">
        <v>6913</v>
      </c>
      <c r="E924" s="38" t="s">
        <v>6520</v>
      </c>
      <c r="F924" s="38" t="s">
        <v>6914</v>
      </c>
    </row>
    <row r="925">
      <c r="B925" s="38" t="s">
        <v>25</v>
      </c>
      <c r="C925" s="38">
        <v>4.0</v>
      </c>
      <c r="D925" s="38" t="s">
        <v>1964</v>
      </c>
      <c r="E925" s="38" t="s">
        <v>6915</v>
      </c>
      <c r="F925" s="44"/>
      <c r="G925" s="44"/>
    </row>
    <row r="926">
      <c r="B926" s="44"/>
      <c r="C926" s="44"/>
      <c r="D926" s="38" t="s">
        <v>6916</v>
      </c>
      <c r="E926" s="38" t="s">
        <v>4077</v>
      </c>
      <c r="F926" s="38" t="s">
        <v>6917</v>
      </c>
      <c r="G926" s="38" t="s">
        <v>6918</v>
      </c>
    </row>
    <row r="927">
      <c r="B927" s="38" t="s">
        <v>31</v>
      </c>
      <c r="C927" s="38">
        <v>4.0</v>
      </c>
      <c r="D927" s="38" t="s">
        <v>4383</v>
      </c>
      <c r="E927" s="38" t="s">
        <v>418</v>
      </c>
      <c r="F927" s="44"/>
      <c r="G927" s="38" t="s">
        <v>6919</v>
      </c>
    </row>
    <row r="928">
      <c r="B928" s="38" t="s">
        <v>122</v>
      </c>
      <c r="C928" s="38">
        <v>4.0</v>
      </c>
      <c r="D928" s="38" t="s">
        <v>6920</v>
      </c>
      <c r="E928" s="38" t="s">
        <v>6921</v>
      </c>
      <c r="F928" s="44"/>
      <c r="G928" s="38" t="s">
        <v>6922</v>
      </c>
    </row>
    <row r="929">
      <c r="B929" s="38" t="s">
        <v>357</v>
      </c>
      <c r="C929" s="38">
        <v>4.0</v>
      </c>
      <c r="D929" s="370" t="s">
        <v>6923</v>
      </c>
      <c r="E929" s="38" t="s">
        <v>1814</v>
      </c>
      <c r="F929" s="38" t="s">
        <v>6924</v>
      </c>
      <c r="G929" s="38" t="s">
        <v>6925</v>
      </c>
    </row>
    <row r="930">
      <c r="B930" s="38"/>
      <c r="C930" s="38"/>
      <c r="D930" s="371" t="s">
        <v>6926</v>
      </c>
      <c r="E930" s="38" t="s">
        <v>1814</v>
      </c>
      <c r="F930" s="38" t="s">
        <v>6927</v>
      </c>
      <c r="G930" s="38" t="s">
        <v>6925</v>
      </c>
    </row>
    <row r="931">
      <c r="B931" s="38" t="s">
        <v>308</v>
      </c>
      <c r="C931" s="38">
        <v>4.0</v>
      </c>
      <c r="D931" s="38" t="s">
        <v>6569</v>
      </c>
      <c r="E931" s="274" t="s">
        <v>6928</v>
      </c>
      <c r="F931" s="38" t="s">
        <v>6740</v>
      </c>
      <c r="G931" s="44"/>
    </row>
    <row r="932">
      <c r="B932" s="38" t="s">
        <v>22</v>
      </c>
      <c r="C932" s="38">
        <v>4.0</v>
      </c>
      <c r="D932" s="38" t="s">
        <v>6929</v>
      </c>
      <c r="E932" s="274" t="s">
        <v>6928</v>
      </c>
      <c r="F932" s="38" t="s">
        <v>5005</v>
      </c>
      <c r="G932" s="44"/>
    </row>
    <row r="933">
      <c r="E933" s="1" t="s">
        <v>221</v>
      </c>
      <c r="F933" s="1" t="s">
        <v>6930</v>
      </c>
    </row>
    <row r="934">
      <c r="B934" s="38" t="s">
        <v>41</v>
      </c>
      <c r="C934" s="38">
        <v>4.0</v>
      </c>
      <c r="D934" s="38" t="s">
        <v>684</v>
      </c>
      <c r="E934" s="38" t="s">
        <v>418</v>
      </c>
      <c r="F934" s="38" t="s">
        <v>6931</v>
      </c>
      <c r="G934" s="38" t="s">
        <v>6919</v>
      </c>
    </row>
    <row r="935">
      <c r="B935" s="38" t="s">
        <v>2573</v>
      </c>
      <c r="C935" s="38">
        <v>2.0</v>
      </c>
      <c r="D935" s="38" t="s">
        <v>4383</v>
      </c>
      <c r="E935" s="38" t="s">
        <v>6932</v>
      </c>
      <c r="F935" s="44"/>
      <c r="G935" s="38" t="s">
        <v>6933</v>
      </c>
    </row>
    <row r="936">
      <c r="B936" s="38" t="s">
        <v>3752</v>
      </c>
      <c r="C936" s="38">
        <v>2.0</v>
      </c>
      <c r="D936" s="38" t="s">
        <v>4383</v>
      </c>
      <c r="E936" s="38" t="s">
        <v>6932</v>
      </c>
      <c r="F936" s="38" t="s">
        <v>6934</v>
      </c>
      <c r="G936" s="38" t="s">
        <v>6933</v>
      </c>
    </row>
    <row r="937">
      <c r="B937" s="44"/>
      <c r="C937" s="44"/>
      <c r="D937" s="38" t="s">
        <v>6935</v>
      </c>
      <c r="E937" s="38" t="s">
        <v>974</v>
      </c>
      <c r="F937" s="38" t="s">
        <v>3463</v>
      </c>
      <c r="G937" s="38" t="s">
        <v>4421</v>
      </c>
    </row>
    <row r="938">
      <c r="B938" s="38" t="s">
        <v>1400</v>
      </c>
      <c r="C938" s="38">
        <v>4.0</v>
      </c>
      <c r="D938" s="38" t="s">
        <v>6936</v>
      </c>
      <c r="E938" s="38" t="s">
        <v>6937</v>
      </c>
      <c r="F938" s="38" t="s">
        <v>1808</v>
      </c>
      <c r="G938" s="38" t="s">
        <v>6712</v>
      </c>
      <c r="H938" s="1"/>
    </row>
    <row r="939">
      <c r="B939" s="38" t="s">
        <v>789</v>
      </c>
      <c r="C939" s="38">
        <v>4.0</v>
      </c>
      <c r="D939" s="38" t="s">
        <v>684</v>
      </c>
      <c r="E939" s="38" t="s">
        <v>6938</v>
      </c>
      <c r="F939" s="38" t="s">
        <v>6939</v>
      </c>
    </row>
    <row r="940">
      <c r="B940" s="38" t="s">
        <v>25</v>
      </c>
      <c r="C940" s="38">
        <v>4.0</v>
      </c>
      <c r="D940" s="38" t="s">
        <v>6940</v>
      </c>
      <c r="E940" s="38" t="s">
        <v>6941</v>
      </c>
      <c r="F940" s="44"/>
      <c r="G940" s="44"/>
    </row>
    <row r="941">
      <c r="B941" s="38" t="s">
        <v>876</v>
      </c>
      <c r="C941" s="38">
        <v>4.0</v>
      </c>
      <c r="D941" s="38" t="s">
        <v>684</v>
      </c>
      <c r="E941" s="38" t="s">
        <v>418</v>
      </c>
      <c r="F941" s="44"/>
      <c r="G941" s="38" t="s">
        <v>6919</v>
      </c>
    </row>
    <row r="942">
      <c r="B942" s="38" t="s">
        <v>271</v>
      </c>
      <c r="C942" s="38">
        <v>4.0</v>
      </c>
      <c r="D942" s="38" t="s">
        <v>684</v>
      </c>
      <c r="E942" s="307" t="s">
        <v>6942</v>
      </c>
      <c r="F942" s="38" t="s">
        <v>6943</v>
      </c>
      <c r="G942" s="38" t="s">
        <v>6944</v>
      </c>
    </row>
    <row r="943">
      <c r="B943" s="38" t="s">
        <v>271</v>
      </c>
      <c r="C943" s="38">
        <v>4.0</v>
      </c>
      <c r="D943" s="38" t="s">
        <v>684</v>
      </c>
      <c r="E943" s="307" t="s">
        <v>987</v>
      </c>
      <c r="F943" s="38" t="s">
        <v>6945</v>
      </c>
      <c r="G943" s="38" t="s">
        <v>6946</v>
      </c>
      <c r="H943" s="273"/>
    </row>
    <row r="944">
      <c r="A944" s="372"/>
      <c r="B944" s="38" t="s">
        <v>6947</v>
      </c>
      <c r="C944" s="59" t="s">
        <v>6948</v>
      </c>
      <c r="D944" s="93" t="s">
        <v>6949</v>
      </c>
      <c r="E944" s="274" t="s">
        <v>6950</v>
      </c>
      <c r="F944" s="314" t="s">
        <v>6951</v>
      </c>
      <c r="G944" s="38" t="s">
        <v>6952</v>
      </c>
    </row>
    <row r="945">
      <c r="A945" s="304" t="s">
        <v>6953</v>
      </c>
      <c r="B945" s="272" t="s">
        <v>6954</v>
      </c>
      <c r="C945" s="178" t="s">
        <v>6955</v>
      </c>
      <c r="D945" s="59" t="s">
        <v>6956</v>
      </c>
      <c r="E945" s="373" t="s">
        <v>6957</v>
      </c>
      <c r="F945" s="331" t="s">
        <v>6958</v>
      </c>
      <c r="G945" s="38" t="s">
        <v>6959</v>
      </c>
      <c r="H945" s="38" t="s">
        <v>6960</v>
      </c>
    </row>
    <row r="946">
      <c r="B946" s="44"/>
      <c r="C946" s="38" t="s">
        <v>6961</v>
      </c>
      <c r="D946" s="38" t="s">
        <v>6962</v>
      </c>
      <c r="E946" s="38" t="s">
        <v>6963</v>
      </c>
      <c r="F946" s="38" t="s">
        <v>6964</v>
      </c>
      <c r="G946" s="38" t="s">
        <v>6965</v>
      </c>
      <c r="H946" s="374"/>
    </row>
    <row r="947">
      <c r="B947" s="38" t="s">
        <v>22</v>
      </c>
      <c r="C947" s="38">
        <v>4.0</v>
      </c>
      <c r="D947" s="38" t="s">
        <v>6192</v>
      </c>
      <c r="E947" s="274" t="s">
        <v>6966</v>
      </c>
      <c r="F947" s="38" t="s">
        <v>6368</v>
      </c>
      <c r="G947" s="38" t="s">
        <v>6967</v>
      </c>
    </row>
    <row r="948">
      <c r="A948" s="301"/>
      <c r="B948" s="38" t="s">
        <v>22</v>
      </c>
      <c r="C948" s="38">
        <v>4.0</v>
      </c>
      <c r="D948" s="38" t="s">
        <v>6968</v>
      </c>
      <c r="E948" s="38" t="s">
        <v>6969</v>
      </c>
      <c r="F948" s="38" t="s">
        <v>6970</v>
      </c>
      <c r="G948" s="38" t="s">
        <v>6971</v>
      </c>
    </row>
    <row r="949">
      <c r="B949" s="38" t="s">
        <v>219</v>
      </c>
      <c r="C949" s="38">
        <v>4.0</v>
      </c>
      <c r="D949" s="38" t="s">
        <v>6972</v>
      </c>
      <c r="E949" s="90" t="s">
        <v>6973</v>
      </c>
      <c r="F949" s="38" t="s">
        <v>6974</v>
      </c>
      <c r="G949" s="38" t="s">
        <v>6975</v>
      </c>
    </row>
    <row r="950">
      <c r="B950" s="38" t="s">
        <v>1513</v>
      </c>
      <c r="C950" s="38">
        <v>4.0</v>
      </c>
      <c r="D950" s="38" t="s">
        <v>408</v>
      </c>
      <c r="E950" s="38" t="s">
        <v>6976</v>
      </c>
      <c r="F950" s="38" t="s">
        <v>6977</v>
      </c>
      <c r="G950" s="38" t="s">
        <v>6978</v>
      </c>
    </row>
    <row r="951">
      <c r="B951" s="38" t="s">
        <v>128</v>
      </c>
      <c r="C951" s="38">
        <v>4.0</v>
      </c>
      <c r="D951" s="38" t="s">
        <v>6979</v>
      </c>
      <c r="E951" s="38" t="s">
        <v>413</v>
      </c>
      <c r="F951" s="38" t="s">
        <v>6980</v>
      </c>
      <c r="G951" s="38" t="s">
        <v>6981</v>
      </c>
    </row>
    <row r="952">
      <c r="B952" s="38" t="s">
        <v>31</v>
      </c>
      <c r="C952" s="38">
        <v>4.0</v>
      </c>
      <c r="D952" s="38" t="s">
        <v>684</v>
      </c>
      <c r="E952" s="38" t="s">
        <v>413</v>
      </c>
      <c r="F952" s="38" t="s">
        <v>6982</v>
      </c>
      <c r="G952" s="38" t="s">
        <v>6983</v>
      </c>
    </row>
    <row r="953">
      <c r="B953" s="38" t="s">
        <v>25</v>
      </c>
      <c r="C953" s="38">
        <v>4.0</v>
      </c>
      <c r="D953" s="38" t="s">
        <v>289</v>
      </c>
      <c r="E953" s="38" t="s">
        <v>6984</v>
      </c>
      <c r="F953" s="38" t="s">
        <v>4663</v>
      </c>
      <c r="G953" s="38" t="s">
        <v>6985</v>
      </c>
    </row>
    <row r="954">
      <c r="B954" s="44"/>
      <c r="C954" s="44"/>
      <c r="D954" s="44"/>
      <c r="E954" s="38" t="s">
        <v>6986</v>
      </c>
      <c r="F954" s="38" t="s">
        <v>6987</v>
      </c>
      <c r="G954" s="44"/>
    </row>
    <row r="955">
      <c r="B955" s="38" t="s">
        <v>22</v>
      </c>
      <c r="C955" s="38">
        <v>4.0</v>
      </c>
      <c r="D955" s="38" t="s">
        <v>1964</v>
      </c>
      <c r="E955" s="38" t="s">
        <v>6988</v>
      </c>
      <c r="F955" s="38" t="s">
        <v>6989</v>
      </c>
      <c r="G955" s="44"/>
    </row>
    <row r="956">
      <c r="B956" s="44"/>
      <c r="C956" s="44"/>
      <c r="D956" s="44"/>
      <c r="E956" s="38" t="s">
        <v>6990</v>
      </c>
      <c r="F956" s="44"/>
      <c r="G956" s="38" t="s">
        <v>6991</v>
      </c>
    </row>
    <row r="957">
      <c r="B957" s="44"/>
      <c r="C957" s="44"/>
      <c r="D957" s="44"/>
      <c r="E957" s="38" t="s">
        <v>6992</v>
      </c>
      <c r="F957" s="38" t="s">
        <v>6993</v>
      </c>
      <c r="G957" s="38" t="s">
        <v>6994</v>
      </c>
    </row>
    <row r="958">
      <c r="B958" s="44"/>
      <c r="C958" s="44"/>
      <c r="D958" s="44"/>
      <c r="E958" s="38" t="s">
        <v>6995</v>
      </c>
      <c r="F958" s="38" t="s">
        <v>6996</v>
      </c>
      <c r="G958" s="38" t="s">
        <v>4421</v>
      </c>
    </row>
    <row r="959">
      <c r="B959" s="38" t="s">
        <v>25</v>
      </c>
      <c r="C959" s="38">
        <v>4.0</v>
      </c>
      <c r="D959" s="38" t="s">
        <v>1964</v>
      </c>
      <c r="E959" s="281" t="s">
        <v>6997</v>
      </c>
      <c r="F959" s="38"/>
      <c r="G959" s="38" t="s">
        <v>6998</v>
      </c>
    </row>
    <row r="960">
      <c r="B960" s="38" t="s">
        <v>25</v>
      </c>
      <c r="C960" s="38">
        <v>2.0</v>
      </c>
      <c r="D960" s="38" t="s">
        <v>289</v>
      </c>
      <c r="E960" s="274" t="s">
        <v>6999</v>
      </c>
      <c r="F960" s="44"/>
      <c r="G960" s="44"/>
    </row>
    <row r="961">
      <c r="B961" s="38" t="s">
        <v>22</v>
      </c>
      <c r="C961" s="38">
        <v>4.0</v>
      </c>
      <c r="D961" s="38" t="s">
        <v>7000</v>
      </c>
      <c r="E961" s="281" t="s">
        <v>7001</v>
      </c>
      <c r="F961" s="38" t="s">
        <v>7002</v>
      </c>
      <c r="G961" s="44"/>
    </row>
    <row r="962">
      <c r="B962" s="38" t="s">
        <v>22</v>
      </c>
      <c r="C962" s="38">
        <v>2.0</v>
      </c>
      <c r="D962" s="38" t="s">
        <v>6136</v>
      </c>
      <c r="E962" s="38" t="s">
        <v>455</v>
      </c>
      <c r="F962" s="38" t="s">
        <v>7003</v>
      </c>
    </row>
    <row r="963">
      <c r="B963" s="38" t="s">
        <v>77</v>
      </c>
      <c r="C963" s="38">
        <v>4.0</v>
      </c>
      <c r="D963" s="38" t="s">
        <v>545</v>
      </c>
      <c r="E963" s="38" t="s">
        <v>455</v>
      </c>
      <c r="F963" s="38" t="s">
        <v>7004</v>
      </c>
      <c r="G963" s="38" t="s">
        <v>7005</v>
      </c>
    </row>
    <row r="964">
      <c r="B964" s="38" t="s">
        <v>25</v>
      </c>
      <c r="C964" s="38">
        <v>4.0</v>
      </c>
      <c r="D964" s="38" t="s">
        <v>7006</v>
      </c>
      <c r="E964" s="38" t="s">
        <v>4478</v>
      </c>
      <c r="F964" s="38" t="s">
        <v>2703</v>
      </c>
      <c r="G964" s="38" t="s">
        <v>7007</v>
      </c>
    </row>
    <row r="965">
      <c r="B965" s="38" t="s">
        <v>147</v>
      </c>
      <c r="C965" s="38">
        <v>4.0</v>
      </c>
      <c r="D965" s="38" t="s">
        <v>7006</v>
      </c>
      <c r="E965" s="38" t="s">
        <v>4478</v>
      </c>
      <c r="F965" s="44"/>
      <c r="G965" s="38" t="s">
        <v>7007</v>
      </c>
    </row>
    <row r="966">
      <c r="B966" s="38" t="s">
        <v>77</v>
      </c>
      <c r="C966" s="38">
        <v>4.0</v>
      </c>
      <c r="D966" s="375" t="s">
        <v>7008</v>
      </c>
      <c r="E966" s="38" t="s">
        <v>4478</v>
      </c>
      <c r="F966" s="44"/>
      <c r="G966" s="38" t="s">
        <v>7007</v>
      </c>
    </row>
    <row r="967">
      <c r="B967" s="38" t="s">
        <v>982</v>
      </c>
      <c r="C967" s="38">
        <v>4.0</v>
      </c>
      <c r="D967" s="38" t="s">
        <v>7009</v>
      </c>
      <c r="E967" s="38" t="s">
        <v>4478</v>
      </c>
      <c r="F967" s="38" t="s">
        <v>7010</v>
      </c>
    </row>
    <row r="968">
      <c r="B968" s="38" t="s">
        <v>549</v>
      </c>
      <c r="C968" s="38">
        <v>4.0</v>
      </c>
      <c r="D968" s="38" t="s">
        <v>7009</v>
      </c>
      <c r="E968" s="38" t="s">
        <v>4478</v>
      </c>
      <c r="F968" s="38" t="s">
        <v>7010</v>
      </c>
    </row>
    <row r="969">
      <c r="B969" s="38" t="s">
        <v>982</v>
      </c>
      <c r="C969" s="38">
        <v>4.0</v>
      </c>
      <c r="D969" s="38" t="s">
        <v>4789</v>
      </c>
      <c r="E969" s="274" t="s">
        <v>7011</v>
      </c>
      <c r="F969" s="38" t="s">
        <v>7012</v>
      </c>
      <c r="G969" s="38" t="s">
        <v>7013</v>
      </c>
    </row>
    <row r="970">
      <c r="B970" s="38" t="s">
        <v>7014</v>
      </c>
      <c r="C970" s="304" t="s">
        <v>7015</v>
      </c>
      <c r="D970" s="304" t="s">
        <v>7016</v>
      </c>
      <c r="E970" s="274" t="s">
        <v>7017</v>
      </c>
      <c r="F970" s="304" t="s">
        <v>7018</v>
      </c>
      <c r="G970" s="38" t="s">
        <v>7013</v>
      </c>
    </row>
    <row r="971">
      <c r="B971" s="38" t="s">
        <v>170</v>
      </c>
      <c r="C971" s="38">
        <v>2.0</v>
      </c>
      <c r="D971" s="38" t="s">
        <v>7019</v>
      </c>
      <c r="E971" s="281" t="s">
        <v>7020</v>
      </c>
      <c r="F971" s="38" t="s">
        <v>7021</v>
      </c>
    </row>
    <row r="972">
      <c r="B972" s="38" t="s">
        <v>166</v>
      </c>
      <c r="C972" s="38">
        <v>2.0</v>
      </c>
      <c r="D972" s="38" t="s">
        <v>7019</v>
      </c>
      <c r="E972" s="281" t="s">
        <v>7020</v>
      </c>
      <c r="F972" s="38" t="s">
        <v>7021</v>
      </c>
    </row>
    <row r="973">
      <c r="B973" s="38" t="s">
        <v>354</v>
      </c>
      <c r="C973" s="38">
        <v>4.0</v>
      </c>
      <c r="D973" s="38" t="s">
        <v>412</v>
      </c>
      <c r="E973" s="38" t="s">
        <v>7022</v>
      </c>
      <c r="F973" s="38" t="s">
        <v>3432</v>
      </c>
      <c r="G973" s="44"/>
    </row>
    <row r="974">
      <c r="B974" s="38" t="s">
        <v>7023</v>
      </c>
      <c r="C974" s="38">
        <v>4.0</v>
      </c>
      <c r="D974" s="38" t="s">
        <v>7024</v>
      </c>
      <c r="E974" s="274" t="s">
        <v>7025</v>
      </c>
      <c r="F974" s="38" t="s">
        <v>2703</v>
      </c>
      <c r="G974" s="38" t="s">
        <v>7026</v>
      </c>
      <c r="H974" s="1"/>
    </row>
    <row r="975">
      <c r="B975" s="44"/>
      <c r="C975" s="44"/>
      <c r="D975" s="376" t="s">
        <v>7027</v>
      </c>
      <c r="E975" s="38" t="s">
        <v>7028</v>
      </c>
      <c r="F975" s="44"/>
      <c r="G975" s="38" t="s">
        <v>7029</v>
      </c>
    </row>
    <row r="976">
      <c r="B976" s="38" t="s">
        <v>166</v>
      </c>
      <c r="C976" s="38">
        <v>2.0</v>
      </c>
      <c r="D976" s="38" t="s">
        <v>2296</v>
      </c>
      <c r="E976" s="38" t="s">
        <v>7028</v>
      </c>
      <c r="F976" s="38" t="s">
        <v>7030</v>
      </c>
      <c r="G976" s="38" t="s">
        <v>7029</v>
      </c>
    </row>
    <row r="977">
      <c r="B977" s="38" t="s">
        <v>170</v>
      </c>
      <c r="C977" s="38">
        <v>2.0</v>
      </c>
      <c r="D977" s="38" t="s">
        <v>2296</v>
      </c>
      <c r="E977" s="38" t="s">
        <v>7028</v>
      </c>
      <c r="F977" s="38" t="s">
        <v>4663</v>
      </c>
      <c r="G977" s="38" t="s">
        <v>7029</v>
      </c>
    </row>
    <row r="978">
      <c r="B978" s="38" t="s">
        <v>77</v>
      </c>
      <c r="C978" s="38">
        <v>4.0</v>
      </c>
      <c r="D978" s="38" t="s">
        <v>433</v>
      </c>
      <c r="E978" s="38" t="s">
        <v>7031</v>
      </c>
      <c r="F978" s="38" t="s">
        <v>7032</v>
      </c>
      <c r="G978" s="38" t="s">
        <v>7033</v>
      </c>
      <c r="H978" s="1"/>
    </row>
    <row r="979">
      <c r="B979" s="38" t="s">
        <v>261</v>
      </c>
      <c r="C979" s="38">
        <v>2.0</v>
      </c>
      <c r="D979" s="38" t="s">
        <v>4383</v>
      </c>
      <c r="E979" s="59" t="s">
        <v>7034</v>
      </c>
      <c r="F979" s="38" t="s">
        <v>5652</v>
      </c>
      <c r="G979" s="38" t="s">
        <v>6985</v>
      </c>
    </row>
    <row r="980">
      <c r="B980" s="38" t="s">
        <v>25</v>
      </c>
      <c r="C980" s="38">
        <v>4.0</v>
      </c>
      <c r="D980" s="38" t="s">
        <v>433</v>
      </c>
      <c r="E980" s="59" t="s">
        <v>7035</v>
      </c>
      <c r="F980" s="38" t="s">
        <v>6480</v>
      </c>
      <c r="G980" s="38" t="s">
        <v>6985</v>
      </c>
    </row>
    <row r="981">
      <c r="B981" s="38" t="s">
        <v>205</v>
      </c>
      <c r="C981" s="38">
        <v>4.0</v>
      </c>
      <c r="D981" s="38" t="s">
        <v>433</v>
      </c>
      <c r="E981" s="38" t="s">
        <v>7036</v>
      </c>
      <c r="F981" s="38" t="s">
        <v>7037</v>
      </c>
      <c r="G981" s="44"/>
    </row>
    <row r="982">
      <c r="B982" s="38" t="s">
        <v>949</v>
      </c>
      <c r="C982" s="38">
        <v>4.0</v>
      </c>
      <c r="D982" s="38" t="s">
        <v>7038</v>
      </c>
      <c r="E982" s="38" t="s">
        <v>7039</v>
      </c>
      <c r="F982" s="38" t="s">
        <v>7040</v>
      </c>
      <c r="G982" s="38" t="s">
        <v>7041</v>
      </c>
    </row>
    <row r="983">
      <c r="B983" s="38" t="s">
        <v>271</v>
      </c>
      <c r="C983" s="38">
        <v>4.0</v>
      </c>
      <c r="D983" s="38" t="s">
        <v>6192</v>
      </c>
      <c r="E983" s="38" t="s">
        <v>7042</v>
      </c>
      <c r="F983" s="38" t="s">
        <v>7043</v>
      </c>
      <c r="G983" s="44"/>
    </row>
    <row r="984">
      <c r="B984" s="44"/>
      <c r="C984" s="44"/>
      <c r="D984" s="38" t="s">
        <v>7044</v>
      </c>
      <c r="E984" s="38" t="s">
        <v>7045</v>
      </c>
      <c r="F984" s="38" t="s">
        <v>5063</v>
      </c>
      <c r="G984" s="38" t="s">
        <v>7046</v>
      </c>
    </row>
    <row r="985">
      <c r="B985" s="44"/>
      <c r="C985" s="44"/>
      <c r="D985" s="38" t="s">
        <v>4663</v>
      </c>
      <c r="E985" s="38" t="s">
        <v>7047</v>
      </c>
      <c r="F985" s="44"/>
      <c r="G985" s="38" t="s">
        <v>144</v>
      </c>
    </row>
    <row r="986">
      <c r="B986" s="38" t="s">
        <v>25</v>
      </c>
      <c r="C986" s="38">
        <v>8.0</v>
      </c>
      <c r="D986" s="38" t="s">
        <v>513</v>
      </c>
      <c r="E986" s="38" t="s">
        <v>418</v>
      </c>
      <c r="F986" s="38" t="s">
        <v>7048</v>
      </c>
    </row>
    <row r="987">
      <c r="B987" s="38" t="s">
        <v>25</v>
      </c>
      <c r="C987" s="38">
        <v>4.0</v>
      </c>
      <c r="D987" s="38" t="s">
        <v>289</v>
      </c>
      <c r="E987" s="274" t="s">
        <v>7049</v>
      </c>
      <c r="F987" s="38" t="s">
        <v>7050</v>
      </c>
      <c r="G987" s="1"/>
    </row>
    <row r="988">
      <c r="B988" s="38" t="s">
        <v>25</v>
      </c>
      <c r="C988" s="38">
        <v>2.0</v>
      </c>
      <c r="D988" s="38" t="s">
        <v>1964</v>
      </c>
      <c r="E988" s="38" t="s">
        <v>7051</v>
      </c>
      <c r="F988" s="38" t="s">
        <v>4663</v>
      </c>
      <c r="G988" s="38" t="s">
        <v>7052</v>
      </c>
    </row>
    <row r="989">
      <c r="B989" s="38" t="s">
        <v>3682</v>
      </c>
      <c r="C989" s="38">
        <v>4.0</v>
      </c>
      <c r="D989" s="38" t="s">
        <v>3215</v>
      </c>
      <c r="E989" s="38" t="s">
        <v>7053</v>
      </c>
      <c r="F989" s="38" t="s">
        <v>925</v>
      </c>
      <c r="G989" s="38" t="s">
        <v>175</v>
      </c>
    </row>
    <row r="990">
      <c r="B990" s="38" t="s">
        <v>183</v>
      </c>
      <c r="C990" s="38">
        <v>4.0</v>
      </c>
      <c r="D990" s="38" t="s">
        <v>1084</v>
      </c>
      <c r="E990" s="275" t="s">
        <v>7054</v>
      </c>
      <c r="F990" s="38" t="s">
        <v>7055</v>
      </c>
      <c r="G990" s="38" t="s">
        <v>7056</v>
      </c>
    </row>
    <row r="991">
      <c r="B991" s="38" t="s">
        <v>25</v>
      </c>
      <c r="C991" s="38">
        <v>4.0</v>
      </c>
      <c r="D991" s="38" t="s">
        <v>289</v>
      </c>
      <c r="E991" s="38" t="s">
        <v>7057</v>
      </c>
      <c r="F991" s="38" t="s">
        <v>7058</v>
      </c>
      <c r="G991" s="44"/>
    </row>
    <row r="992">
      <c r="B992" s="38" t="s">
        <v>22</v>
      </c>
      <c r="C992" s="38">
        <v>4.0</v>
      </c>
      <c r="D992" s="38" t="s">
        <v>7000</v>
      </c>
      <c r="E992" s="295" t="s">
        <v>7059</v>
      </c>
      <c r="F992" s="38" t="s">
        <v>7060</v>
      </c>
      <c r="G992" s="38" t="s">
        <v>7061</v>
      </c>
    </row>
    <row r="993">
      <c r="B993" s="38" t="s">
        <v>411</v>
      </c>
      <c r="C993" s="38">
        <v>4.0</v>
      </c>
      <c r="D993" s="38" t="s">
        <v>412</v>
      </c>
      <c r="E993" s="295" t="s">
        <v>7062</v>
      </c>
      <c r="F993" s="38" t="s">
        <v>7063</v>
      </c>
      <c r="G993" s="38" t="s">
        <v>7064</v>
      </c>
    </row>
    <row r="994">
      <c r="B994" s="38" t="s">
        <v>7065</v>
      </c>
      <c r="C994" s="38">
        <v>4.0</v>
      </c>
      <c r="D994" s="38" t="s">
        <v>436</v>
      </c>
      <c r="E994" s="38" t="s">
        <v>2386</v>
      </c>
      <c r="F994" s="38" t="s">
        <v>7066</v>
      </c>
      <c r="G994" s="38" t="s">
        <v>7067</v>
      </c>
    </row>
    <row r="995">
      <c r="B995" s="38" t="s">
        <v>982</v>
      </c>
      <c r="C995" s="38">
        <v>4.0</v>
      </c>
      <c r="D995" s="38" t="s">
        <v>412</v>
      </c>
      <c r="E995" s="38" t="s">
        <v>2386</v>
      </c>
      <c r="F995" s="38" t="s">
        <v>7068</v>
      </c>
      <c r="G995" s="38" t="s">
        <v>7067</v>
      </c>
    </row>
    <row r="996">
      <c r="B996" s="38" t="s">
        <v>3725</v>
      </c>
      <c r="C996" s="38">
        <v>4.0</v>
      </c>
      <c r="D996" s="38" t="s">
        <v>7069</v>
      </c>
      <c r="E996" s="38" t="s">
        <v>7070</v>
      </c>
      <c r="F996" s="38" t="s">
        <v>7071</v>
      </c>
      <c r="G996" s="38" t="s">
        <v>7072</v>
      </c>
    </row>
    <row r="997">
      <c r="B997" s="38" t="s">
        <v>2798</v>
      </c>
      <c r="C997" s="38">
        <v>4.0</v>
      </c>
      <c r="D997" s="38" t="s">
        <v>7069</v>
      </c>
      <c r="E997" s="38" t="s">
        <v>7073</v>
      </c>
      <c r="F997" s="38" t="s">
        <v>4717</v>
      </c>
      <c r="G997" s="38" t="s">
        <v>7072</v>
      </c>
    </row>
    <row r="998">
      <c r="B998" s="38" t="s">
        <v>283</v>
      </c>
      <c r="C998" s="38">
        <v>4.0</v>
      </c>
      <c r="D998" s="38" t="s">
        <v>684</v>
      </c>
      <c r="E998" s="274" t="s">
        <v>7074</v>
      </c>
      <c r="F998" s="44"/>
      <c r="G998" s="38" t="s">
        <v>7075</v>
      </c>
    </row>
    <row r="999">
      <c r="B999" s="44"/>
      <c r="C999" s="38">
        <v>4.0</v>
      </c>
      <c r="D999" s="38" t="s">
        <v>7076</v>
      </c>
      <c r="E999" s="274" t="s">
        <v>7077</v>
      </c>
      <c r="F999" s="38" t="s">
        <v>7078</v>
      </c>
      <c r="G999" s="38" t="s">
        <v>7075</v>
      </c>
    </row>
    <row r="1000">
      <c r="B1000" s="44"/>
      <c r="C1000" s="38">
        <v>4.0</v>
      </c>
      <c r="D1000" s="38" t="s">
        <v>7079</v>
      </c>
      <c r="E1000" s="274" t="s">
        <v>7077</v>
      </c>
      <c r="F1000" s="38" t="s">
        <v>4638</v>
      </c>
      <c r="G1000" s="38" t="s">
        <v>7075</v>
      </c>
    </row>
    <row r="1001">
      <c r="B1001" s="38" t="s">
        <v>28</v>
      </c>
      <c r="C1001" s="38">
        <v>4.0</v>
      </c>
      <c r="D1001" s="38" t="s">
        <v>1084</v>
      </c>
      <c r="E1001" s="38" t="s">
        <v>7080</v>
      </c>
      <c r="F1001" s="38" t="s">
        <v>7081</v>
      </c>
      <c r="G1001" s="38" t="s">
        <v>7082</v>
      </c>
    </row>
    <row r="1002">
      <c r="B1002" s="38" t="s">
        <v>4970</v>
      </c>
      <c r="C1002" s="38">
        <v>4.0</v>
      </c>
      <c r="D1002" s="38" t="s">
        <v>289</v>
      </c>
      <c r="E1002" s="38" t="s">
        <v>7083</v>
      </c>
      <c r="F1002" s="38" t="s">
        <v>7084</v>
      </c>
      <c r="G1002" s="44"/>
    </row>
    <row r="1003">
      <c r="B1003" s="38" t="s">
        <v>25</v>
      </c>
      <c r="C1003" s="38">
        <v>4.0</v>
      </c>
      <c r="D1003" s="38" t="s">
        <v>3215</v>
      </c>
      <c r="E1003" s="38" t="s">
        <v>337</v>
      </c>
      <c r="F1003" s="38" t="s">
        <v>175</v>
      </c>
      <c r="G1003" s="38" t="s">
        <v>7085</v>
      </c>
    </row>
    <row r="1004">
      <c r="B1004" s="38" t="s">
        <v>1159</v>
      </c>
      <c r="C1004" s="38">
        <v>2.0</v>
      </c>
      <c r="D1004" s="38" t="s">
        <v>4731</v>
      </c>
      <c r="E1004" s="38" t="s">
        <v>7086</v>
      </c>
      <c r="F1004" s="38" t="s">
        <v>4759</v>
      </c>
      <c r="G1004" s="38" t="s">
        <v>7087</v>
      </c>
    </row>
    <row r="1005">
      <c r="B1005" s="38" t="s">
        <v>22</v>
      </c>
      <c r="C1005" s="38">
        <v>4.0</v>
      </c>
      <c r="D1005" s="38" t="s">
        <v>7088</v>
      </c>
      <c r="E1005" s="38" t="s">
        <v>2386</v>
      </c>
      <c r="F1005" s="38" t="s">
        <v>7089</v>
      </c>
      <c r="G1005" s="38" t="s">
        <v>7067</v>
      </c>
    </row>
    <row r="1006">
      <c r="B1006" s="38" t="s">
        <v>982</v>
      </c>
      <c r="C1006" s="38">
        <v>4.0</v>
      </c>
      <c r="D1006" s="38" t="s">
        <v>412</v>
      </c>
      <c r="E1006" s="38" t="s">
        <v>7090</v>
      </c>
      <c r="F1006" s="38" t="s">
        <v>7091</v>
      </c>
    </row>
    <row r="1007">
      <c r="B1007" s="38" t="s">
        <v>25</v>
      </c>
      <c r="C1007" s="38">
        <v>4.0</v>
      </c>
      <c r="D1007" s="38" t="s">
        <v>86</v>
      </c>
      <c r="E1007" s="38" t="s">
        <v>4634</v>
      </c>
      <c r="F1007" s="38" t="s">
        <v>7092</v>
      </c>
    </row>
    <row r="1008">
      <c r="B1008" s="38" t="s">
        <v>1264</v>
      </c>
      <c r="C1008" s="38">
        <v>4.0</v>
      </c>
      <c r="D1008" s="38" t="s">
        <v>7093</v>
      </c>
      <c r="E1008" s="281" t="s">
        <v>2461</v>
      </c>
      <c r="F1008" s="38" t="s">
        <v>7094</v>
      </c>
      <c r="G1008" s="38" t="s">
        <v>7095</v>
      </c>
    </row>
    <row r="1009">
      <c r="B1009" s="38" t="s">
        <v>1296</v>
      </c>
      <c r="C1009" s="38">
        <v>4.0</v>
      </c>
      <c r="D1009" s="38" t="s">
        <v>684</v>
      </c>
      <c r="E1009" s="38" t="s">
        <v>418</v>
      </c>
      <c r="F1009" s="38" t="s">
        <v>7096</v>
      </c>
      <c r="G1009" s="38" t="s">
        <v>7048</v>
      </c>
    </row>
    <row r="1010">
      <c r="B1010" s="38" t="s">
        <v>7097</v>
      </c>
      <c r="C1010" s="44"/>
      <c r="D1010" s="284" t="s">
        <v>7098</v>
      </c>
      <c r="E1010" s="38" t="s">
        <v>7099</v>
      </c>
      <c r="F1010" s="272" t="s">
        <v>7100</v>
      </c>
      <c r="G1010" s="38" t="s">
        <v>7101</v>
      </c>
      <c r="H1010" s="38" t="s">
        <v>7102</v>
      </c>
    </row>
    <row r="1011">
      <c r="B1011" s="38"/>
      <c r="C1011" s="44"/>
      <c r="D1011" s="284" t="s">
        <v>7103</v>
      </c>
      <c r="E1011" s="38" t="s">
        <v>7104</v>
      </c>
      <c r="F1011" s="272" t="s">
        <v>7105</v>
      </c>
      <c r="G1011" s="284" t="s">
        <v>7106</v>
      </c>
    </row>
    <row r="1012">
      <c r="B1012" s="38" t="s">
        <v>183</v>
      </c>
      <c r="C1012" s="38">
        <v>4.0</v>
      </c>
      <c r="D1012" s="38" t="s">
        <v>2021</v>
      </c>
      <c r="E1012" s="38" t="s">
        <v>7107</v>
      </c>
      <c r="F1012" s="44"/>
      <c r="G1012" s="44"/>
    </row>
    <row r="1013">
      <c r="B1013" s="38" t="s">
        <v>183</v>
      </c>
      <c r="C1013" s="38">
        <v>4.0</v>
      </c>
      <c r="D1013" s="38" t="s">
        <v>7108</v>
      </c>
      <c r="E1013" s="38" t="s">
        <v>7109</v>
      </c>
      <c r="F1013" s="38" t="s">
        <v>773</v>
      </c>
      <c r="G1013" s="38" t="s">
        <v>7110</v>
      </c>
      <c r="H1013" s="38" t="s">
        <v>4268</v>
      </c>
    </row>
    <row r="1014">
      <c r="B1014" s="38" t="s">
        <v>2329</v>
      </c>
      <c r="C1014" s="38">
        <v>2.0</v>
      </c>
      <c r="D1014" s="38" t="s">
        <v>412</v>
      </c>
      <c r="E1014" s="38" t="s">
        <v>514</v>
      </c>
      <c r="F1014" s="38" t="s">
        <v>203</v>
      </c>
      <c r="G1014" s="44"/>
    </row>
    <row r="1015">
      <c r="B1015" s="38" t="s">
        <v>1407</v>
      </c>
      <c r="C1015" s="38">
        <v>4.0</v>
      </c>
      <c r="D1015" s="38" t="s">
        <v>7111</v>
      </c>
      <c r="E1015" s="38" t="s">
        <v>7112</v>
      </c>
      <c r="F1015" s="38" t="s">
        <v>7113</v>
      </c>
      <c r="G1015" s="38" t="s">
        <v>7114</v>
      </c>
    </row>
    <row r="1016">
      <c r="B1016" s="38" t="s">
        <v>246</v>
      </c>
      <c r="C1016" s="38">
        <v>4.0</v>
      </c>
      <c r="D1016" s="38" t="s">
        <v>7115</v>
      </c>
      <c r="E1016" s="38" t="s">
        <v>7116</v>
      </c>
      <c r="F1016" s="38" t="s">
        <v>7117</v>
      </c>
      <c r="G1016" s="38" t="s">
        <v>7118</v>
      </c>
    </row>
    <row r="1017">
      <c r="B1017" s="38"/>
      <c r="C1017" s="38"/>
      <c r="D1017" s="38"/>
      <c r="E1017" s="38" t="s">
        <v>7116</v>
      </c>
      <c r="F1017" s="38" t="s">
        <v>7119</v>
      </c>
      <c r="G1017" s="38" t="s">
        <v>7120</v>
      </c>
    </row>
    <row r="1018">
      <c r="B1018" s="38" t="s">
        <v>3134</v>
      </c>
      <c r="C1018" s="38">
        <v>4.0</v>
      </c>
      <c r="D1018" s="38" t="s">
        <v>3135</v>
      </c>
      <c r="E1018" s="38" t="s">
        <v>7121</v>
      </c>
      <c r="F1018" s="44"/>
      <c r="G1018" s="38" t="s">
        <v>7122</v>
      </c>
    </row>
    <row r="1019">
      <c r="B1019" s="38" t="s">
        <v>266</v>
      </c>
      <c r="C1019" s="38">
        <v>4.0</v>
      </c>
      <c r="D1019" s="38" t="s">
        <v>6571</v>
      </c>
      <c r="E1019" s="38" t="s">
        <v>7123</v>
      </c>
      <c r="F1019" s="44"/>
      <c r="G1019" s="38" t="s">
        <v>7124</v>
      </c>
    </row>
    <row r="1020">
      <c r="B1020" s="44"/>
      <c r="C1020" s="44"/>
      <c r="D1020" s="44"/>
      <c r="E1020" s="38" t="s">
        <v>7125</v>
      </c>
      <c r="F1020" s="38" t="s">
        <v>7126</v>
      </c>
      <c r="G1020" s="44"/>
    </row>
    <row r="1021">
      <c r="B1021" s="38" t="s">
        <v>25</v>
      </c>
      <c r="C1021" s="38">
        <v>4.0</v>
      </c>
      <c r="D1021" s="38" t="s">
        <v>7127</v>
      </c>
      <c r="E1021" s="38" t="s">
        <v>7128</v>
      </c>
      <c r="F1021" s="38" t="s">
        <v>7129</v>
      </c>
      <c r="G1021" s="38" t="s">
        <v>7130</v>
      </c>
    </row>
    <row r="1022">
      <c r="B1022" s="38" t="s">
        <v>25</v>
      </c>
      <c r="C1022" s="38">
        <v>4.0</v>
      </c>
      <c r="D1022" s="38" t="s">
        <v>1964</v>
      </c>
      <c r="E1022" s="38" t="s">
        <v>7131</v>
      </c>
      <c r="F1022" s="38" t="s">
        <v>4759</v>
      </c>
      <c r="G1022" s="38" t="s">
        <v>7132</v>
      </c>
    </row>
    <row r="1023">
      <c r="D1023" s="38" t="s">
        <v>7133</v>
      </c>
      <c r="E1023" s="38" t="s">
        <v>7134</v>
      </c>
      <c r="F1023" s="38" t="s">
        <v>7135</v>
      </c>
      <c r="G1023" s="38" t="s">
        <v>4268</v>
      </c>
    </row>
    <row r="1024">
      <c r="B1024" s="38" t="s">
        <v>308</v>
      </c>
      <c r="C1024" s="38">
        <v>4.0</v>
      </c>
      <c r="D1024" s="38" t="s">
        <v>6192</v>
      </c>
      <c r="E1024" s="38" t="s">
        <v>7136</v>
      </c>
      <c r="F1024" s="38" t="s">
        <v>7137</v>
      </c>
      <c r="G1024" s="38" t="s">
        <v>7138</v>
      </c>
    </row>
    <row r="1025">
      <c r="B1025" s="38" t="s">
        <v>308</v>
      </c>
      <c r="C1025" s="38">
        <v>2.0</v>
      </c>
      <c r="D1025" s="38" t="s">
        <v>1084</v>
      </c>
      <c r="E1025" s="38" t="s">
        <v>7139</v>
      </c>
      <c r="F1025" s="44"/>
    </row>
    <row r="1026">
      <c r="B1026" s="44"/>
      <c r="C1026" s="44"/>
      <c r="D1026" s="44"/>
      <c r="E1026" s="38" t="s">
        <v>7140</v>
      </c>
      <c r="F1026" s="38" t="s">
        <v>7141</v>
      </c>
      <c r="G1026" s="38" t="s">
        <v>7142</v>
      </c>
    </row>
    <row r="1027">
      <c r="B1027" s="38" t="s">
        <v>4501</v>
      </c>
      <c r="C1027" s="38">
        <v>2.0</v>
      </c>
      <c r="D1027" s="38" t="s">
        <v>7143</v>
      </c>
      <c r="E1027" s="38" t="s">
        <v>4741</v>
      </c>
      <c r="F1027" s="38" t="s">
        <v>7144</v>
      </c>
      <c r="G1027" s="38" t="s">
        <v>7145</v>
      </c>
    </row>
    <row r="1028">
      <c r="B1028" s="38" t="s">
        <v>3523</v>
      </c>
      <c r="C1028" s="38">
        <v>2.0</v>
      </c>
      <c r="D1028" s="38" t="s">
        <v>7143</v>
      </c>
      <c r="E1028" s="38" t="s">
        <v>4741</v>
      </c>
      <c r="F1028" s="38" t="s">
        <v>7146</v>
      </c>
      <c r="G1028" s="38" t="s">
        <v>7145</v>
      </c>
    </row>
    <row r="1029">
      <c r="B1029" s="44"/>
      <c r="C1029" s="44"/>
      <c r="D1029" s="44"/>
      <c r="E1029" s="38" t="s">
        <v>4741</v>
      </c>
      <c r="F1029" s="38" t="s">
        <v>7147</v>
      </c>
      <c r="G1029" s="38" t="s">
        <v>7145</v>
      </c>
    </row>
    <row r="1030">
      <c r="B1030" s="44"/>
      <c r="C1030" s="44"/>
      <c r="D1030" s="44"/>
      <c r="E1030" s="38" t="s">
        <v>4741</v>
      </c>
      <c r="F1030" s="38" t="s">
        <v>7148</v>
      </c>
      <c r="G1030" s="38" t="s">
        <v>7145</v>
      </c>
    </row>
    <row r="1031">
      <c r="B1031" s="44"/>
      <c r="C1031" s="44"/>
      <c r="D1031" s="38" t="s">
        <v>7149</v>
      </c>
      <c r="E1031" s="38" t="s">
        <v>4741</v>
      </c>
      <c r="F1031" s="38" t="s">
        <v>7150</v>
      </c>
      <c r="G1031" s="377" t="s">
        <v>7151</v>
      </c>
      <c r="H1031" s="378"/>
    </row>
    <row r="1032">
      <c r="B1032" s="38" t="s">
        <v>122</v>
      </c>
      <c r="C1032" s="38">
        <v>4.0</v>
      </c>
      <c r="D1032" s="38" t="s">
        <v>1389</v>
      </c>
      <c r="E1032" s="38" t="s">
        <v>7152</v>
      </c>
      <c r="F1032" s="38" t="s">
        <v>7153</v>
      </c>
      <c r="G1032" s="38" t="s">
        <v>7154</v>
      </c>
    </row>
    <row r="1033">
      <c r="B1033" s="365" t="s">
        <v>25</v>
      </c>
      <c r="C1033" s="365">
        <v>4.0</v>
      </c>
      <c r="D1033" s="365" t="s">
        <v>7155</v>
      </c>
      <c r="E1033" s="365" t="s">
        <v>7156</v>
      </c>
      <c r="F1033" s="366"/>
    </row>
    <row r="1034">
      <c r="B1034" s="38" t="s">
        <v>430</v>
      </c>
      <c r="C1034" s="38">
        <v>4.0</v>
      </c>
      <c r="D1034" s="38" t="s">
        <v>6571</v>
      </c>
      <c r="E1034" s="274" t="s">
        <v>7157</v>
      </c>
      <c r="F1034" s="38" t="s">
        <v>7158</v>
      </c>
      <c r="G1034" s="44"/>
    </row>
    <row r="1035">
      <c r="B1035" s="38" t="s">
        <v>7159</v>
      </c>
      <c r="C1035" s="38">
        <v>4.0</v>
      </c>
      <c r="D1035" s="38" t="s">
        <v>7160</v>
      </c>
      <c r="E1035" s="38" t="s">
        <v>7161</v>
      </c>
      <c r="F1035" s="38" t="s">
        <v>7162</v>
      </c>
      <c r="G1035" s="38" t="s">
        <v>7163</v>
      </c>
    </row>
    <row r="1036">
      <c r="B1036" s="38" t="s">
        <v>25</v>
      </c>
      <c r="C1036" s="38">
        <v>4.0</v>
      </c>
      <c r="D1036" s="38" t="s">
        <v>4030</v>
      </c>
      <c r="E1036" s="38" t="s">
        <v>7164</v>
      </c>
      <c r="F1036" s="38" t="s">
        <v>7165</v>
      </c>
    </row>
    <row r="1037">
      <c r="B1037" s="44"/>
      <c r="C1037" s="44"/>
      <c r="D1037" s="272" t="s">
        <v>7166</v>
      </c>
      <c r="E1037" s="38" t="s">
        <v>7167</v>
      </c>
      <c r="F1037" s="44"/>
      <c r="G1037" s="44"/>
    </row>
    <row r="1038">
      <c r="B1038" s="38" t="s">
        <v>88</v>
      </c>
      <c r="C1038" s="38">
        <v>4.0</v>
      </c>
      <c r="D1038" s="38" t="s">
        <v>7168</v>
      </c>
      <c r="E1038" s="38" t="s">
        <v>7169</v>
      </c>
      <c r="F1038" s="38" t="s">
        <v>7170</v>
      </c>
      <c r="G1038" s="38" t="s">
        <v>7171</v>
      </c>
      <c r="H1038" s="38" t="s">
        <v>7172</v>
      </c>
    </row>
    <row r="1039">
      <c r="B1039" s="38" t="s">
        <v>1010</v>
      </c>
      <c r="C1039" s="38">
        <v>4.0</v>
      </c>
      <c r="D1039" s="272" t="s">
        <v>3215</v>
      </c>
      <c r="E1039" s="38" t="s">
        <v>7173</v>
      </c>
      <c r="F1039" s="38" t="s">
        <v>7174</v>
      </c>
      <c r="G1039" s="44"/>
    </row>
    <row r="1040">
      <c r="B1040" s="38" t="s">
        <v>4434</v>
      </c>
      <c r="C1040" s="38">
        <v>2.0</v>
      </c>
      <c r="D1040" s="38" t="s">
        <v>7175</v>
      </c>
      <c r="E1040" s="38" t="s">
        <v>4939</v>
      </c>
      <c r="F1040" s="38" t="s">
        <v>7176</v>
      </c>
      <c r="G1040" s="38" t="s">
        <v>7177</v>
      </c>
    </row>
    <row r="1041">
      <c r="B1041" s="38" t="s">
        <v>103</v>
      </c>
      <c r="C1041" s="38">
        <v>2.0</v>
      </c>
      <c r="D1041" s="38" t="s">
        <v>7175</v>
      </c>
      <c r="E1041" s="38" t="s">
        <v>4939</v>
      </c>
      <c r="F1041" s="38" t="s">
        <v>7178</v>
      </c>
      <c r="G1041" s="38" t="s">
        <v>7177</v>
      </c>
    </row>
    <row r="1042">
      <c r="A1042" s="1"/>
      <c r="B1042" s="38" t="s">
        <v>246</v>
      </c>
      <c r="C1042" s="38">
        <v>4.0</v>
      </c>
      <c r="D1042" s="38" t="s">
        <v>6773</v>
      </c>
      <c r="E1042" s="38" t="s">
        <v>7179</v>
      </c>
      <c r="F1042" s="38" t="s">
        <v>7180</v>
      </c>
      <c r="G1042" s="38" t="s">
        <v>7181</v>
      </c>
      <c r="H1042" s="38" t="s">
        <v>7182</v>
      </c>
    </row>
    <row r="1043">
      <c r="B1043" s="38" t="s">
        <v>261</v>
      </c>
      <c r="C1043" s="38">
        <v>4.0</v>
      </c>
      <c r="D1043" s="38" t="s">
        <v>7183</v>
      </c>
      <c r="E1043" s="38" t="s">
        <v>7184</v>
      </c>
      <c r="F1043" s="38" t="s">
        <v>7185</v>
      </c>
      <c r="G1043" s="38" t="s">
        <v>7186</v>
      </c>
    </row>
    <row r="1044">
      <c r="B1044" s="38" t="s">
        <v>183</v>
      </c>
      <c r="C1044" s="38">
        <v>4.0</v>
      </c>
      <c r="D1044" s="38" t="s">
        <v>7187</v>
      </c>
      <c r="E1044" s="38" t="s">
        <v>4407</v>
      </c>
      <c r="F1044" s="38" t="s">
        <v>7188</v>
      </c>
    </row>
    <row r="1045">
      <c r="B1045" s="38" t="s">
        <v>199</v>
      </c>
      <c r="C1045" s="38">
        <v>2.0</v>
      </c>
      <c r="D1045" s="38" t="s">
        <v>7189</v>
      </c>
      <c r="E1045" s="38" t="s">
        <v>7190</v>
      </c>
      <c r="F1045" s="38" t="s">
        <v>7191</v>
      </c>
    </row>
    <row r="1046">
      <c r="B1046" s="38" t="s">
        <v>195</v>
      </c>
      <c r="C1046" s="38">
        <v>2.0</v>
      </c>
      <c r="D1046" s="38" t="s">
        <v>7189</v>
      </c>
      <c r="E1046" s="38" t="s">
        <v>7190</v>
      </c>
      <c r="F1046" s="38" t="s">
        <v>7192</v>
      </c>
    </row>
    <row r="1047">
      <c r="B1047" s="38" t="s">
        <v>308</v>
      </c>
      <c r="C1047" s="38">
        <v>4.0</v>
      </c>
      <c r="D1047" s="38" t="s">
        <v>1084</v>
      </c>
      <c r="E1047" s="38" t="s">
        <v>4792</v>
      </c>
      <c r="F1047" s="38" t="s">
        <v>7193</v>
      </c>
    </row>
    <row r="1048">
      <c r="B1048" s="38" t="s">
        <v>1407</v>
      </c>
      <c r="C1048" s="38">
        <v>4.0</v>
      </c>
      <c r="D1048" s="38" t="s">
        <v>7194</v>
      </c>
      <c r="E1048" s="38" t="s">
        <v>4792</v>
      </c>
      <c r="F1048" s="38" t="s">
        <v>7193</v>
      </c>
    </row>
    <row r="1049">
      <c r="B1049" s="38" t="s">
        <v>58</v>
      </c>
      <c r="C1049" s="38">
        <v>4.0</v>
      </c>
      <c r="D1049" s="38" t="s">
        <v>6742</v>
      </c>
      <c r="E1049" s="274" t="s">
        <v>7195</v>
      </c>
      <c r="F1049" s="38" t="s">
        <v>353</v>
      </c>
    </row>
    <row r="1050">
      <c r="B1050" s="38" t="s">
        <v>25</v>
      </c>
      <c r="C1050" s="38">
        <v>4.0</v>
      </c>
      <c r="D1050" s="38" t="s">
        <v>412</v>
      </c>
      <c r="E1050" s="38" t="s">
        <v>7196</v>
      </c>
      <c r="F1050" s="38" t="s">
        <v>2833</v>
      </c>
      <c r="G1050" s="38" t="s">
        <v>7197</v>
      </c>
    </row>
    <row r="1051">
      <c r="B1051" s="38" t="s">
        <v>205</v>
      </c>
      <c r="C1051" s="38">
        <v>4.0</v>
      </c>
      <c r="D1051" s="38" t="s">
        <v>412</v>
      </c>
      <c r="E1051" s="38" t="s">
        <v>7198</v>
      </c>
      <c r="F1051" s="38" t="s">
        <v>7199</v>
      </c>
      <c r="G1051" s="38" t="s">
        <v>7200</v>
      </c>
    </row>
    <row r="1052">
      <c r="B1052" s="38" t="s">
        <v>1006</v>
      </c>
      <c r="C1052" s="38">
        <v>4.0</v>
      </c>
      <c r="D1052" s="38" t="s">
        <v>4030</v>
      </c>
      <c r="E1052" s="38" t="s">
        <v>7201</v>
      </c>
      <c r="F1052" s="38" t="s">
        <v>5542</v>
      </c>
    </row>
    <row r="1053">
      <c r="B1053" s="38" t="s">
        <v>25</v>
      </c>
      <c r="C1053" s="38">
        <v>4.0</v>
      </c>
      <c r="D1053" s="38" t="s">
        <v>1964</v>
      </c>
      <c r="E1053" s="38" t="s">
        <v>7202</v>
      </c>
      <c r="F1053" s="38" t="s">
        <v>7203</v>
      </c>
      <c r="G1053" s="44"/>
    </row>
    <row r="1054">
      <c r="B1054" s="38" t="s">
        <v>718</v>
      </c>
      <c r="C1054" s="38">
        <v>2.0</v>
      </c>
      <c r="D1054" s="38" t="s">
        <v>684</v>
      </c>
      <c r="E1054" s="38" t="s">
        <v>1758</v>
      </c>
      <c r="F1054" s="38" t="s">
        <v>7204</v>
      </c>
      <c r="G1054" s="38" t="s">
        <v>7205</v>
      </c>
    </row>
    <row r="1055">
      <c r="B1055" s="38" t="s">
        <v>205</v>
      </c>
      <c r="C1055" s="38">
        <v>1.0</v>
      </c>
      <c r="D1055" s="38" t="s">
        <v>289</v>
      </c>
      <c r="E1055" s="38" t="s">
        <v>7206</v>
      </c>
      <c r="F1055" s="38" t="s">
        <v>7207</v>
      </c>
      <c r="G1055" s="44"/>
    </row>
    <row r="1056">
      <c r="B1056" s="38" t="s">
        <v>81</v>
      </c>
      <c r="C1056" s="38">
        <v>4.0</v>
      </c>
      <c r="D1056" s="38" t="s">
        <v>4383</v>
      </c>
      <c r="E1056" s="38" t="s">
        <v>418</v>
      </c>
      <c r="F1056" s="38" t="s">
        <v>7208</v>
      </c>
      <c r="G1056" s="38" t="s">
        <v>7209</v>
      </c>
    </row>
    <row r="1057">
      <c r="B1057" s="38" t="s">
        <v>28</v>
      </c>
      <c r="C1057" s="38">
        <v>2.0</v>
      </c>
      <c r="D1057" s="38" t="s">
        <v>7210</v>
      </c>
      <c r="E1057" s="38" t="s">
        <v>7211</v>
      </c>
      <c r="F1057" s="38" t="s">
        <v>7212</v>
      </c>
      <c r="G1057" s="38" t="s">
        <v>7213</v>
      </c>
      <c r="H1057" s="38" t="s">
        <v>7214</v>
      </c>
    </row>
    <row r="1058">
      <c r="B1058" s="38" t="s">
        <v>4229</v>
      </c>
      <c r="C1058" s="38">
        <v>4.0</v>
      </c>
      <c r="D1058" s="38" t="s">
        <v>4543</v>
      </c>
      <c r="E1058" s="38" t="s">
        <v>6739</v>
      </c>
      <c r="F1058" s="38" t="s">
        <v>7215</v>
      </c>
      <c r="G1058" s="44"/>
    </row>
    <row r="1059">
      <c r="B1059" s="38" t="s">
        <v>25</v>
      </c>
      <c r="C1059" s="38">
        <v>4.0</v>
      </c>
      <c r="D1059" s="38" t="s">
        <v>289</v>
      </c>
      <c r="E1059" s="38" t="s">
        <v>6354</v>
      </c>
      <c r="F1059" s="38" t="s">
        <v>5005</v>
      </c>
      <c r="G1059" s="44"/>
    </row>
    <row r="1060">
      <c r="B1060" s="38" t="s">
        <v>25</v>
      </c>
      <c r="C1060" s="38">
        <v>4.0</v>
      </c>
      <c r="D1060" s="38" t="s">
        <v>417</v>
      </c>
      <c r="E1060" s="38" t="s">
        <v>7216</v>
      </c>
      <c r="F1060" s="38" t="s">
        <v>7217</v>
      </c>
      <c r="G1060" s="44"/>
    </row>
    <row r="1061">
      <c r="B1061" s="38" t="s">
        <v>949</v>
      </c>
      <c r="C1061" s="38">
        <v>4.0</v>
      </c>
      <c r="D1061" s="38" t="s">
        <v>7218</v>
      </c>
      <c r="E1061" s="281" t="s">
        <v>7219</v>
      </c>
      <c r="F1061" s="38" t="s">
        <v>7220</v>
      </c>
    </row>
    <row r="1062">
      <c r="B1062" s="44"/>
      <c r="C1062" s="44"/>
      <c r="D1062" s="38" t="s">
        <v>7221</v>
      </c>
      <c r="E1062" s="38" t="s">
        <v>7222</v>
      </c>
      <c r="F1062" s="38" t="s">
        <v>7223</v>
      </c>
      <c r="G1062" s="38" t="s">
        <v>7224</v>
      </c>
    </row>
    <row r="1063">
      <c r="B1063" s="38" t="s">
        <v>91</v>
      </c>
      <c r="C1063" s="38">
        <v>4.0</v>
      </c>
      <c r="D1063" s="38" t="s">
        <v>684</v>
      </c>
      <c r="E1063" s="38" t="s">
        <v>1940</v>
      </c>
      <c r="F1063" s="44"/>
      <c r="G1063" s="38" t="s">
        <v>7225</v>
      </c>
    </row>
    <row r="1064">
      <c r="B1064" s="38"/>
      <c r="C1064" s="38">
        <v>4.0</v>
      </c>
      <c r="D1064" s="38" t="s">
        <v>7226</v>
      </c>
      <c r="E1064" s="38" t="s">
        <v>1940</v>
      </c>
      <c r="F1064" s="44"/>
      <c r="G1064" s="38" t="s">
        <v>7225</v>
      </c>
    </row>
    <row r="1065">
      <c r="B1065" s="38"/>
      <c r="C1065" s="38"/>
      <c r="D1065" s="38" t="s">
        <v>7227</v>
      </c>
      <c r="E1065" s="38" t="s">
        <v>1940</v>
      </c>
      <c r="F1065" s="38" t="s">
        <v>7228</v>
      </c>
      <c r="G1065" s="38" t="s">
        <v>7225</v>
      </c>
    </row>
    <row r="1066">
      <c r="B1066" s="38" t="s">
        <v>22</v>
      </c>
      <c r="C1066" s="38">
        <v>4.0</v>
      </c>
      <c r="D1066" s="38" t="s">
        <v>7229</v>
      </c>
      <c r="E1066" s="38" t="s">
        <v>202</v>
      </c>
      <c r="F1066" s="38" t="s">
        <v>7230</v>
      </c>
      <c r="G1066" s="38" t="s">
        <v>7231</v>
      </c>
    </row>
    <row r="1067">
      <c r="B1067" s="44"/>
      <c r="C1067" s="44"/>
      <c r="D1067" s="44"/>
      <c r="E1067" s="38" t="s">
        <v>7232</v>
      </c>
      <c r="F1067" s="38" t="s">
        <v>4474</v>
      </c>
      <c r="G1067" s="38" t="s">
        <v>7233</v>
      </c>
    </row>
    <row r="1068">
      <c r="B1068" s="44"/>
      <c r="C1068" s="44"/>
      <c r="D1068" s="44"/>
      <c r="E1068" s="38" t="s">
        <v>514</v>
      </c>
      <c r="F1068" s="38" t="s">
        <v>7234</v>
      </c>
      <c r="G1068" s="38"/>
    </row>
    <row r="1069">
      <c r="B1069" s="38" t="s">
        <v>205</v>
      </c>
      <c r="C1069" s="38">
        <v>2.0</v>
      </c>
      <c r="D1069" s="38" t="s">
        <v>1305</v>
      </c>
      <c r="E1069" s="38" t="s">
        <v>4634</v>
      </c>
      <c r="F1069" s="38" t="s">
        <v>7235</v>
      </c>
    </row>
    <row r="1070">
      <c r="B1070" s="38" t="s">
        <v>25</v>
      </c>
      <c r="C1070" s="38">
        <v>4.0</v>
      </c>
      <c r="D1070" s="38" t="s">
        <v>7236</v>
      </c>
      <c r="E1070" s="38" t="s">
        <v>4634</v>
      </c>
      <c r="F1070" s="38" t="s">
        <v>7235</v>
      </c>
    </row>
    <row r="1071">
      <c r="B1071" s="38" t="s">
        <v>876</v>
      </c>
      <c r="C1071" s="38">
        <v>4.0</v>
      </c>
      <c r="D1071" s="38" t="s">
        <v>412</v>
      </c>
      <c r="E1071" s="38" t="s">
        <v>5110</v>
      </c>
      <c r="F1071" s="38" t="s">
        <v>7237</v>
      </c>
      <c r="G1071" s="38" t="s">
        <v>7238</v>
      </c>
    </row>
    <row r="1072">
      <c r="B1072" s="38" t="s">
        <v>58</v>
      </c>
      <c r="C1072" s="38">
        <v>4.0</v>
      </c>
      <c r="D1072" s="38" t="s">
        <v>7239</v>
      </c>
      <c r="E1072" s="38" t="s">
        <v>7240</v>
      </c>
      <c r="F1072" s="38" t="s">
        <v>7241</v>
      </c>
      <c r="G1072" s="38" t="s">
        <v>7242</v>
      </c>
    </row>
    <row r="1073">
      <c r="B1073" s="38" t="s">
        <v>2698</v>
      </c>
      <c r="C1073" s="38">
        <v>2.0</v>
      </c>
      <c r="D1073" s="38" t="s">
        <v>412</v>
      </c>
      <c r="E1073" s="38" t="s">
        <v>7243</v>
      </c>
      <c r="F1073" s="38" t="s">
        <v>7244</v>
      </c>
      <c r="G1073" s="38" t="s">
        <v>7245</v>
      </c>
    </row>
    <row r="1074">
      <c r="B1074" s="38" t="s">
        <v>28</v>
      </c>
      <c r="C1074" s="38">
        <v>4.0</v>
      </c>
      <c r="D1074" s="38" t="s">
        <v>6192</v>
      </c>
      <c r="E1074" s="38" t="s">
        <v>7246</v>
      </c>
      <c r="F1074" s="44"/>
    </row>
    <row r="1075">
      <c r="B1075" s="38" t="s">
        <v>25</v>
      </c>
      <c r="C1075" s="38">
        <v>4.0</v>
      </c>
      <c r="D1075" s="38" t="s">
        <v>6192</v>
      </c>
      <c r="E1075" s="38" t="s">
        <v>7247</v>
      </c>
      <c r="F1075" s="38" t="s">
        <v>7248</v>
      </c>
    </row>
    <row r="1076">
      <c r="B1076" s="38" t="s">
        <v>1407</v>
      </c>
      <c r="C1076" s="38">
        <v>4.0</v>
      </c>
      <c r="D1076" s="38" t="s">
        <v>7249</v>
      </c>
      <c r="E1076" s="38" t="s">
        <v>4245</v>
      </c>
      <c r="F1076" s="38" t="s">
        <v>7084</v>
      </c>
      <c r="G1076" s="38" t="s">
        <v>7250</v>
      </c>
    </row>
    <row r="1077">
      <c r="B1077" s="38" t="s">
        <v>2728</v>
      </c>
      <c r="C1077" s="38">
        <v>4.0</v>
      </c>
      <c r="D1077" s="38" t="s">
        <v>408</v>
      </c>
      <c r="E1077" s="38" t="s">
        <v>7251</v>
      </c>
      <c r="F1077" s="38" t="s">
        <v>7252</v>
      </c>
      <c r="G1077" s="38" t="s">
        <v>7253</v>
      </c>
      <c r="H1077" s="38" t="s">
        <v>7254</v>
      </c>
    </row>
    <row r="1078">
      <c r="B1078" s="38" t="s">
        <v>28</v>
      </c>
      <c r="C1078" s="38">
        <v>4.0</v>
      </c>
      <c r="D1078" s="38" t="s">
        <v>7255</v>
      </c>
      <c r="E1078" s="38" t="s">
        <v>7251</v>
      </c>
      <c r="F1078" s="38" t="s">
        <v>7256</v>
      </c>
      <c r="G1078" s="38" t="s">
        <v>175</v>
      </c>
    </row>
    <row r="1079">
      <c r="B1079" s="38" t="s">
        <v>25</v>
      </c>
      <c r="C1079" s="38">
        <v>2.0</v>
      </c>
      <c r="D1079" s="38" t="s">
        <v>7088</v>
      </c>
      <c r="E1079" s="38" t="s">
        <v>7257</v>
      </c>
      <c r="F1079" s="38" t="s">
        <v>7258</v>
      </c>
      <c r="G1079" s="38" t="s">
        <v>7259</v>
      </c>
    </row>
    <row r="1080">
      <c r="B1080" s="38" t="s">
        <v>183</v>
      </c>
      <c r="C1080" s="38">
        <v>4.0</v>
      </c>
      <c r="D1080" s="38" t="s">
        <v>7260</v>
      </c>
      <c r="E1080" s="38" t="s">
        <v>7261</v>
      </c>
      <c r="F1080" s="38" t="s">
        <v>7262</v>
      </c>
      <c r="G1080" s="38" t="s">
        <v>7263</v>
      </c>
    </row>
    <row r="1081">
      <c r="B1081" s="276" t="s">
        <v>7264</v>
      </c>
      <c r="C1081" s="38">
        <v>2.0</v>
      </c>
      <c r="D1081" s="276" t="s">
        <v>7265</v>
      </c>
      <c r="E1081" s="38" t="s">
        <v>7266</v>
      </c>
      <c r="F1081" s="38" t="s">
        <v>7267</v>
      </c>
      <c r="G1081" s="38" t="s">
        <v>7268</v>
      </c>
    </row>
    <row r="1082">
      <c r="B1082" s="38" t="s">
        <v>1010</v>
      </c>
      <c r="C1082" s="38">
        <v>4.0</v>
      </c>
      <c r="D1082" s="38" t="s">
        <v>7269</v>
      </c>
      <c r="E1082" s="38" t="s">
        <v>7270</v>
      </c>
      <c r="F1082" s="38" t="s">
        <v>4650</v>
      </c>
      <c r="G1082" s="38" t="s">
        <v>7271</v>
      </c>
    </row>
    <row r="1083">
      <c r="B1083" s="38" t="s">
        <v>122</v>
      </c>
      <c r="C1083" s="38">
        <v>4.0</v>
      </c>
      <c r="D1083" s="38" t="s">
        <v>6543</v>
      </c>
      <c r="E1083" s="38" t="s">
        <v>7272</v>
      </c>
      <c r="F1083" s="38" t="s">
        <v>4732</v>
      </c>
      <c r="G1083" s="38" t="s">
        <v>7273</v>
      </c>
    </row>
    <row r="1084">
      <c r="B1084" s="38" t="s">
        <v>3682</v>
      </c>
      <c r="C1084" s="38">
        <v>2.0</v>
      </c>
      <c r="D1084" s="38" t="s">
        <v>7274</v>
      </c>
      <c r="E1084" s="38" t="s">
        <v>7275</v>
      </c>
      <c r="F1084" s="38" t="s">
        <v>7276</v>
      </c>
      <c r="G1084" s="38" t="s">
        <v>7277</v>
      </c>
    </row>
    <row r="1085">
      <c r="B1085" s="38" t="s">
        <v>1182</v>
      </c>
      <c r="C1085" s="38">
        <v>2.0</v>
      </c>
      <c r="D1085" s="38" t="s">
        <v>6653</v>
      </c>
      <c r="E1085" s="38" t="s">
        <v>4245</v>
      </c>
      <c r="F1085" s="38" t="s">
        <v>4448</v>
      </c>
      <c r="G1085" s="38" t="s">
        <v>7250</v>
      </c>
    </row>
    <row r="1086">
      <c r="B1086" s="38" t="s">
        <v>4756</v>
      </c>
      <c r="C1086" s="38">
        <v>2.0</v>
      </c>
      <c r="D1086" s="38" t="s">
        <v>6653</v>
      </c>
      <c r="E1086" s="38" t="s">
        <v>4245</v>
      </c>
      <c r="F1086" s="38" t="s">
        <v>7278</v>
      </c>
      <c r="G1086" s="38" t="s">
        <v>7250</v>
      </c>
    </row>
    <row r="1087">
      <c r="B1087" s="38" t="s">
        <v>7279</v>
      </c>
      <c r="C1087" s="38">
        <v>4.0</v>
      </c>
      <c r="D1087" s="38" t="s">
        <v>7280</v>
      </c>
      <c r="E1087" s="38" t="s">
        <v>202</v>
      </c>
      <c r="F1087" s="38" t="s">
        <v>4474</v>
      </c>
      <c r="G1087" s="38" t="s">
        <v>7281</v>
      </c>
    </row>
    <row r="1088">
      <c r="B1088" s="44"/>
      <c r="C1088" s="44"/>
      <c r="D1088" s="44"/>
      <c r="E1088" s="38" t="s">
        <v>7282</v>
      </c>
      <c r="F1088" s="38" t="s">
        <v>7283</v>
      </c>
      <c r="G1088" s="38" t="s">
        <v>7284</v>
      </c>
    </row>
    <row r="1089">
      <c r="B1089" s="38" t="s">
        <v>147</v>
      </c>
      <c r="C1089" s="38">
        <v>4.0</v>
      </c>
      <c r="D1089" s="38" t="s">
        <v>7009</v>
      </c>
      <c r="E1089" s="38" t="s">
        <v>413</v>
      </c>
      <c r="F1089" s="38" t="s">
        <v>4759</v>
      </c>
      <c r="G1089" s="38" t="s">
        <v>7285</v>
      </c>
    </row>
    <row r="1090">
      <c r="B1090" s="38" t="s">
        <v>949</v>
      </c>
      <c r="C1090" s="38">
        <v>4.0</v>
      </c>
      <c r="D1090" s="38" t="s">
        <v>7286</v>
      </c>
      <c r="E1090" s="38" t="s">
        <v>7287</v>
      </c>
      <c r="F1090" s="44"/>
      <c r="G1090" s="38" t="s">
        <v>7288</v>
      </c>
    </row>
    <row r="1091">
      <c r="B1091" s="38" t="s">
        <v>25</v>
      </c>
      <c r="C1091" s="38">
        <v>4.0</v>
      </c>
      <c r="D1091" s="38" t="s">
        <v>3215</v>
      </c>
      <c r="E1091" s="38" t="s">
        <v>7289</v>
      </c>
      <c r="F1091" s="44"/>
      <c r="G1091" s="44"/>
    </row>
    <row r="1092">
      <c r="B1092" s="44"/>
      <c r="C1092" s="44"/>
      <c r="D1092" s="38" t="s">
        <v>7290</v>
      </c>
      <c r="E1092" s="38" t="s">
        <v>4478</v>
      </c>
      <c r="F1092" s="38"/>
    </row>
    <row r="1093">
      <c r="B1093" s="38" t="s">
        <v>411</v>
      </c>
      <c r="C1093" s="38">
        <v>2.0</v>
      </c>
      <c r="D1093" s="38" t="s">
        <v>7291</v>
      </c>
      <c r="E1093" s="38" t="s">
        <v>5287</v>
      </c>
      <c r="F1093" s="44"/>
    </row>
    <row r="1094">
      <c r="B1094" s="38" t="s">
        <v>183</v>
      </c>
      <c r="C1094" s="38">
        <v>2.0</v>
      </c>
      <c r="D1094" s="38" t="s">
        <v>7291</v>
      </c>
      <c r="E1094" s="38" t="s">
        <v>5287</v>
      </c>
      <c r="F1094" s="44"/>
    </row>
    <row r="1095">
      <c r="B1095" s="38" t="s">
        <v>1162</v>
      </c>
      <c r="C1095" s="38">
        <v>4.0</v>
      </c>
      <c r="D1095" s="38" t="s">
        <v>7292</v>
      </c>
      <c r="E1095" s="38" t="s">
        <v>5372</v>
      </c>
      <c r="F1095" s="38" t="s">
        <v>7293</v>
      </c>
    </row>
    <row r="1096">
      <c r="B1096" s="44"/>
      <c r="C1096" s="44"/>
      <c r="D1096" s="44"/>
      <c r="E1096" s="38" t="s">
        <v>7294</v>
      </c>
      <c r="F1096" s="44"/>
    </row>
    <row r="1097">
      <c r="B1097" s="379" t="s">
        <v>7295</v>
      </c>
      <c r="C1097" s="38">
        <v>2.0</v>
      </c>
      <c r="D1097" s="38" t="s">
        <v>7296</v>
      </c>
      <c r="E1097" s="38" t="s">
        <v>7190</v>
      </c>
      <c r="F1097" s="44"/>
    </row>
    <row r="1098">
      <c r="B1098" s="379" t="s">
        <v>7297</v>
      </c>
      <c r="C1098" s="38">
        <v>2.0</v>
      </c>
      <c r="D1098" s="38" t="s">
        <v>7298</v>
      </c>
      <c r="E1098" s="38" t="s">
        <v>7190</v>
      </c>
      <c r="F1098" s="38" t="s">
        <v>6712</v>
      </c>
    </row>
    <row r="1099">
      <c r="B1099" s="38" t="s">
        <v>1454</v>
      </c>
      <c r="C1099" s="38">
        <v>4.0</v>
      </c>
      <c r="D1099" s="38" t="s">
        <v>7299</v>
      </c>
      <c r="E1099" s="38" t="s">
        <v>6109</v>
      </c>
      <c r="F1099" s="38" t="s">
        <v>7300</v>
      </c>
    </row>
    <row r="1100">
      <c r="B1100" s="38" t="s">
        <v>7301</v>
      </c>
      <c r="C1100" s="38">
        <v>4.0</v>
      </c>
      <c r="D1100" s="38" t="s">
        <v>7302</v>
      </c>
      <c r="E1100" s="38" t="s">
        <v>1758</v>
      </c>
      <c r="F1100" s="38" t="s">
        <v>7303</v>
      </c>
    </row>
    <row r="1101">
      <c r="B1101" s="38" t="s">
        <v>25</v>
      </c>
      <c r="C1101" s="38">
        <v>4.0</v>
      </c>
      <c r="D1101" s="38" t="s">
        <v>1964</v>
      </c>
      <c r="E1101" s="38" t="s">
        <v>7304</v>
      </c>
      <c r="F1101" s="44"/>
      <c r="G1101" s="38" t="s">
        <v>7305</v>
      </c>
    </row>
    <row r="1102">
      <c r="B1102" s="38" t="s">
        <v>22</v>
      </c>
      <c r="C1102" s="38">
        <v>4.0</v>
      </c>
      <c r="D1102" s="38" t="s">
        <v>7155</v>
      </c>
      <c r="E1102" s="38" t="s">
        <v>7306</v>
      </c>
      <c r="F1102" s="38" t="s">
        <v>7307</v>
      </c>
      <c r="G1102" s="38" t="s">
        <v>7308</v>
      </c>
    </row>
    <row r="1103">
      <c r="B1103" s="38" t="s">
        <v>2776</v>
      </c>
      <c r="C1103" s="38">
        <v>2.0</v>
      </c>
      <c r="D1103" s="38" t="s">
        <v>7309</v>
      </c>
      <c r="E1103" s="38" t="s">
        <v>7310</v>
      </c>
      <c r="F1103" s="38" t="s">
        <v>4268</v>
      </c>
      <c r="G1103" s="38" t="s">
        <v>7311</v>
      </c>
    </row>
    <row r="1104">
      <c r="B1104" s="38" t="s">
        <v>283</v>
      </c>
      <c r="C1104" s="38">
        <v>4.0</v>
      </c>
      <c r="D1104" s="38" t="s">
        <v>7312</v>
      </c>
      <c r="E1104" s="267" t="s">
        <v>7313</v>
      </c>
      <c r="F1104" s="38" t="s">
        <v>7314</v>
      </c>
      <c r="G1104" s="44"/>
    </row>
    <row r="1105">
      <c r="B1105" s="44"/>
      <c r="C1105" s="44"/>
      <c r="D1105" s="38" t="s">
        <v>7315</v>
      </c>
      <c r="E1105" s="267" t="s">
        <v>7313</v>
      </c>
      <c r="F1105" s="38" t="s">
        <v>7314</v>
      </c>
      <c r="G1105" s="44"/>
    </row>
    <row r="1106">
      <c r="B1106" s="44"/>
      <c r="C1106" s="44"/>
      <c r="D1106" s="38" t="s">
        <v>7316</v>
      </c>
      <c r="E1106" s="267" t="s">
        <v>7313</v>
      </c>
      <c r="F1106" s="38" t="s">
        <v>7314</v>
      </c>
      <c r="G1106" s="44"/>
    </row>
    <row r="1107">
      <c r="B1107" s="44"/>
      <c r="C1107" s="44"/>
      <c r="D1107" s="44"/>
      <c r="E1107" s="38" t="s">
        <v>1755</v>
      </c>
      <c r="F1107" s="38" t="s">
        <v>7317</v>
      </c>
      <c r="G1107" s="38" t="s">
        <v>7318</v>
      </c>
    </row>
    <row r="1108">
      <c r="B1108" s="38" t="s">
        <v>25</v>
      </c>
      <c r="C1108" s="38">
        <v>2.0</v>
      </c>
      <c r="D1108" s="38" t="s">
        <v>7319</v>
      </c>
      <c r="E1108" s="38" t="s">
        <v>7320</v>
      </c>
      <c r="F1108" s="38" t="s">
        <v>7321</v>
      </c>
      <c r="G1108" s="38" t="s">
        <v>7322</v>
      </c>
    </row>
    <row r="1109">
      <c r="B1109" s="38" t="s">
        <v>1400</v>
      </c>
      <c r="C1109" s="38">
        <v>4.0</v>
      </c>
      <c r="D1109" s="38" t="s">
        <v>7323</v>
      </c>
      <c r="E1109" s="38" t="s">
        <v>5953</v>
      </c>
      <c r="F1109" s="44"/>
      <c r="G1109" s="44"/>
    </row>
    <row r="1110">
      <c r="B1110" s="44"/>
      <c r="C1110" s="44"/>
      <c r="D1110" s="44"/>
      <c r="E1110" s="38" t="s">
        <v>7324</v>
      </c>
      <c r="F1110" s="38" t="s">
        <v>7325</v>
      </c>
    </row>
    <row r="1111">
      <c r="B1111" s="38" t="s">
        <v>219</v>
      </c>
      <c r="C1111" s="38">
        <v>4.0</v>
      </c>
      <c r="D1111" s="380" t="s">
        <v>7326</v>
      </c>
      <c r="E1111" s="38" t="s">
        <v>7327</v>
      </c>
      <c r="F1111" s="38" t="s">
        <v>7328</v>
      </c>
      <c r="G1111" s="38" t="s">
        <v>7329</v>
      </c>
    </row>
    <row r="1112">
      <c r="B1112" s="44"/>
      <c r="C1112" s="44"/>
      <c r="D1112" s="44"/>
      <c r="E1112" s="38" t="s">
        <v>7330</v>
      </c>
      <c r="F1112" s="272" t="s">
        <v>6619</v>
      </c>
      <c r="G1112" s="272" t="s">
        <v>7331</v>
      </c>
      <c r="H1112" s="38" t="s">
        <v>7332</v>
      </c>
    </row>
    <row r="1113">
      <c r="B1113" s="38" t="s">
        <v>357</v>
      </c>
      <c r="C1113" s="38">
        <v>4.0</v>
      </c>
      <c r="D1113" s="38" t="s">
        <v>2021</v>
      </c>
      <c r="E1113" s="38" t="s">
        <v>7333</v>
      </c>
      <c r="F1113" s="38" t="s">
        <v>7334</v>
      </c>
      <c r="G1113" s="44"/>
    </row>
    <row r="1114">
      <c r="B1114" s="38" t="s">
        <v>25</v>
      </c>
      <c r="C1114" s="38">
        <v>4.0</v>
      </c>
      <c r="D1114" s="38" t="s">
        <v>2021</v>
      </c>
      <c r="E1114" s="38" t="s">
        <v>7335</v>
      </c>
      <c r="F1114" s="38" t="s">
        <v>7336</v>
      </c>
      <c r="G1114" s="38" t="s">
        <v>7337</v>
      </c>
    </row>
    <row r="1115">
      <c r="B1115" s="38" t="s">
        <v>25</v>
      </c>
      <c r="C1115" s="38">
        <v>2.0</v>
      </c>
      <c r="D1115" s="38" t="s">
        <v>2021</v>
      </c>
      <c r="E1115" s="38" t="s">
        <v>7338</v>
      </c>
      <c r="F1115" s="38" t="s">
        <v>7339</v>
      </c>
      <c r="G1115" s="38" t="s">
        <v>7337</v>
      </c>
    </row>
    <row r="1116">
      <c r="D1116" s="1" t="s">
        <v>7340</v>
      </c>
      <c r="E1116" s="1" t="s">
        <v>7341</v>
      </c>
    </row>
    <row r="1117">
      <c r="B1117" s="38" t="s">
        <v>7342</v>
      </c>
      <c r="C1117" s="44"/>
      <c r="D1117" s="38" t="s">
        <v>7343</v>
      </c>
      <c r="E1117" s="38" t="s">
        <v>7344</v>
      </c>
      <c r="F1117" s="38" t="s">
        <v>7345</v>
      </c>
      <c r="G1117" s="38" t="s">
        <v>7346</v>
      </c>
    </row>
    <row r="1118">
      <c r="B1118" s="38" t="s">
        <v>7347</v>
      </c>
      <c r="C1118" s="44"/>
      <c r="D1118" s="38" t="s">
        <v>7348</v>
      </c>
      <c r="E1118" s="38" t="s">
        <v>7344</v>
      </c>
      <c r="F1118" s="38" t="s">
        <v>7349</v>
      </c>
      <c r="G1118" s="38" t="s">
        <v>7350</v>
      </c>
    </row>
    <row r="1119">
      <c r="B1119" s="38" t="s">
        <v>7347</v>
      </c>
      <c r="C1119" s="44"/>
      <c r="D1119" s="38" t="s">
        <v>7351</v>
      </c>
      <c r="E1119" s="38" t="s">
        <v>7344</v>
      </c>
      <c r="F1119" s="38" t="s">
        <v>7349</v>
      </c>
      <c r="G1119" s="38" t="s">
        <v>7352</v>
      </c>
    </row>
    <row r="1120">
      <c r="B1120" s="38"/>
      <c r="C1120" s="44"/>
      <c r="D1120" s="38" t="s">
        <v>7353</v>
      </c>
      <c r="E1120" s="38" t="s">
        <v>7344</v>
      </c>
      <c r="F1120" s="38"/>
      <c r="G1120" s="38"/>
    </row>
    <row r="1121">
      <c r="B1121" s="38" t="s">
        <v>7354</v>
      </c>
      <c r="C1121" s="44"/>
      <c r="D1121" s="38" t="s">
        <v>7355</v>
      </c>
      <c r="E1121" s="38" t="s">
        <v>7356</v>
      </c>
      <c r="F1121" s="38" t="s">
        <v>7357</v>
      </c>
      <c r="G1121" s="38" t="s">
        <v>7358</v>
      </c>
    </row>
    <row r="1122">
      <c r="B1122" s="38" t="s">
        <v>7359</v>
      </c>
      <c r="C1122" s="44"/>
      <c r="D1122" s="38" t="s">
        <v>7360</v>
      </c>
      <c r="E1122" s="38" t="s">
        <v>7356</v>
      </c>
      <c r="F1122" s="38" t="s">
        <v>7361</v>
      </c>
      <c r="G1122" s="38" t="s">
        <v>7362</v>
      </c>
    </row>
    <row r="1123">
      <c r="B1123" s="38" t="s">
        <v>22</v>
      </c>
      <c r="C1123" s="38">
        <v>4.0</v>
      </c>
      <c r="D1123" s="38" t="s">
        <v>6742</v>
      </c>
      <c r="E1123" s="38" t="s">
        <v>7363</v>
      </c>
      <c r="F1123" s="38" t="s">
        <v>7364</v>
      </c>
      <c r="G1123" s="38" t="s">
        <v>7365</v>
      </c>
    </row>
    <row r="1124">
      <c r="B1124" s="38" t="s">
        <v>63</v>
      </c>
      <c r="C1124" s="38">
        <v>4.0</v>
      </c>
      <c r="D1124" s="38" t="s">
        <v>412</v>
      </c>
      <c r="E1124" s="38" t="s">
        <v>7366</v>
      </c>
      <c r="F1124" s="38" t="s">
        <v>7367</v>
      </c>
    </row>
    <row r="1125">
      <c r="B1125" s="38" t="s">
        <v>22</v>
      </c>
      <c r="C1125" s="38">
        <v>2.0</v>
      </c>
      <c r="D1125" s="38" t="s">
        <v>7368</v>
      </c>
      <c r="E1125" s="274" t="s">
        <v>6105</v>
      </c>
      <c r="F1125" s="38" t="s">
        <v>7369</v>
      </c>
      <c r="G1125" s="38" t="s">
        <v>7370</v>
      </c>
    </row>
    <row r="1126">
      <c r="B1126" s="38" t="s">
        <v>22</v>
      </c>
      <c r="C1126" s="38">
        <v>3.0</v>
      </c>
      <c r="D1126" s="38" t="s">
        <v>7368</v>
      </c>
      <c r="E1126" s="38" t="s">
        <v>7371</v>
      </c>
      <c r="F1126" s="38" t="s">
        <v>7372</v>
      </c>
      <c r="G1126" s="38" t="s">
        <v>7373</v>
      </c>
    </row>
    <row r="1127">
      <c r="B1127" s="38" t="s">
        <v>949</v>
      </c>
      <c r="C1127" s="38">
        <v>4.0</v>
      </c>
      <c r="D1127" s="38" t="s">
        <v>436</v>
      </c>
      <c r="E1127" s="38" t="s">
        <v>7374</v>
      </c>
      <c r="F1127" s="44"/>
      <c r="G1127" s="38" t="s">
        <v>7375</v>
      </c>
    </row>
    <row r="1128">
      <c r="B1128" s="38" t="s">
        <v>25</v>
      </c>
      <c r="C1128" s="38">
        <v>2.0</v>
      </c>
      <c r="D1128" s="38" t="s">
        <v>6705</v>
      </c>
      <c r="E1128" s="38" t="s">
        <v>7376</v>
      </c>
      <c r="F1128" s="38" t="s">
        <v>2027</v>
      </c>
      <c r="G1128" s="38" t="s">
        <v>7377</v>
      </c>
    </row>
    <row r="1129">
      <c r="B1129" s="38" t="s">
        <v>183</v>
      </c>
      <c r="C1129" s="38">
        <v>4.0</v>
      </c>
      <c r="D1129" s="38" t="s">
        <v>289</v>
      </c>
      <c r="E1129" s="38" t="s">
        <v>7378</v>
      </c>
      <c r="F1129" s="38" t="s">
        <v>7379</v>
      </c>
      <c r="G1129" s="38" t="s">
        <v>7380</v>
      </c>
    </row>
    <row r="1130">
      <c r="B1130" s="38" t="s">
        <v>205</v>
      </c>
      <c r="C1130" s="38">
        <v>4.0</v>
      </c>
      <c r="D1130" s="38" t="s">
        <v>684</v>
      </c>
      <c r="E1130" s="38" t="s">
        <v>418</v>
      </c>
      <c r="F1130" s="38" t="s">
        <v>7381</v>
      </c>
      <c r="G1130" s="38" t="s">
        <v>7382</v>
      </c>
    </row>
    <row r="1131">
      <c r="B1131" s="44"/>
      <c r="C1131" s="44"/>
      <c r="D1131" s="38" t="s">
        <v>7383</v>
      </c>
      <c r="E1131" s="38" t="s">
        <v>7384</v>
      </c>
      <c r="F1131" s="38" t="s">
        <v>7385</v>
      </c>
      <c r="G1131" s="44"/>
    </row>
    <row r="1132">
      <c r="B1132" s="38" t="s">
        <v>25</v>
      </c>
      <c r="C1132" s="38">
        <v>4.0</v>
      </c>
      <c r="D1132" s="38" t="s">
        <v>289</v>
      </c>
      <c r="E1132" s="38" t="s">
        <v>7386</v>
      </c>
      <c r="F1132" s="38" t="s">
        <v>5005</v>
      </c>
      <c r="G1132" s="38" t="s">
        <v>7387</v>
      </c>
    </row>
    <row r="1133">
      <c r="B1133" s="38" t="s">
        <v>25</v>
      </c>
      <c r="C1133" s="38">
        <v>4.0</v>
      </c>
      <c r="D1133" s="38" t="s">
        <v>3215</v>
      </c>
      <c r="E1133" s="38" t="s">
        <v>7388</v>
      </c>
      <c r="F1133" s="38" t="s">
        <v>7389</v>
      </c>
      <c r="G1133" s="38" t="s">
        <v>7390</v>
      </c>
    </row>
    <row r="1134">
      <c r="B1134" s="44"/>
      <c r="C1134" s="38">
        <v>1.0</v>
      </c>
      <c r="D1134" s="38" t="s">
        <v>5773</v>
      </c>
      <c r="E1134" s="38" t="s">
        <v>7391</v>
      </c>
      <c r="F1134" s="38" t="s">
        <v>7392</v>
      </c>
      <c r="G1134" s="38" t="s">
        <v>7393</v>
      </c>
    </row>
    <row r="1135">
      <c r="B1135" s="38" t="s">
        <v>876</v>
      </c>
      <c r="C1135" s="38">
        <v>4.0</v>
      </c>
      <c r="D1135" s="38" t="s">
        <v>684</v>
      </c>
      <c r="E1135" s="38" t="s">
        <v>7394</v>
      </c>
      <c r="F1135" s="38" t="s">
        <v>7395</v>
      </c>
      <c r="G1135" s="38" t="s">
        <v>7396</v>
      </c>
    </row>
    <row r="1136">
      <c r="B1136" s="38" t="s">
        <v>7397</v>
      </c>
      <c r="C1136" s="38">
        <v>4.0</v>
      </c>
      <c r="D1136" s="38" t="s">
        <v>7398</v>
      </c>
      <c r="E1136" s="38" t="s">
        <v>7399</v>
      </c>
      <c r="F1136" s="38" t="s">
        <v>7400</v>
      </c>
    </row>
    <row r="1137">
      <c r="E1137" s="1" t="s">
        <v>7401</v>
      </c>
    </row>
    <row r="1138">
      <c r="A1138" s="19">
        <v>44154.0</v>
      </c>
      <c r="B1138" s="1" t="s">
        <v>7402</v>
      </c>
      <c r="E1138" s="1" t="s">
        <v>7403</v>
      </c>
      <c r="F1138" s="1" t="s">
        <v>7404</v>
      </c>
    </row>
    <row r="1139">
      <c r="A1139" s="19"/>
      <c r="B1139" s="1"/>
      <c r="E1139" s="1" t="s">
        <v>7403</v>
      </c>
      <c r="F1139" s="22" t="s">
        <v>7405</v>
      </c>
      <c r="H1139" s="8"/>
      <c r="I1139" s="8"/>
    </row>
    <row r="1140">
      <c r="B1140" s="38"/>
      <c r="C1140" s="44"/>
      <c r="D1140" s="38" t="s">
        <v>7406</v>
      </c>
      <c r="E1140" s="38" t="s">
        <v>7407</v>
      </c>
      <c r="F1140" s="38"/>
      <c r="G1140" s="38" t="s">
        <v>4860</v>
      </c>
    </row>
    <row r="1141">
      <c r="B1141" s="38" t="s">
        <v>219</v>
      </c>
      <c r="C1141" s="38">
        <v>4.0</v>
      </c>
      <c r="D1141" s="38" t="s">
        <v>7408</v>
      </c>
      <c r="E1141" s="38" t="s">
        <v>7409</v>
      </c>
      <c r="F1141" s="38" t="s">
        <v>7410</v>
      </c>
      <c r="G1141" s="38" t="s">
        <v>7411</v>
      </c>
    </row>
    <row r="1142">
      <c r="B1142" s="38" t="s">
        <v>283</v>
      </c>
      <c r="C1142" s="38">
        <v>4.0</v>
      </c>
      <c r="D1142" s="38" t="s">
        <v>4383</v>
      </c>
      <c r="E1142" s="38" t="s">
        <v>7412</v>
      </c>
      <c r="F1142" s="38" t="s">
        <v>7413</v>
      </c>
      <c r="G1142" s="38" t="s">
        <v>7380</v>
      </c>
    </row>
    <row r="1143">
      <c r="A1143" s="44"/>
      <c r="B1143" s="44"/>
      <c r="C1143" s="44"/>
      <c r="D1143" s="38" t="s">
        <v>7414</v>
      </c>
      <c r="E1143" s="38" t="s">
        <v>974</v>
      </c>
      <c r="F1143" s="44"/>
      <c r="G1143" s="38" t="s">
        <v>4421</v>
      </c>
    </row>
    <row r="1144">
      <c r="A1144" s="44"/>
      <c r="B1144" s="38" t="s">
        <v>7415</v>
      </c>
      <c r="C1144" s="44"/>
      <c r="D1144" s="38" t="s">
        <v>7416</v>
      </c>
      <c r="E1144" s="38" t="s">
        <v>974</v>
      </c>
      <c r="F1144" s="44"/>
      <c r="G1144" s="38" t="s">
        <v>4421</v>
      </c>
    </row>
    <row r="1145">
      <c r="B1145" s="38" t="s">
        <v>7417</v>
      </c>
      <c r="C1145" s="38" t="s">
        <v>7418</v>
      </c>
      <c r="D1145" s="38" t="s">
        <v>5811</v>
      </c>
      <c r="E1145" s="38" t="s">
        <v>7419</v>
      </c>
      <c r="F1145" s="44"/>
      <c r="G1145" s="44"/>
    </row>
    <row r="1146">
      <c r="B1146" s="38" t="s">
        <v>7420</v>
      </c>
      <c r="C1146" s="38" t="s">
        <v>7421</v>
      </c>
      <c r="D1146" s="38" t="s">
        <v>7422</v>
      </c>
      <c r="E1146" s="38" t="s">
        <v>7423</v>
      </c>
      <c r="F1146" s="38" t="s">
        <v>7424</v>
      </c>
      <c r="G1146" s="44"/>
    </row>
    <row r="1147">
      <c r="B1147" s="38" t="s">
        <v>7425</v>
      </c>
      <c r="C1147" s="38"/>
      <c r="D1147" s="38" t="s">
        <v>7426</v>
      </c>
      <c r="E1147" s="353" t="s">
        <v>7427</v>
      </c>
      <c r="F1147" s="38" t="s">
        <v>7428</v>
      </c>
      <c r="G1147" s="38" t="s">
        <v>4892</v>
      </c>
    </row>
    <row r="1148">
      <c r="B1148" s="38" t="s">
        <v>7429</v>
      </c>
      <c r="C1148" s="38"/>
      <c r="D1148" s="353" t="s">
        <v>7430</v>
      </c>
      <c r="E1148" s="38" t="s">
        <v>7419</v>
      </c>
      <c r="F1148" s="38"/>
      <c r="G1148" s="44"/>
    </row>
    <row r="1149">
      <c r="B1149" s="38"/>
      <c r="C1149" s="38"/>
      <c r="D1149" s="353" t="s">
        <v>7431</v>
      </c>
      <c r="E1149" s="38" t="s">
        <v>7419</v>
      </c>
      <c r="F1149" s="38" t="s">
        <v>7432</v>
      </c>
      <c r="G1149" s="38" t="s">
        <v>5419</v>
      </c>
    </row>
    <row r="1150">
      <c r="B1150" s="38"/>
      <c r="C1150" s="38"/>
      <c r="D1150" s="353" t="s">
        <v>7433</v>
      </c>
      <c r="E1150" s="38" t="s">
        <v>7419</v>
      </c>
      <c r="F1150" s="38" t="s">
        <v>7434</v>
      </c>
      <c r="G1150" s="38" t="s">
        <v>7435</v>
      </c>
    </row>
    <row r="1151">
      <c r="B1151" s="44"/>
      <c r="C1151" s="44"/>
      <c r="D1151" s="38" t="s">
        <v>7436</v>
      </c>
      <c r="E1151" s="38" t="s">
        <v>7437</v>
      </c>
      <c r="F1151" s="38" t="s">
        <v>7438</v>
      </c>
      <c r="G1151" s="44"/>
      <c r="H1151" s="38" t="s">
        <v>7439</v>
      </c>
    </row>
    <row r="1152">
      <c r="B1152" s="294" t="s">
        <v>7440</v>
      </c>
      <c r="C1152" s="38" t="s">
        <v>7441</v>
      </c>
      <c r="D1152" s="272" t="s">
        <v>7442</v>
      </c>
      <c r="E1152" s="38" t="s">
        <v>7437</v>
      </c>
      <c r="F1152" s="38" t="s">
        <v>7443</v>
      </c>
      <c r="G1152" s="38" t="s">
        <v>4299</v>
      </c>
      <c r="H1152" s="38" t="s">
        <v>7439</v>
      </c>
    </row>
    <row r="1153">
      <c r="B1153" s="294"/>
      <c r="C1153" s="38"/>
      <c r="D1153" s="272"/>
      <c r="E1153" s="38" t="s">
        <v>7437</v>
      </c>
      <c r="F1153" s="38"/>
      <c r="G1153" s="272" t="s">
        <v>7444</v>
      </c>
      <c r="H1153" s="38" t="s">
        <v>7439</v>
      </c>
    </row>
    <row r="1154">
      <c r="B1154" s="38" t="s">
        <v>7445</v>
      </c>
      <c r="C1154" s="44"/>
      <c r="D1154" s="38" t="s">
        <v>7446</v>
      </c>
      <c r="E1154" s="38" t="s">
        <v>7447</v>
      </c>
      <c r="F1154" s="38" t="s">
        <v>7448</v>
      </c>
      <c r="G1154" s="38" t="s">
        <v>7449</v>
      </c>
      <c r="H1154" s="38" t="s">
        <v>7450</v>
      </c>
      <c r="I1154" s="44"/>
      <c r="J1154" s="44"/>
    </row>
    <row r="1155">
      <c r="B1155" s="38" t="s">
        <v>7451</v>
      </c>
      <c r="C1155" s="44"/>
      <c r="D1155" s="44"/>
      <c r="E1155" s="38" t="s">
        <v>7447</v>
      </c>
      <c r="F1155" s="38" t="s">
        <v>7452</v>
      </c>
      <c r="G1155" s="38" t="s">
        <v>7453</v>
      </c>
      <c r="H1155" s="38" t="s">
        <v>7454</v>
      </c>
      <c r="I1155" s="44"/>
      <c r="J1155" s="38" t="s">
        <v>6807</v>
      </c>
    </row>
    <row r="1156">
      <c r="B1156" s="294" t="s">
        <v>2918</v>
      </c>
      <c r="C1156" s="38">
        <v>4.0</v>
      </c>
      <c r="D1156" s="272" t="s">
        <v>4667</v>
      </c>
      <c r="E1156" s="38" t="s">
        <v>7455</v>
      </c>
      <c r="F1156" s="38" t="s">
        <v>7456</v>
      </c>
      <c r="G1156" s="301"/>
    </row>
    <row r="1157">
      <c r="B1157" s="44"/>
      <c r="C1157" s="44"/>
      <c r="D1157" s="38" t="s">
        <v>7457</v>
      </c>
      <c r="E1157" s="38" t="s">
        <v>7458</v>
      </c>
      <c r="F1157" s="38" t="s">
        <v>6124</v>
      </c>
    </row>
    <row r="1158">
      <c r="B1158" s="38" t="s">
        <v>7459</v>
      </c>
      <c r="C1158" s="38">
        <v>4.0</v>
      </c>
      <c r="D1158" s="38" t="s">
        <v>7460</v>
      </c>
      <c r="E1158" s="38" t="s">
        <v>7461</v>
      </c>
      <c r="F1158" s="38" t="s">
        <v>7462</v>
      </c>
    </row>
    <row r="1159">
      <c r="B1159" s="38" t="s">
        <v>7463</v>
      </c>
      <c r="C1159" s="38">
        <v>4.0</v>
      </c>
      <c r="D1159" s="38" t="s">
        <v>7464</v>
      </c>
      <c r="E1159" s="38" t="s">
        <v>7465</v>
      </c>
      <c r="F1159" s="38" t="s">
        <v>7466</v>
      </c>
      <c r="G1159" s="38" t="s">
        <v>7467</v>
      </c>
    </row>
    <row r="1160">
      <c r="B1160" s="38" t="s">
        <v>4229</v>
      </c>
      <c r="C1160" s="38">
        <v>4.0</v>
      </c>
      <c r="D1160" s="38" t="s">
        <v>4251</v>
      </c>
      <c r="E1160" s="274" t="s">
        <v>7468</v>
      </c>
      <c r="F1160" s="38" t="s">
        <v>7469</v>
      </c>
    </row>
    <row r="1161">
      <c r="B1161" s="38" t="s">
        <v>7470</v>
      </c>
      <c r="C1161" s="38">
        <v>2.0</v>
      </c>
      <c r="D1161" s="38" t="s">
        <v>4789</v>
      </c>
      <c r="E1161" s="38" t="s">
        <v>337</v>
      </c>
      <c r="F1161" s="38" t="s">
        <v>5359</v>
      </c>
    </row>
    <row r="1162">
      <c r="B1162" s="38" t="s">
        <v>479</v>
      </c>
      <c r="C1162" s="38">
        <v>4.0</v>
      </c>
      <c r="D1162" s="38" t="s">
        <v>4383</v>
      </c>
      <c r="E1162" s="38" t="s">
        <v>4478</v>
      </c>
      <c r="F1162" s="38" t="s">
        <v>7471</v>
      </c>
      <c r="G1162" s="38" t="s">
        <v>7472</v>
      </c>
    </row>
    <row r="1163">
      <c r="B1163" s="38" t="s">
        <v>354</v>
      </c>
      <c r="C1163" s="38">
        <v>2.0</v>
      </c>
      <c r="D1163" s="38" t="s">
        <v>7473</v>
      </c>
      <c r="E1163" s="38" t="s">
        <v>7474</v>
      </c>
      <c r="F1163" s="38" t="s">
        <v>7475</v>
      </c>
      <c r="G1163" s="38" t="s">
        <v>7476</v>
      </c>
    </row>
    <row r="1164">
      <c r="B1164" s="38" t="s">
        <v>58</v>
      </c>
      <c r="C1164" s="38">
        <v>4.0</v>
      </c>
      <c r="D1164" s="38" t="s">
        <v>4383</v>
      </c>
      <c r="E1164" s="38" t="s">
        <v>7477</v>
      </c>
      <c r="F1164" s="38" t="s">
        <v>7478</v>
      </c>
    </row>
    <row r="1165">
      <c r="B1165" s="38" t="s">
        <v>28</v>
      </c>
      <c r="C1165" s="38">
        <v>2.0</v>
      </c>
      <c r="D1165" s="38" t="s">
        <v>433</v>
      </c>
      <c r="E1165" s="38" t="s">
        <v>7479</v>
      </c>
      <c r="F1165" s="38" t="s">
        <v>7480</v>
      </c>
      <c r="G1165" s="38" t="s">
        <v>7481</v>
      </c>
    </row>
    <row r="1166">
      <c r="B1166" s="44"/>
      <c r="C1166" s="44"/>
      <c r="D1166" s="38" t="s">
        <v>7482</v>
      </c>
      <c r="E1166" s="38" t="s">
        <v>974</v>
      </c>
      <c r="F1166" s="44"/>
      <c r="G1166" s="38" t="s">
        <v>4421</v>
      </c>
    </row>
    <row r="1167">
      <c r="B1167" s="38" t="s">
        <v>342</v>
      </c>
      <c r="C1167" s="38">
        <v>4.0</v>
      </c>
      <c r="D1167" s="38" t="s">
        <v>7483</v>
      </c>
      <c r="E1167" s="38" t="s">
        <v>1017</v>
      </c>
      <c r="F1167" s="38" t="s">
        <v>7484</v>
      </c>
      <c r="G1167" s="44"/>
    </row>
    <row r="1168">
      <c r="B1168" s="44"/>
      <c r="C1168" s="38">
        <v>1.0</v>
      </c>
      <c r="D1168" s="38" t="s">
        <v>7485</v>
      </c>
      <c r="E1168" s="38" t="s">
        <v>7486</v>
      </c>
      <c r="F1168" s="38" t="s">
        <v>7487</v>
      </c>
      <c r="G1168" s="38" t="s">
        <v>7488</v>
      </c>
      <c r="H1168" s="1"/>
    </row>
    <row r="1169">
      <c r="B1169" s="38" t="s">
        <v>7489</v>
      </c>
      <c r="C1169" s="38" t="s">
        <v>7490</v>
      </c>
      <c r="D1169" s="38" t="s">
        <v>7491</v>
      </c>
      <c r="E1169" s="38" t="s">
        <v>7492</v>
      </c>
      <c r="F1169" s="38" t="s">
        <v>5808</v>
      </c>
      <c r="G1169" s="38" t="s">
        <v>5217</v>
      </c>
    </row>
    <row r="1170">
      <c r="B1170" s="44"/>
      <c r="C1170" s="44"/>
      <c r="D1170" s="38" t="s">
        <v>7493</v>
      </c>
      <c r="E1170" s="38" t="s">
        <v>7492</v>
      </c>
      <c r="F1170" s="38" t="s">
        <v>7494</v>
      </c>
      <c r="G1170" s="38" t="s">
        <v>7495</v>
      </c>
    </row>
    <row r="1171">
      <c r="B1171" s="365" t="s">
        <v>7496</v>
      </c>
      <c r="C1171" s="365" t="s">
        <v>7497</v>
      </c>
      <c r="D1171" s="365" t="s">
        <v>7498</v>
      </c>
      <c r="E1171" s="365" t="s">
        <v>7499</v>
      </c>
      <c r="F1171" s="365" t="s">
        <v>7500</v>
      </c>
      <c r="G1171" s="365" t="s">
        <v>7501</v>
      </c>
      <c r="H1171" s="365" t="s">
        <v>7502</v>
      </c>
    </row>
    <row r="1172">
      <c r="B1172" s="38" t="s">
        <v>7503</v>
      </c>
      <c r="C1172" s="38" t="s">
        <v>7504</v>
      </c>
      <c r="D1172" s="44"/>
      <c r="E1172" s="38" t="s">
        <v>7499</v>
      </c>
      <c r="F1172" s="44"/>
      <c r="G1172" s="38" t="s">
        <v>7502</v>
      </c>
    </row>
    <row r="1173">
      <c r="B1173" s="44"/>
      <c r="C1173" s="38" t="s">
        <v>7505</v>
      </c>
      <c r="D1173" s="38" t="s">
        <v>7506</v>
      </c>
      <c r="E1173" s="38" t="s">
        <v>7499</v>
      </c>
      <c r="F1173" s="38" t="s">
        <v>7507</v>
      </c>
      <c r="G1173" s="38" t="s">
        <v>7502</v>
      </c>
      <c r="H1173" s="1"/>
    </row>
    <row r="1174">
      <c r="B1174" s="38" t="s">
        <v>7508</v>
      </c>
      <c r="C1174" s="44"/>
      <c r="D1174" s="38" t="s">
        <v>7509</v>
      </c>
      <c r="E1174" s="38" t="s">
        <v>7499</v>
      </c>
      <c r="F1174" s="38" t="s">
        <v>7510</v>
      </c>
      <c r="G1174" s="38" t="s">
        <v>7511</v>
      </c>
      <c r="H1174" s="38" t="s">
        <v>7502</v>
      </c>
    </row>
    <row r="1175">
      <c r="B1175" s="38" t="s">
        <v>7512</v>
      </c>
      <c r="C1175" s="44"/>
      <c r="D1175" s="38" t="s">
        <v>7513</v>
      </c>
      <c r="E1175" s="38" t="s">
        <v>7499</v>
      </c>
      <c r="F1175" s="38" t="s">
        <v>7514</v>
      </c>
      <c r="G1175" s="38" t="s">
        <v>7515</v>
      </c>
      <c r="H1175" s="44"/>
    </row>
    <row r="1176">
      <c r="B1176" s="38" t="s">
        <v>733</v>
      </c>
      <c r="C1176" s="38">
        <v>4.0</v>
      </c>
      <c r="D1176" s="38" t="s">
        <v>4383</v>
      </c>
      <c r="E1176" s="38" t="s">
        <v>7516</v>
      </c>
      <c r="F1176" s="38" t="s">
        <v>7517</v>
      </c>
    </row>
    <row r="1177">
      <c r="B1177" s="38" t="s">
        <v>7518</v>
      </c>
      <c r="C1177" s="44"/>
      <c r="D1177" s="38" t="s">
        <v>7519</v>
      </c>
      <c r="E1177" s="38" t="s">
        <v>7520</v>
      </c>
      <c r="F1177" s="38" t="s">
        <v>7521</v>
      </c>
      <c r="G1177" s="38" t="s">
        <v>7522</v>
      </c>
    </row>
    <row r="1178">
      <c r="B1178" s="38" t="s">
        <v>7523</v>
      </c>
      <c r="C1178" s="38"/>
      <c r="D1178" s="38" t="s">
        <v>7524</v>
      </c>
      <c r="E1178" s="38" t="s">
        <v>7520</v>
      </c>
      <c r="F1178" s="38" t="s">
        <v>7525</v>
      </c>
      <c r="G1178" s="44"/>
    </row>
    <row r="1179">
      <c r="B1179" s="38"/>
      <c r="C1179" s="38"/>
      <c r="D1179" s="38"/>
      <c r="E1179" s="38" t="s">
        <v>7526</v>
      </c>
      <c r="F1179" s="38" t="s">
        <v>7527</v>
      </c>
      <c r="G1179" s="38" t="s">
        <v>4421</v>
      </c>
    </row>
    <row r="1180">
      <c r="B1180" s="38" t="s">
        <v>77</v>
      </c>
      <c r="C1180" s="38">
        <v>4.0</v>
      </c>
      <c r="D1180" s="38" t="s">
        <v>684</v>
      </c>
      <c r="E1180" s="38" t="s">
        <v>7528</v>
      </c>
      <c r="F1180" s="44"/>
      <c r="G1180" s="38" t="s">
        <v>7529</v>
      </c>
    </row>
    <row r="1181">
      <c r="B1181" s="38" t="s">
        <v>354</v>
      </c>
      <c r="C1181" s="38">
        <v>2.0</v>
      </c>
      <c r="D1181" s="38" t="s">
        <v>2632</v>
      </c>
      <c r="E1181" s="38" t="s">
        <v>396</v>
      </c>
      <c r="F1181" s="38" t="s">
        <v>7530</v>
      </c>
      <c r="G1181" s="38" t="s">
        <v>7337</v>
      </c>
    </row>
    <row r="1182">
      <c r="B1182" s="38" t="s">
        <v>47</v>
      </c>
      <c r="C1182" s="38">
        <v>2.0</v>
      </c>
      <c r="D1182" s="38" t="s">
        <v>7531</v>
      </c>
      <c r="E1182" s="274" t="s">
        <v>5545</v>
      </c>
      <c r="F1182" s="38" t="s">
        <v>4759</v>
      </c>
      <c r="G1182" s="38" t="s">
        <v>7532</v>
      </c>
    </row>
    <row r="1183">
      <c r="B1183" s="38" t="s">
        <v>43</v>
      </c>
      <c r="C1183" s="38">
        <v>2.0</v>
      </c>
      <c r="D1183" s="38" t="s">
        <v>7531</v>
      </c>
      <c r="E1183" s="274" t="s">
        <v>5545</v>
      </c>
      <c r="F1183" s="381" t="s">
        <v>7533</v>
      </c>
      <c r="G1183" s="38" t="s">
        <v>7532</v>
      </c>
    </row>
    <row r="1184">
      <c r="B1184" s="38" t="s">
        <v>308</v>
      </c>
      <c r="C1184" s="38">
        <v>4.0</v>
      </c>
      <c r="D1184" s="38" t="s">
        <v>412</v>
      </c>
      <c r="E1184" s="38" t="s">
        <v>7534</v>
      </c>
      <c r="F1184" s="38" t="s">
        <v>7535</v>
      </c>
      <c r="G1184" s="38" t="s">
        <v>7536</v>
      </c>
    </row>
    <row r="1185">
      <c r="B1185" s="38" t="s">
        <v>7537</v>
      </c>
      <c r="C1185" s="38">
        <v>1.0</v>
      </c>
      <c r="D1185" s="38" t="s">
        <v>7538</v>
      </c>
      <c r="E1185" s="38" t="s">
        <v>7539</v>
      </c>
      <c r="F1185" s="38" t="s">
        <v>7540</v>
      </c>
      <c r="G1185" s="38" t="s">
        <v>7541</v>
      </c>
    </row>
    <row r="1186">
      <c r="B1186" s="38" t="s">
        <v>7542</v>
      </c>
      <c r="C1186" s="38">
        <v>1.0</v>
      </c>
      <c r="D1186" s="38" t="s">
        <v>7543</v>
      </c>
      <c r="E1186" s="38" t="s">
        <v>7539</v>
      </c>
      <c r="F1186" s="38" t="s">
        <v>7544</v>
      </c>
      <c r="G1186" s="44"/>
    </row>
    <row r="1187">
      <c r="B1187" s="38" t="s">
        <v>7545</v>
      </c>
      <c r="C1187" s="44"/>
      <c r="D1187" s="38" t="s">
        <v>7546</v>
      </c>
      <c r="E1187" s="38" t="s">
        <v>7547</v>
      </c>
      <c r="F1187" s="38" t="s">
        <v>7548</v>
      </c>
      <c r="G1187" s="38" t="s">
        <v>7549</v>
      </c>
    </row>
    <row r="1188">
      <c r="B1188" s="38" t="s">
        <v>7550</v>
      </c>
      <c r="C1188" s="44"/>
      <c r="D1188" s="38" t="s">
        <v>7551</v>
      </c>
      <c r="E1188" s="38" t="s">
        <v>7547</v>
      </c>
      <c r="F1188" s="38" t="s">
        <v>7552</v>
      </c>
      <c r="G1188" s="38" t="s">
        <v>7553</v>
      </c>
    </row>
    <row r="1189">
      <c r="B1189" s="44"/>
      <c r="C1189" s="44"/>
      <c r="D1189" s="44"/>
      <c r="E1189" s="38" t="s">
        <v>2551</v>
      </c>
      <c r="F1189" s="125">
        <v>3.3108659989E10</v>
      </c>
      <c r="G1189" s="38" t="s">
        <v>7554</v>
      </c>
    </row>
    <row r="1190">
      <c r="B1190" s="38" t="s">
        <v>7555</v>
      </c>
      <c r="C1190" s="44"/>
      <c r="D1190" s="38" t="s">
        <v>7556</v>
      </c>
      <c r="E1190" s="38" t="s">
        <v>7557</v>
      </c>
      <c r="F1190" s="38" t="s">
        <v>5501</v>
      </c>
      <c r="G1190" s="294" t="s">
        <v>7558</v>
      </c>
      <c r="H1190" s="38" t="s">
        <v>4421</v>
      </c>
    </row>
    <row r="1191">
      <c r="B1191" s="38" t="s">
        <v>25</v>
      </c>
      <c r="C1191" s="38">
        <v>4.0</v>
      </c>
      <c r="D1191" s="38" t="s">
        <v>3215</v>
      </c>
      <c r="E1191" s="38" t="s">
        <v>337</v>
      </c>
      <c r="F1191" s="272" t="s">
        <v>5005</v>
      </c>
      <c r="G1191" s="38"/>
    </row>
    <row r="1192">
      <c r="B1192" s="44"/>
      <c r="C1192" s="44"/>
      <c r="D1192" s="38" t="s">
        <v>7559</v>
      </c>
      <c r="E1192" s="38" t="s">
        <v>6322</v>
      </c>
      <c r="F1192" s="44"/>
      <c r="G1192" s="44"/>
    </row>
    <row r="1193">
      <c r="B1193" s="38" t="s">
        <v>1006</v>
      </c>
      <c r="C1193" s="38">
        <v>4.0</v>
      </c>
      <c r="D1193" s="38" t="s">
        <v>2021</v>
      </c>
      <c r="E1193" s="38" t="s">
        <v>7107</v>
      </c>
      <c r="F1193" s="38" t="s">
        <v>7560</v>
      </c>
      <c r="G1193" s="38" t="s">
        <v>7561</v>
      </c>
      <c r="H1193" s="38" t="s">
        <v>7562</v>
      </c>
    </row>
    <row r="1194">
      <c r="B1194" s="38" t="s">
        <v>7563</v>
      </c>
      <c r="C1194" s="38">
        <v>4.0</v>
      </c>
      <c r="D1194" s="38" t="s">
        <v>7564</v>
      </c>
      <c r="E1194" s="38" t="s">
        <v>7565</v>
      </c>
      <c r="F1194" s="38" t="s">
        <v>7566</v>
      </c>
      <c r="G1194" s="38" t="s">
        <v>7567</v>
      </c>
      <c r="H1194" s="44"/>
    </row>
    <row r="1195">
      <c r="B1195" s="38" t="s">
        <v>7568</v>
      </c>
      <c r="C1195" s="38" t="s">
        <v>7569</v>
      </c>
      <c r="D1195" s="38" t="s">
        <v>7570</v>
      </c>
      <c r="E1195" s="38" t="s">
        <v>7571</v>
      </c>
      <c r="F1195" s="38" t="s">
        <v>7572</v>
      </c>
      <c r="G1195" s="38" t="s">
        <v>7106</v>
      </c>
    </row>
    <row r="1196">
      <c r="B1196" s="38" t="s">
        <v>7573</v>
      </c>
      <c r="C1196" s="353" t="s">
        <v>7574</v>
      </c>
      <c r="D1196" s="38" t="s">
        <v>7575</v>
      </c>
      <c r="E1196" s="38" t="s">
        <v>7576</v>
      </c>
      <c r="F1196" s="38" t="s">
        <v>7577</v>
      </c>
      <c r="G1196" s="38" t="s">
        <v>7106</v>
      </c>
    </row>
    <row r="1197">
      <c r="B1197" s="38" t="s">
        <v>7578</v>
      </c>
      <c r="C1197" s="38">
        <v>1.0</v>
      </c>
      <c r="D1197" s="38" t="s">
        <v>4386</v>
      </c>
      <c r="E1197" s="38" t="s">
        <v>7579</v>
      </c>
      <c r="F1197" s="44"/>
      <c r="G1197" s="38" t="s">
        <v>6124</v>
      </c>
    </row>
    <row r="1198">
      <c r="B1198" s="38" t="s">
        <v>22</v>
      </c>
      <c r="C1198" s="38">
        <v>4.0</v>
      </c>
      <c r="D1198" s="38" t="s">
        <v>6104</v>
      </c>
      <c r="E1198" s="281" t="s">
        <v>6105</v>
      </c>
      <c r="F1198" s="38" t="s">
        <v>7580</v>
      </c>
      <c r="G1198" s="38" t="s">
        <v>7370</v>
      </c>
    </row>
    <row r="1199">
      <c r="B1199" s="38" t="s">
        <v>7581</v>
      </c>
      <c r="C1199" s="38">
        <v>2.0</v>
      </c>
      <c r="D1199" s="38" t="s">
        <v>6738</v>
      </c>
      <c r="E1199" s="281" t="s">
        <v>7582</v>
      </c>
      <c r="F1199" s="38" t="s">
        <v>7583</v>
      </c>
      <c r="G1199" s="38" t="s">
        <v>7584</v>
      </c>
    </row>
    <row r="1200">
      <c r="B1200" s="38" t="s">
        <v>7585</v>
      </c>
      <c r="C1200" s="38" t="s">
        <v>7586</v>
      </c>
      <c r="D1200" s="38" t="s">
        <v>7587</v>
      </c>
      <c r="E1200" s="38" t="s">
        <v>1619</v>
      </c>
      <c r="F1200" s="38" t="s">
        <v>7588</v>
      </c>
      <c r="G1200" s="38" t="s">
        <v>7589</v>
      </c>
    </row>
    <row r="1201">
      <c r="B1201" s="38" t="s">
        <v>25</v>
      </c>
      <c r="C1201" s="38">
        <v>2.0</v>
      </c>
      <c r="D1201" s="38" t="s">
        <v>6104</v>
      </c>
      <c r="E1201" s="281" t="s">
        <v>6105</v>
      </c>
      <c r="F1201" s="38" t="s">
        <v>2645</v>
      </c>
      <c r="G1201" s="38" t="s">
        <v>7590</v>
      </c>
    </row>
    <row r="1202">
      <c r="B1202" s="38" t="s">
        <v>85</v>
      </c>
      <c r="C1202" s="38">
        <v>1.0</v>
      </c>
      <c r="D1202" s="38" t="s">
        <v>4386</v>
      </c>
      <c r="E1202" s="38" t="s">
        <v>7591</v>
      </c>
      <c r="F1202" s="38" t="s">
        <v>7592</v>
      </c>
      <c r="G1202" s="38" t="s">
        <v>6196</v>
      </c>
    </row>
    <row r="1203">
      <c r="B1203" s="178" t="s">
        <v>7593</v>
      </c>
      <c r="C1203" s="44"/>
      <c r="D1203" s="272" t="s">
        <v>7594</v>
      </c>
      <c r="E1203" s="38" t="s">
        <v>6359</v>
      </c>
      <c r="F1203" s="44"/>
      <c r="G1203" s="44"/>
    </row>
    <row r="1204">
      <c r="B1204" s="38" t="s">
        <v>22</v>
      </c>
      <c r="C1204" s="38">
        <v>4.0</v>
      </c>
      <c r="D1204" s="38" t="s">
        <v>1964</v>
      </c>
      <c r="E1204" s="38" t="s">
        <v>6921</v>
      </c>
      <c r="F1204" s="38" t="s">
        <v>7595</v>
      </c>
      <c r="G1204" s="38" t="s">
        <v>7596</v>
      </c>
    </row>
    <row r="1205">
      <c r="B1205" s="38" t="s">
        <v>7597</v>
      </c>
      <c r="C1205" s="38" t="s">
        <v>7598</v>
      </c>
      <c r="D1205" s="382" t="s">
        <v>7599</v>
      </c>
      <c r="E1205" s="38" t="s">
        <v>4601</v>
      </c>
      <c r="F1205" s="38" t="s">
        <v>7600</v>
      </c>
      <c r="G1205" s="38" t="s">
        <v>7142</v>
      </c>
    </row>
    <row r="1206">
      <c r="B1206" s="38" t="s">
        <v>7601</v>
      </c>
      <c r="C1206" s="38" t="s">
        <v>7602</v>
      </c>
      <c r="D1206" s="383"/>
      <c r="E1206" s="38" t="s">
        <v>7603</v>
      </c>
      <c r="F1206" s="38" t="s">
        <v>7604</v>
      </c>
      <c r="G1206" s="38" t="s">
        <v>7605</v>
      </c>
      <c r="H1206" s="38" t="s">
        <v>7606</v>
      </c>
    </row>
    <row r="1207">
      <c r="B1207" s="38" t="s">
        <v>7607</v>
      </c>
      <c r="C1207" s="44"/>
      <c r="D1207" s="383" t="s">
        <v>7608</v>
      </c>
      <c r="E1207" s="38" t="s">
        <v>7603</v>
      </c>
      <c r="F1207" s="38" t="s">
        <v>7609</v>
      </c>
      <c r="G1207" s="38" t="s">
        <v>7610</v>
      </c>
      <c r="H1207" s="38" t="s">
        <v>7606</v>
      </c>
    </row>
    <row r="1208">
      <c r="B1208" s="38" t="s">
        <v>7611</v>
      </c>
      <c r="C1208" s="38" t="s">
        <v>5440</v>
      </c>
      <c r="D1208" s="383" t="s">
        <v>7612</v>
      </c>
      <c r="E1208" s="38" t="s">
        <v>7603</v>
      </c>
      <c r="F1208" s="38" t="s">
        <v>7613</v>
      </c>
      <c r="G1208" s="38"/>
      <c r="H1208" s="38" t="s">
        <v>7606</v>
      </c>
    </row>
    <row r="1209">
      <c r="B1209" s="38" t="s">
        <v>7614</v>
      </c>
      <c r="C1209" s="38"/>
      <c r="D1209" s="383" t="s">
        <v>7615</v>
      </c>
      <c r="E1209" s="38" t="s">
        <v>7603</v>
      </c>
      <c r="F1209" s="38" t="s">
        <v>7616</v>
      </c>
      <c r="G1209" s="38" t="s">
        <v>7617</v>
      </c>
      <c r="H1209" s="38" t="s">
        <v>7606</v>
      </c>
    </row>
    <row r="1210">
      <c r="B1210" s="38" t="s">
        <v>140</v>
      </c>
      <c r="C1210" s="38">
        <v>1.0</v>
      </c>
      <c r="D1210" s="38" t="s">
        <v>7618</v>
      </c>
      <c r="E1210" s="38" t="s">
        <v>873</v>
      </c>
      <c r="F1210" s="38" t="s">
        <v>1331</v>
      </c>
      <c r="G1210" s="38" t="s">
        <v>7619</v>
      </c>
    </row>
    <row r="1211">
      <c r="B1211" s="38" t="s">
        <v>949</v>
      </c>
      <c r="C1211" s="38">
        <v>4.0</v>
      </c>
      <c r="D1211" s="38" t="s">
        <v>1305</v>
      </c>
      <c r="E1211" s="38" t="s">
        <v>7620</v>
      </c>
      <c r="F1211" s="38" t="s">
        <v>1261</v>
      </c>
      <c r="G1211" s="38" t="s">
        <v>7621</v>
      </c>
      <c r="H1211" s="44"/>
    </row>
    <row r="1212">
      <c r="B1212" s="38" t="s">
        <v>25</v>
      </c>
      <c r="C1212" s="38">
        <v>4.0</v>
      </c>
      <c r="D1212" s="38" t="s">
        <v>289</v>
      </c>
      <c r="E1212" s="38" t="s">
        <v>7622</v>
      </c>
      <c r="F1212" s="38" t="s">
        <v>7623</v>
      </c>
      <c r="G1212" s="38" t="s">
        <v>7624</v>
      </c>
      <c r="H1212" s="44"/>
    </row>
    <row r="1213">
      <c r="B1213" s="272" t="s">
        <v>7625</v>
      </c>
      <c r="C1213" s="272" t="s">
        <v>7626</v>
      </c>
      <c r="D1213" s="38" t="s">
        <v>7627</v>
      </c>
      <c r="E1213" s="38" t="s">
        <v>514</v>
      </c>
      <c r="F1213" s="294" t="s">
        <v>7628</v>
      </c>
      <c r="G1213" s="272" t="s">
        <v>7629</v>
      </c>
      <c r="H1213" s="38" t="s">
        <v>7630</v>
      </c>
    </row>
    <row r="1214">
      <c r="A1214" s="1"/>
      <c r="B1214" s="272"/>
      <c r="C1214" s="272"/>
      <c r="D1214" s="38"/>
      <c r="E1214" s="38" t="s">
        <v>514</v>
      </c>
      <c r="F1214" s="294" t="s">
        <v>7631</v>
      </c>
      <c r="G1214" s="272"/>
      <c r="H1214" s="38"/>
    </row>
    <row r="1215">
      <c r="B1215" s="38" t="s">
        <v>7632</v>
      </c>
      <c r="C1215" s="44"/>
      <c r="D1215" s="44"/>
      <c r="E1215" s="38" t="s">
        <v>7633</v>
      </c>
      <c r="F1215" s="44"/>
      <c r="G1215" s="38" t="s">
        <v>6121</v>
      </c>
    </row>
    <row r="1216">
      <c r="B1216" s="323"/>
      <c r="C1216" s="323"/>
      <c r="D1216" s="38" t="s">
        <v>7634</v>
      </c>
      <c r="E1216" s="38" t="s">
        <v>7635</v>
      </c>
      <c r="F1216" s="332"/>
      <c r="G1216" s="272" t="s">
        <v>7636</v>
      </c>
    </row>
    <row r="1217">
      <c r="B1217" s="44"/>
      <c r="C1217" s="44"/>
      <c r="D1217" s="44"/>
      <c r="E1217" s="38" t="s">
        <v>974</v>
      </c>
      <c r="F1217" s="38" t="s">
        <v>7637</v>
      </c>
      <c r="G1217" s="38" t="s">
        <v>4421</v>
      </c>
    </row>
    <row r="1218">
      <c r="B1218" s="38" t="s">
        <v>718</v>
      </c>
      <c r="C1218" s="38">
        <v>1.0</v>
      </c>
      <c r="D1218" s="38" t="s">
        <v>684</v>
      </c>
      <c r="E1218" s="38" t="s">
        <v>418</v>
      </c>
      <c r="F1218" s="38" t="s">
        <v>7638</v>
      </c>
      <c r="G1218" s="38" t="s">
        <v>7639</v>
      </c>
    </row>
    <row r="1219">
      <c r="B1219" s="38" t="s">
        <v>354</v>
      </c>
      <c r="C1219" s="38">
        <v>4.0</v>
      </c>
      <c r="D1219" s="38" t="s">
        <v>7640</v>
      </c>
      <c r="E1219" s="38" t="s">
        <v>7641</v>
      </c>
      <c r="F1219" s="38" t="s">
        <v>7642</v>
      </c>
      <c r="G1219" s="38" t="s">
        <v>7643</v>
      </c>
    </row>
    <row r="1220">
      <c r="B1220" s="44"/>
      <c r="C1220" s="44"/>
      <c r="D1220" s="38" t="s">
        <v>7644</v>
      </c>
      <c r="E1220" s="38" t="s">
        <v>7645</v>
      </c>
      <c r="F1220" s="44"/>
      <c r="G1220" s="38" t="s">
        <v>7646</v>
      </c>
    </row>
    <row r="1221">
      <c r="B1221" s="38" t="s">
        <v>7647</v>
      </c>
      <c r="C1221" s="44"/>
      <c r="D1221" s="38" t="s">
        <v>7648</v>
      </c>
      <c r="E1221" s="38" t="s">
        <v>7649</v>
      </c>
      <c r="F1221" s="44"/>
      <c r="G1221" s="38" t="s">
        <v>7646</v>
      </c>
    </row>
    <row r="1222">
      <c r="B1222" s="44"/>
      <c r="C1222" s="44"/>
      <c r="D1222" s="38"/>
      <c r="E1222" s="38" t="s">
        <v>413</v>
      </c>
      <c r="F1222" s="38" t="s">
        <v>7650</v>
      </c>
      <c r="G1222" s="38" t="s">
        <v>7646</v>
      </c>
    </row>
    <row r="1223">
      <c r="B1223" s="44"/>
      <c r="C1223" s="44"/>
      <c r="D1223" s="38"/>
      <c r="E1223" s="38" t="s">
        <v>413</v>
      </c>
      <c r="F1223" s="38" t="s">
        <v>7651</v>
      </c>
      <c r="G1223" s="38" t="s">
        <v>7646</v>
      </c>
    </row>
    <row r="1224">
      <c r="B1224" s="38" t="s">
        <v>875</v>
      </c>
      <c r="C1224" s="38">
        <v>2.0</v>
      </c>
      <c r="D1224" s="38" t="s">
        <v>7652</v>
      </c>
      <c r="E1224" s="38" t="s">
        <v>4741</v>
      </c>
      <c r="F1224" s="44"/>
      <c r="G1224" s="38" t="s">
        <v>7653</v>
      </c>
    </row>
    <row r="1225">
      <c r="B1225" s="38" t="s">
        <v>1327</v>
      </c>
      <c r="C1225" s="38">
        <v>2.0</v>
      </c>
      <c r="D1225" s="38" t="s">
        <v>7652</v>
      </c>
      <c r="E1225" s="38" t="s">
        <v>4741</v>
      </c>
      <c r="F1225" s="44"/>
      <c r="G1225" s="38" t="s">
        <v>7653</v>
      </c>
    </row>
    <row r="1226">
      <c r="B1226" s="38" t="s">
        <v>549</v>
      </c>
      <c r="C1226" s="38">
        <v>4.0</v>
      </c>
      <c r="D1226" s="38" t="s">
        <v>7654</v>
      </c>
      <c r="E1226" s="38" t="s">
        <v>4290</v>
      </c>
      <c r="F1226" s="38" t="s">
        <v>175</v>
      </c>
      <c r="G1226" s="38" t="s">
        <v>7655</v>
      </c>
    </row>
    <row r="1227">
      <c r="B1227" s="38" t="s">
        <v>147</v>
      </c>
      <c r="C1227" s="38">
        <v>4.0</v>
      </c>
      <c r="D1227" s="38" t="s">
        <v>4386</v>
      </c>
      <c r="E1227" s="38" t="s">
        <v>7656</v>
      </c>
      <c r="F1227" s="38" t="s">
        <v>7657</v>
      </c>
      <c r="G1227" s="38" t="s">
        <v>7658</v>
      </c>
      <c r="H1227" s="38" t="s">
        <v>7659</v>
      </c>
      <c r="I1227" s="38" t="s">
        <v>2252</v>
      </c>
    </row>
    <row r="1228">
      <c r="B1228" s="38" t="s">
        <v>6525</v>
      </c>
      <c r="C1228" s="38" t="s">
        <v>7660</v>
      </c>
      <c r="D1228" s="38" t="s">
        <v>7661</v>
      </c>
      <c r="E1228" s="38" t="s">
        <v>7662</v>
      </c>
      <c r="F1228" s="38" t="s">
        <v>7663</v>
      </c>
      <c r="G1228" s="38" t="s">
        <v>7664</v>
      </c>
    </row>
    <row r="1229">
      <c r="B1229" s="1"/>
      <c r="C1229" s="1"/>
      <c r="D1229" s="1" t="s">
        <v>7665</v>
      </c>
      <c r="E1229" s="1" t="s">
        <v>7666</v>
      </c>
      <c r="F1229" s="1"/>
      <c r="G1229" s="1"/>
    </row>
    <row r="1230">
      <c r="B1230" s="1"/>
      <c r="C1230" s="1"/>
      <c r="D1230" s="1"/>
      <c r="E1230" s="1" t="s">
        <v>7667</v>
      </c>
      <c r="F1230" s="1"/>
      <c r="G1230" s="1"/>
    </row>
    <row r="1231">
      <c r="B1231" s="384" t="s">
        <v>7668</v>
      </c>
      <c r="C1231" s="38">
        <v>2.0</v>
      </c>
      <c r="D1231" s="299" t="s">
        <v>7669</v>
      </c>
      <c r="E1231" s="38" t="s">
        <v>1072</v>
      </c>
      <c r="F1231" s="38" t="s">
        <v>7670</v>
      </c>
      <c r="G1231" s="38" t="s">
        <v>7671</v>
      </c>
    </row>
    <row r="1232">
      <c r="B1232" s="44"/>
      <c r="C1232" s="38">
        <v>1.0</v>
      </c>
      <c r="D1232" s="38" t="s">
        <v>7672</v>
      </c>
      <c r="E1232" s="38" t="s">
        <v>7673</v>
      </c>
      <c r="F1232" s="38" t="s">
        <v>7674</v>
      </c>
    </row>
    <row r="1233">
      <c r="D1233" s="38" t="s">
        <v>7675</v>
      </c>
      <c r="E1233" s="38" t="s">
        <v>7437</v>
      </c>
      <c r="F1233" s="38" t="s">
        <v>7676</v>
      </c>
    </row>
    <row r="1234">
      <c r="B1234" s="38" t="s">
        <v>7677</v>
      </c>
      <c r="C1234" s="38" t="s">
        <v>7678</v>
      </c>
      <c r="D1234" s="38" t="s">
        <v>7679</v>
      </c>
      <c r="E1234" s="38" t="s">
        <v>7680</v>
      </c>
      <c r="F1234" s="38" t="s">
        <v>7681</v>
      </c>
      <c r="G1234" s="38" t="s">
        <v>7682</v>
      </c>
      <c r="H1234" s="44"/>
      <c r="I1234" s="44"/>
    </row>
    <row r="1235">
      <c r="B1235" s="38" t="s">
        <v>7683</v>
      </c>
      <c r="C1235" s="178" t="s">
        <v>7684</v>
      </c>
      <c r="D1235" s="38" t="s">
        <v>7685</v>
      </c>
      <c r="E1235" s="38" t="s">
        <v>7686</v>
      </c>
      <c r="F1235" s="38" t="s">
        <v>7687</v>
      </c>
      <c r="G1235" s="38" t="s">
        <v>7688</v>
      </c>
      <c r="H1235" s="38" t="s">
        <v>7689</v>
      </c>
      <c r="I1235" s="44"/>
    </row>
    <row r="1236">
      <c r="B1236" s="38" t="s">
        <v>7690</v>
      </c>
      <c r="C1236" s="178" t="s">
        <v>7691</v>
      </c>
      <c r="D1236" s="38" t="s">
        <v>7692</v>
      </c>
      <c r="E1236" s="38" t="s">
        <v>7693</v>
      </c>
      <c r="F1236" s="38" t="s">
        <v>7694</v>
      </c>
      <c r="G1236" s="38"/>
      <c r="H1236" s="38"/>
      <c r="I1236" s="44"/>
    </row>
    <row r="1237">
      <c r="B1237" s="38" t="s">
        <v>7695</v>
      </c>
      <c r="C1237" s="38">
        <v>2.0</v>
      </c>
      <c r="D1237" s="38" t="s">
        <v>7291</v>
      </c>
      <c r="E1237" s="38" t="s">
        <v>7696</v>
      </c>
      <c r="F1237" s="38" t="s">
        <v>7697</v>
      </c>
      <c r="G1237" s="38" t="s">
        <v>7698</v>
      </c>
    </row>
    <row r="1238">
      <c r="B1238" s="38" t="s">
        <v>271</v>
      </c>
      <c r="C1238" s="38">
        <v>4.0</v>
      </c>
      <c r="D1238" s="38" t="s">
        <v>560</v>
      </c>
      <c r="E1238" s="38" t="s">
        <v>7699</v>
      </c>
      <c r="F1238" s="44"/>
      <c r="G1238" s="44"/>
    </row>
    <row r="1239">
      <c r="B1239" s="44"/>
      <c r="C1239" s="44"/>
      <c r="D1239" s="38" t="s">
        <v>7700</v>
      </c>
      <c r="E1239" s="38" t="s">
        <v>7699</v>
      </c>
      <c r="F1239" s="38" t="s">
        <v>208</v>
      </c>
    </row>
    <row r="1240">
      <c r="B1240" s="38" t="s">
        <v>6201</v>
      </c>
      <c r="C1240" s="38">
        <v>4.0</v>
      </c>
      <c r="D1240" s="38" t="s">
        <v>6136</v>
      </c>
      <c r="E1240" s="38" t="s">
        <v>7701</v>
      </c>
      <c r="F1240" s="38" t="s">
        <v>7702</v>
      </c>
    </row>
    <row r="1241">
      <c r="B1241" s="38" t="s">
        <v>398</v>
      </c>
      <c r="C1241" s="38">
        <v>4.0</v>
      </c>
      <c r="D1241" s="38" t="s">
        <v>3135</v>
      </c>
      <c r="E1241" s="38" t="s">
        <v>7703</v>
      </c>
      <c r="F1241" s="38" t="s">
        <v>7704</v>
      </c>
      <c r="G1241" s="38" t="s">
        <v>7705</v>
      </c>
    </row>
    <row r="1242">
      <c r="B1242" s="38" t="s">
        <v>623</v>
      </c>
      <c r="C1242" s="38">
        <v>2.0</v>
      </c>
      <c r="D1242" s="38" t="s">
        <v>3528</v>
      </c>
      <c r="E1242" s="38" t="s">
        <v>4787</v>
      </c>
      <c r="F1242" s="38" t="s">
        <v>7706</v>
      </c>
      <c r="G1242" s="38" t="s">
        <v>6468</v>
      </c>
    </row>
    <row r="1243">
      <c r="B1243" s="38" t="s">
        <v>439</v>
      </c>
      <c r="C1243" s="38">
        <v>2.0</v>
      </c>
      <c r="D1243" s="38" t="s">
        <v>3528</v>
      </c>
      <c r="E1243" s="38" t="s">
        <v>4787</v>
      </c>
      <c r="F1243" s="38" t="s">
        <v>7707</v>
      </c>
      <c r="G1243" s="38" t="s">
        <v>6468</v>
      </c>
    </row>
    <row r="1244">
      <c r="B1244" s="38"/>
      <c r="C1244" s="38"/>
      <c r="D1244" s="38"/>
      <c r="E1244" s="38" t="s">
        <v>4787</v>
      </c>
      <c r="F1244" s="38" t="s">
        <v>7708</v>
      </c>
      <c r="G1244" s="38" t="s">
        <v>4785</v>
      </c>
    </row>
    <row r="1245">
      <c r="B1245" s="44"/>
      <c r="C1245" s="44"/>
      <c r="D1245" s="38" t="s">
        <v>7709</v>
      </c>
      <c r="E1245" s="38" t="s">
        <v>7710</v>
      </c>
      <c r="F1245" s="38" t="s">
        <v>7711</v>
      </c>
    </row>
    <row r="1246">
      <c r="B1246" s="38" t="s">
        <v>22</v>
      </c>
      <c r="C1246" s="38">
        <v>1.0</v>
      </c>
      <c r="D1246" s="38" t="s">
        <v>2124</v>
      </c>
      <c r="E1246" s="38" t="s">
        <v>7712</v>
      </c>
      <c r="F1246" s="38" t="s">
        <v>4650</v>
      </c>
    </row>
    <row r="1247">
      <c r="B1247" s="38" t="s">
        <v>63</v>
      </c>
      <c r="C1247" s="38">
        <v>1.0</v>
      </c>
      <c r="D1247" s="38" t="s">
        <v>412</v>
      </c>
      <c r="E1247" s="38" t="s">
        <v>1017</v>
      </c>
      <c r="F1247" s="38" t="s">
        <v>6994</v>
      </c>
    </row>
    <row r="1248">
      <c r="B1248" s="38" t="s">
        <v>733</v>
      </c>
      <c r="C1248" s="38">
        <v>4.0</v>
      </c>
      <c r="D1248" s="38" t="s">
        <v>5778</v>
      </c>
      <c r="E1248" s="38" t="s">
        <v>7641</v>
      </c>
      <c r="F1248" s="38" t="s">
        <v>7713</v>
      </c>
      <c r="G1248" s="38" t="s">
        <v>7714</v>
      </c>
    </row>
    <row r="1249">
      <c r="B1249" s="38" t="s">
        <v>25</v>
      </c>
      <c r="C1249" s="38">
        <v>4.0</v>
      </c>
      <c r="D1249" s="38" t="s">
        <v>7715</v>
      </c>
      <c r="E1249" s="38" t="s">
        <v>7716</v>
      </c>
      <c r="F1249" s="38" t="s">
        <v>7717</v>
      </c>
    </row>
    <row r="1250">
      <c r="B1250" s="38" t="s">
        <v>25</v>
      </c>
      <c r="C1250" s="38">
        <v>4.0</v>
      </c>
      <c r="D1250" s="38" t="s">
        <v>7715</v>
      </c>
      <c r="E1250" s="38" t="s">
        <v>7716</v>
      </c>
      <c r="F1250" s="38" t="s">
        <v>7717</v>
      </c>
    </row>
    <row r="1251">
      <c r="B1251" s="38" t="s">
        <v>25</v>
      </c>
      <c r="C1251" s="38">
        <v>4.0</v>
      </c>
      <c r="D1251" s="38" t="s">
        <v>7715</v>
      </c>
      <c r="E1251" s="38" t="s">
        <v>7716</v>
      </c>
      <c r="F1251" s="38" t="s">
        <v>7717</v>
      </c>
    </row>
    <row r="1252">
      <c r="B1252" s="365" t="s">
        <v>25</v>
      </c>
      <c r="C1252" s="365">
        <v>1.0</v>
      </c>
      <c r="D1252" s="365" t="s">
        <v>7718</v>
      </c>
      <c r="E1252" s="365" t="s">
        <v>4407</v>
      </c>
      <c r="F1252" s="365" t="s">
        <v>7719</v>
      </c>
    </row>
    <row r="1253">
      <c r="B1253" s="44"/>
      <c r="C1253" s="44"/>
      <c r="D1253" s="38" t="s">
        <v>7720</v>
      </c>
      <c r="E1253" s="38" t="s">
        <v>4762</v>
      </c>
      <c r="F1253" s="38" t="s">
        <v>6860</v>
      </c>
    </row>
    <row r="1254">
      <c r="B1254" s="38" t="s">
        <v>271</v>
      </c>
      <c r="C1254" s="38">
        <v>2.0</v>
      </c>
      <c r="D1254" s="38" t="s">
        <v>6192</v>
      </c>
      <c r="E1254" s="38" t="s">
        <v>7136</v>
      </c>
      <c r="F1254" s="38" t="s">
        <v>7721</v>
      </c>
      <c r="G1254" s="38" t="s">
        <v>7722</v>
      </c>
      <c r="H1254" s="38" t="s">
        <v>4268</v>
      </c>
    </row>
    <row r="1255">
      <c r="B1255" s="44"/>
      <c r="C1255" s="44"/>
      <c r="D1255" s="38" t="s">
        <v>7723</v>
      </c>
      <c r="E1255" s="38" t="s">
        <v>7724</v>
      </c>
      <c r="F1255" s="38" t="s">
        <v>7725</v>
      </c>
    </row>
    <row r="1256">
      <c r="B1256" s="44"/>
      <c r="C1256" s="44"/>
      <c r="D1256" s="38" t="s">
        <v>7726</v>
      </c>
      <c r="E1256" s="38" t="s">
        <v>7724</v>
      </c>
      <c r="F1256" s="38"/>
    </row>
    <row r="1257">
      <c r="B1257" s="38" t="s">
        <v>3725</v>
      </c>
      <c r="C1257" s="38">
        <v>14.0</v>
      </c>
      <c r="D1257" s="38" t="s">
        <v>7727</v>
      </c>
      <c r="E1257" s="385" t="s">
        <v>7728</v>
      </c>
      <c r="F1257" s="38" t="s">
        <v>7729</v>
      </c>
      <c r="G1257" s="38" t="s">
        <v>7730</v>
      </c>
    </row>
    <row r="1258">
      <c r="B1258" s="44"/>
      <c r="C1258" s="38">
        <v>2.0</v>
      </c>
      <c r="D1258" s="276" t="s">
        <v>7731</v>
      </c>
      <c r="E1258" s="38" t="s">
        <v>7732</v>
      </c>
      <c r="F1258" s="38" t="s">
        <v>7733</v>
      </c>
      <c r="G1258" s="38" t="s">
        <v>7734</v>
      </c>
      <c r="H1258" s="38" t="s">
        <v>4268</v>
      </c>
    </row>
    <row r="1259">
      <c r="B1259" s="38" t="s">
        <v>357</v>
      </c>
      <c r="C1259" s="38">
        <v>4.0</v>
      </c>
      <c r="D1259" s="38" t="s">
        <v>7735</v>
      </c>
      <c r="E1259" s="385" t="s">
        <v>7728</v>
      </c>
      <c r="F1259" s="38" t="s">
        <v>7736</v>
      </c>
      <c r="G1259" s="38" t="s">
        <v>7730</v>
      </c>
    </row>
    <row r="1260">
      <c r="B1260" s="44"/>
      <c r="C1260" s="44"/>
      <c r="D1260" s="38" t="s">
        <v>7717</v>
      </c>
      <c r="E1260" s="38" t="s">
        <v>7716</v>
      </c>
      <c r="F1260" s="38" t="s">
        <v>7737</v>
      </c>
      <c r="G1260" s="38" t="s">
        <v>7738</v>
      </c>
    </row>
    <row r="1261">
      <c r="B1261" s="44"/>
      <c r="C1261" s="44"/>
      <c r="D1261" s="38" t="s">
        <v>7717</v>
      </c>
      <c r="E1261" s="38" t="s">
        <v>7716</v>
      </c>
      <c r="F1261" s="38" t="s">
        <v>7739</v>
      </c>
      <c r="G1261" s="299" t="s">
        <v>7740</v>
      </c>
    </row>
    <row r="1262">
      <c r="B1262" s="38"/>
      <c r="C1262" s="44"/>
      <c r="D1262" s="38" t="s">
        <v>7717</v>
      </c>
      <c r="E1262" s="38" t="s">
        <v>7716</v>
      </c>
      <c r="F1262" s="38" t="s">
        <v>7741</v>
      </c>
      <c r="G1262" s="299"/>
    </row>
    <row r="1263">
      <c r="B1263" s="38"/>
      <c r="C1263" s="44"/>
      <c r="D1263" s="38" t="s">
        <v>7717</v>
      </c>
      <c r="E1263" s="38" t="s">
        <v>7716</v>
      </c>
      <c r="F1263" s="38" t="s">
        <v>7742</v>
      </c>
      <c r="G1263" s="299"/>
    </row>
    <row r="1264">
      <c r="B1264" s="38" t="s">
        <v>1006</v>
      </c>
      <c r="C1264" s="38">
        <v>4.0</v>
      </c>
      <c r="D1264" s="38" t="s">
        <v>1084</v>
      </c>
      <c r="E1264" s="274" t="s">
        <v>7743</v>
      </c>
      <c r="F1264" s="38" t="s">
        <v>7744</v>
      </c>
      <c r="G1264" s="44"/>
    </row>
    <row r="1265">
      <c r="B1265" s="38"/>
      <c r="C1265" s="44"/>
      <c r="D1265" s="38"/>
      <c r="E1265" s="38" t="s">
        <v>7745</v>
      </c>
      <c r="F1265" s="38" t="s">
        <v>7746</v>
      </c>
      <c r="G1265" s="38"/>
      <c r="H1265" s="44"/>
    </row>
    <row r="1266">
      <c r="B1266" s="38" t="s">
        <v>7747</v>
      </c>
      <c r="C1266" s="44"/>
      <c r="D1266" s="38" t="s">
        <v>7748</v>
      </c>
      <c r="E1266" s="38" t="s">
        <v>7745</v>
      </c>
      <c r="F1266" s="38" t="s">
        <v>7749</v>
      </c>
      <c r="G1266" s="38" t="s">
        <v>7750</v>
      </c>
      <c r="H1266" s="44"/>
    </row>
    <row r="1267">
      <c r="B1267" s="38" t="s">
        <v>7751</v>
      </c>
      <c r="C1267" s="44"/>
      <c r="D1267" s="38" t="s">
        <v>7688</v>
      </c>
      <c r="E1267" s="38" t="s">
        <v>7745</v>
      </c>
      <c r="F1267" s="38" t="s">
        <v>7752</v>
      </c>
      <c r="G1267" s="38" t="s">
        <v>7753</v>
      </c>
      <c r="H1267" s="44"/>
    </row>
    <row r="1268">
      <c r="B1268" s="38"/>
      <c r="C1268" s="38" t="s">
        <v>7754</v>
      </c>
      <c r="D1268" s="38" t="s">
        <v>7755</v>
      </c>
      <c r="E1268" s="38" t="s">
        <v>7745</v>
      </c>
      <c r="F1268" s="38" t="s">
        <v>7756</v>
      </c>
      <c r="G1268" s="38" t="s">
        <v>7757</v>
      </c>
      <c r="H1268" s="38" t="s">
        <v>7758</v>
      </c>
    </row>
    <row r="1269">
      <c r="B1269" s="38"/>
      <c r="C1269" s="38"/>
      <c r="D1269" s="38"/>
      <c r="E1269" s="38" t="s">
        <v>7745</v>
      </c>
      <c r="F1269" s="38" t="s">
        <v>7759</v>
      </c>
      <c r="G1269" s="38" t="s">
        <v>7760</v>
      </c>
      <c r="H1269" s="38"/>
    </row>
    <row r="1270">
      <c r="B1270" s="47"/>
      <c r="C1270" s="47"/>
      <c r="D1270" s="38" t="s">
        <v>7761</v>
      </c>
      <c r="E1270" s="47" t="s">
        <v>7762</v>
      </c>
      <c r="F1270" s="38" t="s">
        <v>7763</v>
      </c>
    </row>
    <row r="1271">
      <c r="B1271" s="47"/>
      <c r="C1271" s="47"/>
      <c r="D1271" s="38" t="s">
        <v>3368</v>
      </c>
      <c r="E1271" s="47" t="s">
        <v>7762</v>
      </c>
      <c r="F1271" s="38" t="s">
        <v>7763</v>
      </c>
    </row>
    <row r="1272">
      <c r="B1272" s="47" t="s">
        <v>7764</v>
      </c>
      <c r="C1272" s="47" t="s">
        <v>7765</v>
      </c>
      <c r="D1272" s="38" t="s">
        <v>7766</v>
      </c>
      <c r="E1272" s="47" t="s">
        <v>7762</v>
      </c>
      <c r="F1272" s="38" t="s">
        <v>7767</v>
      </c>
      <c r="G1272" s="38" t="s">
        <v>7768</v>
      </c>
    </row>
    <row r="1273">
      <c r="B1273" s="38" t="s">
        <v>7769</v>
      </c>
      <c r="C1273" s="38" t="s">
        <v>7770</v>
      </c>
      <c r="D1273" s="38" t="s">
        <v>7771</v>
      </c>
      <c r="E1273" s="47" t="s">
        <v>7762</v>
      </c>
      <c r="F1273" s="38" t="s">
        <v>7772</v>
      </c>
      <c r="G1273" s="38" t="s">
        <v>7768</v>
      </c>
    </row>
    <row r="1274">
      <c r="B1274" s="38" t="s">
        <v>7773</v>
      </c>
      <c r="C1274" s="38" t="s">
        <v>7774</v>
      </c>
      <c r="D1274" s="38" t="s">
        <v>7775</v>
      </c>
      <c r="E1274" s="47" t="s">
        <v>7762</v>
      </c>
      <c r="F1274" s="38" t="s">
        <v>7776</v>
      </c>
      <c r="G1274" s="38" t="s">
        <v>7768</v>
      </c>
    </row>
    <row r="1275">
      <c r="B1275" s="38" t="s">
        <v>7777</v>
      </c>
      <c r="C1275" s="38" t="s">
        <v>7778</v>
      </c>
      <c r="D1275" s="38" t="s">
        <v>7779</v>
      </c>
      <c r="E1275" s="47" t="s">
        <v>7762</v>
      </c>
      <c r="F1275" s="38" t="s">
        <v>7780</v>
      </c>
      <c r="G1275" s="38" t="s">
        <v>7768</v>
      </c>
    </row>
    <row r="1276">
      <c r="B1276" s="38" t="s">
        <v>7781</v>
      </c>
      <c r="C1276" s="47"/>
      <c r="D1276" s="38" t="s">
        <v>7782</v>
      </c>
      <c r="E1276" s="47" t="s">
        <v>7762</v>
      </c>
      <c r="F1276" s="38" t="s">
        <v>7783</v>
      </c>
      <c r="G1276" s="38" t="s">
        <v>7768</v>
      </c>
    </row>
    <row r="1277">
      <c r="B1277" s="38" t="s">
        <v>7784</v>
      </c>
      <c r="C1277" s="38" t="s">
        <v>7785</v>
      </c>
      <c r="D1277" s="38" t="s">
        <v>7786</v>
      </c>
      <c r="E1277" s="47" t="s">
        <v>7762</v>
      </c>
      <c r="F1277" s="38" t="s">
        <v>7787</v>
      </c>
      <c r="G1277" s="38" t="s">
        <v>7768</v>
      </c>
    </row>
    <row r="1278">
      <c r="B1278" s="47"/>
      <c r="C1278" s="38" t="s">
        <v>7788</v>
      </c>
      <c r="D1278" s="47"/>
      <c r="E1278" s="38" t="s">
        <v>7789</v>
      </c>
      <c r="F1278" s="47"/>
      <c r="G1278" s="38" t="s">
        <v>7790</v>
      </c>
    </row>
    <row r="1279">
      <c r="B1279" s="47"/>
      <c r="C1279" s="38" t="s">
        <v>7791</v>
      </c>
      <c r="D1279" s="47"/>
      <c r="E1279" s="47" t="s">
        <v>7762</v>
      </c>
      <c r="F1279" s="47"/>
      <c r="G1279" s="38" t="s">
        <v>7790</v>
      </c>
    </row>
    <row r="1280">
      <c r="B1280" s="47"/>
      <c r="C1280" s="38" t="s">
        <v>7792</v>
      </c>
      <c r="D1280" s="47"/>
      <c r="E1280" s="47" t="s">
        <v>7762</v>
      </c>
      <c r="F1280" s="38" t="s">
        <v>7793</v>
      </c>
      <c r="G1280" s="38" t="s">
        <v>7790</v>
      </c>
    </row>
    <row r="1281">
      <c r="B1281" s="47"/>
      <c r="C1281" s="38" t="s">
        <v>7794</v>
      </c>
      <c r="D1281" s="47"/>
      <c r="E1281" s="47" t="s">
        <v>7762</v>
      </c>
      <c r="F1281" s="47"/>
      <c r="G1281" s="38" t="s">
        <v>7790</v>
      </c>
    </row>
    <row r="1282">
      <c r="B1282" s="44"/>
      <c r="C1282" s="38" t="s">
        <v>7795</v>
      </c>
      <c r="D1282" s="47"/>
      <c r="E1282" s="47" t="s">
        <v>7762</v>
      </c>
      <c r="F1282" s="38" t="s">
        <v>7796</v>
      </c>
      <c r="G1282" s="38" t="s">
        <v>7768</v>
      </c>
    </row>
    <row r="1283">
      <c r="B1283" s="38" t="s">
        <v>7797</v>
      </c>
      <c r="C1283" s="38" t="s">
        <v>7798</v>
      </c>
      <c r="D1283" s="44"/>
      <c r="E1283" s="47" t="s">
        <v>7762</v>
      </c>
      <c r="F1283" s="38" t="s">
        <v>7799</v>
      </c>
      <c r="G1283" s="38" t="s">
        <v>7768</v>
      </c>
    </row>
    <row r="1284">
      <c r="B1284" s="38"/>
      <c r="C1284" s="44"/>
      <c r="D1284" s="305" t="s">
        <v>7800</v>
      </c>
      <c r="E1284" s="38" t="s">
        <v>7762</v>
      </c>
      <c r="F1284" s="38" t="s">
        <v>7801</v>
      </c>
      <c r="G1284" s="38" t="s">
        <v>7802</v>
      </c>
    </row>
    <row r="1285">
      <c r="B1285" s="38" t="s">
        <v>7803</v>
      </c>
      <c r="C1285" s="38" t="s">
        <v>7804</v>
      </c>
      <c r="D1285" s="38" t="s">
        <v>7805</v>
      </c>
      <c r="E1285" s="38" t="s">
        <v>7762</v>
      </c>
      <c r="F1285" s="38" t="s">
        <v>7806</v>
      </c>
      <c r="G1285" s="38" t="s">
        <v>7802</v>
      </c>
    </row>
    <row r="1286">
      <c r="B1286" s="38" t="s">
        <v>430</v>
      </c>
      <c r="C1286" s="38">
        <v>4.0</v>
      </c>
      <c r="D1286" s="38" t="s">
        <v>6571</v>
      </c>
      <c r="E1286" s="38" t="s">
        <v>6458</v>
      </c>
      <c r="F1286" s="38" t="s">
        <v>7807</v>
      </c>
      <c r="G1286" s="38" t="s">
        <v>7808</v>
      </c>
    </row>
    <row r="1287">
      <c r="B1287" s="38" t="s">
        <v>7809</v>
      </c>
      <c r="C1287" s="38" t="s">
        <v>7810</v>
      </c>
      <c r="D1287" s="38" t="s">
        <v>7811</v>
      </c>
      <c r="E1287" s="38" t="s">
        <v>7812</v>
      </c>
      <c r="F1287" s="38" t="s">
        <v>7813</v>
      </c>
      <c r="G1287" s="44"/>
    </row>
    <row r="1288">
      <c r="B1288" s="38" t="s">
        <v>7814</v>
      </c>
      <c r="C1288" s="38" t="s">
        <v>7815</v>
      </c>
      <c r="D1288" s="38" t="s">
        <v>7816</v>
      </c>
      <c r="E1288" s="38" t="s">
        <v>7812</v>
      </c>
      <c r="F1288" s="38" t="s">
        <v>7817</v>
      </c>
      <c r="G1288" s="44"/>
    </row>
    <row r="1289">
      <c r="B1289" s="38" t="s">
        <v>416</v>
      </c>
      <c r="C1289" s="38">
        <v>4.0</v>
      </c>
      <c r="D1289" s="38" t="s">
        <v>7818</v>
      </c>
      <c r="E1289" s="38" t="s">
        <v>7819</v>
      </c>
      <c r="F1289" s="38" t="s">
        <v>7820</v>
      </c>
    </row>
    <row r="1290">
      <c r="B1290" s="38" t="s">
        <v>416</v>
      </c>
      <c r="C1290" s="38">
        <v>2.0</v>
      </c>
      <c r="D1290" s="38" t="s">
        <v>7818</v>
      </c>
      <c r="E1290" s="38" t="s">
        <v>6540</v>
      </c>
      <c r="F1290" s="38" t="s">
        <v>7821</v>
      </c>
    </row>
    <row r="1291">
      <c r="B1291" s="38" t="s">
        <v>35</v>
      </c>
      <c r="C1291" s="38">
        <v>2.0</v>
      </c>
      <c r="D1291" s="38" t="s">
        <v>7818</v>
      </c>
      <c r="E1291" s="38" t="s">
        <v>6540</v>
      </c>
      <c r="F1291" s="38" t="s">
        <v>7821</v>
      </c>
    </row>
    <row r="1292">
      <c r="B1292" s="38" t="s">
        <v>31</v>
      </c>
      <c r="C1292" s="38">
        <v>4.0</v>
      </c>
      <c r="D1292" s="38" t="s">
        <v>1084</v>
      </c>
      <c r="E1292" s="38" t="s">
        <v>5289</v>
      </c>
      <c r="F1292" s="38" t="s">
        <v>7822</v>
      </c>
    </row>
    <row r="1293">
      <c r="B1293" s="44"/>
      <c r="C1293" s="272" t="s">
        <v>7823</v>
      </c>
      <c r="D1293" s="272" t="s">
        <v>7824</v>
      </c>
      <c r="E1293" s="38" t="s">
        <v>4263</v>
      </c>
      <c r="F1293" s="44"/>
    </row>
    <row r="1294">
      <c r="B1294" s="38" t="s">
        <v>7825</v>
      </c>
      <c r="C1294" s="38" t="s">
        <v>7826</v>
      </c>
      <c r="D1294" s="38" t="s">
        <v>7826</v>
      </c>
      <c r="E1294" s="38" t="s">
        <v>5022</v>
      </c>
      <c r="F1294" s="38" t="s">
        <v>7827</v>
      </c>
      <c r="G1294" s="38" t="s">
        <v>7828</v>
      </c>
    </row>
    <row r="1295">
      <c r="B1295" s="38" t="s">
        <v>7829</v>
      </c>
      <c r="C1295" s="38" t="s">
        <v>7830</v>
      </c>
      <c r="D1295" s="38" t="s">
        <v>7831</v>
      </c>
      <c r="E1295" s="38" t="s">
        <v>5022</v>
      </c>
      <c r="F1295" s="38" t="s">
        <v>7832</v>
      </c>
      <c r="G1295" s="44"/>
    </row>
    <row r="1296">
      <c r="B1296" s="38" t="s">
        <v>7833</v>
      </c>
      <c r="C1296" s="38" t="s">
        <v>7834</v>
      </c>
      <c r="D1296" s="38" t="s">
        <v>7834</v>
      </c>
      <c r="E1296" s="38" t="s">
        <v>5022</v>
      </c>
      <c r="F1296" s="38" t="s">
        <v>7835</v>
      </c>
      <c r="G1296" s="44"/>
    </row>
    <row r="1297">
      <c r="B1297" s="38" t="s">
        <v>7835</v>
      </c>
      <c r="C1297" s="38" t="s">
        <v>7836</v>
      </c>
      <c r="D1297" s="38" t="s">
        <v>7837</v>
      </c>
      <c r="E1297" s="38" t="s">
        <v>5022</v>
      </c>
      <c r="F1297" s="38" t="s">
        <v>7838</v>
      </c>
      <c r="G1297" s="38"/>
    </row>
    <row r="1298">
      <c r="B1298" s="44"/>
      <c r="C1298" s="323"/>
      <c r="D1298" s="272" t="s">
        <v>7839</v>
      </c>
      <c r="E1298" s="38" t="s">
        <v>2914</v>
      </c>
      <c r="F1298" s="38" t="s">
        <v>7840</v>
      </c>
      <c r="G1298" s="38" t="s">
        <v>4421</v>
      </c>
    </row>
    <row r="1299">
      <c r="B1299" s="44"/>
      <c r="C1299" s="272" t="s">
        <v>7841</v>
      </c>
      <c r="D1299" s="272" t="s">
        <v>7842</v>
      </c>
      <c r="E1299" s="38" t="s">
        <v>974</v>
      </c>
      <c r="F1299" s="38" t="s">
        <v>7843</v>
      </c>
      <c r="G1299" s="38" t="s">
        <v>4421</v>
      </c>
    </row>
    <row r="1300">
      <c r="B1300" s="44"/>
      <c r="C1300" s="323"/>
      <c r="D1300" s="272"/>
      <c r="E1300" s="38" t="s">
        <v>974</v>
      </c>
      <c r="F1300" s="38" t="s">
        <v>7844</v>
      </c>
      <c r="G1300" s="38" t="s">
        <v>4421</v>
      </c>
    </row>
    <row r="1301">
      <c r="B1301" s="38" t="s">
        <v>7845</v>
      </c>
      <c r="C1301" s="38">
        <v>4.0</v>
      </c>
      <c r="D1301" s="38" t="s">
        <v>7846</v>
      </c>
      <c r="E1301" s="38" t="s">
        <v>7847</v>
      </c>
      <c r="F1301" s="38" t="s">
        <v>7848</v>
      </c>
    </row>
    <row r="1302">
      <c r="B1302" s="38" t="s">
        <v>7849</v>
      </c>
      <c r="C1302" s="38" t="s">
        <v>7850</v>
      </c>
      <c r="D1302" s="38" t="s">
        <v>7851</v>
      </c>
      <c r="E1302" s="38" t="s">
        <v>7852</v>
      </c>
      <c r="F1302" s="38" t="s">
        <v>7853</v>
      </c>
    </row>
    <row r="1303">
      <c r="B1303" s="38" t="s">
        <v>7854</v>
      </c>
      <c r="C1303" s="38" t="s">
        <v>7855</v>
      </c>
      <c r="D1303" s="305" t="s">
        <v>7856</v>
      </c>
      <c r="E1303" s="38" t="s">
        <v>7857</v>
      </c>
      <c r="F1303" s="38" t="s">
        <v>7858</v>
      </c>
    </row>
    <row r="1304">
      <c r="B1304" s="44"/>
      <c r="C1304" s="44"/>
      <c r="D1304" s="38" t="s">
        <v>7859</v>
      </c>
      <c r="E1304" s="38" t="s">
        <v>6739</v>
      </c>
      <c r="F1304" s="44"/>
    </row>
    <row r="1305">
      <c r="B1305" s="38" t="s">
        <v>147</v>
      </c>
      <c r="C1305" s="38">
        <v>4.0</v>
      </c>
      <c r="D1305" s="38" t="s">
        <v>6705</v>
      </c>
      <c r="E1305" s="38" t="s">
        <v>873</v>
      </c>
      <c r="F1305" s="38" t="s">
        <v>7860</v>
      </c>
      <c r="G1305" s="38" t="s">
        <v>7861</v>
      </c>
    </row>
    <row r="1306">
      <c r="B1306" s="38" t="s">
        <v>1349</v>
      </c>
      <c r="C1306" s="38">
        <v>8.0</v>
      </c>
      <c r="D1306" s="38" t="s">
        <v>7862</v>
      </c>
      <c r="E1306" s="38" t="s">
        <v>4478</v>
      </c>
      <c r="F1306" s="38" t="s">
        <v>7848</v>
      </c>
    </row>
    <row r="1307">
      <c r="B1307" s="38" t="s">
        <v>271</v>
      </c>
      <c r="C1307" s="38">
        <v>4.0</v>
      </c>
      <c r="D1307" s="38" t="s">
        <v>6167</v>
      </c>
      <c r="E1307" s="38" t="s">
        <v>7863</v>
      </c>
      <c r="F1307" s="38" t="s">
        <v>7864</v>
      </c>
    </row>
    <row r="1308">
      <c r="B1308" s="38" t="s">
        <v>7865</v>
      </c>
      <c r="C1308" s="38">
        <v>2.0</v>
      </c>
      <c r="D1308" s="38" t="s">
        <v>7866</v>
      </c>
      <c r="E1308" s="38" t="s">
        <v>7867</v>
      </c>
      <c r="F1308" s="38" t="s">
        <v>7868</v>
      </c>
    </row>
    <row r="1309">
      <c r="D1309" s="38" t="s">
        <v>7869</v>
      </c>
      <c r="E1309" s="38" t="s">
        <v>6739</v>
      </c>
      <c r="F1309" s="38" t="s">
        <v>7870</v>
      </c>
    </row>
    <row r="1310">
      <c r="B1310" s="44"/>
      <c r="C1310" s="44"/>
      <c r="D1310" s="38" t="s">
        <v>7871</v>
      </c>
      <c r="E1310" s="38" t="s">
        <v>7872</v>
      </c>
      <c r="F1310" s="38" t="s">
        <v>7873</v>
      </c>
      <c r="G1310" s="38" t="s">
        <v>5298</v>
      </c>
    </row>
    <row r="1311">
      <c r="B1311" s="38" t="s">
        <v>25</v>
      </c>
      <c r="C1311" s="38">
        <v>4.0</v>
      </c>
      <c r="D1311" s="38" t="s">
        <v>289</v>
      </c>
      <c r="E1311" s="38" t="s">
        <v>7874</v>
      </c>
      <c r="F1311" s="44"/>
      <c r="G1311" s="38" t="s">
        <v>7875</v>
      </c>
    </row>
    <row r="1312">
      <c r="B1312" s="44"/>
      <c r="C1312" s="44"/>
      <c r="D1312" s="38" t="s">
        <v>7876</v>
      </c>
      <c r="E1312" s="38" t="s">
        <v>543</v>
      </c>
      <c r="F1312" s="38" t="s">
        <v>7877</v>
      </c>
    </row>
    <row r="1313">
      <c r="B1313" s="44"/>
      <c r="C1313" s="38">
        <v>1.0</v>
      </c>
      <c r="D1313" s="386" t="s">
        <v>7878</v>
      </c>
      <c r="E1313" s="38" t="s">
        <v>7879</v>
      </c>
      <c r="F1313" s="38" t="s">
        <v>7880</v>
      </c>
      <c r="G1313" s="38" t="s">
        <v>7881</v>
      </c>
    </row>
    <row r="1314">
      <c r="B1314" s="38" t="s">
        <v>1407</v>
      </c>
      <c r="C1314" s="38">
        <v>2.0</v>
      </c>
      <c r="D1314" s="38" t="s">
        <v>7882</v>
      </c>
      <c r="E1314" s="38" t="s">
        <v>7883</v>
      </c>
      <c r="F1314" s="38" t="s">
        <v>7884</v>
      </c>
    </row>
    <row r="1315">
      <c r="B1315" s="38" t="s">
        <v>22</v>
      </c>
      <c r="C1315" s="38">
        <v>4.0</v>
      </c>
      <c r="D1315" s="38" t="s">
        <v>7885</v>
      </c>
      <c r="E1315" s="38" t="s">
        <v>7886</v>
      </c>
      <c r="F1315" s="38" t="s">
        <v>7887</v>
      </c>
    </row>
    <row r="1316">
      <c r="B1316" s="38" t="s">
        <v>2728</v>
      </c>
      <c r="C1316" s="38">
        <v>4.0</v>
      </c>
      <c r="D1316" s="38" t="s">
        <v>7888</v>
      </c>
      <c r="E1316" s="38" t="s">
        <v>7889</v>
      </c>
      <c r="F1316" s="44"/>
    </row>
    <row r="1317">
      <c r="B1317" s="38" t="s">
        <v>7581</v>
      </c>
      <c r="C1317" s="38">
        <v>4.0</v>
      </c>
      <c r="D1317" s="47" t="s">
        <v>4251</v>
      </c>
      <c r="E1317" s="38" t="s">
        <v>4709</v>
      </c>
      <c r="F1317" s="38" t="s">
        <v>7890</v>
      </c>
    </row>
    <row r="1318">
      <c r="B1318" s="38" t="s">
        <v>1442</v>
      </c>
      <c r="C1318" s="38" t="s">
        <v>7891</v>
      </c>
      <c r="D1318" s="47" t="s">
        <v>7892</v>
      </c>
      <c r="E1318" s="38" t="s">
        <v>7893</v>
      </c>
      <c r="F1318" s="38" t="s">
        <v>7894</v>
      </c>
      <c r="G1318" s="38" t="s">
        <v>7606</v>
      </c>
    </row>
    <row r="1319">
      <c r="B1319" s="38" t="s">
        <v>147</v>
      </c>
      <c r="C1319" s="38">
        <v>4.0</v>
      </c>
      <c r="D1319" s="47" t="s">
        <v>684</v>
      </c>
      <c r="E1319" s="38" t="s">
        <v>6938</v>
      </c>
      <c r="F1319" s="38" t="s">
        <v>6983</v>
      </c>
    </row>
    <row r="1320">
      <c r="B1320" s="38" t="s">
        <v>183</v>
      </c>
      <c r="C1320" s="38">
        <v>4.0</v>
      </c>
      <c r="D1320" s="38" t="s">
        <v>6167</v>
      </c>
      <c r="E1320" s="38" t="s">
        <v>7895</v>
      </c>
      <c r="F1320" s="38" t="s">
        <v>6475</v>
      </c>
    </row>
    <row r="1321">
      <c r="B1321" s="38" t="s">
        <v>7896</v>
      </c>
      <c r="C1321" s="38" t="s">
        <v>7897</v>
      </c>
      <c r="D1321" s="38" t="s">
        <v>7898</v>
      </c>
      <c r="E1321" s="38" t="s">
        <v>7899</v>
      </c>
      <c r="F1321" s="38" t="s">
        <v>7900</v>
      </c>
    </row>
    <row r="1322">
      <c r="B1322" s="38" t="s">
        <v>308</v>
      </c>
      <c r="C1322" s="38">
        <v>4.0</v>
      </c>
      <c r="D1322" s="38" t="s">
        <v>6705</v>
      </c>
      <c r="E1322" s="38" t="s">
        <v>4245</v>
      </c>
      <c r="F1322" s="38" t="s">
        <v>7901</v>
      </c>
    </row>
    <row r="1323">
      <c r="B1323" s="44"/>
      <c r="C1323" s="44"/>
      <c r="D1323" s="38" t="s">
        <v>7902</v>
      </c>
      <c r="E1323" s="38" t="s">
        <v>7903</v>
      </c>
      <c r="F1323" s="38" t="s">
        <v>7904</v>
      </c>
    </row>
    <row r="1324">
      <c r="B1324" s="38" t="s">
        <v>2159</v>
      </c>
      <c r="C1324" s="38">
        <v>2.0</v>
      </c>
      <c r="D1324" s="38" t="s">
        <v>7905</v>
      </c>
      <c r="E1324" s="38" t="s">
        <v>7906</v>
      </c>
      <c r="F1324" s="38" t="s">
        <v>7902</v>
      </c>
    </row>
    <row r="1325">
      <c r="B1325" s="38" t="s">
        <v>91</v>
      </c>
      <c r="C1325" s="38">
        <v>4.0</v>
      </c>
      <c r="D1325" s="38" t="s">
        <v>408</v>
      </c>
      <c r="E1325" s="38" t="s">
        <v>6899</v>
      </c>
      <c r="F1325" s="38" t="s">
        <v>4759</v>
      </c>
      <c r="G1325" s="38"/>
    </row>
    <row r="1326">
      <c r="B1326" s="38" t="s">
        <v>2728</v>
      </c>
      <c r="C1326" s="38">
        <v>4.0</v>
      </c>
      <c r="D1326" s="38" t="s">
        <v>3135</v>
      </c>
      <c r="E1326" s="38" t="s">
        <v>7907</v>
      </c>
      <c r="F1326" s="38" t="s">
        <v>7908</v>
      </c>
    </row>
    <row r="1327">
      <c r="B1327" s="38" t="s">
        <v>25</v>
      </c>
      <c r="C1327" s="38">
        <v>2.0</v>
      </c>
      <c r="D1327" s="38" t="s">
        <v>6427</v>
      </c>
      <c r="E1327" s="38" t="s">
        <v>7909</v>
      </c>
      <c r="F1327" s="38" t="s">
        <v>7910</v>
      </c>
      <c r="G1327" s="38" t="s">
        <v>7911</v>
      </c>
    </row>
    <row r="1328">
      <c r="B1328" s="38" t="s">
        <v>4229</v>
      </c>
      <c r="C1328" s="38">
        <v>4.0</v>
      </c>
      <c r="D1328" s="38" t="s">
        <v>7912</v>
      </c>
      <c r="E1328" s="38" t="s">
        <v>7913</v>
      </c>
      <c r="F1328" s="38" t="s">
        <v>7914</v>
      </c>
    </row>
    <row r="1329">
      <c r="B1329" s="38" t="s">
        <v>22</v>
      </c>
      <c r="C1329" s="38">
        <v>4.0</v>
      </c>
      <c r="D1329" s="38" t="s">
        <v>7915</v>
      </c>
      <c r="E1329" s="38" t="s">
        <v>1017</v>
      </c>
      <c r="F1329" s="38" t="s">
        <v>7916</v>
      </c>
    </row>
    <row r="1330">
      <c r="B1330" s="38" t="s">
        <v>22</v>
      </c>
      <c r="C1330" s="38">
        <v>4.0</v>
      </c>
      <c r="D1330" s="38" t="s">
        <v>7917</v>
      </c>
      <c r="E1330" s="38" t="s">
        <v>7918</v>
      </c>
      <c r="F1330" s="38" t="s">
        <v>7919</v>
      </c>
      <c r="G1330" s="44"/>
    </row>
    <row r="1331">
      <c r="B1331" s="44"/>
      <c r="C1331" s="44"/>
      <c r="D1331" s="38" t="s">
        <v>7920</v>
      </c>
      <c r="E1331" s="38" t="s">
        <v>7921</v>
      </c>
      <c r="F1331" s="38" t="s">
        <v>7922</v>
      </c>
    </row>
    <row r="1332">
      <c r="B1332" s="38" t="s">
        <v>28</v>
      </c>
      <c r="C1332" s="38">
        <v>4.0</v>
      </c>
      <c r="D1332" s="38" t="s">
        <v>7923</v>
      </c>
      <c r="E1332" s="38" t="s">
        <v>7921</v>
      </c>
      <c r="F1332" s="38" t="s">
        <v>7924</v>
      </c>
    </row>
    <row r="1333">
      <c r="A1333" s="1"/>
      <c r="B1333" s="38" t="s">
        <v>25</v>
      </c>
      <c r="C1333" s="38">
        <v>1.0</v>
      </c>
      <c r="D1333" s="38" t="s">
        <v>6192</v>
      </c>
      <c r="E1333" s="38" t="s">
        <v>6605</v>
      </c>
      <c r="F1333" s="38" t="s">
        <v>7925</v>
      </c>
    </row>
    <row r="1334">
      <c r="B1334" s="44"/>
      <c r="C1334" s="44"/>
      <c r="D1334" s="38" t="s">
        <v>6689</v>
      </c>
      <c r="E1334" s="38" t="s">
        <v>7926</v>
      </c>
      <c r="F1334" s="38" t="s">
        <v>7927</v>
      </c>
    </row>
    <row r="1335">
      <c r="B1335" s="276" t="s">
        <v>7928</v>
      </c>
      <c r="C1335" s="38">
        <v>1.0</v>
      </c>
      <c r="D1335" s="276" t="s">
        <v>7929</v>
      </c>
      <c r="E1335" s="38" t="s">
        <v>7930</v>
      </c>
      <c r="F1335" s="38" t="s">
        <v>7931</v>
      </c>
      <c r="G1335" s="38" t="s">
        <v>7932</v>
      </c>
    </row>
    <row r="1336">
      <c r="B1336" s="1" t="s">
        <v>1182</v>
      </c>
      <c r="C1336" s="1">
        <v>2.0</v>
      </c>
      <c r="D1336" s="1" t="s">
        <v>7933</v>
      </c>
      <c r="E1336" s="1" t="s">
        <v>1156</v>
      </c>
      <c r="F1336" s="1" t="s">
        <v>7934</v>
      </c>
      <c r="G1336" s="1" t="s">
        <v>7935</v>
      </c>
    </row>
    <row r="1337">
      <c r="C1337" s="1" t="s">
        <v>7936</v>
      </c>
      <c r="D1337" s="1" t="s">
        <v>7936</v>
      </c>
      <c r="E1337" s="1" t="s">
        <v>7937</v>
      </c>
      <c r="F1337" s="1" t="s">
        <v>7938</v>
      </c>
    </row>
    <row r="1338">
      <c r="B1338" s="38" t="s">
        <v>7939</v>
      </c>
      <c r="C1338" s="44"/>
      <c r="D1338" s="38" t="s">
        <v>7940</v>
      </c>
      <c r="E1338" s="38" t="s">
        <v>7941</v>
      </c>
      <c r="F1338" s="38" t="s">
        <v>7942</v>
      </c>
      <c r="G1338" s="38" t="s">
        <v>7943</v>
      </c>
    </row>
    <row r="1339">
      <c r="B1339" s="44"/>
      <c r="C1339" s="38"/>
      <c r="D1339" s="38" t="s">
        <v>7944</v>
      </c>
      <c r="E1339" s="38" t="s">
        <v>7945</v>
      </c>
      <c r="F1339" s="38" t="s">
        <v>7946</v>
      </c>
      <c r="G1339" s="38" t="s">
        <v>7947</v>
      </c>
    </row>
    <row r="1340">
      <c r="B1340" s="38" t="s">
        <v>7948</v>
      </c>
      <c r="C1340" s="38" t="s">
        <v>7949</v>
      </c>
      <c r="D1340" s="294" t="s">
        <v>7950</v>
      </c>
      <c r="E1340" s="38" t="s">
        <v>7951</v>
      </c>
      <c r="F1340" s="38" t="s">
        <v>7952</v>
      </c>
    </row>
    <row r="1341">
      <c r="B1341" s="38" t="s">
        <v>128</v>
      </c>
      <c r="C1341" s="38">
        <v>4.0</v>
      </c>
      <c r="D1341" s="38" t="s">
        <v>684</v>
      </c>
      <c r="E1341" s="38" t="s">
        <v>7953</v>
      </c>
      <c r="F1341" s="38" t="s">
        <v>7954</v>
      </c>
    </row>
    <row r="1342">
      <c r="B1342" s="355" t="s">
        <v>7955</v>
      </c>
      <c r="C1342" s="47">
        <v>4.0</v>
      </c>
      <c r="D1342" s="321" t="s">
        <v>7956</v>
      </c>
      <c r="E1342" s="38" t="s">
        <v>7953</v>
      </c>
      <c r="F1342" s="38" t="s">
        <v>175</v>
      </c>
      <c r="G1342" s="38" t="s">
        <v>7957</v>
      </c>
    </row>
    <row r="1343">
      <c r="B1343" s="47"/>
      <c r="C1343" s="38">
        <v>4.0</v>
      </c>
      <c r="D1343" s="38" t="s">
        <v>7316</v>
      </c>
      <c r="E1343" s="38" t="s">
        <v>7953</v>
      </c>
      <c r="F1343" s="44"/>
      <c r="G1343" s="38" t="s">
        <v>7957</v>
      </c>
    </row>
    <row r="1344">
      <c r="B1344" s="38" t="s">
        <v>22</v>
      </c>
      <c r="C1344" s="38">
        <v>2.0</v>
      </c>
      <c r="D1344" s="38" t="s">
        <v>7958</v>
      </c>
      <c r="E1344" s="38" t="s">
        <v>7959</v>
      </c>
      <c r="F1344" s="38" t="s">
        <v>1808</v>
      </c>
    </row>
    <row r="1345">
      <c r="B1345" s="44"/>
      <c r="C1345" s="44"/>
      <c r="D1345" s="44"/>
      <c r="E1345" s="38" t="s">
        <v>2551</v>
      </c>
      <c r="F1345" s="38" t="s">
        <v>7960</v>
      </c>
      <c r="G1345" s="38" t="s">
        <v>7947</v>
      </c>
    </row>
    <row r="1346">
      <c r="B1346" s="44"/>
      <c r="C1346" s="44"/>
      <c r="D1346" s="38" t="s">
        <v>7961</v>
      </c>
      <c r="E1346" s="38" t="s">
        <v>7962</v>
      </c>
      <c r="F1346" s="38" t="s">
        <v>7963</v>
      </c>
    </row>
    <row r="1347">
      <c r="B1347" s="44"/>
      <c r="C1347" s="44"/>
      <c r="D1347" s="38" t="s">
        <v>7964</v>
      </c>
      <c r="E1347" s="38" t="s">
        <v>7965</v>
      </c>
      <c r="F1347" s="38" t="s">
        <v>7966</v>
      </c>
    </row>
    <row r="1348">
      <c r="B1348" s="38" t="s">
        <v>94</v>
      </c>
      <c r="C1348" s="38">
        <v>2.0</v>
      </c>
      <c r="D1348" s="38" t="s">
        <v>7967</v>
      </c>
      <c r="E1348" s="274" t="s">
        <v>7968</v>
      </c>
      <c r="F1348" s="38" t="s">
        <v>7969</v>
      </c>
    </row>
    <row r="1349">
      <c r="B1349" s="38" t="s">
        <v>3725</v>
      </c>
      <c r="C1349" s="38">
        <v>4.0</v>
      </c>
      <c r="D1349" s="38" t="s">
        <v>7970</v>
      </c>
      <c r="E1349" s="38" t="s">
        <v>7971</v>
      </c>
      <c r="F1349" s="38" t="s">
        <v>7972</v>
      </c>
      <c r="G1349" s="38" t="s">
        <v>7973</v>
      </c>
      <c r="H1349" s="38" t="s">
        <v>7974</v>
      </c>
    </row>
    <row r="1350">
      <c r="B1350" s="38" t="s">
        <v>2798</v>
      </c>
      <c r="C1350" s="38">
        <v>4.0</v>
      </c>
      <c r="D1350" s="38" t="s">
        <v>7009</v>
      </c>
      <c r="E1350" s="38" t="s">
        <v>4741</v>
      </c>
      <c r="F1350" s="38" t="s">
        <v>7975</v>
      </c>
    </row>
    <row r="1351">
      <c r="B1351" s="38" t="s">
        <v>25</v>
      </c>
      <c r="C1351" s="38">
        <v>4.0</v>
      </c>
      <c r="D1351" s="38" t="s">
        <v>289</v>
      </c>
      <c r="E1351" s="38" t="s">
        <v>7976</v>
      </c>
      <c r="F1351" s="44"/>
      <c r="G1351" s="44"/>
    </row>
    <row r="1352">
      <c r="B1352" s="38" t="s">
        <v>7977</v>
      </c>
      <c r="C1352" s="38">
        <v>4.0</v>
      </c>
      <c r="D1352" s="38" t="s">
        <v>7978</v>
      </c>
      <c r="E1352" s="38" t="s">
        <v>7979</v>
      </c>
      <c r="F1352" s="38" t="s">
        <v>7980</v>
      </c>
    </row>
    <row r="1353">
      <c r="B1353" s="38" t="s">
        <v>1575</v>
      </c>
      <c r="C1353" s="38">
        <v>2.0</v>
      </c>
      <c r="D1353" s="38" t="s">
        <v>2506</v>
      </c>
      <c r="E1353" s="38" t="s">
        <v>720</v>
      </c>
      <c r="F1353" s="38" t="s">
        <v>7902</v>
      </c>
    </row>
    <row r="1354">
      <c r="B1354" s="38" t="s">
        <v>85</v>
      </c>
      <c r="C1354" s="38">
        <v>2.0</v>
      </c>
      <c r="D1354" s="38" t="s">
        <v>2506</v>
      </c>
      <c r="E1354" s="38" t="s">
        <v>720</v>
      </c>
      <c r="F1354" s="38" t="s">
        <v>7902</v>
      </c>
    </row>
    <row r="1355">
      <c r="B1355" s="44"/>
      <c r="C1355" s="44"/>
      <c r="D1355" s="38" t="s">
        <v>7981</v>
      </c>
      <c r="E1355" s="38" t="s">
        <v>7982</v>
      </c>
      <c r="F1355" s="38" t="s">
        <v>7954</v>
      </c>
    </row>
    <row r="1356">
      <c r="B1356" s="44"/>
      <c r="C1356" s="44"/>
      <c r="D1356" s="38" t="s">
        <v>7981</v>
      </c>
      <c r="E1356" s="38" t="s">
        <v>7983</v>
      </c>
      <c r="F1356" s="38" t="s">
        <v>7984</v>
      </c>
    </row>
    <row r="1357">
      <c r="B1357" s="44"/>
      <c r="C1357" s="44"/>
      <c r="D1357" s="38" t="s">
        <v>7985</v>
      </c>
      <c r="E1357" s="38" t="s">
        <v>7986</v>
      </c>
      <c r="F1357" s="38" t="s">
        <v>7975</v>
      </c>
    </row>
    <row r="1358">
      <c r="B1358" s="44"/>
      <c r="C1358" s="44"/>
      <c r="D1358" s="38" t="s">
        <v>7987</v>
      </c>
      <c r="E1358" s="38" t="s">
        <v>7988</v>
      </c>
      <c r="F1358" s="44"/>
    </row>
    <row r="1359">
      <c r="B1359" s="44"/>
      <c r="C1359" s="44"/>
      <c r="D1359" s="38" t="s">
        <v>7989</v>
      </c>
      <c r="E1359" s="38" t="s">
        <v>413</v>
      </c>
      <c r="F1359" s="38" t="s">
        <v>7646</v>
      </c>
    </row>
    <row r="1360">
      <c r="B1360" s="38" t="s">
        <v>7990</v>
      </c>
      <c r="C1360" s="38" t="s">
        <v>7991</v>
      </c>
      <c r="D1360" s="38" t="s">
        <v>7992</v>
      </c>
      <c r="E1360" s="38" t="s">
        <v>7993</v>
      </c>
      <c r="F1360" s="38" t="s">
        <v>7994</v>
      </c>
      <c r="G1360" s="38" t="s">
        <v>7995</v>
      </c>
    </row>
    <row r="1361">
      <c r="B1361" s="38" t="s">
        <v>7996</v>
      </c>
      <c r="C1361" s="38"/>
      <c r="D1361" s="38" t="s">
        <v>7997</v>
      </c>
      <c r="E1361" s="38" t="s">
        <v>7993</v>
      </c>
      <c r="F1361" s="38" t="s">
        <v>4299</v>
      </c>
      <c r="G1361" s="38" t="s">
        <v>7995</v>
      </c>
    </row>
    <row r="1362">
      <c r="B1362" s="44"/>
      <c r="C1362" s="44"/>
      <c r="D1362" s="38" t="s">
        <v>7989</v>
      </c>
      <c r="E1362" s="38" t="s">
        <v>7998</v>
      </c>
      <c r="F1362" s="38" t="s">
        <v>7999</v>
      </c>
    </row>
    <row r="1363">
      <c r="B1363" s="38" t="s">
        <v>8000</v>
      </c>
      <c r="C1363" s="44"/>
      <c r="D1363" s="38" t="s">
        <v>8001</v>
      </c>
      <c r="E1363" s="38" t="s">
        <v>8002</v>
      </c>
      <c r="F1363" s="44"/>
    </row>
    <row r="1364">
      <c r="B1364" s="44"/>
      <c r="C1364" s="44"/>
      <c r="D1364" s="387" t="s">
        <v>8003</v>
      </c>
      <c r="E1364" s="38" t="s">
        <v>4601</v>
      </c>
      <c r="F1364" s="38" t="s">
        <v>8004</v>
      </c>
    </row>
    <row r="1365">
      <c r="B1365" s="44"/>
      <c r="C1365" s="44"/>
      <c r="D1365" s="38" t="s">
        <v>8005</v>
      </c>
      <c r="E1365" s="38" t="s">
        <v>8006</v>
      </c>
      <c r="F1365" s="38" t="s">
        <v>353</v>
      </c>
    </row>
    <row r="1366">
      <c r="B1366" s="44"/>
      <c r="C1366" s="44"/>
      <c r="D1366" s="38" t="s">
        <v>8007</v>
      </c>
      <c r="E1366" s="38" t="s">
        <v>8008</v>
      </c>
      <c r="F1366" s="44"/>
    </row>
    <row r="1367">
      <c r="A1367" s="1"/>
      <c r="B1367" s="276" t="s">
        <v>8009</v>
      </c>
      <c r="C1367" s="38">
        <v>8.0</v>
      </c>
      <c r="D1367" s="276" t="s">
        <v>8010</v>
      </c>
      <c r="E1367" s="38" t="s">
        <v>8011</v>
      </c>
      <c r="F1367" s="38" t="s">
        <v>8012</v>
      </c>
      <c r="G1367" s="38" t="s">
        <v>8013</v>
      </c>
    </row>
    <row r="1368">
      <c r="A1368" s="1"/>
      <c r="B1368" s="276" t="s">
        <v>8009</v>
      </c>
      <c r="C1368" s="38">
        <v>4.0</v>
      </c>
      <c r="D1368" s="276" t="s">
        <v>8010</v>
      </c>
      <c r="E1368" s="38" t="s">
        <v>8014</v>
      </c>
      <c r="F1368" s="38" t="s">
        <v>8015</v>
      </c>
      <c r="G1368" s="38" t="s">
        <v>8016</v>
      </c>
      <c r="H1368" s="38" t="s">
        <v>8017</v>
      </c>
    </row>
    <row r="1369">
      <c r="A1369" s="1"/>
      <c r="B1369" s="276" t="s">
        <v>8009</v>
      </c>
      <c r="C1369" s="38">
        <v>1.0</v>
      </c>
      <c r="D1369" s="276" t="s">
        <v>8010</v>
      </c>
      <c r="E1369" s="38" t="s">
        <v>8018</v>
      </c>
      <c r="F1369" s="38" t="s">
        <v>8019</v>
      </c>
      <c r="G1369" s="38" t="s">
        <v>8020</v>
      </c>
      <c r="H1369" s="38" t="s">
        <v>8021</v>
      </c>
    </row>
    <row r="1370">
      <c r="B1370" s="276" t="s">
        <v>8009</v>
      </c>
      <c r="C1370" s="38">
        <v>4.0</v>
      </c>
      <c r="D1370" s="276" t="s">
        <v>8010</v>
      </c>
      <c r="E1370" s="38" t="s">
        <v>8018</v>
      </c>
      <c r="F1370" s="38" t="s">
        <v>8019</v>
      </c>
      <c r="G1370" s="38" t="s">
        <v>8022</v>
      </c>
    </row>
    <row r="1371">
      <c r="B1371" s="38" t="s">
        <v>416</v>
      </c>
      <c r="C1371" s="38">
        <v>4.0</v>
      </c>
      <c r="D1371" s="38" t="s">
        <v>684</v>
      </c>
      <c r="E1371" s="38" t="s">
        <v>8023</v>
      </c>
      <c r="F1371" s="38" t="s">
        <v>8024</v>
      </c>
      <c r="G1371" s="38" t="s">
        <v>8025</v>
      </c>
    </row>
    <row r="1372">
      <c r="B1372" s="38"/>
      <c r="C1372" s="38"/>
      <c r="D1372" s="38" t="s">
        <v>8026</v>
      </c>
      <c r="E1372" s="38" t="s">
        <v>8023</v>
      </c>
      <c r="F1372" s="38" t="s">
        <v>7395</v>
      </c>
      <c r="G1372" s="38" t="s">
        <v>8025</v>
      </c>
    </row>
    <row r="1373">
      <c r="B1373" s="38" t="s">
        <v>219</v>
      </c>
      <c r="C1373" s="38">
        <v>4.0</v>
      </c>
      <c r="D1373" s="38" t="s">
        <v>3135</v>
      </c>
      <c r="E1373" s="38" t="s">
        <v>4865</v>
      </c>
      <c r="F1373" s="38" t="s">
        <v>7999</v>
      </c>
    </row>
    <row r="1374">
      <c r="B1374" s="38" t="s">
        <v>394</v>
      </c>
      <c r="C1374" s="38">
        <v>4.0</v>
      </c>
      <c r="D1374" s="38" t="s">
        <v>2391</v>
      </c>
      <c r="E1374" s="38" t="s">
        <v>8027</v>
      </c>
      <c r="F1374" s="38" t="s">
        <v>8028</v>
      </c>
    </row>
    <row r="1375">
      <c r="B1375" s="44"/>
      <c r="C1375" s="44"/>
      <c r="D1375" s="38" t="s">
        <v>8029</v>
      </c>
      <c r="E1375" s="38" t="s">
        <v>8030</v>
      </c>
      <c r="F1375" s="44"/>
    </row>
    <row r="1376">
      <c r="B1376" s="44"/>
      <c r="C1376" s="44"/>
      <c r="D1376" s="38" t="s">
        <v>6860</v>
      </c>
      <c r="E1376" s="38" t="s">
        <v>8031</v>
      </c>
      <c r="F1376" s="38" t="s">
        <v>8032</v>
      </c>
    </row>
    <row r="1377">
      <c r="B1377" s="38" t="s">
        <v>439</v>
      </c>
      <c r="C1377" s="38">
        <v>2.0</v>
      </c>
      <c r="D1377" s="38" t="s">
        <v>3135</v>
      </c>
      <c r="E1377" s="38" t="s">
        <v>6540</v>
      </c>
      <c r="F1377" s="38" t="s">
        <v>8033</v>
      </c>
    </row>
    <row r="1378">
      <c r="B1378" s="38" t="s">
        <v>495</v>
      </c>
      <c r="C1378" s="38">
        <v>2.0</v>
      </c>
      <c r="D1378" s="38" t="s">
        <v>3135</v>
      </c>
      <c r="E1378" s="38" t="s">
        <v>6540</v>
      </c>
      <c r="F1378" s="38" t="s">
        <v>8033</v>
      </c>
    </row>
    <row r="1379">
      <c r="B1379" s="38" t="s">
        <v>8034</v>
      </c>
      <c r="C1379" s="38">
        <v>4.0</v>
      </c>
      <c r="D1379" s="38" t="s">
        <v>8035</v>
      </c>
      <c r="E1379" s="38" t="s">
        <v>514</v>
      </c>
      <c r="F1379" s="38" t="s">
        <v>1331</v>
      </c>
    </row>
    <row r="1380">
      <c r="B1380" s="44"/>
      <c r="C1380" s="44"/>
      <c r="D1380" s="38" t="s">
        <v>8036</v>
      </c>
      <c r="E1380" s="38" t="s">
        <v>8037</v>
      </c>
      <c r="F1380" s="38" t="s">
        <v>8038</v>
      </c>
    </row>
    <row r="1381">
      <c r="B1381" s="44"/>
      <c r="C1381" s="44"/>
      <c r="D1381" s="38" t="s">
        <v>8039</v>
      </c>
      <c r="E1381" s="38" t="s">
        <v>7724</v>
      </c>
      <c r="F1381" s="44"/>
    </row>
    <row r="1382">
      <c r="B1382" s="38" t="s">
        <v>77</v>
      </c>
      <c r="C1382" s="38">
        <v>4.0</v>
      </c>
      <c r="D1382" s="38" t="s">
        <v>6192</v>
      </c>
      <c r="E1382" s="38" t="s">
        <v>8040</v>
      </c>
      <c r="F1382" s="38" t="s">
        <v>8041</v>
      </c>
    </row>
    <row r="1383">
      <c r="B1383" s="44"/>
      <c r="C1383" s="38">
        <v>4.0</v>
      </c>
      <c r="D1383" s="38" t="s">
        <v>8042</v>
      </c>
      <c r="E1383" s="38" t="s">
        <v>8043</v>
      </c>
      <c r="F1383" s="38" t="s">
        <v>8041</v>
      </c>
    </row>
    <row r="1384">
      <c r="C1384" s="1"/>
      <c r="D1384" s="1"/>
      <c r="E1384" s="1" t="s">
        <v>8043</v>
      </c>
      <c r="F1384" s="1" t="s">
        <v>8044</v>
      </c>
    </row>
    <row r="1385">
      <c r="B1385" s="38" t="s">
        <v>1271</v>
      </c>
      <c r="C1385" s="38">
        <v>2.0</v>
      </c>
      <c r="D1385" s="38" t="s">
        <v>3215</v>
      </c>
      <c r="E1385" s="38" t="s">
        <v>5104</v>
      </c>
      <c r="F1385" s="44"/>
    </row>
    <row r="1386">
      <c r="B1386" s="38" t="s">
        <v>1271</v>
      </c>
      <c r="C1386" s="38">
        <v>4.0</v>
      </c>
      <c r="D1386" s="38" t="s">
        <v>8045</v>
      </c>
      <c r="E1386" s="38" t="s">
        <v>8046</v>
      </c>
      <c r="F1386" s="38" t="s">
        <v>8047</v>
      </c>
      <c r="G1386" s="38" t="s">
        <v>8048</v>
      </c>
    </row>
    <row r="1387">
      <c r="B1387" s="38" t="s">
        <v>205</v>
      </c>
      <c r="C1387" s="38">
        <v>4.0</v>
      </c>
      <c r="D1387" s="38" t="s">
        <v>3135</v>
      </c>
      <c r="E1387" s="274" t="s">
        <v>8049</v>
      </c>
      <c r="F1387" s="38" t="s">
        <v>8050</v>
      </c>
    </row>
    <row r="1388">
      <c r="B1388" s="38" t="s">
        <v>8051</v>
      </c>
      <c r="C1388" s="38">
        <v>4.0</v>
      </c>
      <c r="D1388" s="38" t="s">
        <v>6733</v>
      </c>
      <c r="E1388" s="38" t="s">
        <v>8052</v>
      </c>
      <c r="F1388" s="38" t="s">
        <v>175</v>
      </c>
      <c r="G1388" s="38" t="s">
        <v>8053</v>
      </c>
    </row>
    <row r="1389">
      <c r="B1389" s="38" t="s">
        <v>25</v>
      </c>
      <c r="C1389" s="38">
        <v>4.0</v>
      </c>
      <c r="D1389" s="38" t="s">
        <v>8054</v>
      </c>
      <c r="E1389" s="38" t="s">
        <v>1516</v>
      </c>
      <c r="F1389" s="388" t="s">
        <v>8055</v>
      </c>
      <c r="G1389" s="59" t="s">
        <v>8056</v>
      </c>
    </row>
    <row r="1390">
      <c r="B1390" s="38" t="s">
        <v>271</v>
      </c>
      <c r="C1390" s="38">
        <v>2.0</v>
      </c>
      <c r="D1390" s="38" t="s">
        <v>8057</v>
      </c>
      <c r="E1390" s="38" t="s">
        <v>1516</v>
      </c>
      <c r="F1390" s="38" t="s">
        <v>8058</v>
      </c>
    </row>
    <row r="1391">
      <c r="B1391" s="38" t="s">
        <v>25</v>
      </c>
      <c r="C1391" s="38">
        <v>4.0</v>
      </c>
      <c r="D1391" s="38" t="s">
        <v>684</v>
      </c>
      <c r="E1391" s="38" t="s">
        <v>5085</v>
      </c>
      <c r="F1391" s="38" t="s">
        <v>175</v>
      </c>
      <c r="G1391" s="38" t="s">
        <v>8059</v>
      </c>
    </row>
    <row r="1392">
      <c r="B1392" s="38" t="s">
        <v>246</v>
      </c>
      <c r="C1392" s="38">
        <v>4.0</v>
      </c>
      <c r="D1392" s="38" t="s">
        <v>8060</v>
      </c>
      <c r="E1392" s="38" t="s">
        <v>8061</v>
      </c>
      <c r="F1392" s="38" t="s">
        <v>2915</v>
      </c>
    </row>
    <row r="1393">
      <c r="B1393" s="38" t="s">
        <v>430</v>
      </c>
      <c r="C1393" s="38">
        <v>4.0</v>
      </c>
      <c r="D1393" s="38" t="s">
        <v>8062</v>
      </c>
      <c r="E1393" s="38" t="s">
        <v>8063</v>
      </c>
      <c r="F1393" s="38" t="s">
        <v>6740</v>
      </c>
    </row>
    <row r="1394">
      <c r="D1394" s="1" t="s">
        <v>8064</v>
      </c>
      <c r="E1394" s="1" t="s">
        <v>8065</v>
      </c>
    </row>
    <row r="1395">
      <c r="B1395" s="38" t="s">
        <v>31</v>
      </c>
      <c r="C1395" s="38">
        <v>4.0</v>
      </c>
      <c r="D1395" s="38" t="s">
        <v>6731</v>
      </c>
      <c r="E1395" s="38" t="s">
        <v>8066</v>
      </c>
      <c r="F1395" s="38" t="s">
        <v>8025</v>
      </c>
    </row>
    <row r="1396">
      <c r="B1396" s="38" t="s">
        <v>77</v>
      </c>
      <c r="C1396" s="38">
        <v>4.0</v>
      </c>
      <c r="D1396" s="38" t="s">
        <v>289</v>
      </c>
      <c r="E1396" s="38" t="s">
        <v>355</v>
      </c>
      <c r="F1396" s="38" t="s">
        <v>175</v>
      </c>
      <c r="G1396" s="38" t="s">
        <v>8067</v>
      </c>
    </row>
    <row r="1397">
      <c r="B1397" s="44"/>
      <c r="C1397" s="38">
        <v>4.0</v>
      </c>
      <c r="D1397" s="38" t="s">
        <v>8068</v>
      </c>
      <c r="E1397" s="38" t="s">
        <v>2914</v>
      </c>
      <c r="F1397" s="44"/>
      <c r="G1397" s="38" t="s">
        <v>8069</v>
      </c>
    </row>
    <row r="1398">
      <c r="B1398" s="38" t="s">
        <v>205</v>
      </c>
      <c r="C1398" s="38">
        <v>2.0</v>
      </c>
      <c r="D1398" s="38" t="s">
        <v>171</v>
      </c>
      <c r="E1398" s="38" t="s">
        <v>2914</v>
      </c>
      <c r="F1398" s="44"/>
      <c r="G1398" s="38" t="s">
        <v>8069</v>
      </c>
    </row>
    <row r="1399">
      <c r="B1399" s="38" t="s">
        <v>6912</v>
      </c>
      <c r="C1399" s="38">
        <v>2.0</v>
      </c>
      <c r="D1399" s="38" t="s">
        <v>171</v>
      </c>
      <c r="E1399" s="38" t="s">
        <v>2914</v>
      </c>
      <c r="F1399" s="38" t="s">
        <v>4996</v>
      </c>
      <c r="G1399" s="38" t="s">
        <v>8069</v>
      </c>
    </row>
    <row r="1400">
      <c r="B1400" s="44"/>
      <c r="C1400" s="44"/>
      <c r="D1400" s="389" t="s">
        <v>8070</v>
      </c>
      <c r="E1400" s="38" t="s">
        <v>8071</v>
      </c>
      <c r="F1400" s="38" t="s">
        <v>6860</v>
      </c>
    </row>
    <row r="1401">
      <c r="B1401" s="38" t="s">
        <v>261</v>
      </c>
      <c r="C1401" s="38">
        <v>4.0</v>
      </c>
      <c r="D1401" s="38" t="s">
        <v>8072</v>
      </c>
      <c r="E1401" s="38" t="s">
        <v>8073</v>
      </c>
      <c r="F1401" s="38" t="s">
        <v>8074</v>
      </c>
    </row>
    <row r="1402">
      <c r="B1402" s="38" t="s">
        <v>205</v>
      </c>
      <c r="C1402" s="38">
        <v>4.0</v>
      </c>
      <c r="D1402" s="38" t="s">
        <v>417</v>
      </c>
      <c r="E1402" s="38" t="s">
        <v>8075</v>
      </c>
      <c r="F1402" s="38" t="s">
        <v>8076</v>
      </c>
    </row>
    <row r="1403">
      <c r="B1403" s="131" t="s">
        <v>28</v>
      </c>
      <c r="C1403" s="131">
        <v>2.0</v>
      </c>
      <c r="D1403" s="131" t="s">
        <v>8077</v>
      </c>
      <c r="E1403" s="131" t="s">
        <v>8078</v>
      </c>
      <c r="F1403" s="131" t="s">
        <v>8079</v>
      </c>
      <c r="G1403" s="131" t="s">
        <v>8080</v>
      </c>
    </row>
    <row r="1404">
      <c r="B1404" s="131" t="s">
        <v>22</v>
      </c>
      <c r="C1404" s="131">
        <v>2.0</v>
      </c>
      <c r="D1404" s="131" t="s">
        <v>3135</v>
      </c>
      <c r="E1404" s="131" t="s">
        <v>8081</v>
      </c>
      <c r="F1404" s="131" t="s">
        <v>8082</v>
      </c>
      <c r="G1404" s="131" t="s">
        <v>8080</v>
      </c>
    </row>
    <row r="1405">
      <c r="B1405" s="38" t="s">
        <v>4563</v>
      </c>
      <c r="C1405" s="38">
        <v>2.0</v>
      </c>
      <c r="D1405" s="38" t="s">
        <v>8083</v>
      </c>
      <c r="E1405" s="38" t="s">
        <v>8084</v>
      </c>
      <c r="F1405" s="38" t="s">
        <v>8085</v>
      </c>
      <c r="G1405" s="38" t="s">
        <v>8086</v>
      </c>
    </row>
    <row r="1406">
      <c r="B1406" s="38" t="s">
        <v>25</v>
      </c>
      <c r="C1406" s="38">
        <v>4.0</v>
      </c>
      <c r="D1406" s="38" t="s">
        <v>417</v>
      </c>
      <c r="E1406" s="38" t="s">
        <v>4811</v>
      </c>
      <c r="F1406" s="38" t="s">
        <v>8087</v>
      </c>
      <c r="G1406" s="38" t="s">
        <v>8088</v>
      </c>
    </row>
    <row r="1407">
      <c r="B1407" s="1" t="s">
        <v>8089</v>
      </c>
      <c r="C1407" s="1" t="s">
        <v>8090</v>
      </c>
      <c r="D1407" s="1" t="s">
        <v>8091</v>
      </c>
      <c r="E1407" s="1" t="s">
        <v>8092</v>
      </c>
      <c r="F1407" s="1" t="s">
        <v>8093</v>
      </c>
      <c r="G1407" s="1" t="s">
        <v>8094</v>
      </c>
      <c r="H1407" s="1" t="s">
        <v>8095</v>
      </c>
    </row>
    <row r="1408">
      <c r="B1408" s="44"/>
      <c r="C1408" s="44"/>
      <c r="D1408" s="38" t="s">
        <v>8096</v>
      </c>
      <c r="E1408" s="38" t="s">
        <v>5085</v>
      </c>
      <c r="F1408" s="38" t="s">
        <v>8097</v>
      </c>
      <c r="G1408" s="38" t="s">
        <v>8059</v>
      </c>
    </row>
    <row r="1409">
      <c r="B1409" s="44"/>
      <c r="C1409" s="44"/>
      <c r="D1409" s="38" t="s">
        <v>8098</v>
      </c>
      <c r="E1409" s="38" t="s">
        <v>8099</v>
      </c>
      <c r="F1409" s="38" t="s">
        <v>8100</v>
      </c>
    </row>
    <row r="1410">
      <c r="B1410" s="38" t="s">
        <v>94</v>
      </c>
      <c r="C1410" s="38">
        <v>2.0</v>
      </c>
      <c r="D1410" s="38" t="s">
        <v>7088</v>
      </c>
      <c r="E1410" s="38" t="s">
        <v>4741</v>
      </c>
      <c r="F1410" s="38" t="s">
        <v>8101</v>
      </c>
    </row>
    <row r="1411">
      <c r="B1411" s="38" t="s">
        <v>91</v>
      </c>
      <c r="C1411" s="38">
        <v>2.0</v>
      </c>
      <c r="D1411" s="38" t="s">
        <v>7088</v>
      </c>
      <c r="E1411" s="38" t="s">
        <v>4741</v>
      </c>
      <c r="F1411" s="38" t="s">
        <v>8101</v>
      </c>
    </row>
    <row r="1412">
      <c r="A1412" s="1"/>
      <c r="B1412" s="38" t="s">
        <v>4501</v>
      </c>
      <c r="C1412" s="38">
        <v>2.0</v>
      </c>
      <c r="D1412" s="38" t="s">
        <v>8102</v>
      </c>
      <c r="E1412" s="281" t="s">
        <v>8103</v>
      </c>
      <c r="F1412" s="38" t="s">
        <v>8104</v>
      </c>
    </row>
    <row r="1413">
      <c r="B1413" s="38" t="s">
        <v>3523</v>
      </c>
      <c r="C1413" s="38">
        <v>2.0</v>
      </c>
      <c r="D1413" s="38" t="s">
        <v>8102</v>
      </c>
      <c r="E1413" s="281" t="s">
        <v>8105</v>
      </c>
      <c r="F1413" s="38" t="s">
        <v>8104</v>
      </c>
    </row>
    <row r="1414">
      <c r="B1414" s="38" t="s">
        <v>8106</v>
      </c>
      <c r="C1414" s="38" t="s">
        <v>8107</v>
      </c>
      <c r="D1414" s="38" t="s">
        <v>8108</v>
      </c>
      <c r="E1414" s="299" t="s">
        <v>7499</v>
      </c>
      <c r="F1414" s="38" t="s">
        <v>8109</v>
      </c>
      <c r="G1414" s="38" t="s">
        <v>8110</v>
      </c>
    </row>
    <row r="1415">
      <c r="B1415" s="44"/>
      <c r="C1415" s="38">
        <v>2.0</v>
      </c>
      <c r="D1415" s="38" t="s">
        <v>8111</v>
      </c>
      <c r="E1415" s="281" t="s">
        <v>8112</v>
      </c>
      <c r="F1415" s="44"/>
      <c r="G1415" s="44"/>
    </row>
    <row r="1416">
      <c r="B1416" s="38" t="s">
        <v>8113</v>
      </c>
      <c r="C1416" s="38">
        <v>2.0</v>
      </c>
      <c r="D1416" s="59" t="s">
        <v>8114</v>
      </c>
      <c r="E1416" s="38" t="s">
        <v>8115</v>
      </c>
      <c r="F1416" s="38" t="s">
        <v>8116</v>
      </c>
      <c r="G1416" s="38" t="s">
        <v>8117</v>
      </c>
    </row>
    <row r="1417">
      <c r="B1417" s="38" t="s">
        <v>357</v>
      </c>
      <c r="C1417" s="38">
        <v>4.0</v>
      </c>
      <c r="D1417" s="38" t="s">
        <v>412</v>
      </c>
      <c r="E1417" s="38" t="s">
        <v>8118</v>
      </c>
      <c r="F1417" s="38" t="s">
        <v>8119</v>
      </c>
    </row>
    <row r="1418">
      <c r="B1418" s="38" t="s">
        <v>8120</v>
      </c>
      <c r="C1418" s="44"/>
      <c r="D1418" s="38" t="s">
        <v>8121</v>
      </c>
      <c r="E1418" s="38" t="s">
        <v>8122</v>
      </c>
      <c r="F1418" s="38" t="s">
        <v>8123</v>
      </c>
    </row>
    <row r="1419">
      <c r="B1419" s="44"/>
      <c r="C1419" s="44"/>
      <c r="D1419" s="38" t="s">
        <v>8124</v>
      </c>
      <c r="E1419" s="38" t="s">
        <v>8125</v>
      </c>
      <c r="F1419" s="38" t="s">
        <v>8126</v>
      </c>
    </row>
    <row r="1420">
      <c r="B1420" s="44"/>
      <c r="C1420" s="44"/>
      <c r="D1420" s="38" t="s">
        <v>8127</v>
      </c>
      <c r="E1420" s="38" t="s">
        <v>8128</v>
      </c>
      <c r="F1420" s="44"/>
      <c r="G1420" s="38" t="s">
        <v>8110</v>
      </c>
    </row>
    <row r="1421">
      <c r="B1421" s="44"/>
      <c r="C1421" s="44"/>
      <c r="D1421" s="38" t="s">
        <v>8129</v>
      </c>
      <c r="E1421" s="38" t="s">
        <v>8130</v>
      </c>
      <c r="F1421" s="38" t="s">
        <v>3368</v>
      </c>
      <c r="G1421" s="38" t="s">
        <v>8110</v>
      </c>
    </row>
    <row r="1422">
      <c r="B1422" s="38" t="s">
        <v>58</v>
      </c>
      <c r="C1422" s="38">
        <v>4.0</v>
      </c>
      <c r="D1422" s="38" t="s">
        <v>8131</v>
      </c>
      <c r="E1422" s="38" t="s">
        <v>8132</v>
      </c>
      <c r="F1422" s="38" t="s">
        <v>8133</v>
      </c>
    </row>
    <row r="1423">
      <c r="B1423" s="38" t="s">
        <v>1460</v>
      </c>
      <c r="C1423" s="38" t="s">
        <v>8134</v>
      </c>
      <c r="D1423" s="38" t="s">
        <v>8135</v>
      </c>
      <c r="E1423" s="38" t="s">
        <v>8136</v>
      </c>
      <c r="F1423" s="125" t="s">
        <v>8137</v>
      </c>
      <c r="G1423" s="38" t="s">
        <v>8138</v>
      </c>
    </row>
    <row r="1424">
      <c r="B1424" s="390" t="s">
        <v>8139</v>
      </c>
      <c r="C1424" s="335" t="s">
        <v>8140</v>
      </c>
      <c r="D1424" s="38" t="s">
        <v>8141</v>
      </c>
      <c r="E1424" s="38" t="s">
        <v>4407</v>
      </c>
      <c r="F1424" s="44"/>
      <c r="G1424" s="38" t="s">
        <v>8142</v>
      </c>
    </row>
    <row r="1425">
      <c r="B1425" s="38" t="s">
        <v>25</v>
      </c>
      <c r="C1425" s="38">
        <v>1.0</v>
      </c>
      <c r="D1425" s="38" t="s">
        <v>6569</v>
      </c>
      <c r="E1425" s="38" t="s">
        <v>8143</v>
      </c>
      <c r="F1425" s="38" t="s">
        <v>8144</v>
      </c>
      <c r="G1425" s="38" t="s">
        <v>5298</v>
      </c>
    </row>
    <row r="1426">
      <c r="B1426" s="44"/>
      <c r="C1426" s="38"/>
      <c r="D1426" s="38"/>
      <c r="E1426" s="38" t="s">
        <v>8145</v>
      </c>
      <c r="F1426" s="38" t="s">
        <v>8146</v>
      </c>
      <c r="G1426" s="38"/>
    </row>
    <row r="1427">
      <c r="B1427" s="44"/>
      <c r="C1427" s="38"/>
      <c r="D1427" s="38"/>
      <c r="E1427" s="38" t="s">
        <v>8145</v>
      </c>
      <c r="F1427" s="38" t="s">
        <v>8147</v>
      </c>
      <c r="G1427" s="38"/>
    </row>
    <row r="1428">
      <c r="B1428" s="38" t="s">
        <v>25</v>
      </c>
      <c r="C1428" s="38">
        <v>4.0</v>
      </c>
      <c r="D1428" s="38" t="s">
        <v>7286</v>
      </c>
      <c r="E1428" s="38" t="s">
        <v>8148</v>
      </c>
      <c r="F1428" s="38" t="s">
        <v>8149</v>
      </c>
      <c r="G1428" s="38" t="s">
        <v>8150</v>
      </c>
    </row>
    <row r="1429">
      <c r="B1429" s="38" t="s">
        <v>8151</v>
      </c>
      <c r="C1429" s="38">
        <v>2.0</v>
      </c>
      <c r="D1429" s="38" t="s">
        <v>8152</v>
      </c>
      <c r="E1429" s="38" t="s">
        <v>873</v>
      </c>
      <c r="F1429" s="38" t="s">
        <v>8153</v>
      </c>
      <c r="G1429" s="38" t="s">
        <v>8154</v>
      </c>
    </row>
    <row r="1430">
      <c r="B1430" s="44"/>
      <c r="C1430" s="38">
        <v>1.0</v>
      </c>
      <c r="D1430" s="391">
        <v>5.0554154E7</v>
      </c>
      <c r="E1430" s="38" t="s">
        <v>1230</v>
      </c>
      <c r="F1430" s="38" t="s">
        <v>8155</v>
      </c>
      <c r="G1430" s="38" t="s">
        <v>4421</v>
      </c>
    </row>
    <row r="1431">
      <c r="B1431" s="44"/>
      <c r="C1431" s="38">
        <v>1.0</v>
      </c>
      <c r="D1431" s="391">
        <v>5.0533794E7</v>
      </c>
      <c r="E1431" s="38" t="s">
        <v>1230</v>
      </c>
      <c r="F1431" s="44"/>
      <c r="G1431" s="38" t="s">
        <v>4421</v>
      </c>
    </row>
    <row r="1432">
      <c r="B1432" s="44"/>
      <c r="C1432" s="38">
        <v>1.0</v>
      </c>
      <c r="D1432" s="392">
        <v>5.0551395E7</v>
      </c>
      <c r="E1432" s="38" t="s">
        <v>1230</v>
      </c>
      <c r="F1432" s="44"/>
      <c r="G1432" s="38" t="s">
        <v>4421</v>
      </c>
    </row>
    <row r="1433">
      <c r="B1433" s="38" t="s">
        <v>25</v>
      </c>
      <c r="C1433" s="38">
        <v>4.0</v>
      </c>
      <c r="D1433" s="38" t="s">
        <v>6569</v>
      </c>
      <c r="E1433" s="38" t="s">
        <v>5792</v>
      </c>
      <c r="F1433" s="38" t="s">
        <v>175</v>
      </c>
    </row>
    <row r="1434">
      <c r="B1434" s="44"/>
      <c r="C1434" s="38">
        <v>4.0</v>
      </c>
      <c r="D1434" s="47" t="s">
        <v>8156</v>
      </c>
      <c r="E1434" s="47" t="s">
        <v>6780</v>
      </c>
      <c r="F1434" s="38" t="s">
        <v>8157</v>
      </c>
      <c r="G1434" s="38" t="s">
        <v>8158</v>
      </c>
    </row>
    <row r="1435">
      <c r="B1435" s="38" t="s">
        <v>177</v>
      </c>
      <c r="C1435" s="38">
        <v>4.0</v>
      </c>
      <c r="D1435" s="38" t="s">
        <v>408</v>
      </c>
      <c r="E1435" s="38" t="s">
        <v>8159</v>
      </c>
      <c r="F1435" s="44"/>
    </row>
    <row r="1436">
      <c r="B1436" s="38" t="s">
        <v>22</v>
      </c>
      <c r="C1436" s="38">
        <v>4.0</v>
      </c>
      <c r="D1436" s="38" t="s">
        <v>3215</v>
      </c>
      <c r="E1436" s="38" t="s">
        <v>5131</v>
      </c>
      <c r="F1436" s="38" t="s">
        <v>4650</v>
      </c>
    </row>
    <row r="1437">
      <c r="B1437" s="38" t="s">
        <v>8160</v>
      </c>
      <c r="C1437" s="38" t="s">
        <v>8161</v>
      </c>
      <c r="D1437" s="38" t="s">
        <v>8162</v>
      </c>
      <c r="E1437" s="38" t="s">
        <v>4210</v>
      </c>
      <c r="F1437" s="38" t="s">
        <v>8163</v>
      </c>
      <c r="G1437" s="38" t="s">
        <v>8164</v>
      </c>
    </row>
    <row r="1438">
      <c r="B1438" s="38" t="s">
        <v>333</v>
      </c>
      <c r="C1438" s="38">
        <v>4.0</v>
      </c>
      <c r="D1438" s="38" t="s">
        <v>8060</v>
      </c>
      <c r="E1438" s="38" t="s">
        <v>8165</v>
      </c>
      <c r="F1438" s="38" t="s">
        <v>8166</v>
      </c>
    </row>
    <row r="1439">
      <c r="B1439" s="38"/>
      <c r="C1439" s="38" t="s">
        <v>8167</v>
      </c>
      <c r="D1439" s="335" t="s">
        <v>8168</v>
      </c>
      <c r="E1439" s="38" t="s">
        <v>6915</v>
      </c>
      <c r="F1439" s="38" t="s">
        <v>8169</v>
      </c>
    </row>
    <row r="1440">
      <c r="B1440" s="38" t="s">
        <v>1454</v>
      </c>
      <c r="C1440" s="38">
        <v>4.0</v>
      </c>
      <c r="D1440" s="38" t="s">
        <v>881</v>
      </c>
      <c r="E1440" s="38" t="s">
        <v>7045</v>
      </c>
      <c r="F1440" s="38" t="s">
        <v>8170</v>
      </c>
      <c r="G1440" s="38" t="s">
        <v>8171</v>
      </c>
    </row>
    <row r="1441">
      <c r="B1441" s="38" t="s">
        <v>2053</v>
      </c>
      <c r="C1441" s="38">
        <v>4.0</v>
      </c>
      <c r="D1441" s="38" t="s">
        <v>8172</v>
      </c>
      <c r="E1441" s="38" t="s">
        <v>7045</v>
      </c>
      <c r="F1441" s="44"/>
      <c r="G1441" s="38" t="s">
        <v>8171</v>
      </c>
    </row>
    <row r="1442">
      <c r="B1442" s="38" t="s">
        <v>38</v>
      </c>
      <c r="C1442" s="38">
        <v>4.0</v>
      </c>
      <c r="D1442" s="38" t="s">
        <v>134</v>
      </c>
      <c r="E1442" s="38" t="s">
        <v>6938</v>
      </c>
      <c r="F1442" s="38" t="s">
        <v>8173</v>
      </c>
      <c r="G1442" s="38" t="s">
        <v>8174</v>
      </c>
      <c r="H1442" s="1" t="s">
        <v>8175</v>
      </c>
    </row>
    <row r="1443">
      <c r="B1443" s="38" t="s">
        <v>261</v>
      </c>
      <c r="C1443" s="38">
        <v>4.0</v>
      </c>
      <c r="D1443" s="38" t="s">
        <v>1359</v>
      </c>
      <c r="E1443" s="38" t="s">
        <v>6938</v>
      </c>
      <c r="F1443" s="38" t="s">
        <v>8176</v>
      </c>
      <c r="G1443" s="38" t="s">
        <v>8174</v>
      </c>
    </row>
    <row r="1444">
      <c r="B1444" s="44"/>
      <c r="C1444" s="44"/>
      <c r="D1444" s="38" t="s">
        <v>8177</v>
      </c>
      <c r="E1444" s="276" t="s">
        <v>8112</v>
      </c>
      <c r="F1444" s="38" t="s">
        <v>8178</v>
      </c>
    </row>
    <row r="1445">
      <c r="A1445" s="1"/>
      <c r="B1445" s="38" t="s">
        <v>1010</v>
      </c>
      <c r="C1445" s="38">
        <v>4.0</v>
      </c>
      <c r="D1445" s="38" t="s">
        <v>8179</v>
      </c>
      <c r="E1445" s="38" t="s">
        <v>8180</v>
      </c>
      <c r="F1445" s="38" t="s">
        <v>8181</v>
      </c>
    </row>
    <row r="1446">
      <c r="B1446" s="38" t="s">
        <v>756</v>
      </c>
      <c r="C1446" s="38">
        <v>2.0</v>
      </c>
      <c r="D1446" s="38" t="s">
        <v>5045</v>
      </c>
      <c r="E1446" s="281" t="s">
        <v>758</v>
      </c>
      <c r="F1446" s="38" t="s">
        <v>8182</v>
      </c>
    </row>
    <row r="1447">
      <c r="B1447" s="38" t="s">
        <v>271</v>
      </c>
      <c r="C1447" s="38">
        <v>4.0</v>
      </c>
      <c r="D1447" s="38" t="s">
        <v>6192</v>
      </c>
      <c r="E1447" s="38" t="s">
        <v>4478</v>
      </c>
      <c r="F1447" s="38" t="s">
        <v>8183</v>
      </c>
    </row>
    <row r="1448">
      <c r="B1448" s="38" t="s">
        <v>1400</v>
      </c>
      <c r="C1448" s="38">
        <v>8.0</v>
      </c>
      <c r="D1448" s="38" t="s">
        <v>6192</v>
      </c>
      <c r="E1448" s="38" t="s">
        <v>4478</v>
      </c>
      <c r="F1448" s="38" t="s">
        <v>8183</v>
      </c>
    </row>
    <row r="1449">
      <c r="B1449" s="38" t="s">
        <v>949</v>
      </c>
      <c r="C1449" s="38">
        <v>4.0</v>
      </c>
      <c r="D1449" s="38" t="s">
        <v>6571</v>
      </c>
      <c r="E1449" s="38" t="s">
        <v>8184</v>
      </c>
      <c r="F1449" s="38" t="s">
        <v>8185</v>
      </c>
    </row>
    <row r="1450">
      <c r="B1450" s="44"/>
      <c r="C1450" s="44"/>
      <c r="D1450" s="44"/>
      <c r="E1450" s="44"/>
      <c r="F1450" s="44"/>
    </row>
    <row r="1451">
      <c r="B1451" s="393" t="s">
        <v>8186</v>
      </c>
      <c r="C1451" s="38" t="s">
        <v>8187</v>
      </c>
      <c r="D1451" s="305" t="s">
        <v>8188</v>
      </c>
      <c r="E1451" s="38" t="s">
        <v>4865</v>
      </c>
      <c r="F1451" s="44"/>
    </row>
    <row r="1452">
      <c r="B1452" s="44"/>
      <c r="C1452" s="44"/>
      <c r="D1452" s="305" t="s">
        <v>8189</v>
      </c>
      <c r="E1452" s="38" t="s">
        <v>8190</v>
      </c>
      <c r="F1452" s="38" t="s">
        <v>8191</v>
      </c>
    </row>
    <row r="1453">
      <c r="B1453" s="38" t="s">
        <v>354</v>
      </c>
      <c r="C1453" s="38">
        <v>4.0</v>
      </c>
      <c r="D1453" s="38" t="s">
        <v>8192</v>
      </c>
      <c r="E1453" s="47" t="s">
        <v>6780</v>
      </c>
      <c r="F1453" s="38" t="s">
        <v>8193</v>
      </c>
    </row>
    <row r="1454">
      <c r="B1454" s="38" t="s">
        <v>28</v>
      </c>
      <c r="C1454" s="38">
        <v>4.0</v>
      </c>
      <c r="D1454" s="38" t="s">
        <v>402</v>
      </c>
      <c r="E1454" s="274" t="s">
        <v>8194</v>
      </c>
      <c r="F1454" s="38" t="s">
        <v>8195</v>
      </c>
    </row>
    <row r="1455">
      <c r="B1455" s="38" t="s">
        <v>439</v>
      </c>
      <c r="C1455" s="38">
        <v>2.0</v>
      </c>
      <c r="D1455" s="38" t="s">
        <v>992</v>
      </c>
      <c r="E1455" s="47" t="s">
        <v>8196</v>
      </c>
      <c r="F1455" s="38" t="s">
        <v>8197</v>
      </c>
    </row>
    <row r="1456">
      <c r="B1456" s="38" t="s">
        <v>495</v>
      </c>
      <c r="C1456" s="38">
        <v>2.0</v>
      </c>
      <c r="D1456" s="38" t="s">
        <v>992</v>
      </c>
      <c r="E1456" s="47" t="s">
        <v>8196</v>
      </c>
      <c r="F1456" s="38" t="s">
        <v>8198</v>
      </c>
    </row>
    <row r="1457">
      <c r="B1457" s="38" t="s">
        <v>4563</v>
      </c>
      <c r="C1457" s="38">
        <v>4.0</v>
      </c>
      <c r="D1457" s="38" t="s">
        <v>8199</v>
      </c>
      <c r="E1457" s="38" t="s">
        <v>8200</v>
      </c>
      <c r="F1457" s="40" t="s">
        <v>8201</v>
      </c>
    </row>
    <row r="1458">
      <c r="B1458" s="38" t="s">
        <v>266</v>
      </c>
      <c r="C1458" s="38">
        <v>4.0</v>
      </c>
      <c r="D1458" s="38" t="s">
        <v>8202</v>
      </c>
      <c r="E1458" s="38" t="s">
        <v>8203</v>
      </c>
      <c r="F1458" s="40" t="s">
        <v>8204</v>
      </c>
    </row>
    <row r="1459">
      <c r="B1459" s="38" t="s">
        <v>416</v>
      </c>
      <c r="C1459" s="38">
        <v>4.0</v>
      </c>
      <c r="D1459" s="357" t="s">
        <v>8205</v>
      </c>
      <c r="E1459" s="38" t="s">
        <v>8206</v>
      </c>
      <c r="F1459" s="38" t="s">
        <v>8207</v>
      </c>
    </row>
    <row r="1460">
      <c r="B1460" s="38" t="s">
        <v>283</v>
      </c>
      <c r="C1460" s="38">
        <v>2.0</v>
      </c>
      <c r="D1460" s="38" t="s">
        <v>8208</v>
      </c>
      <c r="E1460" s="38" t="s">
        <v>8209</v>
      </c>
      <c r="F1460" s="38" t="s">
        <v>8210</v>
      </c>
      <c r="G1460" s="38" t="s">
        <v>7646</v>
      </c>
    </row>
    <row r="1461">
      <c r="B1461" s="38" t="s">
        <v>1892</v>
      </c>
      <c r="C1461" s="38">
        <v>4.0</v>
      </c>
      <c r="D1461" s="38" t="s">
        <v>8211</v>
      </c>
      <c r="E1461" s="38" t="s">
        <v>8212</v>
      </c>
      <c r="F1461" s="38" t="s">
        <v>8213</v>
      </c>
      <c r="G1461" s="38" t="s">
        <v>8214</v>
      </c>
    </row>
    <row r="1462">
      <c r="B1462" s="38" t="s">
        <v>1296</v>
      </c>
      <c r="C1462" s="38">
        <v>4.0</v>
      </c>
      <c r="D1462" s="38" t="s">
        <v>3937</v>
      </c>
      <c r="E1462" s="38" t="s">
        <v>8215</v>
      </c>
      <c r="F1462" s="38" t="s">
        <v>8213</v>
      </c>
      <c r="G1462" s="38" t="s">
        <v>8214</v>
      </c>
    </row>
    <row r="1463">
      <c r="B1463" s="44"/>
      <c r="C1463" s="335" t="s">
        <v>8216</v>
      </c>
      <c r="D1463" s="47" t="s">
        <v>8217</v>
      </c>
      <c r="E1463" s="38" t="s">
        <v>6006</v>
      </c>
      <c r="F1463" s="38" t="s">
        <v>8218</v>
      </c>
      <c r="G1463" s="38" t="s">
        <v>8219</v>
      </c>
    </row>
    <row r="1464">
      <c r="B1464" s="38" t="s">
        <v>97</v>
      </c>
      <c r="C1464" s="38">
        <v>2.0</v>
      </c>
      <c r="D1464" s="38" t="s">
        <v>8220</v>
      </c>
      <c r="E1464" s="38" t="s">
        <v>4787</v>
      </c>
      <c r="F1464" s="38" t="s">
        <v>8221</v>
      </c>
    </row>
    <row r="1465">
      <c r="B1465" s="38" t="s">
        <v>4608</v>
      </c>
      <c r="C1465" s="38">
        <v>2.0</v>
      </c>
      <c r="D1465" s="38" t="s">
        <v>8220</v>
      </c>
      <c r="E1465" s="38" t="s">
        <v>4787</v>
      </c>
      <c r="F1465" s="38" t="s">
        <v>8221</v>
      </c>
    </row>
    <row r="1466">
      <c r="B1466" s="38" t="s">
        <v>4666</v>
      </c>
      <c r="C1466" s="38">
        <v>4.0</v>
      </c>
      <c r="D1466" s="38" t="s">
        <v>8222</v>
      </c>
      <c r="E1466" s="38" t="s">
        <v>8223</v>
      </c>
      <c r="F1466" s="38" t="s">
        <v>8224</v>
      </c>
    </row>
    <row r="1467">
      <c r="B1467" s="38" t="s">
        <v>339</v>
      </c>
      <c r="C1467" s="38">
        <v>4.0</v>
      </c>
      <c r="D1467" s="38" t="s">
        <v>8225</v>
      </c>
      <c r="E1467" s="57" t="s">
        <v>6159</v>
      </c>
      <c r="F1467" s="38" t="s">
        <v>8226</v>
      </c>
    </row>
    <row r="1468">
      <c r="B1468" s="38" t="s">
        <v>875</v>
      </c>
      <c r="C1468" s="38">
        <v>1.0</v>
      </c>
      <c r="D1468" s="38" t="s">
        <v>5608</v>
      </c>
      <c r="E1468" s="38" t="s">
        <v>8227</v>
      </c>
      <c r="F1468" s="38" t="s">
        <v>8228</v>
      </c>
      <c r="G1468" s="38" t="s">
        <v>8229</v>
      </c>
    </row>
    <row r="1469">
      <c r="B1469" s="38" t="s">
        <v>8230</v>
      </c>
      <c r="C1469" s="38">
        <v>4.0</v>
      </c>
      <c r="D1469" s="38" t="s">
        <v>4807</v>
      </c>
      <c r="E1469" s="38" t="s">
        <v>8227</v>
      </c>
      <c r="F1469" s="38" t="s">
        <v>175</v>
      </c>
      <c r="G1469" s="38" t="s">
        <v>8229</v>
      </c>
    </row>
    <row r="1470">
      <c r="B1470" s="38" t="s">
        <v>1296</v>
      </c>
      <c r="C1470" s="38">
        <v>4.0</v>
      </c>
      <c r="D1470" s="38" t="s">
        <v>8231</v>
      </c>
      <c r="E1470" s="38" t="s">
        <v>8227</v>
      </c>
      <c r="F1470" s="38" t="s">
        <v>8232</v>
      </c>
      <c r="G1470" s="38" t="s">
        <v>8233</v>
      </c>
    </row>
    <row r="1471">
      <c r="B1471" s="38" t="s">
        <v>8234</v>
      </c>
      <c r="C1471" s="38" t="s">
        <v>8235</v>
      </c>
      <c r="D1471" s="38" t="s">
        <v>8236</v>
      </c>
      <c r="E1471" s="38" t="s">
        <v>8227</v>
      </c>
      <c r="F1471" s="294" t="s">
        <v>8237</v>
      </c>
      <c r="G1471" s="38" t="s">
        <v>8233</v>
      </c>
    </row>
    <row r="1472">
      <c r="B1472" s="38"/>
      <c r="C1472" s="38"/>
      <c r="D1472" s="38"/>
      <c r="E1472" s="38" t="s">
        <v>8227</v>
      </c>
      <c r="F1472" s="390" t="s">
        <v>8238</v>
      </c>
      <c r="G1472" s="38" t="s">
        <v>8233</v>
      </c>
    </row>
    <row r="1473">
      <c r="B1473" s="38" t="s">
        <v>8239</v>
      </c>
      <c r="C1473" s="38" t="s">
        <v>8240</v>
      </c>
      <c r="D1473" s="38" t="s">
        <v>8241</v>
      </c>
      <c r="E1473" s="38" t="s">
        <v>8242</v>
      </c>
      <c r="F1473" s="38" t="s">
        <v>8243</v>
      </c>
    </row>
    <row r="1474">
      <c r="B1474" s="38"/>
      <c r="C1474" s="38"/>
      <c r="D1474" s="38" t="s">
        <v>8244</v>
      </c>
      <c r="E1474" s="38" t="s">
        <v>8242</v>
      </c>
      <c r="F1474" s="38"/>
    </row>
    <row r="1475">
      <c r="B1475" s="38" t="s">
        <v>8245</v>
      </c>
      <c r="C1475" s="38" t="s">
        <v>6443</v>
      </c>
      <c r="D1475" s="38" t="s">
        <v>8246</v>
      </c>
      <c r="E1475" s="38" t="s">
        <v>8247</v>
      </c>
      <c r="F1475" s="38" t="s">
        <v>8248</v>
      </c>
    </row>
    <row r="1476">
      <c r="B1476" s="38" t="s">
        <v>8249</v>
      </c>
      <c r="C1476" s="38" t="s">
        <v>8250</v>
      </c>
      <c r="D1476" s="38" t="s">
        <v>8251</v>
      </c>
      <c r="E1476" s="38" t="s">
        <v>8247</v>
      </c>
      <c r="F1476" s="44"/>
    </row>
    <row r="1477">
      <c r="B1477" s="38" t="s">
        <v>8252</v>
      </c>
      <c r="C1477" s="305" t="s">
        <v>8253</v>
      </c>
      <c r="D1477" s="305" t="s">
        <v>8254</v>
      </c>
      <c r="E1477" s="38" t="s">
        <v>8255</v>
      </c>
      <c r="F1477" s="38" t="s">
        <v>8256</v>
      </c>
    </row>
    <row r="1478">
      <c r="B1478" s="352" t="s">
        <v>584</v>
      </c>
      <c r="C1478" s="331" t="s">
        <v>8257</v>
      </c>
      <c r="D1478" s="305" t="s">
        <v>8258</v>
      </c>
      <c r="E1478" s="38" t="s">
        <v>8259</v>
      </c>
      <c r="F1478" s="38" t="s">
        <v>8260</v>
      </c>
      <c r="G1478" s="38" t="s">
        <v>8261</v>
      </c>
      <c r="H1478" s="38" t="s">
        <v>4813</v>
      </c>
    </row>
    <row r="1479">
      <c r="B1479" s="38" t="s">
        <v>4552</v>
      </c>
      <c r="C1479" s="38">
        <v>1.0</v>
      </c>
      <c r="D1479" s="38" t="s">
        <v>1583</v>
      </c>
      <c r="E1479" s="38" t="s">
        <v>6739</v>
      </c>
      <c r="F1479" s="38" t="s">
        <v>8262</v>
      </c>
    </row>
    <row r="1480">
      <c r="B1480" s="38" t="s">
        <v>8263</v>
      </c>
      <c r="C1480" s="38">
        <v>1.0</v>
      </c>
      <c r="D1480" s="38" t="s">
        <v>1583</v>
      </c>
      <c r="E1480" s="38" t="s">
        <v>6739</v>
      </c>
      <c r="F1480" s="38" t="s">
        <v>8262</v>
      </c>
    </row>
    <row r="1481">
      <c r="B1481" s="44"/>
      <c r="C1481" s="38" t="s">
        <v>372</v>
      </c>
      <c r="D1481" s="353" t="s">
        <v>8264</v>
      </c>
      <c r="E1481" s="38" t="s">
        <v>8247</v>
      </c>
      <c r="F1481" s="44"/>
    </row>
    <row r="1482">
      <c r="B1482" s="38" t="s">
        <v>1010</v>
      </c>
      <c r="C1482" s="38">
        <v>4.0</v>
      </c>
      <c r="D1482" s="38" t="s">
        <v>1109</v>
      </c>
      <c r="E1482" s="38" t="s">
        <v>4634</v>
      </c>
      <c r="F1482" s="38" t="s">
        <v>8265</v>
      </c>
    </row>
    <row r="1483">
      <c r="B1483" s="38" t="s">
        <v>25</v>
      </c>
      <c r="C1483" s="38">
        <v>2.0</v>
      </c>
      <c r="D1483" s="38" t="s">
        <v>8266</v>
      </c>
      <c r="E1483" s="38" t="s">
        <v>337</v>
      </c>
      <c r="F1483" s="38" t="s">
        <v>8267</v>
      </c>
      <c r="G1483" s="38" t="s">
        <v>8268</v>
      </c>
    </row>
    <row r="1484">
      <c r="B1484" s="38" t="s">
        <v>876</v>
      </c>
      <c r="C1484" s="38">
        <v>4.0</v>
      </c>
      <c r="D1484" s="38" t="s">
        <v>684</v>
      </c>
      <c r="E1484" s="38" t="s">
        <v>4210</v>
      </c>
      <c r="F1484" s="38" t="s">
        <v>8269</v>
      </c>
      <c r="G1484" s="38" t="s">
        <v>8270</v>
      </c>
    </row>
    <row r="1485">
      <c r="B1485" s="38" t="s">
        <v>4608</v>
      </c>
      <c r="C1485" s="38">
        <v>2.0</v>
      </c>
      <c r="D1485" s="38" t="s">
        <v>8271</v>
      </c>
      <c r="E1485" s="38" t="s">
        <v>2867</v>
      </c>
      <c r="F1485" s="38" t="s">
        <v>8272</v>
      </c>
    </row>
    <row r="1486">
      <c r="B1486" s="38" t="s">
        <v>1757</v>
      </c>
      <c r="C1486" s="38">
        <v>2.0</v>
      </c>
      <c r="D1486" s="38" t="s">
        <v>8271</v>
      </c>
      <c r="E1486" s="38" t="s">
        <v>2867</v>
      </c>
      <c r="F1486" s="38" t="s">
        <v>8273</v>
      </c>
    </row>
    <row r="1487">
      <c r="B1487" s="38" t="s">
        <v>25</v>
      </c>
      <c r="C1487" s="38">
        <v>4.0</v>
      </c>
      <c r="D1487" s="38" t="s">
        <v>402</v>
      </c>
      <c r="E1487" s="38" t="s">
        <v>8274</v>
      </c>
      <c r="F1487" s="38" t="s">
        <v>8224</v>
      </c>
    </row>
    <row r="1488">
      <c r="B1488" s="38" t="s">
        <v>357</v>
      </c>
      <c r="C1488" s="38">
        <v>4.0</v>
      </c>
      <c r="D1488" s="38" t="s">
        <v>29</v>
      </c>
      <c r="E1488" s="38" t="s">
        <v>8275</v>
      </c>
      <c r="F1488" s="38" t="s">
        <v>8276</v>
      </c>
    </row>
    <row r="1489">
      <c r="B1489" s="38" t="s">
        <v>77</v>
      </c>
      <c r="C1489" s="38">
        <v>4.0</v>
      </c>
      <c r="D1489" s="38" t="s">
        <v>29</v>
      </c>
      <c r="E1489" s="57" t="s">
        <v>8277</v>
      </c>
      <c r="F1489" s="40" t="s">
        <v>8278</v>
      </c>
    </row>
    <row r="1490">
      <c r="B1490" s="38" t="s">
        <v>271</v>
      </c>
      <c r="C1490" s="38">
        <v>4.0</v>
      </c>
      <c r="D1490" s="38" t="s">
        <v>26</v>
      </c>
      <c r="E1490" s="38" t="s">
        <v>6176</v>
      </c>
      <c r="F1490" s="38" t="s">
        <v>8279</v>
      </c>
    </row>
    <row r="1491">
      <c r="B1491" s="38" t="s">
        <v>81</v>
      </c>
      <c r="C1491" s="38">
        <v>4.0</v>
      </c>
      <c r="D1491" s="38" t="s">
        <v>8280</v>
      </c>
      <c r="E1491" s="38" t="s">
        <v>8281</v>
      </c>
      <c r="F1491" s="38" t="s">
        <v>8282</v>
      </c>
    </row>
    <row r="1492">
      <c r="B1492" s="38" t="s">
        <v>85</v>
      </c>
      <c r="C1492" s="38">
        <v>4.0</v>
      </c>
      <c r="D1492" s="38" t="s">
        <v>29</v>
      </c>
      <c r="E1492" s="38" t="s">
        <v>6195</v>
      </c>
      <c r="F1492" s="38" t="s">
        <v>8283</v>
      </c>
    </row>
    <row r="1493">
      <c r="B1493" s="38" t="s">
        <v>271</v>
      </c>
      <c r="C1493" s="38">
        <v>2.0</v>
      </c>
      <c r="D1493" s="38" t="s">
        <v>1114</v>
      </c>
      <c r="E1493" s="38" t="s">
        <v>8284</v>
      </c>
      <c r="F1493" s="40" t="s">
        <v>8278</v>
      </c>
    </row>
    <row r="1494">
      <c r="B1494" s="38" t="s">
        <v>339</v>
      </c>
      <c r="C1494" s="38">
        <v>4.0</v>
      </c>
      <c r="D1494" s="38" t="s">
        <v>8285</v>
      </c>
      <c r="E1494" s="57" t="s">
        <v>8286</v>
      </c>
      <c r="F1494" s="38" t="s">
        <v>8282</v>
      </c>
    </row>
    <row r="1495">
      <c r="B1495" s="38" t="s">
        <v>81</v>
      </c>
      <c r="C1495" s="38">
        <v>4.0</v>
      </c>
      <c r="D1495" s="38" t="s">
        <v>8280</v>
      </c>
      <c r="E1495" s="356" t="s">
        <v>8287</v>
      </c>
      <c r="F1495" s="38" t="s">
        <v>8288</v>
      </c>
    </row>
    <row r="1496">
      <c r="B1496" s="38" t="s">
        <v>357</v>
      </c>
      <c r="C1496" s="38">
        <v>4.0</v>
      </c>
      <c r="D1496" s="38" t="s">
        <v>29</v>
      </c>
      <c r="E1496" s="40" t="s">
        <v>8289</v>
      </c>
      <c r="F1496" s="38" t="s">
        <v>8290</v>
      </c>
    </row>
    <row r="1497">
      <c r="B1497" s="38" t="s">
        <v>876</v>
      </c>
      <c r="C1497" s="38">
        <v>4.0</v>
      </c>
      <c r="D1497" s="38" t="s">
        <v>29</v>
      </c>
      <c r="E1497" s="38" t="s">
        <v>8291</v>
      </c>
      <c r="F1497" s="38" t="s">
        <v>8279</v>
      </c>
    </row>
    <row r="1498">
      <c r="B1498" s="38" t="s">
        <v>261</v>
      </c>
      <c r="C1498" s="38">
        <v>4.0</v>
      </c>
      <c r="D1498" s="38" t="s">
        <v>29</v>
      </c>
      <c r="E1498" s="356" t="s">
        <v>6189</v>
      </c>
      <c r="F1498" s="38" t="s">
        <v>8290</v>
      </c>
    </row>
    <row r="1499">
      <c r="B1499" s="38" t="s">
        <v>77</v>
      </c>
      <c r="C1499" s="38">
        <v>4.0</v>
      </c>
      <c r="D1499" s="38" t="s">
        <v>29</v>
      </c>
      <c r="E1499" s="57" t="s">
        <v>8292</v>
      </c>
      <c r="F1499" s="40" t="s">
        <v>8278</v>
      </c>
    </row>
    <row r="1500">
      <c r="B1500" s="38" t="s">
        <v>339</v>
      </c>
      <c r="C1500" s="38">
        <v>4.0</v>
      </c>
      <c r="D1500" s="38" t="s">
        <v>8285</v>
      </c>
      <c r="E1500" s="38" t="s">
        <v>8293</v>
      </c>
      <c r="F1500" s="38" t="s">
        <v>8290</v>
      </c>
    </row>
    <row r="1501">
      <c r="B1501" s="38" t="s">
        <v>205</v>
      </c>
      <c r="C1501" s="38">
        <v>4.0</v>
      </c>
      <c r="D1501" s="38" t="s">
        <v>29</v>
      </c>
      <c r="E1501" s="57" t="s">
        <v>8294</v>
      </c>
      <c r="F1501" s="38" t="s">
        <v>8290</v>
      </c>
    </row>
    <row r="1502">
      <c r="B1502" s="38" t="s">
        <v>81</v>
      </c>
      <c r="C1502" s="38">
        <v>4.0</v>
      </c>
      <c r="D1502" s="38" t="s">
        <v>8280</v>
      </c>
      <c r="E1502" s="40" t="s">
        <v>6174</v>
      </c>
      <c r="F1502" s="38" t="s">
        <v>8288</v>
      </c>
    </row>
    <row r="1503">
      <c r="B1503" s="38" t="s">
        <v>81</v>
      </c>
      <c r="C1503" s="38">
        <v>4.0</v>
      </c>
      <c r="D1503" s="38" t="s">
        <v>8280</v>
      </c>
      <c r="E1503" s="40" t="s">
        <v>8295</v>
      </c>
      <c r="F1503" s="38" t="s">
        <v>8288</v>
      </c>
    </row>
    <row r="1504">
      <c r="B1504" s="38" t="s">
        <v>77</v>
      </c>
      <c r="C1504" s="38">
        <v>4.0</v>
      </c>
      <c r="D1504" s="38" t="s">
        <v>29</v>
      </c>
      <c r="E1504" s="38" t="s">
        <v>5968</v>
      </c>
      <c r="F1504" s="38" t="s">
        <v>8296</v>
      </c>
    </row>
    <row r="1505">
      <c r="B1505" s="38" t="s">
        <v>2798</v>
      </c>
      <c r="C1505" s="38">
        <v>4.0</v>
      </c>
      <c r="D1505" s="38" t="s">
        <v>8297</v>
      </c>
      <c r="E1505" s="38" t="s">
        <v>8298</v>
      </c>
      <c r="F1505" s="38" t="s">
        <v>8288</v>
      </c>
    </row>
    <row r="1506">
      <c r="B1506" s="38" t="s">
        <v>1010</v>
      </c>
      <c r="C1506" s="38">
        <v>2.0</v>
      </c>
      <c r="D1506" s="38" t="s">
        <v>8299</v>
      </c>
      <c r="E1506" s="356" t="s">
        <v>8300</v>
      </c>
      <c r="F1506" s="38" t="s">
        <v>8301</v>
      </c>
    </row>
    <row r="1507">
      <c r="B1507" s="38" t="s">
        <v>876</v>
      </c>
      <c r="C1507" s="38">
        <v>4.0</v>
      </c>
      <c r="D1507" s="38" t="s">
        <v>29</v>
      </c>
      <c r="E1507" s="356" t="s">
        <v>6170</v>
      </c>
      <c r="F1507" s="38" t="s">
        <v>8283</v>
      </c>
    </row>
    <row r="1508">
      <c r="B1508" s="38" t="s">
        <v>4563</v>
      </c>
      <c r="C1508" s="38">
        <v>4.0</v>
      </c>
      <c r="D1508" s="38" t="s">
        <v>8302</v>
      </c>
      <c r="E1508" s="40" t="s">
        <v>8303</v>
      </c>
      <c r="F1508" s="38" t="s">
        <v>8296</v>
      </c>
    </row>
    <row r="1509">
      <c r="B1509" s="38" t="s">
        <v>205</v>
      </c>
      <c r="C1509" s="38">
        <v>4.0</v>
      </c>
      <c r="D1509" s="38" t="s">
        <v>29</v>
      </c>
      <c r="E1509" s="57" t="s">
        <v>8304</v>
      </c>
      <c r="F1509" s="38" t="s">
        <v>8282</v>
      </c>
    </row>
    <row r="1510">
      <c r="B1510" s="44"/>
      <c r="C1510" s="44"/>
      <c r="D1510" s="38" t="s">
        <v>8305</v>
      </c>
      <c r="E1510" s="38" t="s">
        <v>8306</v>
      </c>
      <c r="F1510" s="38" t="s">
        <v>8307</v>
      </c>
    </row>
    <row r="1511">
      <c r="B1511" s="38" t="s">
        <v>8134</v>
      </c>
      <c r="C1511" s="38" t="s">
        <v>8308</v>
      </c>
      <c r="D1511" s="38" t="s">
        <v>8309</v>
      </c>
      <c r="E1511" s="47" t="s">
        <v>6043</v>
      </c>
      <c r="F1511" s="38" t="s">
        <v>8310</v>
      </c>
      <c r="G1511" s="38" t="s">
        <v>8311</v>
      </c>
    </row>
    <row r="1512">
      <c r="B1512" s="38" t="s">
        <v>8312</v>
      </c>
      <c r="C1512" s="38" t="s">
        <v>4299</v>
      </c>
      <c r="D1512" s="38" t="s">
        <v>8313</v>
      </c>
      <c r="E1512" s="47" t="s">
        <v>6043</v>
      </c>
      <c r="F1512" s="38" t="s">
        <v>8314</v>
      </c>
      <c r="G1512" s="38" t="s">
        <v>8311</v>
      </c>
    </row>
    <row r="1513">
      <c r="B1513" s="44"/>
      <c r="C1513" s="38" t="s">
        <v>8315</v>
      </c>
      <c r="D1513" s="38" t="s">
        <v>8316</v>
      </c>
      <c r="E1513" s="38" t="s">
        <v>6006</v>
      </c>
      <c r="F1513" s="38" t="s">
        <v>8317</v>
      </c>
      <c r="G1513" s="38" t="s">
        <v>8318</v>
      </c>
    </row>
    <row r="1514">
      <c r="B1514" s="38" t="s">
        <v>8319</v>
      </c>
      <c r="C1514" s="38" t="s">
        <v>8320</v>
      </c>
      <c r="D1514" s="335" t="s">
        <v>8321</v>
      </c>
      <c r="E1514" s="38" t="s">
        <v>4478</v>
      </c>
      <c r="F1514" s="38" t="s">
        <v>1943</v>
      </c>
      <c r="G1514" s="38" t="s">
        <v>8322</v>
      </c>
    </row>
    <row r="1515">
      <c r="B1515" s="38" t="s">
        <v>8323</v>
      </c>
      <c r="C1515" s="38" t="s">
        <v>8324</v>
      </c>
      <c r="D1515" s="38" t="s">
        <v>8325</v>
      </c>
      <c r="E1515" s="38" t="s">
        <v>8326</v>
      </c>
      <c r="F1515" s="38" t="s">
        <v>8327</v>
      </c>
      <c r="G1515" s="38" t="s">
        <v>8328</v>
      </c>
      <c r="H1515" s="38" t="s">
        <v>8329</v>
      </c>
      <c r="I1515" s="44"/>
      <c r="J1515" s="38" t="s">
        <v>8330</v>
      </c>
    </row>
    <row r="1516">
      <c r="B1516" s="38" t="s">
        <v>8331</v>
      </c>
      <c r="C1516" s="38" t="s">
        <v>8332</v>
      </c>
      <c r="D1516" s="38" t="s">
        <v>8333</v>
      </c>
      <c r="E1516" s="38" t="s">
        <v>8326</v>
      </c>
      <c r="F1516" s="38" t="s">
        <v>8334</v>
      </c>
      <c r="G1516" s="38" t="s">
        <v>8335</v>
      </c>
      <c r="H1516" s="38" t="s">
        <v>8336</v>
      </c>
      <c r="I1516" s="38" t="s">
        <v>8329</v>
      </c>
      <c r="J1516" s="38" t="s">
        <v>8330</v>
      </c>
    </row>
    <row r="1517">
      <c r="B1517" s="38"/>
      <c r="C1517" s="38"/>
      <c r="D1517" s="38" t="s">
        <v>8337</v>
      </c>
      <c r="E1517" s="38" t="s">
        <v>8326</v>
      </c>
      <c r="F1517" s="38" t="s">
        <v>8338</v>
      </c>
      <c r="G1517" s="44"/>
      <c r="H1517" s="38" t="s">
        <v>8330</v>
      </c>
      <c r="I1517" s="38"/>
      <c r="J1517" s="44"/>
    </row>
    <row r="1518">
      <c r="B1518" s="38" t="s">
        <v>28</v>
      </c>
      <c r="C1518" s="38">
        <v>1.0</v>
      </c>
      <c r="D1518" s="38" t="s">
        <v>4386</v>
      </c>
      <c r="E1518" s="38" t="s">
        <v>8339</v>
      </c>
      <c r="F1518" s="44"/>
    </row>
    <row r="1519">
      <c r="B1519" s="38" t="s">
        <v>2329</v>
      </c>
      <c r="C1519" s="38">
        <v>4.0</v>
      </c>
      <c r="D1519" s="38" t="s">
        <v>8340</v>
      </c>
      <c r="E1519" s="38" t="s">
        <v>8341</v>
      </c>
      <c r="F1519" s="38" t="s">
        <v>4974</v>
      </c>
      <c r="G1519" s="38" t="s">
        <v>8342</v>
      </c>
    </row>
    <row r="1520">
      <c r="B1520" s="38" t="s">
        <v>8343</v>
      </c>
      <c r="C1520" s="38" t="s">
        <v>8344</v>
      </c>
      <c r="D1520" s="38" t="s">
        <v>8345</v>
      </c>
      <c r="E1520" s="38" t="s">
        <v>2914</v>
      </c>
      <c r="F1520" s="38" t="s">
        <v>8346</v>
      </c>
    </row>
    <row r="1521">
      <c r="B1521" s="38" t="s">
        <v>1432</v>
      </c>
      <c r="C1521" s="38">
        <v>4.0</v>
      </c>
      <c r="D1521" s="38" t="s">
        <v>315</v>
      </c>
      <c r="E1521" s="38" t="s">
        <v>543</v>
      </c>
      <c r="F1521" s="38" t="s">
        <v>8347</v>
      </c>
    </row>
    <row r="1522">
      <c r="B1522" s="38" t="s">
        <v>7845</v>
      </c>
      <c r="C1522" s="38">
        <v>4.0</v>
      </c>
      <c r="D1522" s="38" t="s">
        <v>7846</v>
      </c>
      <c r="E1522" s="38" t="s">
        <v>4478</v>
      </c>
      <c r="F1522" s="38" t="s">
        <v>8348</v>
      </c>
      <c r="G1522" s="38" t="s">
        <v>8349</v>
      </c>
    </row>
    <row r="1523">
      <c r="B1523" s="38" t="s">
        <v>876</v>
      </c>
      <c r="C1523" s="38">
        <v>4.0</v>
      </c>
      <c r="D1523" s="38" t="s">
        <v>8350</v>
      </c>
      <c r="E1523" s="38" t="s">
        <v>8351</v>
      </c>
      <c r="F1523" s="38" t="s">
        <v>8352</v>
      </c>
      <c r="G1523" s="44"/>
    </row>
    <row r="1524">
      <c r="B1524" s="38" t="s">
        <v>1432</v>
      </c>
      <c r="C1524" s="38">
        <v>4.0</v>
      </c>
      <c r="D1524" s="38" t="s">
        <v>315</v>
      </c>
      <c r="E1524" s="38" t="s">
        <v>5085</v>
      </c>
      <c r="F1524" s="38" t="s">
        <v>8353</v>
      </c>
      <c r="G1524" s="38" t="s">
        <v>7790</v>
      </c>
    </row>
    <row r="1525">
      <c r="B1525" s="44"/>
      <c r="C1525" s="44"/>
      <c r="D1525" s="38" t="s">
        <v>8354</v>
      </c>
      <c r="E1525" s="38" t="s">
        <v>543</v>
      </c>
      <c r="F1525" s="38" t="s">
        <v>8355</v>
      </c>
    </row>
    <row r="1526">
      <c r="B1526" s="38" t="s">
        <v>88</v>
      </c>
      <c r="C1526" s="38">
        <v>4.0</v>
      </c>
      <c r="D1526" s="38" t="s">
        <v>8356</v>
      </c>
      <c r="E1526" s="38" t="s">
        <v>8357</v>
      </c>
      <c r="F1526" s="38" t="s">
        <v>8358</v>
      </c>
    </row>
    <row r="1527">
      <c r="B1527" s="44"/>
      <c r="C1527" s="44"/>
      <c r="D1527" s="38" t="s">
        <v>8359</v>
      </c>
      <c r="E1527" s="38" t="s">
        <v>1072</v>
      </c>
      <c r="F1527" s="38" t="s">
        <v>8360</v>
      </c>
    </row>
    <row r="1528">
      <c r="B1528" s="38" t="s">
        <v>789</v>
      </c>
      <c r="C1528" s="38">
        <v>2.0</v>
      </c>
      <c r="D1528" s="38" t="s">
        <v>1109</v>
      </c>
      <c r="E1528" s="38" t="s">
        <v>8361</v>
      </c>
      <c r="F1528" s="44"/>
    </row>
    <row r="1529">
      <c r="B1529" s="38" t="s">
        <v>2053</v>
      </c>
      <c r="C1529" s="38">
        <v>4.0</v>
      </c>
      <c r="D1529" s="38" t="s">
        <v>8362</v>
      </c>
      <c r="E1529" s="38" t="s">
        <v>8361</v>
      </c>
      <c r="F1529" s="38" t="s">
        <v>8363</v>
      </c>
    </row>
    <row r="1530">
      <c r="B1530" s="38" t="s">
        <v>416</v>
      </c>
      <c r="C1530" s="38">
        <v>4.0</v>
      </c>
      <c r="D1530" s="38" t="s">
        <v>315</v>
      </c>
      <c r="E1530" s="38" t="s">
        <v>8364</v>
      </c>
      <c r="F1530" s="38" t="s">
        <v>8365</v>
      </c>
      <c r="G1530" s="38" t="s">
        <v>8366</v>
      </c>
    </row>
    <row r="1531">
      <c r="B1531" s="38" t="s">
        <v>28</v>
      </c>
      <c r="C1531" s="38">
        <v>4.0</v>
      </c>
      <c r="D1531" s="38" t="s">
        <v>289</v>
      </c>
      <c r="E1531" s="38" t="s">
        <v>8367</v>
      </c>
      <c r="F1531" s="38" t="s">
        <v>8365</v>
      </c>
      <c r="G1531" s="38" t="s">
        <v>8366</v>
      </c>
    </row>
    <row r="1532">
      <c r="B1532" s="38" t="s">
        <v>2053</v>
      </c>
      <c r="C1532" s="38">
        <v>4.0</v>
      </c>
      <c r="D1532" s="59" t="s">
        <v>8368</v>
      </c>
      <c r="E1532" s="295" t="s">
        <v>8369</v>
      </c>
      <c r="F1532" s="38" t="s">
        <v>8370</v>
      </c>
    </row>
    <row r="1533">
      <c r="B1533" s="38" t="s">
        <v>38</v>
      </c>
      <c r="C1533" s="38">
        <v>4.0</v>
      </c>
      <c r="D1533" s="38" t="s">
        <v>1109</v>
      </c>
      <c r="E1533" s="38" t="s">
        <v>418</v>
      </c>
      <c r="F1533" s="38" t="s">
        <v>8371</v>
      </c>
    </row>
    <row r="1534">
      <c r="B1534" s="44"/>
      <c r="C1534" s="38" t="s">
        <v>8372</v>
      </c>
      <c r="D1534" s="38" t="s">
        <v>2703</v>
      </c>
      <c r="E1534" s="38" t="s">
        <v>8373</v>
      </c>
      <c r="F1534" s="44"/>
    </row>
    <row r="1535">
      <c r="B1535" s="44"/>
      <c r="C1535" s="44"/>
      <c r="D1535" s="38" t="s">
        <v>8374</v>
      </c>
      <c r="E1535" s="38" t="s">
        <v>8375</v>
      </c>
      <c r="F1535" s="38" t="s">
        <v>8376</v>
      </c>
      <c r="G1535" s="353" t="s">
        <v>8377</v>
      </c>
    </row>
    <row r="1536">
      <c r="B1536" s="38" t="s">
        <v>8378</v>
      </c>
      <c r="C1536" s="38">
        <v>4.0</v>
      </c>
      <c r="D1536" s="38" t="s">
        <v>4723</v>
      </c>
      <c r="E1536" s="394" t="s">
        <v>8379</v>
      </c>
      <c r="F1536" s="38" t="s">
        <v>8380</v>
      </c>
    </row>
    <row r="1537">
      <c r="B1537" s="38" t="s">
        <v>58</v>
      </c>
      <c r="C1537" s="38">
        <v>2.0</v>
      </c>
      <c r="D1537" s="38" t="s">
        <v>8381</v>
      </c>
      <c r="E1537" s="47" t="s">
        <v>8382</v>
      </c>
      <c r="F1537" s="38" t="s">
        <v>8383</v>
      </c>
    </row>
    <row r="1538">
      <c r="B1538" s="38" t="s">
        <v>8384</v>
      </c>
      <c r="C1538" s="38">
        <v>4.0</v>
      </c>
      <c r="D1538" s="38" t="s">
        <v>905</v>
      </c>
      <c r="E1538" s="38" t="s">
        <v>8385</v>
      </c>
      <c r="F1538" s="38" t="s">
        <v>8386</v>
      </c>
    </row>
    <row r="1539">
      <c r="B1539" s="38" t="s">
        <v>177</v>
      </c>
      <c r="C1539" s="38">
        <v>4.0</v>
      </c>
      <c r="D1539" s="38" t="s">
        <v>905</v>
      </c>
      <c r="E1539" s="38" t="s">
        <v>8385</v>
      </c>
      <c r="F1539" s="38" t="s">
        <v>8387</v>
      </c>
    </row>
    <row r="1540">
      <c r="B1540" s="38" t="s">
        <v>52</v>
      </c>
      <c r="C1540" s="38">
        <v>4.0</v>
      </c>
      <c r="D1540" s="38" t="s">
        <v>8388</v>
      </c>
      <c r="E1540" s="38" t="s">
        <v>8389</v>
      </c>
      <c r="F1540" s="38" t="s">
        <v>7146</v>
      </c>
      <c r="G1540" s="38" t="s">
        <v>8390</v>
      </c>
    </row>
    <row r="1541">
      <c r="B1541" s="44"/>
      <c r="C1541" s="44"/>
      <c r="D1541" s="38" t="s">
        <v>8391</v>
      </c>
      <c r="E1541" s="38" t="s">
        <v>5085</v>
      </c>
      <c r="F1541" s="38" t="s">
        <v>7763</v>
      </c>
    </row>
    <row r="1542">
      <c r="B1542" s="38" t="s">
        <v>25</v>
      </c>
      <c r="C1542" s="38">
        <v>4.0</v>
      </c>
      <c r="D1542" s="38" t="s">
        <v>289</v>
      </c>
      <c r="E1542" s="38" t="s">
        <v>4690</v>
      </c>
      <c r="F1542" s="38" t="s">
        <v>4650</v>
      </c>
    </row>
    <row r="1543">
      <c r="B1543" s="44"/>
      <c r="C1543" s="44"/>
      <c r="D1543" s="44"/>
      <c r="E1543" s="38" t="s">
        <v>8392</v>
      </c>
      <c r="F1543" s="38" t="s">
        <v>8393</v>
      </c>
    </row>
    <row r="1544">
      <c r="B1544" s="38" t="s">
        <v>1159</v>
      </c>
      <c r="C1544" s="38">
        <v>4.0</v>
      </c>
      <c r="D1544" s="38" t="s">
        <v>8394</v>
      </c>
      <c r="E1544" s="281" t="s">
        <v>2324</v>
      </c>
      <c r="F1544" s="38" t="s">
        <v>8395</v>
      </c>
    </row>
    <row r="1545">
      <c r="B1545" s="38" t="s">
        <v>1575</v>
      </c>
      <c r="C1545" s="38">
        <v>2.0</v>
      </c>
      <c r="D1545" s="38" t="s">
        <v>1847</v>
      </c>
      <c r="E1545" s="38" t="s">
        <v>5026</v>
      </c>
      <c r="F1545" s="38" t="s">
        <v>8396</v>
      </c>
    </row>
    <row r="1546">
      <c r="B1546" s="38" t="s">
        <v>8397</v>
      </c>
      <c r="C1546" s="38" t="s">
        <v>8398</v>
      </c>
      <c r="D1546" s="38" t="s">
        <v>8399</v>
      </c>
      <c r="E1546" s="38" t="s">
        <v>1230</v>
      </c>
      <c r="F1546" s="38" t="s">
        <v>8400</v>
      </c>
      <c r="G1546" s="38" t="s">
        <v>4421</v>
      </c>
    </row>
    <row r="1547">
      <c r="B1547" s="38"/>
      <c r="C1547" s="38" t="s">
        <v>8401</v>
      </c>
      <c r="D1547" s="38" t="s">
        <v>8402</v>
      </c>
      <c r="E1547" s="38" t="s">
        <v>1230</v>
      </c>
      <c r="F1547" s="38" t="s">
        <v>8403</v>
      </c>
      <c r="G1547" s="38" t="s">
        <v>4421</v>
      </c>
    </row>
    <row r="1548">
      <c r="B1548" s="38" t="s">
        <v>5936</v>
      </c>
      <c r="C1548" s="38" t="s">
        <v>8404</v>
      </c>
      <c r="D1548" s="38" t="s">
        <v>8405</v>
      </c>
      <c r="E1548" s="38" t="s">
        <v>1072</v>
      </c>
      <c r="F1548" s="38" t="s">
        <v>8406</v>
      </c>
      <c r="G1548" s="38" t="s">
        <v>8407</v>
      </c>
    </row>
    <row r="1549">
      <c r="B1549" s="38" t="s">
        <v>416</v>
      </c>
      <c r="C1549" s="38">
        <v>2.0</v>
      </c>
      <c r="D1549" s="38" t="s">
        <v>684</v>
      </c>
      <c r="E1549" s="38" t="s">
        <v>873</v>
      </c>
      <c r="F1549" s="38" t="s">
        <v>8408</v>
      </c>
    </row>
    <row r="1550">
      <c r="B1550" s="38" t="s">
        <v>2053</v>
      </c>
      <c r="C1550" s="38">
        <v>2.0</v>
      </c>
      <c r="D1550" s="280" t="s">
        <v>8409</v>
      </c>
      <c r="E1550" s="38" t="s">
        <v>8410</v>
      </c>
      <c r="F1550" s="38" t="s">
        <v>8411</v>
      </c>
    </row>
    <row r="1551">
      <c r="B1551" s="38" t="s">
        <v>2053</v>
      </c>
      <c r="C1551" s="38">
        <v>2.0</v>
      </c>
      <c r="D1551" s="280" t="s">
        <v>8412</v>
      </c>
      <c r="E1551" s="38" t="s">
        <v>6776</v>
      </c>
      <c r="F1551" s="38" t="s">
        <v>8411</v>
      </c>
    </row>
    <row r="1552">
      <c r="B1552" s="38" t="s">
        <v>4405</v>
      </c>
      <c r="C1552" s="38">
        <v>4.0</v>
      </c>
      <c r="D1552" s="38" t="s">
        <v>8413</v>
      </c>
      <c r="E1552" s="38" t="s">
        <v>4245</v>
      </c>
      <c r="F1552" s="38" t="s">
        <v>8414</v>
      </c>
    </row>
    <row r="1553">
      <c r="B1553" s="38" t="s">
        <v>28</v>
      </c>
      <c r="C1553" s="38">
        <v>4.0</v>
      </c>
      <c r="D1553" s="38" t="s">
        <v>1084</v>
      </c>
      <c r="E1553" s="38" t="s">
        <v>7907</v>
      </c>
      <c r="F1553" s="38" t="s">
        <v>8415</v>
      </c>
    </row>
    <row r="1554">
      <c r="B1554" s="44"/>
      <c r="C1554" s="44"/>
      <c r="D1554" s="38" t="s">
        <v>8416</v>
      </c>
      <c r="E1554" s="38" t="s">
        <v>5372</v>
      </c>
      <c r="F1554" s="38" t="s">
        <v>8417</v>
      </c>
    </row>
    <row r="1555">
      <c r="B1555" s="38" t="s">
        <v>8418</v>
      </c>
      <c r="C1555" s="390" t="s">
        <v>8419</v>
      </c>
      <c r="D1555" s="390" t="s">
        <v>8420</v>
      </c>
      <c r="E1555" s="38" t="s">
        <v>8421</v>
      </c>
      <c r="F1555" s="38" t="s">
        <v>8422</v>
      </c>
      <c r="G1555" s="44"/>
    </row>
    <row r="1556">
      <c r="B1556" s="38" t="s">
        <v>8423</v>
      </c>
      <c r="C1556" s="390" t="s">
        <v>8424</v>
      </c>
      <c r="D1556" s="390" t="s">
        <v>8425</v>
      </c>
      <c r="E1556" s="38" t="s">
        <v>8421</v>
      </c>
      <c r="F1556" s="38" t="s">
        <v>8426</v>
      </c>
      <c r="G1556" s="38" t="s">
        <v>8427</v>
      </c>
    </row>
    <row r="1557">
      <c r="B1557" s="38"/>
      <c r="C1557" s="390"/>
      <c r="D1557" s="390"/>
      <c r="E1557" s="38" t="s">
        <v>8421</v>
      </c>
      <c r="F1557" s="38" t="s">
        <v>8428</v>
      </c>
      <c r="G1557" s="38"/>
    </row>
    <row r="1558">
      <c r="B1558" s="38" t="s">
        <v>2013</v>
      </c>
      <c r="C1558" s="38">
        <v>4.0</v>
      </c>
      <c r="D1558" s="38" t="s">
        <v>134</v>
      </c>
      <c r="E1558" s="38" t="s">
        <v>4466</v>
      </c>
      <c r="F1558" s="38" t="s">
        <v>8429</v>
      </c>
    </row>
    <row r="1559">
      <c r="B1559" s="38" t="s">
        <v>718</v>
      </c>
      <c r="C1559" s="38">
        <v>2.0</v>
      </c>
      <c r="D1559" s="38" t="s">
        <v>684</v>
      </c>
      <c r="E1559" s="38" t="s">
        <v>1351</v>
      </c>
      <c r="F1559" s="38" t="s">
        <v>8430</v>
      </c>
      <c r="G1559" s="38" t="s">
        <v>144</v>
      </c>
    </row>
    <row r="1560">
      <c r="B1560" s="38" t="s">
        <v>1182</v>
      </c>
      <c r="C1560" s="38">
        <v>4.0</v>
      </c>
      <c r="D1560" s="38" t="s">
        <v>1109</v>
      </c>
      <c r="E1560" s="38" t="s">
        <v>8431</v>
      </c>
      <c r="F1560" s="38" t="s">
        <v>8432</v>
      </c>
    </row>
    <row r="1561">
      <c r="B1561" s="44"/>
      <c r="C1561" s="44"/>
      <c r="D1561" s="38" t="s">
        <v>8433</v>
      </c>
      <c r="E1561" s="38" t="s">
        <v>1230</v>
      </c>
      <c r="F1561" s="305" t="s">
        <v>8434</v>
      </c>
      <c r="G1561" s="38" t="s">
        <v>8435</v>
      </c>
      <c r="H1561" s="38" t="s">
        <v>4421</v>
      </c>
    </row>
    <row r="1562">
      <c r="B1562" s="38" t="s">
        <v>8436</v>
      </c>
      <c r="C1562" s="38" t="s">
        <v>8437</v>
      </c>
      <c r="D1562" s="395" t="s">
        <v>8438</v>
      </c>
      <c r="E1562" s="38" t="s">
        <v>8439</v>
      </c>
      <c r="F1562" s="44"/>
    </row>
    <row r="1563">
      <c r="B1563" s="38" t="s">
        <v>166</v>
      </c>
      <c r="C1563" s="38">
        <v>4.0</v>
      </c>
      <c r="D1563" s="38" t="s">
        <v>1133</v>
      </c>
      <c r="E1563" s="38" t="s">
        <v>873</v>
      </c>
      <c r="F1563" s="38" t="s">
        <v>8440</v>
      </c>
    </row>
    <row r="1564">
      <c r="B1564" s="38" t="s">
        <v>4608</v>
      </c>
      <c r="C1564" s="38">
        <v>2.0</v>
      </c>
      <c r="D1564" s="38" t="s">
        <v>8441</v>
      </c>
      <c r="E1564" s="38" t="s">
        <v>355</v>
      </c>
      <c r="F1564" s="38" t="s">
        <v>8442</v>
      </c>
      <c r="G1564" s="38" t="s">
        <v>8443</v>
      </c>
    </row>
    <row r="1565">
      <c r="B1565" s="38" t="s">
        <v>1757</v>
      </c>
      <c r="C1565" s="38">
        <v>2.0</v>
      </c>
      <c r="D1565" s="38" t="s">
        <v>8441</v>
      </c>
      <c r="E1565" s="38" t="s">
        <v>355</v>
      </c>
      <c r="F1565" s="38" t="s">
        <v>8444</v>
      </c>
      <c r="G1565" s="38" t="s">
        <v>8443</v>
      </c>
    </row>
    <row r="1566">
      <c r="B1566" s="38" t="s">
        <v>183</v>
      </c>
      <c r="C1566" s="38">
        <v>4.0</v>
      </c>
      <c r="D1566" s="38" t="s">
        <v>1109</v>
      </c>
      <c r="E1566" s="47" t="s">
        <v>8445</v>
      </c>
      <c r="F1566" s="38" t="s">
        <v>8446</v>
      </c>
    </row>
    <row r="1567">
      <c r="B1567" s="305" t="s">
        <v>8447</v>
      </c>
      <c r="C1567" s="38" t="s">
        <v>4650</v>
      </c>
      <c r="D1567" s="59" t="s">
        <v>8448</v>
      </c>
      <c r="E1567" s="38" t="s">
        <v>886</v>
      </c>
      <c r="F1567" s="38" t="s">
        <v>8449</v>
      </c>
      <c r="G1567" s="38" t="s">
        <v>8450</v>
      </c>
    </row>
    <row r="1568">
      <c r="B1568" s="305" t="s">
        <v>8451</v>
      </c>
      <c r="C1568" s="38" t="s">
        <v>8452</v>
      </c>
      <c r="D1568" s="59" t="s">
        <v>8453</v>
      </c>
      <c r="E1568" s="38" t="s">
        <v>886</v>
      </c>
      <c r="F1568" s="38" t="s">
        <v>3309</v>
      </c>
      <c r="G1568" s="38" t="s">
        <v>8450</v>
      </c>
    </row>
    <row r="1569">
      <c r="B1569" s="38" t="s">
        <v>205</v>
      </c>
      <c r="C1569" s="38">
        <v>1.0</v>
      </c>
      <c r="D1569" s="38" t="s">
        <v>6334</v>
      </c>
      <c r="E1569" s="38" t="s">
        <v>8454</v>
      </c>
      <c r="F1569" s="389" t="s">
        <v>8455</v>
      </c>
    </row>
    <row r="1570">
      <c r="B1570" s="38" t="s">
        <v>58</v>
      </c>
      <c r="C1570" s="38">
        <v>4.0</v>
      </c>
      <c r="D1570" s="38" t="s">
        <v>7239</v>
      </c>
      <c r="E1570" s="274" t="s">
        <v>8456</v>
      </c>
      <c r="F1570" s="38"/>
    </row>
    <row r="1571">
      <c r="B1571" s="44"/>
      <c r="C1571" s="44"/>
      <c r="D1571" s="38" t="s">
        <v>8457</v>
      </c>
      <c r="E1571" s="38" t="s">
        <v>8458</v>
      </c>
      <c r="F1571" s="44"/>
    </row>
    <row r="1572">
      <c r="B1572" s="38" t="s">
        <v>2798</v>
      </c>
      <c r="C1572" s="38">
        <v>4.0</v>
      </c>
      <c r="D1572" s="38" t="s">
        <v>1908</v>
      </c>
      <c r="E1572" s="38" t="s">
        <v>4709</v>
      </c>
      <c r="F1572" s="38" t="s">
        <v>8459</v>
      </c>
    </row>
    <row r="1573">
      <c r="B1573" s="38" t="s">
        <v>122</v>
      </c>
      <c r="C1573" s="38">
        <v>4.0</v>
      </c>
      <c r="D1573" s="38" t="s">
        <v>1109</v>
      </c>
      <c r="E1573" s="38" t="s">
        <v>8460</v>
      </c>
      <c r="F1573" s="38" t="s">
        <v>8461</v>
      </c>
    </row>
    <row r="1574">
      <c r="A1574" s="44"/>
      <c r="B1574" s="38" t="s">
        <v>8462</v>
      </c>
      <c r="C1574" s="294" t="s">
        <v>8463</v>
      </c>
      <c r="D1574" s="362" t="s">
        <v>8464</v>
      </c>
      <c r="E1574" s="38" t="s">
        <v>8465</v>
      </c>
      <c r="F1574" s="38" t="s">
        <v>8466</v>
      </c>
    </row>
    <row r="1575">
      <c r="A1575" s="44"/>
      <c r="B1575" s="38" t="s">
        <v>8467</v>
      </c>
      <c r="C1575" s="294" t="s">
        <v>8468</v>
      </c>
      <c r="D1575" s="362" t="s">
        <v>8469</v>
      </c>
      <c r="E1575" s="38" t="s">
        <v>8465</v>
      </c>
      <c r="F1575" s="38" t="s">
        <v>8470</v>
      </c>
    </row>
    <row r="1576">
      <c r="A1576" s="38" t="s">
        <v>8471</v>
      </c>
      <c r="B1576" s="38" t="s">
        <v>8472</v>
      </c>
      <c r="C1576" s="294" t="s">
        <v>8473</v>
      </c>
      <c r="D1576" s="294" t="s">
        <v>6044</v>
      </c>
      <c r="E1576" s="38" t="s">
        <v>8465</v>
      </c>
      <c r="F1576" s="38" t="s">
        <v>6756</v>
      </c>
    </row>
    <row r="1577">
      <c r="A1577" s="38"/>
      <c r="B1577" s="38"/>
      <c r="C1577" s="294"/>
      <c r="D1577" s="294"/>
      <c r="E1577" s="38" t="s">
        <v>8465</v>
      </c>
      <c r="F1577" s="38" t="s">
        <v>8474</v>
      </c>
    </row>
    <row r="1578">
      <c r="B1578" s="38"/>
      <c r="C1578" s="352" t="s">
        <v>8475</v>
      </c>
      <c r="D1578" s="396" t="s">
        <v>8476</v>
      </c>
      <c r="E1578" s="38" t="s">
        <v>8477</v>
      </c>
      <c r="F1578" s="38" t="s">
        <v>8478</v>
      </c>
    </row>
    <row r="1579">
      <c r="B1579" s="38" t="s">
        <v>8479</v>
      </c>
      <c r="C1579" s="352" t="s">
        <v>8480</v>
      </c>
      <c r="D1579" s="396" t="s">
        <v>8481</v>
      </c>
      <c r="E1579" s="38" t="s">
        <v>8477</v>
      </c>
      <c r="F1579" s="38" t="s">
        <v>8482</v>
      </c>
    </row>
    <row r="1580">
      <c r="B1580" s="38" t="s">
        <v>8483</v>
      </c>
      <c r="C1580" s="38">
        <v>1.0</v>
      </c>
      <c r="D1580" s="38" t="s">
        <v>8484</v>
      </c>
      <c r="E1580" s="298" t="s">
        <v>8485</v>
      </c>
      <c r="F1580" s="38" t="s">
        <v>8486</v>
      </c>
    </row>
    <row r="1581">
      <c r="B1581" s="38" t="s">
        <v>8487</v>
      </c>
      <c r="C1581" s="38" t="s">
        <v>8488</v>
      </c>
      <c r="D1581" s="44"/>
      <c r="E1581" s="38" t="s">
        <v>5085</v>
      </c>
      <c r="F1581" s="38" t="s">
        <v>7790</v>
      </c>
    </row>
    <row r="1582">
      <c r="B1582" s="38" t="s">
        <v>140</v>
      </c>
      <c r="C1582" s="38">
        <v>1.0</v>
      </c>
      <c r="D1582" s="38" t="s">
        <v>7618</v>
      </c>
      <c r="E1582" s="38" t="s">
        <v>873</v>
      </c>
      <c r="F1582" s="38" t="s">
        <v>8489</v>
      </c>
    </row>
    <row r="1583">
      <c r="B1583" s="1" t="s">
        <v>8490</v>
      </c>
      <c r="D1583" s="1" t="s">
        <v>8491</v>
      </c>
      <c r="E1583" s="1" t="s">
        <v>3562</v>
      </c>
      <c r="F1583" s="1" t="s">
        <v>8492</v>
      </c>
      <c r="G1583" s="1" t="s">
        <v>8493</v>
      </c>
    </row>
    <row r="1584">
      <c r="B1584" s="38" t="s">
        <v>8494</v>
      </c>
      <c r="C1584" s="38" t="s">
        <v>8495</v>
      </c>
      <c r="D1584" s="38" t="s">
        <v>8496</v>
      </c>
      <c r="E1584" s="38" t="s">
        <v>8497</v>
      </c>
      <c r="F1584" s="38" t="s">
        <v>8498</v>
      </c>
    </row>
    <row r="1585">
      <c r="B1585" s="38" t="s">
        <v>205</v>
      </c>
      <c r="C1585" s="38">
        <v>4.0</v>
      </c>
      <c r="D1585" s="38" t="s">
        <v>8499</v>
      </c>
      <c r="E1585" s="38" t="s">
        <v>8500</v>
      </c>
      <c r="F1585" s="38" t="s">
        <v>8501</v>
      </c>
    </row>
    <row r="1586">
      <c r="B1586" s="38" t="s">
        <v>8502</v>
      </c>
      <c r="C1586" s="38">
        <v>2.0</v>
      </c>
      <c r="D1586" s="38" t="s">
        <v>8503</v>
      </c>
      <c r="E1586" s="38" t="s">
        <v>8500</v>
      </c>
      <c r="F1586" s="44"/>
    </row>
    <row r="1587">
      <c r="B1587" s="38" t="s">
        <v>535</v>
      </c>
      <c r="C1587" s="44"/>
      <c r="D1587" s="397" t="s">
        <v>8504</v>
      </c>
      <c r="E1587" s="38" t="s">
        <v>8190</v>
      </c>
      <c r="F1587" s="47" t="s">
        <v>8505</v>
      </c>
      <c r="G1587" s="38" t="s">
        <v>8004</v>
      </c>
    </row>
    <row r="1588">
      <c r="B1588" s="47" t="s">
        <v>8506</v>
      </c>
      <c r="C1588" s="44"/>
      <c r="D1588" s="125" t="s">
        <v>8507</v>
      </c>
      <c r="E1588" s="38" t="s">
        <v>8508</v>
      </c>
      <c r="F1588" s="44"/>
    </row>
    <row r="1589">
      <c r="B1589" s="38" t="s">
        <v>25</v>
      </c>
      <c r="C1589" s="38">
        <v>1.0</v>
      </c>
      <c r="D1589" s="38" t="s">
        <v>6192</v>
      </c>
      <c r="E1589" s="59" t="s">
        <v>8509</v>
      </c>
      <c r="F1589" s="38" t="s">
        <v>8510</v>
      </c>
    </row>
    <row r="1590">
      <c r="B1590" s="1" t="s">
        <v>271</v>
      </c>
      <c r="C1590" s="1">
        <v>1.0</v>
      </c>
      <c r="D1590" s="1" t="s">
        <v>684</v>
      </c>
      <c r="E1590" s="1" t="s">
        <v>6271</v>
      </c>
      <c r="F1590" s="1" t="s">
        <v>8511</v>
      </c>
    </row>
    <row r="1591">
      <c r="A1591" s="5"/>
      <c r="B1591" s="38" t="s">
        <v>6553</v>
      </c>
      <c r="C1591" s="38" t="s">
        <v>6554</v>
      </c>
      <c r="D1591" s="38" t="s">
        <v>6555</v>
      </c>
      <c r="E1591" s="38" t="s">
        <v>6556</v>
      </c>
      <c r="F1591" s="38" t="s">
        <v>6557</v>
      </c>
      <c r="G1591" s="38" t="s">
        <v>6558</v>
      </c>
      <c r="H1591" s="38" t="s">
        <v>144</v>
      </c>
    </row>
    <row r="1592">
      <c r="A1592" s="5"/>
      <c r="B1592" s="44"/>
      <c r="C1592" s="44"/>
      <c r="D1592" s="44"/>
      <c r="E1592" s="38" t="s">
        <v>6556</v>
      </c>
      <c r="F1592" s="38" t="s">
        <v>701</v>
      </c>
      <c r="G1592" s="44"/>
      <c r="H1592" s="38" t="s">
        <v>144</v>
      </c>
    </row>
    <row r="1593">
      <c r="A1593" s="1"/>
      <c r="B1593" s="44"/>
      <c r="C1593" s="44"/>
      <c r="D1593" s="44"/>
      <c r="E1593" s="38" t="s">
        <v>217</v>
      </c>
      <c r="F1593" s="38" t="s">
        <v>8512</v>
      </c>
      <c r="G1593" s="44"/>
      <c r="H1593" s="38" t="s">
        <v>144</v>
      </c>
    </row>
    <row r="1594">
      <c r="B1594" s="38" t="s">
        <v>153</v>
      </c>
      <c r="C1594" s="38">
        <v>2.0</v>
      </c>
      <c r="D1594" s="38" t="s">
        <v>8513</v>
      </c>
      <c r="E1594" s="47" t="s">
        <v>8514</v>
      </c>
      <c r="F1594" s="38" t="s">
        <v>8515</v>
      </c>
    </row>
    <row r="1595">
      <c r="B1595" s="38" t="s">
        <v>439</v>
      </c>
      <c r="C1595" s="38">
        <v>2.0</v>
      </c>
      <c r="D1595" s="38" t="s">
        <v>8513</v>
      </c>
      <c r="E1595" s="47" t="s">
        <v>8514</v>
      </c>
      <c r="F1595" s="38" t="s">
        <v>8515</v>
      </c>
    </row>
    <row r="1596">
      <c r="B1596" s="38" t="s">
        <v>718</v>
      </c>
      <c r="C1596" s="38">
        <v>2.0</v>
      </c>
      <c r="D1596" s="38" t="s">
        <v>8513</v>
      </c>
      <c r="E1596" s="38" t="s">
        <v>418</v>
      </c>
      <c r="F1596" s="38" t="s">
        <v>8516</v>
      </c>
    </row>
    <row r="1597">
      <c r="B1597" s="38" t="s">
        <v>2013</v>
      </c>
      <c r="C1597" s="38">
        <v>2.0</v>
      </c>
      <c r="D1597" s="38" t="s">
        <v>8513</v>
      </c>
      <c r="E1597" s="38" t="s">
        <v>418</v>
      </c>
      <c r="F1597" s="38" t="s">
        <v>8516</v>
      </c>
    </row>
    <row r="1598">
      <c r="B1598" s="38" t="s">
        <v>28</v>
      </c>
      <c r="C1598" s="38">
        <v>4.0</v>
      </c>
      <c r="D1598" s="38" t="s">
        <v>433</v>
      </c>
      <c r="E1598" s="38" t="s">
        <v>7711</v>
      </c>
      <c r="F1598" s="38" t="s">
        <v>8517</v>
      </c>
    </row>
    <row r="1599">
      <c r="B1599" s="38" t="s">
        <v>8518</v>
      </c>
      <c r="C1599" s="38">
        <v>1.0</v>
      </c>
      <c r="D1599" s="38" t="s">
        <v>8519</v>
      </c>
      <c r="E1599" s="38" t="s">
        <v>8520</v>
      </c>
      <c r="F1599" s="38" t="s">
        <v>8521</v>
      </c>
    </row>
    <row r="1600">
      <c r="B1600" s="44"/>
      <c r="C1600" s="44"/>
      <c r="D1600" s="38" t="s">
        <v>8522</v>
      </c>
      <c r="E1600" s="38" t="s">
        <v>974</v>
      </c>
      <c r="F1600" s="38" t="s">
        <v>8452</v>
      </c>
      <c r="G1600" s="38" t="s">
        <v>4421</v>
      </c>
    </row>
    <row r="1601">
      <c r="B1601" s="38" t="s">
        <v>1432</v>
      </c>
      <c r="C1601" s="38">
        <v>4.0</v>
      </c>
      <c r="D1601" s="38" t="s">
        <v>8523</v>
      </c>
      <c r="E1601" s="38" t="s">
        <v>4077</v>
      </c>
      <c r="F1601" s="38" t="s">
        <v>8524</v>
      </c>
      <c r="G1601" s="38" t="s">
        <v>8525</v>
      </c>
    </row>
    <row r="1602">
      <c r="B1602" s="38" t="s">
        <v>3682</v>
      </c>
      <c r="C1602" s="38">
        <v>4.0</v>
      </c>
      <c r="D1602" s="38" t="s">
        <v>8526</v>
      </c>
      <c r="E1602" s="38" t="s">
        <v>4077</v>
      </c>
      <c r="F1602" s="38" t="s">
        <v>363</v>
      </c>
      <c r="G1602" s="38" t="s">
        <v>8525</v>
      </c>
    </row>
    <row r="1603">
      <c r="B1603" s="38"/>
      <c r="C1603" s="38"/>
      <c r="D1603" s="38"/>
      <c r="E1603" s="38" t="s">
        <v>4077</v>
      </c>
      <c r="F1603" s="38" t="s">
        <v>8527</v>
      </c>
      <c r="G1603" s="38" t="s">
        <v>8525</v>
      </c>
    </row>
    <row r="1604">
      <c r="B1604" s="85"/>
      <c r="C1604" s="44"/>
      <c r="D1604" s="85" t="s">
        <v>8528</v>
      </c>
      <c r="E1604" s="38" t="s">
        <v>8529</v>
      </c>
      <c r="F1604" s="44"/>
    </row>
    <row r="1605">
      <c r="B1605" s="38" t="s">
        <v>8530</v>
      </c>
      <c r="C1605" s="38">
        <v>4.0</v>
      </c>
      <c r="D1605" s="38" t="s">
        <v>3950</v>
      </c>
      <c r="E1605" s="38" t="s">
        <v>8531</v>
      </c>
      <c r="F1605" s="38" t="s">
        <v>8532</v>
      </c>
    </row>
    <row r="1606">
      <c r="B1606" s="38" t="s">
        <v>8533</v>
      </c>
      <c r="C1606" s="38">
        <v>1.0</v>
      </c>
      <c r="D1606" s="38" t="s">
        <v>8534</v>
      </c>
      <c r="E1606" s="38" t="s">
        <v>8535</v>
      </c>
      <c r="F1606" s="38" t="s">
        <v>8536</v>
      </c>
    </row>
    <row r="1607">
      <c r="B1607" s="38" t="s">
        <v>8537</v>
      </c>
      <c r="C1607" s="38">
        <v>1.0</v>
      </c>
      <c r="D1607" s="38" t="s">
        <v>8534</v>
      </c>
      <c r="E1607" s="38" t="s">
        <v>8535</v>
      </c>
      <c r="F1607" s="38" t="s">
        <v>8536</v>
      </c>
    </row>
    <row r="1608">
      <c r="B1608" s="38" t="s">
        <v>2329</v>
      </c>
      <c r="C1608" s="38">
        <v>4.0</v>
      </c>
      <c r="D1608" s="47" t="s">
        <v>8538</v>
      </c>
      <c r="E1608" s="274" t="s">
        <v>8539</v>
      </c>
      <c r="F1608" s="38" t="s">
        <v>8540</v>
      </c>
    </row>
    <row r="1609">
      <c r="B1609" s="38" t="s">
        <v>58</v>
      </c>
      <c r="C1609" s="38">
        <v>4.0</v>
      </c>
      <c r="D1609" s="47" t="s">
        <v>8541</v>
      </c>
      <c r="E1609" s="38" t="s">
        <v>337</v>
      </c>
      <c r="F1609" s="38" t="s">
        <v>8542</v>
      </c>
    </row>
    <row r="1610">
      <c r="B1610" s="38" t="s">
        <v>77</v>
      </c>
      <c r="C1610" s="38">
        <v>4.0</v>
      </c>
      <c r="D1610" s="38" t="s">
        <v>8526</v>
      </c>
      <c r="E1610" s="38" t="s">
        <v>8543</v>
      </c>
      <c r="F1610" s="38" t="s">
        <v>8544</v>
      </c>
    </row>
    <row r="1611">
      <c r="B1611" s="222" t="s">
        <v>8545</v>
      </c>
      <c r="C1611" s="222" t="s">
        <v>8546</v>
      </c>
      <c r="D1611" s="38" t="s">
        <v>8547</v>
      </c>
      <c r="E1611" s="38" t="s">
        <v>6006</v>
      </c>
      <c r="F1611" s="38" t="s">
        <v>8548</v>
      </c>
    </row>
    <row r="1612">
      <c r="B1612" s="222" t="s">
        <v>8545</v>
      </c>
      <c r="C1612" s="222" t="s">
        <v>8549</v>
      </c>
      <c r="D1612" s="38" t="s">
        <v>8550</v>
      </c>
      <c r="E1612" s="38" t="s">
        <v>6006</v>
      </c>
      <c r="F1612" s="38" t="s">
        <v>6034</v>
      </c>
    </row>
    <row r="1613">
      <c r="B1613" s="38" t="s">
        <v>372</v>
      </c>
      <c r="C1613" s="178" t="s">
        <v>8551</v>
      </c>
      <c r="D1613" s="44"/>
      <c r="E1613" s="38" t="s">
        <v>8552</v>
      </c>
      <c r="F1613" s="38" t="s">
        <v>8553</v>
      </c>
      <c r="G1613" s="38" t="s">
        <v>8554</v>
      </c>
    </row>
    <row r="1614">
      <c r="B1614" s="38" t="s">
        <v>88</v>
      </c>
      <c r="C1614" s="38">
        <v>4.0</v>
      </c>
      <c r="D1614" s="38" t="s">
        <v>4807</v>
      </c>
      <c r="E1614" s="38" t="s">
        <v>8555</v>
      </c>
      <c r="F1614" s="38" t="s">
        <v>8556</v>
      </c>
      <c r="G1614" s="38" t="s">
        <v>8557</v>
      </c>
    </row>
    <row r="1615">
      <c r="B1615" s="38" t="s">
        <v>22</v>
      </c>
      <c r="C1615" s="38">
        <v>4.0</v>
      </c>
      <c r="D1615" s="38" t="s">
        <v>494</v>
      </c>
      <c r="E1615" s="38" t="s">
        <v>8555</v>
      </c>
      <c r="F1615" s="38" t="s">
        <v>8558</v>
      </c>
      <c r="G1615" s="38" t="s">
        <v>8557</v>
      </c>
    </row>
    <row r="1616">
      <c r="B1616" s="38" t="s">
        <v>789</v>
      </c>
      <c r="C1616" s="38">
        <v>4.0</v>
      </c>
      <c r="D1616" s="38" t="s">
        <v>134</v>
      </c>
      <c r="E1616" s="38" t="s">
        <v>8559</v>
      </c>
      <c r="F1616" s="38" t="s">
        <v>8560</v>
      </c>
      <c r="G1616" s="38" t="s">
        <v>8561</v>
      </c>
    </row>
    <row r="1617">
      <c r="B1617" s="38" t="s">
        <v>283</v>
      </c>
      <c r="C1617" s="38">
        <v>4.0</v>
      </c>
      <c r="D1617" s="38" t="s">
        <v>8562</v>
      </c>
      <c r="E1617" s="38" t="s">
        <v>8563</v>
      </c>
      <c r="F1617" s="38" t="s">
        <v>8564</v>
      </c>
      <c r="G1617" s="38" t="s">
        <v>8561</v>
      </c>
    </row>
    <row r="1618">
      <c r="B1618" s="44"/>
      <c r="C1618" s="38" t="s">
        <v>8565</v>
      </c>
      <c r="D1618" s="331" t="s">
        <v>8566</v>
      </c>
      <c r="E1618" s="38" t="s">
        <v>5085</v>
      </c>
      <c r="F1618" s="38" t="s">
        <v>7790</v>
      </c>
    </row>
    <row r="1619">
      <c r="B1619" s="44"/>
      <c r="C1619" s="101" t="s">
        <v>8567</v>
      </c>
      <c r="D1619" s="38" t="s">
        <v>8568</v>
      </c>
      <c r="E1619" s="38" t="s">
        <v>886</v>
      </c>
      <c r="F1619" s="38" t="s">
        <v>8450</v>
      </c>
    </row>
    <row r="1620">
      <c r="B1620" s="38" t="s">
        <v>8569</v>
      </c>
      <c r="C1620" s="38" t="s">
        <v>8570</v>
      </c>
      <c r="D1620" s="44"/>
      <c r="E1620" s="38" t="s">
        <v>886</v>
      </c>
      <c r="F1620" s="38" t="s">
        <v>8450</v>
      </c>
    </row>
    <row r="1621">
      <c r="B1621" s="38" t="s">
        <v>1513</v>
      </c>
      <c r="C1621" s="38">
        <v>4.0</v>
      </c>
      <c r="D1621" s="38" t="s">
        <v>232</v>
      </c>
      <c r="E1621" s="38" t="s">
        <v>8571</v>
      </c>
      <c r="F1621" s="38" t="s">
        <v>8572</v>
      </c>
    </row>
    <row r="1622">
      <c r="B1622" s="38" t="s">
        <v>853</v>
      </c>
      <c r="C1622" s="38">
        <v>1.0</v>
      </c>
      <c r="D1622" s="38" t="s">
        <v>8573</v>
      </c>
      <c r="E1622" s="281" t="s">
        <v>8574</v>
      </c>
      <c r="F1622" s="38" t="s">
        <v>7215</v>
      </c>
    </row>
    <row r="1623">
      <c r="B1623" s="44"/>
      <c r="C1623" s="44"/>
      <c r="D1623" s="99" t="s">
        <v>8575</v>
      </c>
      <c r="E1623" s="38" t="s">
        <v>2914</v>
      </c>
      <c r="F1623" s="38" t="s">
        <v>4421</v>
      </c>
    </row>
    <row r="1624">
      <c r="B1624" s="38" t="s">
        <v>718</v>
      </c>
      <c r="C1624" s="38">
        <v>4.0</v>
      </c>
      <c r="D1624" s="38" t="s">
        <v>8576</v>
      </c>
      <c r="E1624" s="38" t="s">
        <v>8577</v>
      </c>
      <c r="F1624" s="38" t="s">
        <v>8578</v>
      </c>
    </row>
    <row r="1625">
      <c r="B1625" s="38" t="s">
        <v>7316</v>
      </c>
      <c r="C1625" s="38" t="s">
        <v>4663</v>
      </c>
      <c r="D1625" s="47" t="s">
        <v>8579</v>
      </c>
      <c r="E1625" s="38" t="s">
        <v>8571</v>
      </c>
      <c r="F1625" s="38" t="s">
        <v>8580</v>
      </c>
    </row>
    <row r="1626">
      <c r="A1626" s="44"/>
      <c r="B1626" s="38" t="s">
        <v>271</v>
      </c>
      <c r="C1626" s="38">
        <v>4.0</v>
      </c>
      <c r="D1626" s="38" t="s">
        <v>6156</v>
      </c>
      <c r="E1626" s="38" t="s">
        <v>418</v>
      </c>
      <c r="F1626" s="38" t="s">
        <v>8581</v>
      </c>
    </row>
    <row r="1627">
      <c r="B1627" s="289" t="s">
        <v>8582</v>
      </c>
      <c r="C1627" s="289" t="s">
        <v>8583</v>
      </c>
      <c r="D1627" s="398" t="s">
        <v>8584</v>
      </c>
      <c r="E1627" s="399" t="s">
        <v>8585</v>
      </c>
      <c r="F1627" s="400" t="s">
        <v>8586</v>
      </c>
      <c r="G1627" s="401" t="s">
        <v>8498</v>
      </c>
    </row>
    <row r="1628">
      <c r="B1628" s="38" t="s">
        <v>899</v>
      </c>
      <c r="C1628" s="38" t="s">
        <v>8587</v>
      </c>
      <c r="D1628" s="38" t="s">
        <v>896</v>
      </c>
      <c r="E1628" s="399" t="s">
        <v>8585</v>
      </c>
      <c r="F1628" s="402" t="s">
        <v>1542</v>
      </c>
      <c r="G1628" s="38" t="s">
        <v>8498</v>
      </c>
    </row>
    <row r="1629">
      <c r="B1629" s="403" t="s">
        <v>8588</v>
      </c>
      <c r="C1629" s="38">
        <v>1.0</v>
      </c>
      <c r="D1629" s="38" t="s">
        <v>8589</v>
      </c>
      <c r="E1629" s="281" t="s">
        <v>8590</v>
      </c>
      <c r="F1629" s="38" t="s">
        <v>8591</v>
      </c>
    </row>
    <row r="1630">
      <c r="B1630" s="38" t="s">
        <v>103</v>
      </c>
      <c r="C1630" s="38">
        <v>2.0</v>
      </c>
      <c r="D1630" s="38" t="s">
        <v>8592</v>
      </c>
      <c r="E1630" s="38" t="s">
        <v>873</v>
      </c>
      <c r="F1630" s="38" t="s">
        <v>8489</v>
      </c>
    </row>
    <row r="1631">
      <c r="B1631" s="38" t="s">
        <v>1296</v>
      </c>
      <c r="C1631" s="38">
        <v>4.0</v>
      </c>
      <c r="D1631" s="38" t="s">
        <v>1109</v>
      </c>
      <c r="E1631" s="38" t="s">
        <v>873</v>
      </c>
      <c r="F1631" s="38" t="s">
        <v>8593</v>
      </c>
    </row>
    <row r="1632">
      <c r="B1632" s="38" t="s">
        <v>47</v>
      </c>
      <c r="C1632" s="38">
        <v>2.0</v>
      </c>
      <c r="D1632" s="38" t="s">
        <v>553</v>
      </c>
      <c r="E1632" s="38" t="s">
        <v>8594</v>
      </c>
      <c r="F1632" s="38" t="s">
        <v>8595</v>
      </c>
    </row>
    <row r="1633">
      <c r="B1633" s="38" t="s">
        <v>43</v>
      </c>
      <c r="C1633" s="38">
        <v>2.0</v>
      </c>
      <c r="D1633" s="38" t="s">
        <v>553</v>
      </c>
      <c r="E1633" s="38" t="s">
        <v>8594</v>
      </c>
      <c r="F1633" s="38" t="s">
        <v>8595</v>
      </c>
    </row>
    <row r="1634">
      <c r="B1634" s="38" t="s">
        <v>1006</v>
      </c>
      <c r="C1634" s="38">
        <v>4.0</v>
      </c>
      <c r="D1634" s="38" t="s">
        <v>1109</v>
      </c>
      <c r="E1634" s="38" t="s">
        <v>8596</v>
      </c>
      <c r="F1634" s="44"/>
    </row>
    <row r="1635">
      <c r="B1635" s="38" t="s">
        <v>246</v>
      </c>
      <c r="C1635" s="38">
        <v>4.0</v>
      </c>
      <c r="D1635" s="38" t="s">
        <v>8597</v>
      </c>
      <c r="E1635" s="38" t="s">
        <v>8500</v>
      </c>
      <c r="F1635" s="38" t="s">
        <v>8598</v>
      </c>
    </row>
    <row r="1636">
      <c r="B1636" s="38" t="s">
        <v>8599</v>
      </c>
      <c r="C1636" s="38" t="s">
        <v>8600</v>
      </c>
      <c r="D1636" s="38" t="s">
        <v>8601</v>
      </c>
      <c r="E1636" s="47" t="s">
        <v>8602</v>
      </c>
      <c r="F1636" s="38" t="s">
        <v>8603</v>
      </c>
    </row>
    <row r="1637">
      <c r="B1637" s="38" t="s">
        <v>8604</v>
      </c>
      <c r="C1637" s="38" t="s">
        <v>8605</v>
      </c>
      <c r="D1637" s="38" t="s">
        <v>8606</v>
      </c>
      <c r="E1637" s="47" t="s">
        <v>8602</v>
      </c>
      <c r="F1637" s="38" t="s">
        <v>8603</v>
      </c>
    </row>
    <row r="1638">
      <c r="B1638" s="38" t="s">
        <v>876</v>
      </c>
      <c r="C1638" s="38">
        <v>-4.0</v>
      </c>
      <c r="D1638" s="38" t="s">
        <v>8607</v>
      </c>
      <c r="E1638" s="38" t="s">
        <v>6218</v>
      </c>
      <c r="F1638" s="38" t="s">
        <v>8608</v>
      </c>
    </row>
    <row r="1639">
      <c r="B1639" s="38" t="s">
        <v>183</v>
      </c>
      <c r="C1639" s="38">
        <v>-4.0</v>
      </c>
      <c r="D1639" s="38" t="s">
        <v>8607</v>
      </c>
      <c r="E1639" s="38" t="s">
        <v>6218</v>
      </c>
      <c r="F1639" s="38" t="s">
        <v>8608</v>
      </c>
    </row>
    <row r="1640">
      <c r="B1640" s="38" t="s">
        <v>205</v>
      </c>
      <c r="C1640" s="38">
        <v>-4.0</v>
      </c>
      <c r="D1640" s="38" t="s">
        <v>8607</v>
      </c>
      <c r="E1640" s="38" t="s">
        <v>6218</v>
      </c>
      <c r="F1640" s="38" t="s">
        <v>8608</v>
      </c>
    </row>
    <row r="1641">
      <c r="B1641" s="38" t="s">
        <v>8609</v>
      </c>
      <c r="C1641" s="38">
        <v>2.0</v>
      </c>
      <c r="D1641" s="38" t="s">
        <v>294</v>
      </c>
      <c r="E1641" s="281" t="s">
        <v>8610</v>
      </c>
      <c r="F1641" s="38" t="s">
        <v>8611</v>
      </c>
    </row>
    <row r="1642">
      <c r="B1642" s="38" t="s">
        <v>31</v>
      </c>
      <c r="C1642" s="38">
        <v>2.0</v>
      </c>
      <c r="D1642" s="38" t="s">
        <v>294</v>
      </c>
      <c r="E1642" s="281" t="s">
        <v>8610</v>
      </c>
      <c r="F1642" s="38" t="s">
        <v>8612</v>
      </c>
    </row>
    <row r="1643">
      <c r="B1643" s="38" t="s">
        <v>91</v>
      </c>
      <c r="C1643" s="38">
        <v>4.0</v>
      </c>
      <c r="D1643" s="38" t="s">
        <v>8513</v>
      </c>
      <c r="E1643" s="38" t="s">
        <v>6899</v>
      </c>
      <c r="F1643" s="38" t="s">
        <v>8613</v>
      </c>
    </row>
    <row r="1644">
      <c r="B1644" s="38" t="s">
        <v>1264</v>
      </c>
      <c r="C1644" s="38">
        <v>2.0</v>
      </c>
      <c r="D1644" s="38" t="s">
        <v>1964</v>
      </c>
      <c r="E1644" s="38" t="s">
        <v>2971</v>
      </c>
      <c r="F1644" s="38" t="s">
        <v>8614</v>
      </c>
    </row>
    <row r="1645">
      <c r="B1645" s="38" t="s">
        <v>982</v>
      </c>
      <c r="C1645" s="38">
        <v>2.0</v>
      </c>
      <c r="D1645" s="47" t="s">
        <v>8615</v>
      </c>
      <c r="E1645" s="38" t="s">
        <v>4245</v>
      </c>
      <c r="F1645" s="38" t="s">
        <v>8414</v>
      </c>
    </row>
    <row r="1646">
      <c r="B1646" s="38" t="s">
        <v>8518</v>
      </c>
      <c r="C1646" s="38">
        <v>2.0</v>
      </c>
      <c r="D1646" s="38" t="s">
        <v>8616</v>
      </c>
      <c r="E1646" s="38" t="s">
        <v>8617</v>
      </c>
      <c r="F1646" s="38" t="s">
        <v>8618</v>
      </c>
    </row>
    <row r="1647">
      <c r="B1647" s="38" t="s">
        <v>8619</v>
      </c>
      <c r="C1647" s="38">
        <v>2.0</v>
      </c>
      <c r="D1647" s="38" t="s">
        <v>8616</v>
      </c>
      <c r="E1647" s="38" t="s">
        <v>8617</v>
      </c>
      <c r="F1647" s="38" t="s">
        <v>8618</v>
      </c>
    </row>
    <row r="1648">
      <c r="B1648" s="38" t="s">
        <v>8620</v>
      </c>
      <c r="C1648" s="38">
        <v>1.0</v>
      </c>
      <c r="D1648" s="38" t="s">
        <v>8621</v>
      </c>
      <c r="E1648" s="404" t="s">
        <v>8622</v>
      </c>
      <c r="F1648" s="38" t="s">
        <v>8623</v>
      </c>
    </row>
    <row r="1649">
      <c r="B1649" s="44"/>
      <c r="C1649" s="44"/>
      <c r="D1649" s="38" t="s">
        <v>8624</v>
      </c>
      <c r="E1649" s="38" t="s">
        <v>8625</v>
      </c>
      <c r="F1649" s="38" t="s">
        <v>8626</v>
      </c>
    </row>
    <row r="1650">
      <c r="B1650" s="38" t="s">
        <v>6866</v>
      </c>
      <c r="C1650" s="38">
        <v>4.0</v>
      </c>
      <c r="D1650" s="38" t="s">
        <v>8627</v>
      </c>
      <c r="E1650" s="38" t="s">
        <v>7528</v>
      </c>
      <c r="F1650" s="38" t="s">
        <v>8628</v>
      </c>
    </row>
    <row r="1651">
      <c r="B1651" s="38" t="s">
        <v>28</v>
      </c>
      <c r="C1651" s="38">
        <v>4.0</v>
      </c>
      <c r="D1651" s="38" t="s">
        <v>8629</v>
      </c>
      <c r="E1651" s="38" t="s">
        <v>7528</v>
      </c>
      <c r="F1651" s="38" t="s">
        <v>8628</v>
      </c>
    </row>
    <row r="1652">
      <c r="B1652" s="38" t="s">
        <v>25</v>
      </c>
      <c r="C1652" s="38">
        <v>8.0</v>
      </c>
      <c r="D1652" s="38" t="s">
        <v>232</v>
      </c>
      <c r="E1652" s="38" t="s">
        <v>7528</v>
      </c>
      <c r="F1652" s="38" t="s">
        <v>8630</v>
      </c>
    </row>
    <row r="1653">
      <c r="B1653" s="38" t="s">
        <v>77</v>
      </c>
      <c r="C1653" s="38">
        <v>4.0</v>
      </c>
      <c r="D1653" s="38" t="s">
        <v>8631</v>
      </c>
      <c r="E1653" s="38" t="s">
        <v>7528</v>
      </c>
      <c r="F1653" s="38" t="s">
        <v>8628</v>
      </c>
    </row>
    <row r="1654">
      <c r="B1654" s="38" t="s">
        <v>8632</v>
      </c>
      <c r="C1654" s="38">
        <v>4.0</v>
      </c>
      <c r="D1654" s="38" t="s">
        <v>8633</v>
      </c>
      <c r="E1654" s="38" t="s">
        <v>7528</v>
      </c>
      <c r="F1654" s="38" t="s">
        <v>8628</v>
      </c>
    </row>
    <row r="1655">
      <c r="B1655" s="38" t="s">
        <v>3853</v>
      </c>
      <c r="C1655" s="38">
        <v>4.0</v>
      </c>
      <c r="D1655" s="38" t="s">
        <v>8627</v>
      </c>
      <c r="E1655" s="38" t="s">
        <v>7528</v>
      </c>
      <c r="F1655" s="38" t="s">
        <v>8628</v>
      </c>
    </row>
    <row r="1656">
      <c r="B1656" s="38" t="s">
        <v>271</v>
      </c>
      <c r="C1656" s="38">
        <v>4.0</v>
      </c>
      <c r="D1656" s="38" t="s">
        <v>232</v>
      </c>
      <c r="E1656" s="38" t="s">
        <v>7528</v>
      </c>
      <c r="F1656" s="38" t="s">
        <v>8628</v>
      </c>
    </row>
    <row r="1657">
      <c r="B1657" s="38" t="s">
        <v>283</v>
      </c>
      <c r="C1657" s="38">
        <v>4.0</v>
      </c>
      <c r="D1657" s="38" t="s">
        <v>8634</v>
      </c>
      <c r="E1657" s="38" t="s">
        <v>6218</v>
      </c>
      <c r="F1657" s="38" t="s">
        <v>8635</v>
      </c>
    </row>
    <row r="1658">
      <c r="B1658" s="38" t="s">
        <v>63</v>
      </c>
      <c r="C1658" s="38">
        <v>1.0</v>
      </c>
      <c r="D1658" s="38" t="s">
        <v>412</v>
      </c>
      <c r="E1658" s="38" t="s">
        <v>1017</v>
      </c>
      <c r="F1658" s="38" t="s">
        <v>8636</v>
      </c>
    </row>
    <row r="1659">
      <c r="B1659" s="38" t="s">
        <v>271</v>
      </c>
      <c r="C1659" s="38">
        <v>4.0</v>
      </c>
      <c r="D1659" s="38" t="s">
        <v>3937</v>
      </c>
      <c r="E1659" s="38" t="s">
        <v>4939</v>
      </c>
      <c r="F1659" s="38" t="s">
        <v>8637</v>
      </c>
    </row>
    <row r="1660">
      <c r="B1660" s="38" t="s">
        <v>876</v>
      </c>
      <c r="C1660" s="38">
        <v>4.0</v>
      </c>
      <c r="D1660" s="38" t="s">
        <v>1109</v>
      </c>
      <c r="E1660" s="38" t="s">
        <v>8638</v>
      </c>
      <c r="F1660" s="38" t="s">
        <v>4979</v>
      </c>
    </row>
    <row r="1661">
      <c r="B1661" s="38" t="s">
        <v>271</v>
      </c>
      <c r="C1661" s="38">
        <v>4.0</v>
      </c>
      <c r="D1661" s="38" t="s">
        <v>3937</v>
      </c>
      <c r="E1661" s="38" t="s">
        <v>7386</v>
      </c>
      <c r="F1661" s="38" t="s">
        <v>8639</v>
      </c>
    </row>
    <row r="1662">
      <c r="B1662" s="38" t="s">
        <v>85</v>
      </c>
      <c r="C1662" s="38">
        <v>4.0</v>
      </c>
      <c r="D1662" s="38" t="s">
        <v>1109</v>
      </c>
      <c r="E1662" s="38" t="s">
        <v>418</v>
      </c>
      <c r="F1662" s="38" t="s">
        <v>8640</v>
      </c>
    </row>
    <row r="1663">
      <c r="B1663" s="38" t="s">
        <v>183</v>
      </c>
      <c r="C1663" s="38">
        <v>4.0</v>
      </c>
      <c r="D1663" s="38" t="s">
        <v>232</v>
      </c>
      <c r="E1663" s="47" t="s">
        <v>8641</v>
      </c>
      <c r="F1663" s="38" t="s">
        <v>8642</v>
      </c>
    </row>
    <row r="1664">
      <c r="B1664" s="38" t="s">
        <v>8643</v>
      </c>
      <c r="C1664" s="44"/>
      <c r="D1664" s="38" t="s">
        <v>8644</v>
      </c>
      <c r="E1664" s="38" t="s">
        <v>8465</v>
      </c>
      <c r="F1664" s="44"/>
    </row>
    <row r="1665">
      <c r="B1665" s="38" t="s">
        <v>219</v>
      </c>
      <c r="C1665" s="38">
        <v>4.0</v>
      </c>
      <c r="D1665" s="38" t="s">
        <v>8645</v>
      </c>
      <c r="E1665" s="38" t="s">
        <v>7128</v>
      </c>
      <c r="F1665" s="38" t="s">
        <v>8646</v>
      </c>
    </row>
    <row r="1666">
      <c r="B1666" s="38" t="s">
        <v>271</v>
      </c>
      <c r="C1666" s="38">
        <v>4.0</v>
      </c>
      <c r="D1666" s="38" t="s">
        <v>8647</v>
      </c>
      <c r="E1666" s="38" t="s">
        <v>8648</v>
      </c>
      <c r="F1666" s="38" t="s">
        <v>8649</v>
      </c>
    </row>
    <row r="1667">
      <c r="B1667" s="44"/>
      <c r="C1667" s="44"/>
      <c r="D1667" s="38" t="s">
        <v>8650</v>
      </c>
      <c r="E1667" s="38" t="s">
        <v>8651</v>
      </c>
      <c r="F1667" s="38" t="s">
        <v>8652</v>
      </c>
    </row>
    <row r="1668">
      <c r="B1668" s="38" t="s">
        <v>1296</v>
      </c>
      <c r="C1668" s="38">
        <v>4.0</v>
      </c>
      <c r="D1668" s="38" t="s">
        <v>8513</v>
      </c>
      <c r="E1668" s="38" t="s">
        <v>3009</v>
      </c>
      <c r="F1668" s="38" t="s">
        <v>8653</v>
      </c>
    </row>
    <row r="1669">
      <c r="B1669" s="38" t="s">
        <v>733</v>
      </c>
      <c r="C1669" s="38">
        <v>4.0</v>
      </c>
      <c r="D1669" s="38" t="s">
        <v>1359</v>
      </c>
      <c r="E1669" s="38" t="s">
        <v>4624</v>
      </c>
      <c r="F1669" s="38" t="s">
        <v>8654</v>
      </c>
    </row>
    <row r="1670">
      <c r="B1670" s="38" t="s">
        <v>875</v>
      </c>
      <c r="C1670" s="38">
        <v>4.0</v>
      </c>
      <c r="D1670" s="38" t="s">
        <v>1288</v>
      </c>
      <c r="E1670" s="38" t="s">
        <v>7184</v>
      </c>
      <c r="F1670" s="38" t="s">
        <v>8655</v>
      </c>
    </row>
    <row r="1671">
      <c r="A1671" s="44"/>
      <c r="B1671" s="38" t="s">
        <v>41</v>
      </c>
      <c r="C1671" s="38">
        <v>4.0</v>
      </c>
      <c r="D1671" s="38" t="s">
        <v>8656</v>
      </c>
      <c r="E1671" s="405" t="s">
        <v>8657</v>
      </c>
      <c r="F1671" s="38" t="s">
        <v>8658</v>
      </c>
    </row>
    <row r="1672">
      <c r="B1672" s="38" t="s">
        <v>22</v>
      </c>
      <c r="C1672" s="38">
        <v>1.0</v>
      </c>
      <c r="D1672" s="38" t="s">
        <v>1964</v>
      </c>
      <c r="E1672" s="38" t="s">
        <v>4709</v>
      </c>
      <c r="F1672" s="38" t="s">
        <v>8659</v>
      </c>
    </row>
    <row r="1673">
      <c r="A1673" s="44"/>
      <c r="B1673" s="44"/>
      <c r="C1673" s="44"/>
      <c r="D1673" s="38" t="s">
        <v>8660</v>
      </c>
      <c r="E1673" s="38" t="s">
        <v>8661</v>
      </c>
      <c r="F1673" s="38" t="s">
        <v>8662</v>
      </c>
    </row>
    <row r="1674">
      <c r="B1674" s="38" t="s">
        <v>246</v>
      </c>
      <c r="C1674" s="38">
        <v>1.0</v>
      </c>
      <c r="D1674" s="38" t="s">
        <v>8663</v>
      </c>
      <c r="E1674" s="38" t="s">
        <v>230</v>
      </c>
      <c r="F1674" s="59" t="s">
        <v>8664</v>
      </c>
      <c r="G1674" s="38" t="s">
        <v>8665</v>
      </c>
    </row>
    <row r="1675">
      <c r="B1675" s="38" t="s">
        <v>147</v>
      </c>
      <c r="C1675" s="38">
        <v>2.0</v>
      </c>
      <c r="D1675" s="38" t="s">
        <v>1109</v>
      </c>
      <c r="E1675" s="38" t="s">
        <v>230</v>
      </c>
      <c r="F1675" s="38" t="s">
        <v>8666</v>
      </c>
      <c r="G1675" s="38" t="s">
        <v>8665</v>
      </c>
    </row>
    <row r="1676">
      <c r="B1676" s="38" t="s">
        <v>52</v>
      </c>
      <c r="C1676" s="38">
        <v>4.0</v>
      </c>
      <c r="D1676" s="38" t="s">
        <v>8667</v>
      </c>
      <c r="E1676" s="274" t="s">
        <v>8668</v>
      </c>
      <c r="F1676" s="38" t="s">
        <v>8669</v>
      </c>
    </row>
    <row r="1677">
      <c r="B1677" s="38" t="s">
        <v>2548</v>
      </c>
      <c r="C1677" s="38">
        <v>4.0</v>
      </c>
      <c r="D1677" s="59" t="s">
        <v>8670</v>
      </c>
      <c r="E1677" s="274" t="s">
        <v>8671</v>
      </c>
      <c r="F1677" s="38" t="s">
        <v>8669</v>
      </c>
    </row>
    <row r="1678">
      <c r="B1678" s="38" t="s">
        <v>439</v>
      </c>
      <c r="C1678" s="38">
        <v>2.0</v>
      </c>
      <c r="D1678" s="406" t="s">
        <v>8672</v>
      </c>
      <c r="E1678" s="274" t="s">
        <v>8673</v>
      </c>
      <c r="F1678" s="38" t="s">
        <v>8669</v>
      </c>
    </row>
    <row r="1679">
      <c r="B1679" s="38" t="s">
        <v>495</v>
      </c>
      <c r="C1679" s="38">
        <v>2.0</v>
      </c>
      <c r="D1679" s="406" t="s">
        <v>8672</v>
      </c>
      <c r="E1679" s="274" t="s">
        <v>8673</v>
      </c>
      <c r="F1679" s="38" t="s">
        <v>8669</v>
      </c>
    </row>
    <row r="1680">
      <c r="B1680" s="38" t="s">
        <v>6162</v>
      </c>
      <c r="C1680" s="38">
        <v>4.0</v>
      </c>
      <c r="D1680" s="38" t="s">
        <v>1359</v>
      </c>
      <c r="E1680" s="38" t="s">
        <v>4741</v>
      </c>
      <c r="F1680" s="38" t="s">
        <v>8674</v>
      </c>
    </row>
    <row r="1681">
      <c r="B1681" s="38" t="s">
        <v>1010</v>
      </c>
      <c r="C1681" s="38">
        <v>4.0</v>
      </c>
      <c r="D1681" s="38" t="s">
        <v>134</v>
      </c>
      <c r="E1681" s="38" t="s">
        <v>2551</v>
      </c>
      <c r="F1681" s="38" t="s">
        <v>8498</v>
      </c>
    </row>
    <row r="1682">
      <c r="B1682" s="38" t="s">
        <v>8675</v>
      </c>
      <c r="C1682" s="44"/>
      <c r="D1682" s="38"/>
      <c r="E1682" s="38" t="s">
        <v>5085</v>
      </c>
      <c r="F1682" s="44"/>
    </row>
    <row r="1683">
      <c r="B1683" s="47"/>
      <c r="C1683" s="44"/>
      <c r="D1683" s="38" t="s">
        <v>8676</v>
      </c>
      <c r="E1683" s="38" t="s">
        <v>5085</v>
      </c>
      <c r="F1683" s="44"/>
    </row>
    <row r="1684">
      <c r="B1684" s="403" t="s">
        <v>8677</v>
      </c>
      <c r="C1684" s="38">
        <v>1.0</v>
      </c>
      <c r="D1684" s="38" t="s">
        <v>8678</v>
      </c>
      <c r="E1684" s="298" t="s">
        <v>8679</v>
      </c>
      <c r="F1684" s="38" t="s">
        <v>8680</v>
      </c>
    </row>
    <row r="1685">
      <c r="B1685" s="38" t="s">
        <v>8681</v>
      </c>
      <c r="C1685" s="38">
        <v>1.0</v>
      </c>
      <c r="D1685" s="38" t="s">
        <v>8682</v>
      </c>
      <c r="E1685" s="298" t="s">
        <v>8683</v>
      </c>
      <c r="F1685" s="38" t="s">
        <v>8684</v>
      </c>
    </row>
    <row r="1686">
      <c r="B1686" s="38" t="s">
        <v>718</v>
      </c>
      <c r="C1686" s="38">
        <v>4.0</v>
      </c>
      <c r="D1686" s="38" t="s">
        <v>134</v>
      </c>
      <c r="E1686" s="38" t="s">
        <v>202</v>
      </c>
      <c r="F1686" s="38" t="s">
        <v>8685</v>
      </c>
    </row>
    <row r="1687">
      <c r="B1687" s="38" t="s">
        <v>8686</v>
      </c>
      <c r="C1687" s="38">
        <v>4.0</v>
      </c>
      <c r="D1687" s="38" t="s">
        <v>8687</v>
      </c>
      <c r="E1687" s="38" t="s">
        <v>2386</v>
      </c>
      <c r="F1687" s="38" t="s">
        <v>8688</v>
      </c>
    </row>
    <row r="1688">
      <c r="B1688" s="38" t="s">
        <v>2730</v>
      </c>
      <c r="C1688" s="38">
        <v>2.0</v>
      </c>
      <c r="D1688" s="38" t="s">
        <v>8689</v>
      </c>
      <c r="E1688" s="38" t="s">
        <v>2386</v>
      </c>
      <c r="F1688" s="38" t="s">
        <v>8688</v>
      </c>
    </row>
    <row r="1689">
      <c r="B1689" s="38" t="s">
        <v>8690</v>
      </c>
      <c r="C1689" s="38">
        <v>2.0</v>
      </c>
      <c r="D1689" s="38" t="s">
        <v>8691</v>
      </c>
      <c r="E1689" s="38" t="s">
        <v>2386</v>
      </c>
      <c r="F1689" s="38" t="s">
        <v>8688</v>
      </c>
    </row>
    <row r="1690">
      <c r="B1690" s="38" t="s">
        <v>25</v>
      </c>
      <c r="C1690" s="38">
        <v>4.0</v>
      </c>
      <c r="D1690" s="38" t="s">
        <v>232</v>
      </c>
      <c r="E1690" s="38" t="s">
        <v>8692</v>
      </c>
      <c r="F1690" s="38" t="s">
        <v>8693</v>
      </c>
    </row>
    <row r="1691">
      <c r="B1691" s="38" t="s">
        <v>31</v>
      </c>
      <c r="C1691" s="38">
        <v>4.0</v>
      </c>
      <c r="D1691" s="38" t="s">
        <v>315</v>
      </c>
      <c r="E1691" s="38" t="s">
        <v>8694</v>
      </c>
      <c r="F1691" s="38" t="s">
        <v>8695</v>
      </c>
      <c r="G1691" s="1" t="s">
        <v>8696</v>
      </c>
    </row>
    <row r="1692">
      <c r="B1692" s="38" t="s">
        <v>183</v>
      </c>
      <c r="C1692" s="38">
        <v>4.0</v>
      </c>
      <c r="D1692" s="38" t="s">
        <v>1109</v>
      </c>
      <c r="E1692" s="38" t="s">
        <v>8697</v>
      </c>
      <c r="F1692" s="38" t="s">
        <v>8330</v>
      </c>
    </row>
    <row r="1693">
      <c r="B1693" s="321" t="s">
        <v>8698</v>
      </c>
      <c r="C1693" s="407"/>
      <c r="D1693" s="408" t="s">
        <v>8699</v>
      </c>
      <c r="E1693" s="409" t="s">
        <v>6776</v>
      </c>
      <c r="F1693" s="38" t="s">
        <v>6851</v>
      </c>
      <c r="G1693" s="38" t="s">
        <v>8700</v>
      </c>
    </row>
    <row r="1694">
      <c r="B1694" s="321" t="s">
        <v>8701</v>
      </c>
      <c r="C1694" s="409" t="s">
        <v>8702</v>
      </c>
      <c r="D1694" s="409" t="s">
        <v>8703</v>
      </c>
      <c r="E1694" s="409" t="s">
        <v>6776</v>
      </c>
      <c r="F1694" s="44"/>
      <c r="G1694" s="38" t="s">
        <v>8700</v>
      </c>
    </row>
    <row r="1695">
      <c r="B1695" s="38" t="s">
        <v>8704</v>
      </c>
      <c r="C1695" s="38">
        <v>2.0</v>
      </c>
      <c r="D1695" s="38" t="s">
        <v>8705</v>
      </c>
      <c r="E1695" s="38" t="s">
        <v>1017</v>
      </c>
      <c r="F1695" s="38" t="s">
        <v>8706</v>
      </c>
    </row>
    <row r="1696">
      <c r="B1696" s="38" t="s">
        <v>22</v>
      </c>
      <c r="C1696" s="38">
        <v>4.0</v>
      </c>
      <c r="D1696" s="38" t="s">
        <v>232</v>
      </c>
      <c r="E1696" s="274" t="s">
        <v>8707</v>
      </c>
      <c r="F1696" s="38" t="s">
        <v>8708</v>
      </c>
      <c r="G1696" s="38" t="s">
        <v>8709</v>
      </c>
    </row>
    <row r="1697">
      <c r="B1697" s="38" t="s">
        <v>2013</v>
      </c>
      <c r="C1697" s="38">
        <v>2.0</v>
      </c>
      <c r="D1697" s="38" t="s">
        <v>134</v>
      </c>
      <c r="E1697" s="38" t="s">
        <v>1309</v>
      </c>
      <c r="F1697" s="38" t="s">
        <v>8710</v>
      </c>
    </row>
    <row r="1698">
      <c r="B1698" s="38" t="s">
        <v>718</v>
      </c>
      <c r="C1698" s="38">
        <v>2.0</v>
      </c>
      <c r="D1698" s="38" t="s">
        <v>134</v>
      </c>
      <c r="E1698" s="38" t="s">
        <v>1309</v>
      </c>
      <c r="F1698" s="38" t="s">
        <v>8710</v>
      </c>
    </row>
    <row r="1699">
      <c r="B1699" s="38" t="s">
        <v>25</v>
      </c>
      <c r="C1699" s="38">
        <v>4.0</v>
      </c>
      <c r="D1699" s="38" t="s">
        <v>1305</v>
      </c>
      <c r="E1699" s="38" t="s">
        <v>1017</v>
      </c>
      <c r="F1699" s="38" t="s">
        <v>8706</v>
      </c>
    </row>
    <row r="1700">
      <c r="B1700" s="38" t="s">
        <v>38</v>
      </c>
      <c r="C1700" s="38">
        <v>4.0</v>
      </c>
      <c r="D1700" s="38" t="s">
        <v>134</v>
      </c>
      <c r="E1700" s="38" t="s">
        <v>8711</v>
      </c>
      <c r="F1700" s="38" t="s">
        <v>8712</v>
      </c>
    </row>
    <row r="1701">
      <c r="B1701" s="38" t="s">
        <v>357</v>
      </c>
      <c r="C1701" s="38">
        <v>4.0</v>
      </c>
      <c r="D1701" s="38" t="s">
        <v>8691</v>
      </c>
      <c r="E1701" s="38" t="s">
        <v>4741</v>
      </c>
      <c r="F1701" s="38" t="s">
        <v>8713</v>
      </c>
    </row>
    <row r="1702">
      <c r="A1702" s="44"/>
      <c r="B1702" s="38" t="s">
        <v>430</v>
      </c>
      <c r="C1702" s="38">
        <v>4.0</v>
      </c>
      <c r="D1702" s="38" t="s">
        <v>8691</v>
      </c>
      <c r="E1702" s="295" t="s">
        <v>8714</v>
      </c>
      <c r="F1702" s="38" t="s">
        <v>8715</v>
      </c>
      <c r="G1702" s="44"/>
    </row>
    <row r="1703">
      <c r="B1703" s="410" t="s">
        <v>8716</v>
      </c>
      <c r="C1703" s="44"/>
      <c r="D1703" s="411" t="s">
        <v>8717</v>
      </c>
      <c r="E1703" s="38" t="s">
        <v>8718</v>
      </c>
      <c r="F1703" s="44"/>
      <c r="G1703" s="38" t="s">
        <v>4421</v>
      </c>
    </row>
    <row r="1704">
      <c r="B1704" s="410" t="s">
        <v>8719</v>
      </c>
      <c r="C1704" s="38" t="s">
        <v>8720</v>
      </c>
      <c r="D1704" s="38" t="s">
        <v>8721</v>
      </c>
      <c r="E1704" s="38" t="s">
        <v>8718</v>
      </c>
      <c r="F1704" s="38" t="s">
        <v>8722</v>
      </c>
      <c r="G1704" s="38" t="s">
        <v>4421</v>
      </c>
    </row>
    <row r="1705">
      <c r="B1705" s="410"/>
      <c r="C1705" s="38"/>
      <c r="D1705" s="38"/>
      <c r="E1705" s="38" t="s">
        <v>8718</v>
      </c>
      <c r="F1705" s="38" t="s">
        <v>8723</v>
      </c>
      <c r="G1705" s="38" t="s">
        <v>4421</v>
      </c>
    </row>
    <row r="1706">
      <c r="B1706" s="38" t="s">
        <v>8724</v>
      </c>
      <c r="C1706" s="38" t="s">
        <v>8725</v>
      </c>
      <c r="D1706" s="38" t="s">
        <v>8726</v>
      </c>
      <c r="E1706" s="38" t="s">
        <v>8727</v>
      </c>
      <c r="F1706" s="38" t="s">
        <v>8728</v>
      </c>
      <c r="G1706" s="38" t="s">
        <v>8710</v>
      </c>
    </row>
    <row r="1707">
      <c r="B1707" s="38" t="s">
        <v>8729</v>
      </c>
      <c r="C1707" s="38" t="s">
        <v>8730</v>
      </c>
      <c r="D1707" s="38" t="s">
        <v>8731</v>
      </c>
      <c r="E1707" s="38" t="s">
        <v>8727</v>
      </c>
      <c r="F1707" s="38" t="s">
        <v>8732</v>
      </c>
      <c r="G1707" s="38" t="s">
        <v>8710</v>
      </c>
    </row>
    <row r="1708">
      <c r="B1708" s="38"/>
      <c r="C1708" s="38">
        <v>4.0</v>
      </c>
      <c r="D1708" s="38" t="s">
        <v>8733</v>
      </c>
      <c r="E1708" s="38" t="s">
        <v>8727</v>
      </c>
      <c r="F1708" s="38" t="s">
        <v>8710</v>
      </c>
    </row>
    <row r="1709">
      <c r="B1709" s="44"/>
      <c r="C1709" s="44"/>
      <c r="D1709" s="38" t="s">
        <v>8734</v>
      </c>
      <c r="E1709" s="38" t="s">
        <v>6739</v>
      </c>
      <c r="F1709" s="38" t="s">
        <v>8735</v>
      </c>
    </row>
    <row r="1710">
      <c r="B1710" s="38" t="s">
        <v>357</v>
      </c>
      <c r="C1710" s="38">
        <v>4.0</v>
      </c>
      <c r="D1710" s="38" t="s">
        <v>8381</v>
      </c>
      <c r="E1710" s="38" t="s">
        <v>8736</v>
      </c>
      <c r="F1710" s="38" t="s">
        <v>4974</v>
      </c>
    </row>
    <row r="1711">
      <c r="B1711" s="38" t="s">
        <v>3682</v>
      </c>
      <c r="C1711" s="38">
        <v>4.0</v>
      </c>
      <c r="D1711" s="38" t="s">
        <v>289</v>
      </c>
      <c r="E1711" s="38" t="s">
        <v>8737</v>
      </c>
      <c r="F1711" s="38" t="s">
        <v>8738</v>
      </c>
    </row>
    <row r="1712">
      <c r="B1712" s="44"/>
      <c r="C1712" s="44"/>
      <c r="D1712" s="38" t="s">
        <v>8739</v>
      </c>
      <c r="E1712" s="38" t="s">
        <v>5636</v>
      </c>
      <c r="F1712" s="44"/>
    </row>
    <row r="1713">
      <c r="B1713" s="388" t="s">
        <v>8740</v>
      </c>
      <c r="C1713" s="44"/>
      <c r="D1713" s="38" t="s">
        <v>6879</v>
      </c>
      <c r="E1713" s="38" t="s">
        <v>8741</v>
      </c>
      <c r="F1713" s="38" t="s">
        <v>8742</v>
      </c>
    </row>
    <row r="1714">
      <c r="B1714" s="38" t="s">
        <v>81</v>
      </c>
      <c r="C1714" s="38">
        <v>4.0</v>
      </c>
      <c r="D1714" s="38" t="s">
        <v>8743</v>
      </c>
      <c r="E1714" s="38" t="s">
        <v>337</v>
      </c>
      <c r="F1714" s="44"/>
    </row>
    <row r="1715">
      <c r="B1715" s="38" t="s">
        <v>876</v>
      </c>
      <c r="C1715" s="38">
        <v>4.0</v>
      </c>
      <c r="D1715" s="38" t="s">
        <v>8744</v>
      </c>
      <c r="E1715" s="38" t="s">
        <v>8745</v>
      </c>
      <c r="F1715" s="38" t="s">
        <v>4211</v>
      </c>
    </row>
    <row r="1716">
      <c r="B1716" s="44"/>
      <c r="C1716" s="38" t="s">
        <v>8746</v>
      </c>
      <c r="D1716" s="38" t="s">
        <v>8747</v>
      </c>
      <c r="E1716" s="38" t="s">
        <v>8748</v>
      </c>
      <c r="F1716" s="38" t="s">
        <v>8004</v>
      </c>
    </row>
    <row r="1717">
      <c r="B1717" s="38" t="s">
        <v>183</v>
      </c>
      <c r="C1717" s="38">
        <v>4.0</v>
      </c>
      <c r="D1717" s="38" t="s">
        <v>1109</v>
      </c>
      <c r="E1717" s="38" t="s">
        <v>4478</v>
      </c>
      <c r="F1717" s="38" t="s">
        <v>8749</v>
      </c>
    </row>
    <row r="1718">
      <c r="B1718" s="38" t="s">
        <v>8750</v>
      </c>
      <c r="C1718" s="38" t="s">
        <v>8751</v>
      </c>
      <c r="D1718" s="38" t="s">
        <v>8752</v>
      </c>
      <c r="E1718" s="38" t="s">
        <v>2382</v>
      </c>
      <c r="F1718" s="38" t="s">
        <v>8753</v>
      </c>
    </row>
    <row r="1719">
      <c r="B1719" s="38" t="s">
        <v>22</v>
      </c>
      <c r="C1719" s="38">
        <v>4.0</v>
      </c>
      <c r="D1719" s="38" t="s">
        <v>289</v>
      </c>
      <c r="E1719" s="38" t="s">
        <v>8754</v>
      </c>
      <c r="F1719" s="38" t="s">
        <v>8755</v>
      </c>
    </row>
    <row r="1720">
      <c r="B1720" s="38" t="s">
        <v>357</v>
      </c>
      <c r="C1720" s="38">
        <v>4.0</v>
      </c>
      <c r="D1720" s="38" t="s">
        <v>3918</v>
      </c>
      <c r="E1720" s="38" t="s">
        <v>8756</v>
      </c>
      <c r="F1720" s="38" t="s">
        <v>8757</v>
      </c>
    </row>
    <row r="1721">
      <c r="B1721" s="38" t="s">
        <v>875</v>
      </c>
      <c r="C1721" s="38">
        <v>4.0</v>
      </c>
      <c r="D1721" s="38" t="s">
        <v>163</v>
      </c>
      <c r="E1721" s="38" t="s">
        <v>1141</v>
      </c>
      <c r="F1721" s="38" t="s">
        <v>8758</v>
      </c>
    </row>
    <row r="1722">
      <c r="B1722" s="38" t="s">
        <v>205</v>
      </c>
      <c r="C1722" s="38">
        <v>4.0</v>
      </c>
      <c r="D1722" s="38" t="s">
        <v>2097</v>
      </c>
      <c r="E1722" s="47" t="s">
        <v>8759</v>
      </c>
      <c r="F1722" s="38" t="s">
        <v>8760</v>
      </c>
    </row>
    <row r="1723">
      <c r="B1723" s="38" t="s">
        <v>246</v>
      </c>
      <c r="C1723" s="38">
        <v>4.0</v>
      </c>
      <c r="D1723" s="38" t="s">
        <v>8761</v>
      </c>
      <c r="E1723" s="47" t="s">
        <v>8759</v>
      </c>
      <c r="F1723" s="38" t="s">
        <v>8762</v>
      </c>
    </row>
    <row r="1724">
      <c r="B1724" s="38" t="s">
        <v>8763</v>
      </c>
      <c r="C1724" s="38">
        <v>2.0</v>
      </c>
      <c r="D1724" s="38" t="s">
        <v>8764</v>
      </c>
      <c r="E1724" s="38" t="s">
        <v>8765</v>
      </c>
      <c r="F1724" s="38" t="s">
        <v>8766</v>
      </c>
    </row>
    <row r="1725">
      <c r="B1725" s="38" t="s">
        <v>25</v>
      </c>
      <c r="C1725" s="38">
        <v>4.0</v>
      </c>
      <c r="D1725" s="38" t="s">
        <v>289</v>
      </c>
      <c r="E1725" s="38" t="s">
        <v>8767</v>
      </c>
      <c r="F1725" s="38" t="s">
        <v>4650</v>
      </c>
    </row>
    <row r="1726">
      <c r="B1726" s="38" t="s">
        <v>8768</v>
      </c>
      <c r="C1726" s="38" t="s">
        <v>8769</v>
      </c>
      <c r="D1726" s="38" t="s">
        <v>8770</v>
      </c>
      <c r="E1726" s="38" t="s">
        <v>8771</v>
      </c>
      <c r="F1726" s="38" t="s">
        <v>4421</v>
      </c>
    </row>
    <row r="1727">
      <c r="B1727" s="38"/>
      <c r="C1727" s="38" t="s">
        <v>8769</v>
      </c>
      <c r="D1727" s="65">
        <v>44293.0</v>
      </c>
      <c r="E1727" s="38" t="s">
        <v>8772</v>
      </c>
      <c r="F1727" s="38" t="s">
        <v>4421</v>
      </c>
    </row>
    <row r="1728">
      <c r="B1728" s="38" t="s">
        <v>271</v>
      </c>
      <c r="C1728" s="38">
        <v>4.0</v>
      </c>
      <c r="D1728" s="38" t="s">
        <v>1109</v>
      </c>
      <c r="E1728" s="274" t="s">
        <v>1401</v>
      </c>
      <c r="F1728" s="38" t="s">
        <v>8773</v>
      </c>
    </row>
    <row r="1729">
      <c r="B1729" s="38" t="s">
        <v>1182</v>
      </c>
      <c r="C1729" s="38">
        <v>4.0</v>
      </c>
      <c r="D1729" s="38" t="s">
        <v>1109</v>
      </c>
      <c r="E1729" s="274" t="s">
        <v>1401</v>
      </c>
      <c r="F1729" s="38" t="s">
        <v>8773</v>
      </c>
    </row>
    <row r="1730">
      <c r="B1730" s="38" t="s">
        <v>77</v>
      </c>
      <c r="C1730" s="38">
        <v>4.0</v>
      </c>
      <c r="D1730" s="38" t="s">
        <v>1305</v>
      </c>
      <c r="E1730" s="274" t="s">
        <v>1401</v>
      </c>
      <c r="F1730" s="38" t="s">
        <v>8774</v>
      </c>
      <c r="G1730" s="38" t="s">
        <v>8775</v>
      </c>
    </row>
    <row r="1731">
      <c r="B1731" s="38" t="s">
        <v>2053</v>
      </c>
      <c r="C1731" s="38">
        <v>4.0</v>
      </c>
      <c r="D1731" s="38" t="s">
        <v>8776</v>
      </c>
      <c r="E1731" s="47" t="s">
        <v>987</v>
      </c>
      <c r="F1731" s="38" t="s">
        <v>8777</v>
      </c>
    </row>
    <row r="1732">
      <c r="B1732" s="38" t="s">
        <v>416</v>
      </c>
      <c r="C1732" s="38">
        <v>2.0</v>
      </c>
      <c r="D1732" s="38" t="s">
        <v>1084</v>
      </c>
      <c r="E1732" s="38" t="s">
        <v>8778</v>
      </c>
      <c r="F1732" s="38" t="s">
        <v>8779</v>
      </c>
    </row>
    <row r="1733">
      <c r="B1733" s="38" t="s">
        <v>1400</v>
      </c>
      <c r="C1733" s="38">
        <v>4.0</v>
      </c>
      <c r="D1733" s="38" t="s">
        <v>8780</v>
      </c>
      <c r="E1733" s="298" t="s">
        <v>8781</v>
      </c>
      <c r="F1733" s="38" t="s">
        <v>8782</v>
      </c>
    </row>
    <row r="1734">
      <c r="B1734" s="38" t="s">
        <v>25</v>
      </c>
      <c r="C1734" s="38">
        <v>1.0</v>
      </c>
      <c r="D1734" s="38" t="s">
        <v>8783</v>
      </c>
      <c r="E1734" s="38" t="s">
        <v>543</v>
      </c>
      <c r="F1734" s="38" t="s">
        <v>8784</v>
      </c>
    </row>
    <row r="1735">
      <c r="B1735" s="38" t="s">
        <v>210</v>
      </c>
      <c r="C1735" s="38">
        <v>4.0</v>
      </c>
      <c r="D1735" s="38" t="s">
        <v>8785</v>
      </c>
      <c r="E1735" s="38" t="s">
        <v>8786</v>
      </c>
      <c r="F1735" s="38" t="s">
        <v>8787</v>
      </c>
    </row>
    <row r="1736">
      <c r="A1736" s="8"/>
      <c r="B1736" s="38" t="s">
        <v>25</v>
      </c>
      <c r="C1736" s="38">
        <v>4.0</v>
      </c>
      <c r="D1736" s="38" t="s">
        <v>289</v>
      </c>
      <c r="E1736" s="38" t="s">
        <v>8788</v>
      </c>
      <c r="F1736" s="38" t="s">
        <v>8665</v>
      </c>
    </row>
    <row r="1737">
      <c r="B1737" s="38" t="s">
        <v>25</v>
      </c>
      <c r="C1737" s="38">
        <v>4.0</v>
      </c>
      <c r="D1737" s="38" t="s">
        <v>289</v>
      </c>
      <c r="E1737" s="274" t="s">
        <v>7968</v>
      </c>
      <c r="F1737" s="38" t="s">
        <v>8789</v>
      </c>
    </row>
    <row r="1738">
      <c r="B1738" s="38" t="s">
        <v>205</v>
      </c>
      <c r="C1738" s="38">
        <v>4.0</v>
      </c>
      <c r="D1738" s="38" t="s">
        <v>5035</v>
      </c>
      <c r="E1738" s="38" t="s">
        <v>418</v>
      </c>
      <c r="F1738" s="38" t="s">
        <v>8516</v>
      </c>
    </row>
    <row r="1739">
      <c r="B1739" s="38" t="s">
        <v>718</v>
      </c>
      <c r="C1739" s="38">
        <v>4.0</v>
      </c>
      <c r="D1739" s="38" t="s">
        <v>1109</v>
      </c>
      <c r="E1739" s="38" t="s">
        <v>418</v>
      </c>
      <c r="F1739" s="38" t="s">
        <v>8516</v>
      </c>
    </row>
    <row r="1740">
      <c r="B1740" s="305" t="s">
        <v>8790</v>
      </c>
      <c r="C1740" s="305" t="s">
        <v>8791</v>
      </c>
      <c r="D1740" s="38">
        <v>2.0</v>
      </c>
      <c r="E1740" s="38" t="s">
        <v>8718</v>
      </c>
      <c r="F1740" s="38" t="s">
        <v>8792</v>
      </c>
      <c r="G1740" s="38" t="s">
        <v>4421</v>
      </c>
    </row>
    <row r="1741">
      <c r="B1741" s="38" t="s">
        <v>8793</v>
      </c>
      <c r="C1741" s="305" t="s">
        <v>8794</v>
      </c>
      <c r="D1741" s="38" t="s">
        <v>8795</v>
      </c>
      <c r="E1741" s="38" t="s">
        <v>8718</v>
      </c>
      <c r="F1741" s="44"/>
      <c r="G1741" s="38" t="s">
        <v>4421</v>
      </c>
    </row>
    <row r="1742">
      <c r="B1742" s="38" t="s">
        <v>205</v>
      </c>
      <c r="C1742" s="38">
        <v>4.0</v>
      </c>
      <c r="D1742" s="38" t="s">
        <v>1109</v>
      </c>
      <c r="E1742" s="38" t="s">
        <v>396</v>
      </c>
      <c r="F1742" s="38" t="s">
        <v>8796</v>
      </c>
    </row>
    <row r="1743">
      <c r="A1743" s="304" t="s">
        <v>8797</v>
      </c>
      <c r="B1743" s="38" t="s">
        <v>8798</v>
      </c>
      <c r="C1743" s="38" t="s">
        <v>8799</v>
      </c>
      <c r="D1743" s="38" t="s">
        <v>8800</v>
      </c>
      <c r="E1743" s="38" t="s">
        <v>8801</v>
      </c>
      <c r="F1743" s="304" t="s">
        <v>8802</v>
      </c>
      <c r="G1743" s="38" t="s">
        <v>8649</v>
      </c>
    </row>
    <row r="1744">
      <c r="B1744" s="38" t="s">
        <v>219</v>
      </c>
      <c r="C1744" s="38">
        <v>4.0</v>
      </c>
      <c r="D1744" s="38" t="s">
        <v>8381</v>
      </c>
      <c r="E1744" s="38" t="s">
        <v>8460</v>
      </c>
      <c r="F1744" s="38" t="s">
        <v>8803</v>
      </c>
    </row>
    <row r="1745">
      <c r="B1745" s="38" t="s">
        <v>718</v>
      </c>
      <c r="C1745" s="38">
        <v>1.0</v>
      </c>
      <c r="D1745" s="38" t="s">
        <v>684</v>
      </c>
      <c r="E1745" s="38" t="s">
        <v>6714</v>
      </c>
      <c r="F1745" s="38" t="s">
        <v>8804</v>
      </c>
    </row>
    <row r="1746">
      <c r="B1746" s="38" t="s">
        <v>183</v>
      </c>
      <c r="C1746" s="38">
        <v>4.0</v>
      </c>
      <c r="D1746" s="38" t="s">
        <v>232</v>
      </c>
      <c r="E1746" s="38" t="s">
        <v>4959</v>
      </c>
      <c r="F1746" s="38" t="s">
        <v>8805</v>
      </c>
    </row>
    <row r="1747">
      <c r="B1747" s="38" t="s">
        <v>219</v>
      </c>
      <c r="C1747" s="38">
        <v>4.0</v>
      </c>
      <c r="D1747" s="38" t="s">
        <v>8691</v>
      </c>
      <c r="E1747" s="38" t="s">
        <v>8806</v>
      </c>
      <c r="F1747" s="38" t="s">
        <v>8807</v>
      </c>
    </row>
    <row r="1748">
      <c r="B1748" s="38" t="s">
        <v>3725</v>
      </c>
      <c r="C1748" s="38">
        <v>4.0</v>
      </c>
      <c r="D1748" s="38" t="s">
        <v>6476</v>
      </c>
      <c r="E1748" s="38" t="s">
        <v>7374</v>
      </c>
      <c r="F1748" s="38" t="s">
        <v>8808</v>
      </c>
    </row>
    <row r="1749">
      <c r="B1749" s="38" t="s">
        <v>219</v>
      </c>
      <c r="C1749" s="38">
        <v>4.0</v>
      </c>
      <c r="D1749" s="38" t="s">
        <v>8809</v>
      </c>
      <c r="E1749" s="38" t="s">
        <v>8810</v>
      </c>
      <c r="F1749" s="38" t="s">
        <v>8811</v>
      </c>
    </row>
    <row r="1750">
      <c r="B1750" s="38" t="s">
        <v>183</v>
      </c>
      <c r="C1750" s="38">
        <v>2.0</v>
      </c>
      <c r="D1750" s="38" t="s">
        <v>229</v>
      </c>
      <c r="E1750" s="38" t="s">
        <v>418</v>
      </c>
      <c r="F1750" s="38" t="s">
        <v>8516</v>
      </c>
    </row>
    <row r="1751">
      <c r="B1751" s="38" t="s">
        <v>85</v>
      </c>
      <c r="C1751" s="38">
        <v>4.0</v>
      </c>
      <c r="D1751" s="38" t="s">
        <v>1109</v>
      </c>
      <c r="E1751" s="38" t="s">
        <v>8812</v>
      </c>
      <c r="F1751" s="38" t="s">
        <v>3463</v>
      </c>
    </row>
    <row r="1752">
      <c r="B1752" s="38" t="s">
        <v>25</v>
      </c>
      <c r="C1752" s="38">
        <v>4.0</v>
      </c>
      <c r="D1752" s="38" t="s">
        <v>289</v>
      </c>
      <c r="E1752" s="38" t="s">
        <v>8813</v>
      </c>
      <c r="F1752" s="44"/>
    </row>
    <row r="1753">
      <c r="B1753" s="44"/>
      <c r="C1753" s="44"/>
      <c r="D1753" s="38" t="s">
        <v>8814</v>
      </c>
      <c r="E1753" s="38" t="s">
        <v>7867</v>
      </c>
      <c r="F1753" s="38" t="s">
        <v>8815</v>
      </c>
    </row>
    <row r="1754">
      <c r="B1754" s="38" t="s">
        <v>22</v>
      </c>
      <c r="C1754" s="38">
        <v>4.0</v>
      </c>
      <c r="D1754" s="38" t="s">
        <v>289</v>
      </c>
      <c r="E1754" s="38" t="s">
        <v>8816</v>
      </c>
      <c r="F1754" s="38" t="s">
        <v>8276</v>
      </c>
    </row>
    <row r="1755">
      <c r="B1755" s="38" t="s">
        <v>22</v>
      </c>
      <c r="C1755" s="38">
        <v>2.0</v>
      </c>
      <c r="D1755" s="38" t="s">
        <v>289</v>
      </c>
      <c r="E1755" s="38" t="s">
        <v>8817</v>
      </c>
      <c r="F1755" s="38" t="s">
        <v>8276</v>
      </c>
    </row>
    <row r="1756">
      <c r="B1756" s="38" t="s">
        <v>1349</v>
      </c>
      <c r="C1756" s="38">
        <v>4.0</v>
      </c>
      <c r="D1756" s="38" t="s">
        <v>1109</v>
      </c>
      <c r="E1756" s="38" t="s">
        <v>873</v>
      </c>
      <c r="F1756" s="38" t="s">
        <v>8489</v>
      </c>
    </row>
    <row r="1757">
      <c r="B1757" s="38" t="s">
        <v>876</v>
      </c>
      <c r="C1757" s="38">
        <v>4.0</v>
      </c>
      <c r="D1757" s="38" t="s">
        <v>232</v>
      </c>
      <c r="E1757" s="38" t="s">
        <v>6781</v>
      </c>
      <c r="F1757" s="38" t="s">
        <v>8818</v>
      </c>
    </row>
    <row r="1758">
      <c r="B1758" s="38" t="s">
        <v>308</v>
      </c>
      <c r="C1758" s="38">
        <v>4.0</v>
      </c>
      <c r="D1758" s="38" t="s">
        <v>5626</v>
      </c>
      <c r="E1758" s="274" t="s">
        <v>7968</v>
      </c>
      <c r="F1758" s="38" t="s">
        <v>8819</v>
      </c>
    </row>
    <row r="1759">
      <c r="B1759" s="38" t="s">
        <v>7977</v>
      </c>
      <c r="C1759" s="38">
        <v>2.0</v>
      </c>
      <c r="D1759" s="38" t="s">
        <v>1000</v>
      </c>
      <c r="E1759" s="38" t="s">
        <v>8820</v>
      </c>
      <c r="F1759" s="38" t="s">
        <v>8821</v>
      </c>
    </row>
    <row r="1760">
      <c r="B1760" s="38" t="s">
        <v>205</v>
      </c>
      <c r="C1760" s="38">
        <v>2.0</v>
      </c>
      <c r="D1760" s="38" t="s">
        <v>1000</v>
      </c>
      <c r="E1760" s="38" t="s">
        <v>8820</v>
      </c>
      <c r="F1760" s="38" t="s">
        <v>8821</v>
      </c>
    </row>
    <row r="1761">
      <c r="B1761" s="38" t="s">
        <v>25</v>
      </c>
      <c r="C1761" s="38">
        <v>4.0</v>
      </c>
      <c r="D1761" s="38" t="s">
        <v>232</v>
      </c>
      <c r="E1761" s="38" t="s">
        <v>8822</v>
      </c>
      <c r="F1761" s="38" t="s">
        <v>8823</v>
      </c>
    </row>
    <row r="1762">
      <c r="B1762" s="38" t="s">
        <v>205</v>
      </c>
      <c r="C1762" s="38">
        <v>4.0</v>
      </c>
      <c r="D1762" s="38" t="s">
        <v>315</v>
      </c>
      <c r="E1762" s="38" t="s">
        <v>2546</v>
      </c>
      <c r="F1762" s="44"/>
    </row>
    <row r="1763">
      <c r="B1763" s="38" t="s">
        <v>205</v>
      </c>
      <c r="C1763" s="38">
        <v>4.0</v>
      </c>
      <c r="D1763" s="38" t="s">
        <v>315</v>
      </c>
      <c r="E1763" s="274" t="s">
        <v>8824</v>
      </c>
      <c r="F1763" s="38" t="s">
        <v>8825</v>
      </c>
    </row>
    <row r="1764">
      <c r="B1764" s="38" t="s">
        <v>205</v>
      </c>
      <c r="C1764" s="38">
        <v>4.0</v>
      </c>
      <c r="D1764" s="38" t="s">
        <v>2097</v>
      </c>
      <c r="E1764" s="274" t="s">
        <v>4478</v>
      </c>
      <c r="F1764" s="38" t="s">
        <v>8826</v>
      </c>
    </row>
    <row r="1765">
      <c r="B1765" s="44"/>
      <c r="C1765" s="44"/>
      <c r="D1765" s="38" t="s">
        <v>4663</v>
      </c>
      <c r="E1765" s="38" t="s">
        <v>1496</v>
      </c>
      <c r="F1765" s="38" t="s">
        <v>8827</v>
      </c>
    </row>
    <row r="1766">
      <c r="B1766" s="44"/>
      <c r="C1766" s="44"/>
      <c r="D1766" s="38" t="s">
        <v>4663</v>
      </c>
      <c r="E1766" s="38" t="s">
        <v>8828</v>
      </c>
      <c r="F1766" s="38" t="s">
        <v>8829</v>
      </c>
    </row>
    <row r="1767">
      <c r="B1767" s="38" t="s">
        <v>394</v>
      </c>
      <c r="C1767" s="38">
        <v>4.0</v>
      </c>
      <c r="D1767" s="38" t="s">
        <v>5608</v>
      </c>
      <c r="E1767" s="38" t="s">
        <v>2551</v>
      </c>
      <c r="F1767" s="38" t="s">
        <v>8830</v>
      </c>
    </row>
    <row r="1768">
      <c r="B1768" s="38" t="s">
        <v>183</v>
      </c>
      <c r="C1768" s="38">
        <v>4.0</v>
      </c>
      <c r="D1768" s="38" t="s">
        <v>232</v>
      </c>
      <c r="E1768" s="38" t="s">
        <v>8577</v>
      </c>
      <c r="F1768" s="38" t="s">
        <v>8578</v>
      </c>
    </row>
    <row r="1769">
      <c r="B1769" s="38" t="s">
        <v>1159</v>
      </c>
      <c r="C1769" s="38">
        <v>4.0</v>
      </c>
      <c r="D1769" s="38" t="s">
        <v>8831</v>
      </c>
      <c r="E1769" s="281" t="s">
        <v>8832</v>
      </c>
      <c r="F1769" s="38" t="s">
        <v>8833</v>
      </c>
    </row>
    <row r="1770">
      <c r="B1770" s="38" t="s">
        <v>261</v>
      </c>
      <c r="C1770" s="38">
        <v>4.0</v>
      </c>
      <c r="D1770" s="38" t="s">
        <v>8834</v>
      </c>
      <c r="E1770" s="281" t="s">
        <v>8835</v>
      </c>
      <c r="F1770" s="38" t="s">
        <v>8836</v>
      </c>
    </row>
    <row r="1771">
      <c r="B1771" s="38" t="s">
        <v>7159</v>
      </c>
      <c r="C1771" s="38">
        <v>4.0</v>
      </c>
      <c r="D1771" s="38" t="s">
        <v>8837</v>
      </c>
      <c r="E1771" s="38" t="s">
        <v>8838</v>
      </c>
      <c r="F1771" s="38" t="s">
        <v>8839</v>
      </c>
    </row>
    <row r="1772">
      <c r="B1772" s="38" t="s">
        <v>1006</v>
      </c>
      <c r="C1772" s="38">
        <v>4.0</v>
      </c>
      <c r="D1772" s="38" t="s">
        <v>1109</v>
      </c>
      <c r="E1772" s="38" t="s">
        <v>337</v>
      </c>
      <c r="F1772" s="38" t="s">
        <v>8840</v>
      </c>
    </row>
    <row r="1773">
      <c r="A1773" s="1" t="s">
        <v>8841</v>
      </c>
      <c r="B1773" s="38" t="s">
        <v>8842</v>
      </c>
      <c r="C1773" s="38" t="s">
        <v>8843</v>
      </c>
      <c r="D1773" s="294" t="s">
        <v>8844</v>
      </c>
      <c r="E1773" s="38" t="s">
        <v>4851</v>
      </c>
      <c r="F1773" s="38" t="s">
        <v>4860</v>
      </c>
    </row>
    <row r="1774">
      <c r="B1774" s="38" t="s">
        <v>63</v>
      </c>
      <c r="C1774" s="38">
        <v>4.0</v>
      </c>
      <c r="D1774" s="38" t="s">
        <v>8845</v>
      </c>
      <c r="E1774" s="38" t="s">
        <v>8820</v>
      </c>
      <c r="F1774" s="38" t="s">
        <v>8821</v>
      </c>
    </row>
    <row r="1775">
      <c r="B1775" s="38" t="s">
        <v>199</v>
      </c>
      <c r="C1775" s="38">
        <v>2.0</v>
      </c>
      <c r="D1775" s="47" t="s">
        <v>8846</v>
      </c>
      <c r="E1775" s="38" t="s">
        <v>4478</v>
      </c>
      <c r="F1775" s="38" t="s">
        <v>8847</v>
      </c>
    </row>
    <row r="1776">
      <c r="B1776" s="38" t="s">
        <v>195</v>
      </c>
      <c r="C1776" s="38">
        <v>2.0</v>
      </c>
      <c r="D1776" s="47" t="s">
        <v>8846</v>
      </c>
      <c r="E1776" s="38" t="s">
        <v>4478</v>
      </c>
      <c r="F1776" s="38" t="s">
        <v>8847</v>
      </c>
    </row>
    <row r="1777">
      <c r="B1777" s="38" t="s">
        <v>308</v>
      </c>
      <c r="C1777" s="38">
        <v>4.0</v>
      </c>
      <c r="D1777" s="38" t="s">
        <v>3950</v>
      </c>
      <c r="E1777" s="38" t="s">
        <v>8848</v>
      </c>
      <c r="F1777" s="38" t="s">
        <v>8849</v>
      </c>
    </row>
    <row r="1778">
      <c r="B1778" s="38" t="s">
        <v>1432</v>
      </c>
      <c r="C1778" s="38">
        <v>4.0</v>
      </c>
      <c r="D1778" s="38" t="s">
        <v>4807</v>
      </c>
      <c r="E1778" s="38" t="s">
        <v>8850</v>
      </c>
      <c r="F1778" s="280" t="s">
        <v>8851</v>
      </c>
    </row>
    <row r="1779">
      <c r="B1779" s="38" t="s">
        <v>25</v>
      </c>
      <c r="C1779" s="38">
        <v>4.0</v>
      </c>
      <c r="D1779" s="38" t="s">
        <v>289</v>
      </c>
      <c r="E1779" s="38" t="s">
        <v>6915</v>
      </c>
      <c r="F1779" s="44"/>
    </row>
    <row r="1780">
      <c r="B1780" s="38" t="s">
        <v>7159</v>
      </c>
      <c r="C1780" s="38">
        <v>4.0</v>
      </c>
      <c r="D1780" s="38" t="s">
        <v>1359</v>
      </c>
      <c r="E1780" s="38" t="s">
        <v>8852</v>
      </c>
      <c r="F1780" s="38" t="s">
        <v>8853</v>
      </c>
    </row>
    <row r="1781">
      <c r="B1781" s="38" t="s">
        <v>718</v>
      </c>
      <c r="C1781" s="38">
        <v>4.0</v>
      </c>
      <c r="D1781" s="38" t="s">
        <v>315</v>
      </c>
      <c r="E1781" s="38" t="s">
        <v>6332</v>
      </c>
      <c r="F1781" s="38" t="s">
        <v>8854</v>
      </c>
    </row>
    <row r="1782">
      <c r="B1782" s="38" t="s">
        <v>354</v>
      </c>
      <c r="C1782" s="38">
        <v>4.0</v>
      </c>
      <c r="D1782" s="38" t="s">
        <v>8855</v>
      </c>
      <c r="E1782" s="38" t="s">
        <v>8856</v>
      </c>
      <c r="F1782" s="38" t="s">
        <v>8857</v>
      </c>
    </row>
    <row r="1783">
      <c r="B1783" s="38" t="s">
        <v>25</v>
      </c>
      <c r="C1783" s="38">
        <v>4.0</v>
      </c>
      <c r="D1783" s="38" t="s">
        <v>289</v>
      </c>
      <c r="E1783" s="38" t="s">
        <v>7330</v>
      </c>
      <c r="F1783" s="38" t="s">
        <v>8858</v>
      </c>
    </row>
    <row r="1784">
      <c r="B1784" s="44"/>
      <c r="C1784" s="44"/>
      <c r="D1784" s="38" t="s">
        <v>8859</v>
      </c>
      <c r="E1784" s="38" t="s">
        <v>8860</v>
      </c>
      <c r="F1784" s="38" t="s">
        <v>8861</v>
      </c>
    </row>
    <row r="1785">
      <c r="B1785" s="38" t="s">
        <v>439</v>
      </c>
      <c r="C1785" s="38">
        <v>1.0</v>
      </c>
      <c r="D1785" s="38" t="s">
        <v>881</v>
      </c>
      <c r="E1785" s="38" t="s">
        <v>873</v>
      </c>
      <c r="F1785" s="38" t="s">
        <v>8489</v>
      </c>
    </row>
    <row r="1786">
      <c r="B1786" s="38" t="s">
        <v>1513</v>
      </c>
      <c r="C1786" s="38">
        <v>2.0</v>
      </c>
      <c r="D1786" s="38" t="s">
        <v>8862</v>
      </c>
      <c r="E1786" s="38" t="s">
        <v>4865</v>
      </c>
      <c r="F1786" s="38" t="s">
        <v>8863</v>
      </c>
    </row>
    <row r="1787">
      <c r="B1787" s="38" t="s">
        <v>103</v>
      </c>
      <c r="C1787" s="38">
        <v>2.0</v>
      </c>
      <c r="D1787" s="38" t="s">
        <v>36</v>
      </c>
      <c r="E1787" s="281" t="s">
        <v>8671</v>
      </c>
      <c r="F1787" s="38" t="s">
        <v>8864</v>
      </c>
    </row>
    <row r="1788">
      <c r="B1788" s="38" t="s">
        <v>4434</v>
      </c>
      <c r="C1788" s="38">
        <v>2.0</v>
      </c>
      <c r="D1788" s="38" t="s">
        <v>36</v>
      </c>
      <c r="E1788" s="281" t="s">
        <v>8671</v>
      </c>
      <c r="F1788" s="38" t="s">
        <v>8864</v>
      </c>
    </row>
    <row r="1789">
      <c r="B1789" s="38" t="s">
        <v>8865</v>
      </c>
      <c r="C1789" s="335" t="s">
        <v>8866</v>
      </c>
      <c r="D1789" s="38" t="s">
        <v>8867</v>
      </c>
      <c r="E1789" s="38" t="s">
        <v>4804</v>
      </c>
      <c r="F1789" s="335" t="s">
        <v>8868</v>
      </c>
    </row>
    <row r="1790">
      <c r="B1790" s="412" t="s">
        <v>8869</v>
      </c>
      <c r="C1790" s="38" t="s">
        <v>8870</v>
      </c>
      <c r="D1790" s="44"/>
      <c r="E1790" s="38" t="s">
        <v>4804</v>
      </c>
      <c r="F1790" s="38" t="s">
        <v>8815</v>
      </c>
    </row>
    <row r="1791">
      <c r="B1791" s="38" t="s">
        <v>8871</v>
      </c>
      <c r="C1791" s="38">
        <v>1.0</v>
      </c>
      <c r="D1791" s="38" t="s">
        <v>8764</v>
      </c>
      <c r="E1791" s="281" t="s">
        <v>8872</v>
      </c>
      <c r="F1791" s="38" t="s">
        <v>5520</v>
      </c>
    </row>
    <row r="1792">
      <c r="B1792" s="38" t="s">
        <v>430</v>
      </c>
      <c r="C1792" s="38">
        <v>4.0</v>
      </c>
      <c r="D1792" s="38" t="s">
        <v>6653</v>
      </c>
      <c r="E1792" s="38" t="s">
        <v>8873</v>
      </c>
      <c r="F1792" s="38" t="s">
        <v>8874</v>
      </c>
      <c r="G1792" s="38" t="s">
        <v>8875</v>
      </c>
    </row>
    <row r="1793">
      <c r="B1793" s="38" t="s">
        <v>4970</v>
      </c>
      <c r="C1793" s="38">
        <v>2.0</v>
      </c>
      <c r="D1793" s="38" t="s">
        <v>4723</v>
      </c>
      <c r="E1793" s="38" t="s">
        <v>4478</v>
      </c>
      <c r="F1793" s="38" t="s">
        <v>8826</v>
      </c>
    </row>
    <row r="1794">
      <c r="B1794" s="44"/>
      <c r="C1794" s="44"/>
      <c r="D1794" s="38" t="s">
        <v>8876</v>
      </c>
      <c r="E1794" s="38" t="s">
        <v>8850</v>
      </c>
      <c r="F1794" s="38" t="s">
        <v>8877</v>
      </c>
    </row>
    <row r="1795">
      <c r="B1795" s="44"/>
      <c r="C1795" s="44"/>
      <c r="D1795" s="44"/>
      <c r="E1795" s="38" t="s">
        <v>8878</v>
      </c>
      <c r="F1795" s="38" t="s">
        <v>8879</v>
      </c>
    </row>
    <row r="1796">
      <c r="B1796" s="38" t="s">
        <v>896</v>
      </c>
      <c r="C1796" s="38" t="s">
        <v>8880</v>
      </c>
      <c r="D1796" s="44"/>
      <c r="E1796" s="38" t="s">
        <v>8881</v>
      </c>
      <c r="F1796" s="38" t="s">
        <v>8710</v>
      </c>
    </row>
    <row r="1797">
      <c r="A1797" s="1"/>
      <c r="B1797" s="38" t="s">
        <v>357</v>
      </c>
      <c r="C1797" s="38">
        <v>1.0</v>
      </c>
      <c r="D1797" s="38" t="s">
        <v>27</v>
      </c>
      <c r="E1797" s="274" t="s">
        <v>8882</v>
      </c>
      <c r="F1797" s="38" t="s">
        <v>8883</v>
      </c>
    </row>
    <row r="1798">
      <c r="B1798" s="38" t="s">
        <v>853</v>
      </c>
      <c r="C1798" s="38">
        <v>1.0</v>
      </c>
      <c r="D1798" s="38" t="s">
        <v>8884</v>
      </c>
      <c r="E1798" s="38" t="s">
        <v>3162</v>
      </c>
      <c r="F1798" s="38" t="s">
        <v>1405</v>
      </c>
    </row>
    <row r="1799">
      <c r="B1799" s="38" t="s">
        <v>856</v>
      </c>
      <c r="C1799" s="38">
        <v>1.0</v>
      </c>
      <c r="D1799" s="38" t="s">
        <v>8884</v>
      </c>
      <c r="E1799" s="38" t="s">
        <v>3162</v>
      </c>
      <c r="F1799" s="38" t="s">
        <v>8885</v>
      </c>
    </row>
    <row r="1800">
      <c r="B1800" s="38" t="s">
        <v>8886</v>
      </c>
      <c r="C1800" s="38" t="s">
        <v>8887</v>
      </c>
      <c r="D1800" s="335" t="s">
        <v>8888</v>
      </c>
      <c r="E1800" s="274" t="s">
        <v>8889</v>
      </c>
      <c r="F1800" s="335" t="s">
        <v>8890</v>
      </c>
      <c r="G1800" s="38" t="s">
        <v>8554</v>
      </c>
    </row>
    <row r="1801">
      <c r="B1801" s="44"/>
      <c r="C1801" s="44"/>
      <c r="D1801" s="44"/>
      <c r="E1801" s="38" t="s">
        <v>8891</v>
      </c>
      <c r="F1801" s="38" t="s">
        <v>8892</v>
      </c>
    </row>
    <row r="1802">
      <c r="B1802" s="44"/>
      <c r="C1802" s="44"/>
      <c r="D1802" s="38" t="s">
        <v>8893</v>
      </c>
      <c r="E1802" s="38" t="s">
        <v>974</v>
      </c>
      <c r="F1802" s="44"/>
    </row>
    <row r="1803">
      <c r="B1803" s="38" t="s">
        <v>5105</v>
      </c>
      <c r="C1803" s="38">
        <v>2.0</v>
      </c>
      <c r="D1803" s="38" t="s">
        <v>315</v>
      </c>
      <c r="E1803" s="38" t="s">
        <v>5953</v>
      </c>
      <c r="F1803" s="38" t="s">
        <v>8894</v>
      </c>
    </row>
    <row r="1804">
      <c r="B1804" s="38" t="s">
        <v>85</v>
      </c>
      <c r="C1804" s="38">
        <v>4.0</v>
      </c>
      <c r="D1804" s="38" t="s">
        <v>206</v>
      </c>
      <c r="E1804" s="413" t="s">
        <v>8895</v>
      </c>
      <c r="F1804" s="38" t="s">
        <v>8896</v>
      </c>
    </row>
    <row r="1805">
      <c r="B1805" s="44"/>
      <c r="C1805" s="38">
        <v>4.0</v>
      </c>
      <c r="D1805" s="38" t="s">
        <v>8897</v>
      </c>
      <c r="E1805" s="413" t="s">
        <v>8895</v>
      </c>
      <c r="F1805" s="38" t="s">
        <v>8896</v>
      </c>
    </row>
    <row r="1806">
      <c r="B1806" s="38" t="s">
        <v>4061</v>
      </c>
      <c r="C1806" s="38">
        <v>4.0</v>
      </c>
      <c r="D1806" s="38" t="s">
        <v>402</v>
      </c>
      <c r="E1806" s="38" t="s">
        <v>8898</v>
      </c>
      <c r="F1806" s="38" t="s">
        <v>8899</v>
      </c>
    </row>
    <row r="1807">
      <c r="B1807" s="38" t="s">
        <v>25</v>
      </c>
      <c r="C1807" s="38">
        <v>4.0</v>
      </c>
      <c r="D1807" s="38" t="s">
        <v>2097</v>
      </c>
      <c r="E1807" s="38" t="s">
        <v>8900</v>
      </c>
      <c r="F1807" s="38" t="s">
        <v>8901</v>
      </c>
    </row>
    <row r="1808">
      <c r="B1808" s="38" t="s">
        <v>394</v>
      </c>
      <c r="C1808" s="38">
        <v>4.0</v>
      </c>
      <c r="D1808" s="38" t="s">
        <v>8902</v>
      </c>
      <c r="E1808" s="38" t="s">
        <v>4245</v>
      </c>
      <c r="F1808" s="38" t="s">
        <v>8903</v>
      </c>
    </row>
    <row r="1809">
      <c r="B1809" s="44"/>
      <c r="C1809" s="38">
        <v>1.0</v>
      </c>
      <c r="D1809" s="414" t="s">
        <v>8904</v>
      </c>
      <c r="E1809" s="415" t="s">
        <v>8905</v>
      </c>
      <c r="F1809" s="38" t="s">
        <v>8906</v>
      </c>
    </row>
    <row r="1810">
      <c r="B1810" s="44"/>
      <c r="C1810" s="38">
        <v>1.0</v>
      </c>
      <c r="D1810" s="414" t="s">
        <v>8907</v>
      </c>
      <c r="E1810" s="415" t="s">
        <v>8905</v>
      </c>
      <c r="F1810" s="38" t="s">
        <v>8906</v>
      </c>
    </row>
    <row r="1811">
      <c r="B1811" s="38"/>
      <c r="C1811" s="38"/>
      <c r="D1811" s="294" t="s">
        <v>8908</v>
      </c>
      <c r="E1811" s="38" t="s">
        <v>5085</v>
      </c>
      <c r="F1811" s="38"/>
      <c r="G1811" s="38" t="s">
        <v>8909</v>
      </c>
    </row>
    <row r="1812">
      <c r="B1812" s="38"/>
      <c r="C1812" s="38"/>
      <c r="D1812" s="294" t="s">
        <v>8910</v>
      </c>
      <c r="E1812" s="38" t="s">
        <v>5085</v>
      </c>
      <c r="F1812" s="38" t="s">
        <v>8911</v>
      </c>
      <c r="G1812" s="38" t="s">
        <v>8909</v>
      </c>
    </row>
    <row r="1813">
      <c r="B1813" s="38" t="s">
        <v>8912</v>
      </c>
      <c r="C1813" s="38" t="s">
        <v>8913</v>
      </c>
      <c r="D1813" s="44"/>
      <c r="E1813" s="38" t="s">
        <v>5085</v>
      </c>
      <c r="F1813" s="44"/>
      <c r="G1813" s="44"/>
    </row>
    <row r="1814">
      <c r="B1814" s="38" t="s">
        <v>8914</v>
      </c>
      <c r="C1814" s="38"/>
      <c r="D1814" s="44"/>
      <c r="E1814" s="38" t="s">
        <v>5085</v>
      </c>
      <c r="F1814" s="38" t="s">
        <v>8915</v>
      </c>
      <c r="G1814" s="44"/>
    </row>
    <row r="1815">
      <c r="B1815" s="38" t="s">
        <v>430</v>
      </c>
      <c r="C1815" s="38">
        <v>4.0</v>
      </c>
      <c r="D1815" s="38" t="s">
        <v>8916</v>
      </c>
      <c r="E1815" s="38" t="s">
        <v>4741</v>
      </c>
      <c r="F1815" s="38" t="s">
        <v>8917</v>
      </c>
    </row>
    <row r="1816">
      <c r="B1816" s="44"/>
      <c r="C1816" s="44"/>
      <c r="D1816" s="294" t="s">
        <v>7700</v>
      </c>
      <c r="E1816" s="38" t="s">
        <v>8918</v>
      </c>
      <c r="F1816" s="44"/>
    </row>
    <row r="1817">
      <c r="B1817" s="38" t="s">
        <v>183</v>
      </c>
      <c r="C1817" s="38">
        <v>4.0</v>
      </c>
      <c r="D1817" s="38" t="s">
        <v>2686</v>
      </c>
      <c r="E1817" s="38" t="s">
        <v>4762</v>
      </c>
      <c r="F1817" s="38" t="s">
        <v>6860</v>
      </c>
    </row>
    <row r="1818">
      <c r="B1818" s="38" t="s">
        <v>8919</v>
      </c>
      <c r="C1818" s="38">
        <v>4.0</v>
      </c>
      <c r="D1818" s="38" t="s">
        <v>8920</v>
      </c>
      <c r="E1818" s="38" t="s">
        <v>8921</v>
      </c>
      <c r="F1818" s="38" t="s">
        <v>8922</v>
      </c>
    </row>
    <row r="1819">
      <c r="B1819" s="38" t="s">
        <v>1432</v>
      </c>
      <c r="C1819" s="38">
        <v>4.0</v>
      </c>
      <c r="D1819" s="38" t="s">
        <v>315</v>
      </c>
      <c r="E1819" s="38" t="s">
        <v>8923</v>
      </c>
      <c r="F1819" s="38" t="s">
        <v>5373</v>
      </c>
    </row>
    <row r="1820">
      <c r="B1820" s="38" t="s">
        <v>430</v>
      </c>
      <c r="C1820" s="38">
        <v>4.0</v>
      </c>
      <c r="D1820" s="38" t="s">
        <v>247</v>
      </c>
      <c r="E1820" s="38" t="s">
        <v>8924</v>
      </c>
      <c r="F1820" s="38" t="s">
        <v>8925</v>
      </c>
    </row>
    <row r="1821">
      <c r="B1821" s="38" t="s">
        <v>205</v>
      </c>
      <c r="C1821" s="38">
        <v>4.0</v>
      </c>
      <c r="D1821" s="38" t="s">
        <v>1207</v>
      </c>
      <c r="E1821" s="38" t="s">
        <v>8926</v>
      </c>
      <c r="F1821" s="38" t="s">
        <v>8927</v>
      </c>
    </row>
    <row r="1822">
      <c r="B1822" s="38"/>
      <c r="C1822" s="38"/>
      <c r="D1822" s="38" t="s">
        <v>8928</v>
      </c>
      <c r="E1822" s="38" t="s">
        <v>8926</v>
      </c>
      <c r="F1822" s="38" t="s">
        <v>8929</v>
      </c>
    </row>
    <row r="1823">
      <c r="B1823" s="38" t="s">
        <v>416</v>
      </c>
      <c r="C1823" s="38">
        <v>4.0</v>
      </c>
      <c r="D1823" s="38" t="s">
        <v>881</v>
      </c>
      <c r="E1823" s="38" t="s">
        <v>8930</v>
      </c>
      <c r="F1823" s="38" t="s">
        <v>8931</v>
      </c>
    </row>
    <row r="1824">
      <c r="B1824" s="38" t="s">
        <v>8932</v>
      </c>
      <c r="C1824" s="44"/>
      <c r="D1824" s="44"/>
      <c r="E1824" s="38" t="s">
        <v>8933</v>
      </c>
      <c r="F1824" s="38" t="s">
        <v>8934</v>
      </c>
    </row>
    <row r="1825">
      <c r="B1825" s="38" t="s">
        <v>128</v>
      </c>
      <c r="C1825" s="38">
        <v>2.0</v>
      </c>
      <c r="D1825" s="38" t="s">
        <v>8935</v>
      </c>
      <c r="E1825" s="38" t="s">
        <v>8936</v>
      </c>
      <c r="F1825" s="38" t="s">
        <v>8937</v>
      </c>
    </row>
    <row r="1826">
      <c r="B1826" s="44"/>
      <c r="C1826" s="44"/>
      <c r="D1826" s="38" t="s">
        <v>8938</v>
      </c>
      <c r="E1826" s="38" t="s">
        <v>1141</v>
      </c>
      <c r="F1826" s="38" t="s">
        <v>8939</v>
      </c>
    </row>
    <row r="1827">
      <c r="B1827" s="38" t="s">
        <v>4563</v>
      </c>
      <c r="C1827" s="38">
        <v>2.0</v>
      </c>
      <c r="D1827" s="38" t="s">
        <v>8940</v>
      </c>
      <c r="E1827" s="38" t="s">
        <v>6781</v>
      </c>
      <c r="F1827" s="38" t="s">
        <v>4211</v>
      </c>
    </row>
    <row r="1828">
      <c r="B1828" s="38" t="s">
        <v>718</v>
      </c>
      <c r="C1828" s="38">
        <v>4.0</v>
      </c>
      <c r="D1828" s="38" t="s">
        <v>134</v>
      </c>
      <c r="E1828" s="38" t="s">
        <v>514</v>
      </c>
      <c r="F1828" s="44"/>
    </row>
    <row r="1829">
      <c r="B1829" s="38" t="s">
        <v>31</v>
      </c>
      <c r="C1829" s="38">
        <v>4.0</v>
      </c>
      <c r="D1829" s="38" t="s">
        <v>315</v>
      </c>
      <c r="E1829" s="38" t="s">
        <v>413</v>
      </c>
      <c r="F1829" s="38" t="s">
        <v>8941</v>
      </c>
    </row>
    <row r="1830">
      <c r="B1830" s="38" t="s">
        <v>755</v>
      </c>
      <c r="C1830" s="38">
        <v>1.0</v>
      </c>
      <c r="D1830" s="38" t="s">
        <v>6078</v>
      </c>
      <c r="E1830" s="38" t="s">
        <v>873</v>
      </c>
      <c r="F1830" s="38" t="s">
        <v>8942</v>
      </c>
    </row>
    <row r="1831">
      <c r="B1831" s="44"/>
      <c r="C1831" s="38">
        <v>2.0</v>
      </c>
      <c r="D1831" s="38" t="s">
        <v>8943</v>
      </c>
      <c r="E1831" s="38" t="s">
        <v>1072</v>
      </c>
      <c r="F1831" s="38" t="s">
        <v>8944</v>
      </c>
    </row>
    <row r="1832">
      <c r="B1832" s="44"/>
      <c r="C1832" s="44"/>
      <c r="D1832" s="38" t="s">
        <v>8945</v>
      </c>
      <c r="E1832" s="38" t="s">
        <v>2382</v>
      </c>
      <c r="F1832" s="38" t="s">
        <v>8753</v>
      </c>
    </row>
    <row r="1833">
      <c r="B1833" s="44"/>
      <c r="C1833" s="44"/>
      <c r="D1833" s="38" t="s">
        <v>8946</v>
      </c>
      <c r="E1833" s="38" t="s">
        <v>4498</v>
      </c>
      <c r="F1833" s="38" t="s">
        <v>8947</v>
      </c>
    </row>
    <row r="1834">
      <c r="B1834" s="38" t="s">
        <v>416</v>
      </c>
      <c r="C1834" s="38">
        <v>4.0</v>
      </c>
      <c r="D1834" s="38" t="s">
        <v>1499</v>
      </c>
      <c r="E1834" s="38" t="s">
        <v>8948</v>
      </c>
      <c r="F1834" s="38" t="s">
        <v>8949</v>
      </c>
    </row>
    <row r="1835">
      <c r="B1835" s="38" t="s">
        <v>1183</v>
      </c>
      <c r="C1835" s="38">
        <v>2.0</v>
      </c>
      <c r="D1835" s="38" t="s">
        <v>8950</v>
      </c>
      <c r="E1835" s="38" t="s">
        <v>8951</v>
      </c>
      <c r="F1835" s="38" t="s">
        <v>8952</v>
      </c>
    </row>
    <row r="1836">
      <c r="B1836" s="38" t="s">
        <v>128</v>
      </c>
      <c r="C1836" s="38">
        <v>2.0</v>
      </c>
      <c r="D1836" s="38" t="s">
        <v>8950</v>
      </c>
      <c r="E1836" s="38" t="s">
        <v>8953</v>
      </c>
      <c r="F1836" s="44"/>
    </row>
    <row r="1837">
      <c r="B1837" s="38" t="s">
        <v>1006</v>
      </c>
      <c r="C1837" s="38">
        <v>1.0</v>
      </c>
      <c r="D1837" s="38" t="s">
        <v>1109</v>
      </c>
      <c r="E1837" s="38" t="s">
        <v>8954</v>
      </c>
      <c r="F1837" s="38" t="s">
        <v>8004</v>
      </c>
    </row>
    <row r="1838">
      <c r="B1838" s="38" t="s">
        <v>91</v>
      </c>
      <c r="C1838" s="38">
        <v>4.0</v>
      </c>
      <c r="D1838" s="38" t="s">
        <v>1109</v>
      </c>
      <c r="E1838" s="112" t="s">
        <v>8955</v>
      </c>
      <c r="F1838" s="38" t="s">
        <v>8956</v>
      </c>
    </row>
    <row r="1839">
      <c r="B1839" s="38" t="s">
        <v>8957</v>
      </c>
      <c r="C1839" s="44"/>
      <c r="D1839" s="416" t="s">
        <v>8958</v>
      </c>
      <c r="E1839" s="38" t="s">
        <v>4407</v>
      </c>
      <c r="F1839" s="38" t="s">
        <v>8959</v>
      </c>
    </row>
    <row r="1840">
      <c r="B1840" s="38" t="s">
        <v>8960</v>
      </c>
      <c r="C1840" s="38">
        <v>1.0</v>
      </c>
      <c r="D1840" s="38" t="s">
        <v>8961</v>
      </c>
      <c r="E1840" s="281" t="s">
        <v>8962</v>
      </c>
      <c r="F1840" s="38" t="s">
        <v>8963</v>
      </c>
    </row>
    <row r="1841">
      <c r="B1841" s="44"/>
      <c r="C1841" s="38">
        <v>2.0</v>
      </c>
      <c r="D1841" s="38" t="s">
        <v>8964</v>
      </c>
      <c r="E1841" s="38" t="s">
        <v>8965</v>
      </c>
      <c r="F1841" s="38" t="s">
        <v>8966</v>
      </c>
    </row>
    <row r="1842">
      <c r="B1842" s="44"/>
      <c r="C1842" s="38">
        <v>2.0</v>
      </c>
      <c r="D1842" s="38" t="s">
        <v>8967</v>
      </c>
      <c r="E1842" s="38" t="s">
        <v>8968</v>
      </c>
      <c r="F1842" s="38" t="s">
        <v>8969</v>
      </c>
    </row>
    <row r="1843">
      <c r="A1843" s="4"/>
      <c r="B1843" s="38" t="s">
        <v>357</v>
      </c>
      <c r="C1843" s="38">
        <v>4.0</v>
      </c>
      <c r="D1843" s="38" t="s">
        <v>8940</v>
      </c>
      <c r="E1843" s="38" t="s">
        <v>8970</v>
      </c>
      <c r="F1843" s="38" t="s">
        <v>8971</v>
      </c>
    </row>
    <row r="1844">
      <c r="B1844" s="38" t="s">
        <v>137</v>
      </c>
      <c r="C1844" s="38">
        <v>2.0</v>
      </c>
      <c r="D1844" s="38" t="s">
        <v>4583</v>
      </c>
      <c r="E1844" s="38" t="s">
        <v>138</v>
      </c>
      <c r="F1844" s="38" t="s">
        <v>8972</v>
      </c>
    </row>
    <row r="1845">
      <c r="B1845" s="38" t="s">
        <v>91</v>
      </c>
      <c r="C1845" s="38">
        <v>2.0</v>
      </c>
      <c r="D1845" s="38" t="s">
        <v>4583</v>
      </c>
      <c r="E1845" s="38" t="s">
        <v>138</v>
      </c>
      <c r="F1845" s="38" t="s">
        <v>8972</v>
      </c>
    </row>
    <row r="1846">
      <c r="B1846" s="38" t="s">
        <v>495</v>
      </c>
      <c r="C1846" s="38">
        <v>2.0</v>
      </c>
      <c r="D1846" s="38" t="s">
        <v>8973</v>
      </c>
      <c r="E1846" s="38" t="s">
        <v>8974</v>
      </c>
      <c r="F1846" s="38" t="s">
        <v>8975</v>
      </c>
    </row>
    <row r="1847">
      <c r="B1847" s="38" t="s">
        <v>140</v>
      </c>
      <c r="C1847" s="38">
        <v>2.0</v>
      </c>
      <c r="D1847" s="38" t="s">
        <v>8831</v>
      </c>
      <c r="E1847" s="38" t="s">
        <v>6776</v>
      </c>
      <c r="F1847" s="38" t="s">
        <v>8700</v>
      </c>
    </row>
    <row r="1848">
      <c r="B1848" s="38" t="s">
        <v>3820</v>
      </c>
      <c r="C1848" s="38">
        <v>2.0</v>
      </c>
      <c r="D1848" s="38" t="s">
        <v>8831</v>
      </c>
      <c r="E1848" s="38" t="s">
        <v>6776</v>
      </c>
      <c r="F1848" s="38" t="s">
        <v>8700</v>
      </c>
    </row>
    <row r="1849">
      <c r="B1849" s="38"/>
      <c r="C1849" s="38"/>
      <c r="D1849" s="38"/>
      <c r="E1849" s="38" t="s">
        <v>6776</v>
      </c>
      <c r="F1849" s="38" t="s">
        <v>8700</v>
      </c>
    </row>
    <row r="1850">
      <c r="B1850" s="38" t="s">
        <v>271</v>
      </c>
      <c r="C1850" s="38">
        <v>4.0</v>
      </c>
      <c r="D1850" s="38" t="s">
        <v>1102</v>
      </c>
      <c r="E1850" s="38" t="s">
        <v>8976</v>
      </c>
      <c r="F1850" s="38" t="s">
        <v>8977</v>
      </c>
    </row>
    <row r="1851">
      <c r="B1851" s="38" t="s">
        <v>48</v>
      </c>
      <c r="C1851" s="38">
        <v>1.0</v>
      </c>
      <c r="D1851" s="38" t="s">
        <v>8978</v>
      </c>
      <c r="E1851" s="38" t="s">
        <v>4741</v>
      </c>
      <c r="F1851" s="38" t="s">
        <v>8979</v>
      </c>
    </row>
    <row r="1852">
      <c r="B1852" s="38" t="s">
        <v>2918</v>
      </c>
      <c r="C1852" s="38">
        <v>4.0</v>
      </c>
      <c r="D1852" s="38" t="s">
        <v>8950</v>
      </c>
      <c r="E1852" s="38" t="s">
        <v>8980</v>
      </c>
      <c r="F1852" s="38" t="s">
        <v>8981</v>
      </c>
      <c r="G1852" s="38" t="s">
        <v>8982</v>
      </c>
    </row>
    <row r="1853">
      <c r="B1853" s="38" t="s">
        <v>2918</v>
      </c>
      <c r="C1853" s="38">
        <v>4.0</v>
      </c>
      <c r="D1853" s="38" t="s">
        <v>8983</v>
      </c>
      <c r="E1853" s="38" t="s">
        <v>8980</v>
      </c>
      <c r="F1853" s="38" t="s">
        <v>8984</v>
      </c>
      <c r="G1853" s="38" t="s">
        <v>8982</v>
      </c>
    </row>
    <row r="1854">
      <c r="B1854" s="38" t="s">
        <v>8985</v>
      </c>
      <c r="C1854" s="38">
        <v>12.0</v>
      </c>
      <c r="D1854" s="38" t="s">
        <v>8986</v>
      </c>
      <c r="E1854" s="38" t="s">
        <v>8980</v>
      </c>
      <c r="F1854" s="38" t="s">
        <v>8987</v>
      </c>
      <c r="G1854" s="38" t="s">
        <v>8982</v>
      </c>
    </row>
    <row r="1855">
      <c r="B1855" s="38" t="s">
        <v>5596</v>
      </c>
      <c r="C1855" s="38">
        <v>12.0</v>
      </c>
      <c r="D1855" s="38" t="s">
        <v>8988</v>
      </c>
      <c r="E1855" s="38" t="s">
        <v>8980</v>
      </c>
      <c r="F1855" s="38" t="s">
        <v>8989</v>
      </c>
      <c r="G1855" s="38" t="s">
        <v>8982</v>
      </c>
    </row>
    <row r="1856">
      <c r="B1856" s="38" t="s">
        <v>1327</v>
      </c>
      <c r="C1856" s="38">
        <v>2.0</v>
      </c>
      <c r="D1856" s="38" t="s">
        <v>8990</v>
      </c>
      <c r="E1856" s="281" t="s">
        <v>8991</v>
      </c>
      <c r="F1856" s="38" t="s">
        <v>8992</v>
      </c>
    </row>
    <row r="1857">
      <c r="B1857" s="38" t="s">
        <v>875</v>
      </c>
      <c r="C1857" s="38">
        <v>2.0</v>
      </c>
      <c r="D1857" s="38" t="s">
        <v>8990</v>
      </c>
      <c r="E1857" s="281" t="s">
        <v>8993</v>
      </c>
      <c r="F1857" s="38" t="s">
        <v>8992</v>
      </c>
    </row>
    <row r="1858">
      <c r="B1858" s="38" t="s">
        <v>4364</v>
      </c>
      <c r="C1858" s="38">
        <v>4.0</v>
      </c>
      <c r="D1858" s="38" t="s">
        <v>8994</v>
      </c>
      <c r="E1858" s="38" t="s">
        <v>418</v>
      </c>
      <c r="F1858" s="38" t="s">
        <v>8640</v>
      </c>
    </row>
    <row r="1859">
      <c r="B1859" s="38" t="s">
        <v>205</v>
      </c>
      <c r="C1859" s="38">
        <v>4.0</v>
      </c>
      <c r="D1859" s="38" t="s">
        <v>1207</v>
      </c>
      <c r="E1859" s="38" t="s">
        <v>1017</v>
      </c>
      <c r="F1859" s="38" t="s">
        <v>8706</v>
      </c>
    </row>
    <row r="1860">
      <c r="B1860" s="38" t="s">
        <v>357</v>
      </c>
      <c r="C1860" s="38">
        <v>4.0</v>
      </c>
      <c r="D1860" s="47" t="s">
        <v>8995</v>
      </c>
      <c r="E1860" s="38" t="s">
        <v>8996</v>
      </c>
      <c r="F1860" s="38" t="s">
        <v>8879</v>
      </c>
    </row>
    <row r="1861">
      <c r="B1861" s="38" t="s">
        <v>357</v>
      </c>
      <c r="C1861" s="38">
        <v>1.0</v>
      </c>
      <c r="D1861" s="47" t="s">
        <v>8995</v>
      </c>
      <c r="E1861" s="38" t="s">
        <v>8996</v>
      </c>
      <c r="F1861" s="38" t="s">
        <v>8879</v>
      </c>
    </row>
    <row r="1862">
      <c r="B1862" s="38" t="s">
        <v>128</v>
      </c>
      <c r="C1862" s="38">
        <v>4.0</v>
      </c>
      <c r="D1862" s="38" t="s">
        <v>8997</v>
      </c>
      <c r="E1862" s="38" t="s">
        <v>1758</v>
      </c>
      <c r="F1862" s="38" t="s">
        <v>8998</v>
      </c>
    </row>
    <row r="1863">
      <c r="B1863" s="38" t="s">
        <v>4563</v>
      </c>
      <c r="C1863" s="38">
        <v>4.0</v>
      </c>
      <c r="D1863" s="38" t="s">
        <v>1207</v>
      </c>
      <c r="E1863" s="38" t="s">
        <v>396</v>
      </c>
      <c r="F1863" s="38" t="s">
        <v>8999</v>
      </c>
      <c r="G1863" s="38" t="s">
        <v>9000</v>
      </c>
    </row>
    <row r="1864">
      <c r="B1864" s="38" t="s">
        <v>4791</v>
      </c>
      <c r="C1864" s="38">
        <v>2.0</v>
      </c>
      <c r="D1864" s="38" t="s">
        <v>1305</v>
      </c>
      <c r="E1864" s="38" t="s">
        <v>396</v>
      </c>
      <c r="F1864" s="38" t="s">
        <v>9001</v>
      </c>
      <c r="G1864" s="38" t="s">
        <v>9000</v>
      </c>
    </row>
    <row r="1865">
      <c r="B1865" s="38" t="s">
        <v>9002</v>
      </c>
      <c r="C1865" s="44"/>
      <c r="D1865" s="47" t="s">
        <v>9003</v>
      </c>
      <c r="E1865" s="38" t="s">
        <v>9004</v>
      </c>
      <c r="F1865" s="38" t="s">
        <v>9005</v>
      </c>
    </row>
    <row r="1866">
      <c r="B1866" s="38" t="s">
        <v>9006</v>
      </c>
      <c r="C1866" s="38" t="s">
        <v>4524</v>
      </c>
      <c r="D1866" s="44"/>
      <c r="E1866" s="38" t="s">
        <v>9007</v>
      </c>
      <c r="F1866" s="44"/>
    </row>
    <row r="1867">
      <c r="B1867" s="38" t="s">
        <v>91</v>
      </c>
      <c r="C1867" s="38">
        <v>4.0</v>
      </c>
      <c r="D1867" s="38" t="s">
        <v>1109</v>
      </c>
      <c r="E1867" s="38" t="s">
        <v>514</v>
      </c>
      <c r="F1867" s="44"/>
    </row>
    <row r="1868">
      <c r="B1868" s="38" t="s">
        <v>9008</v>
      </c>
      <c r="C1868" s="38">
        <v>2.0</v>
      </c>
      <c r="D1868" s="38" t="s">
        <v>719</v>
      </c>
      <c r="E1868" s="38" t="s">
        <v>9009</v>
      </c>
      <c r="F1868" s="38" t="s">
        <v>9010</v>
      </c>
    </row>
    <row r="1869">
      <c r="B1869" s="38" t="s">
        <v>789</v>
      </c>
      <c r="C1869" s="38">
        <v>2.0</v>
      </c>
      <c r="D1869" s="38" t="s">
        <v>719</v>
      </c>
      <c r="E1869" s="38" t="s">
        <v>9009</v>
      </c>
      <c r="F1869" s="38" t="s">
        <v>9010</v>
      </c>
    </row>
    <row r="1870">
      <c r="B1870" s="38" t="s">
        <v>9011</v>
      </c>
      <c r="C1870" s="38">
        <v>4.0</v>
      </c>
      <c r="D1870" s="38" t="s">
        <v>9012</v>
      </c>
      <c r="E1870" s="38" t="s">
        <v>1156</v>
      </c>
      <c r="F1870" s="38" t="s">
        <v>9013</v>
      </c>
    </row>
    <row r="1871">
      <c r="B1871" s="38" t="s">
        <v>38</v>
      </c>
      <c r="C1871" s="38">
        <v>2.0</v>
      </c>
      <c r="D1871" s="38" t="s">
        <v>8785</v>
      </c>
      <c r="E1871" s="274" t="s">
        <v>9014</v>
      </c>
      <c r="F1871" s="38" t="s">
        <v>2645</v>
      </c>
    </row>
    <row r="1872">
      <c r="B1872" s="38" t="s">
        <v>3878</v>
      </c>
      <c r="C1872" s="38">
        <v>2.0</v>
      </c>
      <c r="D1872" s="38" t="s">
        <v>8785</v>
      </c>
      <c r="E1872" s="274" t="s">
        <v>9014</v>
      </c>
      <c r="F1872" s="38" t="s">
        <v>9015</v>
      </c>
    </row>
    <row r="1873">
      <c r="B1873" s="38" t="s">
        <v>4405</v>
      </c>
      <c r="C1873" s="38">
        <v>2.0</v>
      </c>
      <c r="D1873" s="38" t="s">
        <v>5281</v>
      </c>
      <c r="E1873" s="38" t="s">
        <v>1017</v>
      </c>
      <c r="F1873" s="38" t="s">
        <v>8706</v>
      </c>
    </row>
    <row r="1874">
      <c r="B1874" s="38" t="s">
        <v>1296</v>
      </c>
      <c r="C1874" s="38">
        <v>2.0</v>
      </c>
      <c r="D1874" s="38" t="s">
        <v>5281</v>
      </c>
      <c r="E1874" s="38" t="s">
        <v>1017</v>
      </c>
      <c r="F1874" s="38" t="s">
        <v>8706</v>
      </c>
    </row>
    <row r="1875">
      <c r="A1875" s="4">
        <v>-409.0</v>
      </c>
      <c r="C1875" s="4" t="s">
        <v>9016</v>
      </c>
      <c r="D1875" s="4" t="s">
        <v>9017</v>
      </c>
      <c r="E1875" s="4" t="s">
        <v>1309</v>
      </c>
      <c r="F1875" s="4" t="s">
        <v>9018</v>
      </c>
      <c r="G1875" s="4"/>
    </row>
    <row r="1876">
      <c r="B1876" s="38" t="s">
        <v>9019</v>
      </c>
      <c r="C1876" s="305" t="s">
        <v>9020</v>
      </c>
      <c r="D1876" s="44"/>
      <c r="E1876" s="38" t="s">
        <v>6805</v>
      </c>
      <c r="F1876" s="44"/>
      <c r="G1876" s="38" t="s">
        <v>4421</v>
      </c>
    </row>
    <row r="1877">
      <c r="B1877" s="38" t="s">
        <v>1513</v>
      </c>
      <c r="C1877" s="38">
        <v>4.0</v>
      </c>
      <c r="D1877" s="38" t="s">
        <v>9021</v>
      </c>
      <c r="E1877" s="38" t="s">
        <v>2392</v>
      </c>
      <c r="F1877" s="38" t="s">
        <v>9022</v>
      </c>
    </row>
    <row r="1878">
      <c r="B1878" s="38" t="s">
        <v>283</v>
      </c>
      <c r="C1878" s="38">
        <v>4.0</v>
      </c>
      <c r="D1878" s="38" t="s">
        <v>6913</v>
      </c>
      <c r="E1878" s="38" t="s">
        <v>413</v>
      </c>
      <c r="F1878" s="38" t="s">
        <v>9023</v>
      </c>
    </row>
    <row r="1879">
      <c r="B1879" s="38" t="s">
        <v>85</v>
      </c>
      <c r="C1879" s="38">
        <v>1.0</v>
      </c>
      <c r="D1879" s="38" t="s">
        <v>1109</v>
      </c>
      <c r="E1879" s="38" t="s">
        <v>9024</v>
      </c>
      <c r="F1879" s="38" t="s">
        <v>9025</v>
      </c>
    </row>
    <row r="1880">
      <c r="B1880" s="38" t="s">
        <v>1183</v>
      </c>
      <c r="C1880" s="38">
        <v>2.0</v>
      </c>
      <c r="D1880" s="38" t="s">
        <v>5281</v>
      </c>
      <c r="E1880" s="38" t="s">
        <v>7036</v>
      </c>
      <c r="F1880" s="38" t="s">
        <v>9026</v>
      </c>
    </row>
    <row r="1881">
      <c r="B1881" s="38" t="s">
        <v>128</v>
      </c>
      <c r="C1881" s="38">
        <v>2.0</v>
      </c>
      <c r="D1881" s="38" t="s">
        <v>5281</v>
      </c>
      <c r="E1881" s="38" t="s">
        <v>7036</v>
      </c>
      <c r="F1881" s="44"/>
    </row>
    <row r="1882">
      <c r="B1882" s="38" t="s">
        <v>25</v>
      </c>
      <c r="C1882" s="38">
        <v>4.0</v>
      </c>
      <c r="D1882" s="38" t="s">
        <v>289</v>
      </c>
      <c r="E1882" s="38" t="s">
        <v>9027</v>
      </c>
      <c r="F1882" s="38" t="s">
        <v>9028</v>
      </c>
    </row>
    <row r="1883">
      <c r="B1883" s="38" t="s">
        <v>354</v>
      </c>
      <c r="C1883" s="38">
        <v>2.0</v>
      </c>
      <c r="D1883" s="38" t="s">
        <v>1288</v>
      </c>
      <c r="E1883" s="38" t="s">
        <v>9029</v>
      </c>
      <c r="F1883" s="38" t="s">
        <v>9030</v>
      </c>
    </row>
    <row r="1884">
      <c r="B1884" s="38" t="s">
        <v>479</v>
      </c>
      <c r="C1884" s="38">
        <v>2.0</v>
      </c>
      <c r="D1884" s="38" t="s">
        <v>1288</v>
      </c>
      <c r="E1884" s="38" t="s">
        <v>9031</v>
      </c>
      <c r="F1884" s="38" t="s">
        <v>9030</v>
      </c>
    </row>
    <row r="1885">
      <c r="B1885" s="38"/>
      <c r="C1885" s="38"/>
      <c r="D1885" s="38"/>
      <c r="E1885" s="38" t="s">
        <v>9031</v>
      </c>
      <c r="F1885" s="38" t="s">
        <v>9032</v>
      </c>
    </row>
    <row r="1886">
      <c r="B1886" s="38" t="s">
        <v>1006</v>
      </c>
      <c r="C1886" s="38">
        <v>1.0</v>
      </c>
      <c r="D1886" s="38" t="s">
        <v>1109</v>
      </c>
      <c r="E1886" s="38" t="s">
        <v>8190</v>
      </c>
      <c r="F1886" s="38" t="s">
        <v>8004</v>
      </c>
    </row>
    <row r="1887">
      <c r="B1887" s="38" t="s">
        <v>416</v>
      </c>
      <c r="C1887" s="38">
        <v>4.0</v>
      </c>
      <c r="D1887" s="38" t="s">
        <v>1109</v>
      </c>
      <c r="E1887" s="38" t="s">
        <v>5131</v>
      </c>
      <c r="F1887" s="38" t="s">
        <v>6654</v>
      </c>
    </row>
    <row r="1888">
      <c r="B1888" s="38" t="s">
        <v>1349</v>
      </c>
      <c r="C1888" s="38">
        <v>2.0</v>
      </c>
      <c r="D1888" s="38" t="s">
        <v>1109</v>
      </c>
      <c r="E1888" s="38" t="s">
        <v>4939</v>
      </c>
      <c r="F1888" s="38" t="s">
        <v>9033</v>
      </c>
    </row>
    <row r="1889">
      <c r="B1889" s="38" t="s">
        <v>205</v>
      </c>
      <c r="C1889" s="38">
        <v>2.0</v>
      </c>
      <c r="D1889" s="38" t="s">
        <v>1109</v>
      </c>
      <c r="E1889" s="38" t="s">
        <v>4939</v>
      </c>
      <c r="F1889" s="38" t="s">
        <v>9033</v>
      </c>
    </row>
    <row r="1890">
      <c r="B1890" s="38" t="s">
        <v>876</v>
      </c>
      <c r="C1890" s="38">
        <v>4.0</v>
      </c>
      <c r="D1890" s="38" t="s">
        <v>129</v>
      </c>
      <c r="E1890" s="38" t="s">
        <v>4245</v>
      </c>
      <c r="F1890" s="38" t="s">
        <v>9034</v>
      </c>
    </row>
    <row r="1891">
      <c r="B1891" s="38" t="s">
        <v>25</v>
      </c>
      <c r="C1891" s="38">
        <v>1.0</v>
      </c>
      <c r="D1891" s="38" t="s">
        <v>3950</v>
      </c>
      <c r="E1891" s="38" t="s">
        <v>9035</v>
      </c>
      <c r="F1891" s="38" t="s">
        <v>218</v>
      </c>
    </row>
    <row r="1892">
      <c r="B1892" s="38" t="s">
        <v>9036</v>
      </c>
      <c r="C1892" s="44"/>
      <c r="D1892" s="38" t="s">
        <v>9037</v>
      </c>
      <c r="E1892" s="38" t="s">
        <v>4959</v>
      </c>
      <c r="F1892" s="38" t="s">
        <v>9038</v>
      </c>
    </row>
    <row r="1893">
      <c r="B1893" s="294" t="s">
        <v>9039</v>
      </c>
      <c r="C1893" s="38" t="s">
        <v>9040</v>
      </c>
      <c r="D1893" s="38" t="s">
        <v>9041</v>
      </c>
      <c r="E1893" s="38" t="s">
        <v>4959</v>
      </c>
      <c r="F1893" s="38" t="s">
        <v>9042</v>
      </c>
    </row>
    <row r="1894">
      <c r="B1894" s="38" t="s">
        <v>876</v>
      </c>
      <c r="C1894" s="38">
        <v>4.0</v>
      </c>
      <c r="D1894" s="38" t="s">
        <v>1109</v>
      </c>
      <c r="E1894" s="38" t="s">
        <v>337</v>
      </c>
      <c r="F1894" s="38" t="s">
        <v>9043</v>
      </c>
    </row>
    <row r="1895">
      <c r="B1895" s="38" t="s">
        <v>9044</v>
      </c>
      <c r="C1895" s="38" t="s">
        <v>9045</v>
      </c>
      <c r="D1895" s="38" t="s">
        <v>9046</v>
      </c>
      <c r="E1895" s="38" t="s">
        <v>1072</v>
      </c>
      <c r="F1895" s="38" t="s">
        <v>9047</v>
      </c>
      <c r="G1895" s="38" t="s">
        <v>9048</v>
      </c>
    </row>
    <row r="1896">
      <c r="B1896" s="38" t="s">
        <v>9049</v>
      </c>
      <c r="C1896" s="38" t="s">
        <v>9050</v>
      </c>
      <c r="D1896" s="125" t="s">
        <v>9051</v>
      </c>
      <c r="E1896" s="38" t="s">
        <v>1072</v>
      </c>
      <c r="F1896" s="38" t="s">
        <v>9052</v>
      </c>
      <c r="G1896" s="44"/>
    </row>
    <row r="1897">
      <c r="B1897" s="38" t="s">
        <v>205</v>
      </c>
      <c r="C1897" s="38">
        <v>2.0</v>
      </c>
      <c r="D1897" s="38" t="s">
        <v>315</v>
      </c>
      <c r="E1897" s="274" t="s">
        <v>3970</v>
      </c>
      <c r="F1897" s="38" t="s">
        <v>9053</v>
      </c>
    </row>
    <row r="1898">
      <c r="B1898" s="44"/>
      <c r="C1898" s="44"/>
      <c r="D1898" s="38" t="s">
        <v>9054</v>
      </c>
      <c r="E1898" s="38" t="s">
        <v>5131</v>
      </c>
      <c r="F1898" s="38" t="s">
        <v>9055</v>
      </c>
    </row>
    <row r="1899">
      <c r="B1899" s="38" t="s">
        <v>81</v>
      </c>
      <c r="C1899" s="38">
        <v>4.0</v>
      </c>
      <c r="D1899" s="38" t="s">
        <v>9056</v>
      </c>
      <c r="E1899" s="38" t="s">
        <v>413</v>
      </c>
      <c r="F1899" s="38" t="s">
        <v>9057</v>
      </c>
    </row>
    <row r="1900">
      <c r="B1900" s="294" t="s">
        <v>9058</v>
      </c>
      <c r="C1900" s="352" t="s">
        <v>9059</v>
      </c>
      <c r="D1900" s="417" t="s">
        <v>9060</v>
      </c>
      <c r="E1900" s="38" t="s">
        <v>1141</v>
      </c>
      <c r="F1900" s="38" t="s">
        <v>9061</v>
      </c>
    </row>
    <row r="1901">
      <c r="B1901" s="38" t="s">
        <v>9062</v>
      </c>
      <c r="C1901" s="44"/>
      <c r="D1901" s="59" t="s">
        <v>9063</v>
      </c>
      <c r="E1901" s="38" t="s">
        <v>1141</v>
      </c>
      <c r="F1901" s="38" t="s">
        <v>9061</v>
      </c>
    </row>
    <row r="1902">
      <c r="B1902" s="44"/>
      <c r="C1902" s="44"/>
      <c r="D1902" s="418" t="s">
        <v>9064</v>
      </c>
      <c r="E1902" s="38" t="s">
        <v>1141</v>
      </c>
      <c r="F1902" s="38" t="s">
        <v>9061</v>
      </c>
    </row>
    <row r="1903">
      <c r="B1903" s="38" t="s">
        <v>9062</v>
      </c>
      <c r="C1903" s="44"/>
      <c r="D1903" s="59"/>
      <c r="E1903" s="38" t="s">
        <v>1141</v>
      </c>
      <c r="F1903" s="38" t="s">
        <v>9061</v>
      </c>
    </row>
    <row r="1904">
      <c r="B1904" s="38" t="s">
        <v>357</v>
      </c>
      <c r="C1904" s="38">
        <v>1.0</v>
      </c>
      <c r="D1904" s="38" t="s">
        <v>291</v>
      </c>
      <c r="E1904" s="298" t="s">
        <v>9065</v>
      </c>
      <c r="F1904" s="38" t="s">
        <v>9066</v>
      </c>
    </row>
    <row r="1905">
      <c r="B1905" s="44"/>
      <c r="C1905" s="44"/>
      <c r="D1905" s="44"/>
      <c r="E1905" s="38" t="s">
        <v>9067</v>
      </c>
      <c r="F1905" s="38" t="s">
        <v>9068</v>
      </c>
    </row>
    <row r="1906">
      <c r="B1906" s="59" t="s">
        <v>9069</v>
      </c>
      <c r="C1906" s="44"/>
      <c r="D1906" s="44"/>
      <c r="E1906" s="281" t="s">
        <v>9070</v>
      </c>
      <c r="F1906" s="38" t="s">
        <v>9071</v>
      </c>
    </row>
    <row r="1907">
      <c r="B1907" s="38" t="s">
        <v>1010</v>
      </c>
      <c r="C1907" s="38">
        <v>2.0</v>
      </c>
      <c r="D1907" s="38" t="s">
        <v>171</v>
      </c>
      <c r="E1907" s="38" t="s">
        <v>9072</v>
      </c>
      <c r="F1907" s="44"/>
    </row>
    <row r="1908">
      <c r="B1908" s="38" t="s">
        <v>6882</v>
      </c>
      <c r="C1908" s="38">
        <v>2.0</v>
      </c>
      <c r="D1908" s="38" t="s">
        <v>171</v>
      </c>
      <c r="E1908" s="38" t="s">
        <v>9072</v>
      </c>
      <c r="F1908" s="44"/>
    </row>
    <row r="1909">
      <c r="B1909" s="38" t="s">
        <v>9073</v>
      </c>
      <c r="C1909" s="38" t="s">
        <v>9074</v>
      </c>
      <c r="D1909" s="38" t="s">
        <v>9075</v>
      </c>
      <c r="E1909" s="38" t="s">
        <v>9076</v>
      </c>
      <c r="F1909" s="38" t="s">
        <v>9077</v>
      </c>
    </row>
    <row r="1910">
      <c r="B1910" s="38" t="s">
        <v>177</v>
      </c>
      <c r="C1910" s="38">
        <v>4.0</v>
      </c>
      <c r="D1910" s="38" t="s">
        <v>905</v>
      </c>
      <c r="E1910" s="38" t="s">
        <v>418</v>
      </c>
      <c r="F1910" s="38" t="s">
        <v>9078</v>
      </c>
    </row>
    <row r="1911">
      <c r="B1911" s="38" t="s">
        <v>1296</v>
      </c>
      <c r="C1911" s="38">
        <v>4.0</v>
      </c>
      <c r="D1911" s="38" t="s">
        <v>1109</v>
      </c>
      <c r="E1911" s="38" t="s">
        <v>1098</v>
      </c>
      <c r="F1911" s="38" t="s">
        <v>9079</v>
      </c>
    </row>
    <row r="1912">
      <c r="B1912" s="419" t="s">
        <v>9080</v>
      </c>
      <c r="C1912" s="38" t="s">
        <v>9081</v>
      </c>
      <c r="D1912" s="420" t="s">
        <v>9082</v>
      </c>
      <c r="E1912" s="38" t="s">
        <v>4865</v>
      </c>
      <c r="F1912" s="419" t="s">
        <v>9083</v>
      </c>
    </row>
    <row r="1913">
      <c r="B1913" s="38" t="s">
        <v>9084</v>
      </c>
      <c r="C1913" s="44"/>
      <c r="D1913" s="44"/>
      <c r="E1913" s="38" t="s">
        <v>4865</v>
      </c>
      <c r="F1913" s="44"/>
    </row>
    <row r="1914">
      <c r="B1914" s="38" t="s">
        <v>4229</v>
      </c>
      <c r="C1914" s="38">
        <v>4.0</v>
      </c>
      <c r="D1914" s="38" t="s">
        <v>9085</v>
      </c>
      <c r="E1914" s="59" t="s">
        <v>9086</v>
      </c>
      <c r="F1914" s="38" t="s">
        <v>9087</v>
      </c>
    </row>
    <row r="1915">
      <c r="B1915" s="38" t="s">
        <v>1761</v>
      </c>
      <c r="C1915" s="38">
        <v>4.0</v>
      </c>
      <c r="D1915" s="38" t="s">
        <v>8350</v>
      </c>
      <c r="E1915" s="38" t="s">
        <v>974</v>
      </c>
      <c r="F1915" s="38" t="s">
        <v>9088</v>
      </c>
    </row>
    <row r="1916">
      <c r="B1916" s="38" t="s">
        <v>140</v>
      </c>
      <c r="C1916" s="38">
        <v>2.0</v>
      </c>
      <c r="D1916" s="38" t="s">
        <v>9089</v>
      </c>
      <c r="E1916" s="38" t="s">
        <v>9090</v>
      </c>
      <c r="F1916" s="38" t="s">
        <v>9091</v>
      </c>
    </row>
    <row r="1917">
      <c r="B1917" s="44"/>
      <c r="C1917" s="44"/>
      <c r="D1917" s="38" t="s">
        <v>9092</v>
      </c>
      <c r="E1917" s="38" t="s">
        <v>9090</v>
      </c>
      <c r="F1917" s="38" t="s">
        <v>9091</v>
      </c>
    </row>
    <row r="1918">
      <c r="B1918" s="38" t="s">
        <v>9093</v>
      </c>
      <c r="C1918" s="390" t="s">
        <v>9094</v>
      </c>
      <c r="D1918" s="47" t="s">
        <v>9095</v>
      </c>
      <c r="E1918" s="38" t="s">
        <v>1206</v>
      </c>
      <c r="F1918" s="421" t="s">
        <v>9096</v>
      </c>
    </row>
    <row r="1919">
      <c r="B1919" s="38" t="s">
        <v>1562</v>
      </c>
      <c r="C1919" s="38" t="s">
        <v>9097</v>
      </c>
      <c r="D1919" s="38" t="s">
        <v>9098</v>
      </c>
      <c r="E1919" s="38" t="s">
        <v>1206</v>
      </c>
      <c r="F1919" s="38" t="s">
        <v>9099</v>
      </c>
    </row>
    <row r="1920">
      <c r="B1920" s="421" t="s">
        <v>9100</v>
      </c>
      <c r="C1920" s="44"/>
      <c r="D1920" s="38" t="s">
        <v>9101</v>
      </c>
      <c r="E1920" s="38" t="s">
        <v>5158</v>
      </c>
      <c r="F1920" s="38" t="s">
        <v>9102</v>
      </c>
      <c r="G1920" s="1" t="s">
        <v>4421</v>
      </c>
    </row>
    <row r="1921">
      <c r="B1921" s="38" t="s">
        <v>3527</v>
      </c>
      <c r="C1921" s="38">
        <v>4.0</v>
      </c>
      <c r="D1921" s="38" t="s">
        <v>9103</v>
      </c>
      <c r="E1921" s="38" t="s">
        <v>2971</v>
      </c>
      <c r="F1921" s="38" t="s">
        <v>9104</v>
      </c>
    </row>
    <row r="1922">
      <c r="B1922" s="38" t="s">
        <v>5800</v>
      </c>
      <c r="C1922" s="38">
        <v>1.0</v>
      </c>
      <c r="D1922" s="38" t="s">
        <v>2097</v>
      </c>
      <c r="E1922" s="38" t="s">
        <v>9105</v>
      </c>
      <c r="F1922" s="38" t="s">
        <v>9106</v>
      </c>
    </row>
    <row r="1923">
      <c r="B1923" s="38" t="s">
        <v>430</v>
      </c>
      <c r="C1923" s="38">
        <v>4.0</v>
      </c>
      <c r="D1923" s="38" t="s">
        <v>9107</v>
      </c>
      <c r="E1923" s="38" t="s">
        <v>9108</v>
      </c>
      <c r="F1923" s="44"/>
    </row>
    <row r="1924">
      <c r="B1924" s="38" t="s">
        <v>9109</v>
      </c>
      <c r="C1924" s="44"/>
      <c r="D1924" s="38" t="s">
        <v>9110</v>
      </c>
      <c r="E1924" s="38" t="s">
        <v>1731</v>
      </c>
      <c r="F1924" s="38" t="s">
        <v>9111</v>
      </c>
    </row>
    <row r="1925">
      <c r="B1925" s="38" t="s">
        <v>1182</v>
      </c>
      <c r="C1925" s="38">
        <v>4.0</v>
      </c>
      <c r="D1925" s="38" t="s">
        <v>1109</v>
      </c>
      <c r="E1925" s="38" t="s">
        <v>9112</v>
      </c>
      <c r="F1925" s="44"/>
    </row>
    <row r="1926">
      <c r="B1926" s="38" t="s">
        <v>978</v>
      </c>
      <c r="C1926" s="38">
        <v>2.0</v>
      </c>
      <c r="D1926" s="38" t="s">
        <v>5608</v>
      </c>
      <c r="E1926" s="38" t="s">
        <v>9113</v>
      </c>
      <c r="F1926" s="38" t="s">
        <v>9114</v>
      </c>
    </row>
    <row r="1927">
      <c r="B1927" s="38" t="s">
        <v>2276</v>
      </c>
      <c r="C1927" s="38">
        <v>2.0</v>
      </c>
      <c r="D1927" s="38" t="s">
        <v>5608</v>
      </c>
      <c r="E1927" s="38" t="s">
        <v>9113</v>
      </c>
      <c r="F1927" s="38" t="s">
        <v>9114</v>
      </c>
    </row>
    <row r="1928">
      <c r="B1928" s="38" t="s">
        <v>85</v>
      </c>
      <c r="C1928" s="38">
        <v>4.0</v>
      </c>
      <c r="D1928" s="38" t="s">
        <v>9115</v>
      </c>
      <c r="E1928" s="281" t="s">
        <v>9116</v>
      </c>
      <c r="F1928" s="38" t="s">
        <v>9117</v>
      </c>
    </row>
    <row r="1929">
      <c r="A1929" s="44"/>
      <c r="B1929" s="38" t="s">
        <v>9118</v>
      </c>
      <c r="C1929" s="44"/>
      <c r="D1929" s="38" t="s">
        <v>9119</v>
      </c>
      <c r="E1929" s="38" t="s">
        <v>1072</v>
      </c>
      <c r="F1929" s="44"/>
      <c r="G1929" s="38" t="s">
        <v>9052</v>
      </c>
    </row>
    <row r="1930">
      <c r="A1930" s="44"/>
      <c r="B1930" s="38" t="s">
        <v>9120</v>
      </c>
      <c r="C1930" s="44"/>
      <c r="D1930" s="38" t="s">
        <v>9121</v>
      </c>
      <c r="E1930" s="38" t="s">
        <v>1072</v>
      </c>
      <c r="F1930" s="38" t="s">
        <v>9122</v>
      </c>
      <c r="G1930" s="38" t="s">
        <v>9052</v>
      </c>
    </row>
    <row r="1931">
      <c r="A1931" s="44"/>
      <c r="B1931" s="38"/>
      <c r="C1931" s="44"/>
      <c r="D1931" s="38" t="s">
        <v>9123</v>
      </c>
      <c r="E1931" s="38" t="s">
        <v>1072</v>
      </c>
      <c r="F1931" s="38" t="s">
        <v>9124</v>
      </c>
      <c r="G1931" s="38" t="s">
        <v>9052</v>
      </c>
    </row>
    <row r="1932">
      <c r="A1932" s="44"/>
      <c r="B1932" s="38" t="s">
        <v>128</v>
      </c>
      <c r="C1932" s="38">
        <v>1.0</v>
      </c>
      <c r="D1932" s="38" t="s">
        <v>8513</v>
      </c>
      <c r="E1932" s="38" t="s">
        <v>1072</v>
      </c>
      <c r="F1932" s="38" t="s">
        <v>9125</v>
      </c>
      <c r="G1932" s="38" t="s">
        <v>9052</v>
      </c>
    </row>
    <row r="1933">
      <c r="B1933" s="38" t="s">
        <v>31</v>
      </c>
      <c r="C1933" s="38">
        <v>4.0</v>
      </c>
      <c r="D1933" s="38" t="s">
        <v>2097</v>
      </c>
      <c r="E1933" s="38" t="s">
        <v>5869</v>
      </c>
      <c r="F1933" s="38" t="s">
        <v>9126</v>
      </c>
    </row>
    <row r="1934">
      <c r="B1934" s="38" t="s">
        <v>22</v>
      </c>
      <c r="C1934" s="38">
        <v>4.0</v>
      </c>
      <c r="D1934" s="38" t="s">
        <v>2389</v>
      </c>
      <c r="E1934" s="275" t="s">
        <v>9127</v>
      </c>
      <c r="F1934" s="38" t="s">
        <v>9128</v>
      </c>
    </row>
    <row r="1935">
      <c r="B1935" s="38"/>
      <c r="C1935" s="38"/>
      <c r="D1935" s="390" t="s">
        <v>9129</v>
      </c>
      <c r="E1935" s="275" t="s">
        <v>9130</v>
      </c>
      <c r="F1935" s="38"/>
    </row>
    <row r="1936">
      <c r="B1936" s="38" t="s">
        <v>9131</v>
      </c>
      <c r="C1936" s="38" t="s">
        <v>9132</v>
      </c>
      <c r="D1936" s="335" t="s">
        <v>9133</v>
      </c>
      <c r="E1936" s="38" t="s">
        <v>5615</v>
      </c>
      <c r="F1936" s="38" t="s">
        <v>9134</v>
      </c>
      <c r="G1936" s="38" t="s">
        <v>8909</v>
      </c>
    </row>
    <row r="1937">
      <c r="B1937" s="38"/>
      <c r="C1937" s="38"/>
      <c r="D1937" s="335" t="s">
        <v>9135</v>
      </c>
      <c r="E1937" s="38" t="s">
        <v>5615</v>
      </c>
      <c r="F1937" s="44"/>
      <c r="G1937" s="38" t="s">
        <v>8909</v>
      </c>
    </row>
    <row r="1938">
      <c r="B1938" s="38" t="s">
        <v>9136</v>
      </c>
      <c r="C1938" s="38" t="s">
        <v>9137</v>
      </c>
      <c r="D1938" s="44"/>
      <c r="E1938" s="38" t="s">
        <v>9138</v>
      </c>
      <c r="F1938" s="38" t="s">
        <v>9139</v>
      </c>
    </row>
    <row r="1939">
      <c r="B1939" s="38" t="s">
        <v>6201</v>
      </c>
      <c r="C1939" s="38">
        <v>4.0</v>
      </c>
      <c r="D1939" s="38" t="s">
        <v>9140</v>
      </c>
      <c r="E1939" s="38" t="s">
        <v>9141</v>
      </c>
      <c r="F1939" s="38" t="s">
        <v>175</v>
      </c>
      <c r="G1939" s="38" t="s">
        <v>9142</v>
      </c>
    </row>
    <row r="1940">
      <c r="B1940" s="305" t="s">
        <v>9143</v>
      </c>
      <c r="C1940" s="38" t="s">
        <v>9144</v>
      </c>
      <c r="D1940" s="38" t="s">
        <v>9145</v>
      </c>
      <c r="E1940" s="38" t="s">
        <v>9141</v>
      </c>
      <c r="F1940" s="38" t="s">
        <v>9146</v>
      </c>
      <c r="G1940" s="38" t="s">
        <v>9142</v>
      </c>
    </row>
    <row r="1941">
      <c r="B1941" s="305" t="s">
        <v>9147</v>
      </c>
      <c r="C1941" s="44"/>
      <c r="D1941" s="38" t="s">
        <v>9148</v>
      </c>
      <c r="E1941" s="38" t="s">
        <v>9141</v>
      </c>
      <c r="F1941" s="38" t="s">
        <v>9149</v>
      </c>
      <c r="G1941" s="38" t="s">
        <v>9142</v>
      </c>
    </row>
    <row r="1942">
      <c r="B1942" s="38" t="s">
        <v>9150</v>
      </c>
      <c r="C1942" s="390" t="s">
        <v>9151</v>
      </c>
      <c r="D1942" s="390" t="s">
        <v>9152</v>
      </c>
      <c r="E1942" s="38" t="s">
        <v>9141</v>
      </c>
      <c r="F1942" s="390" t="s">
        <v>9153</v>
      </c>
      <c r="G1942" s="38" t="s">
        <v>9142</v>
      </c>
    </row>
    <row r="1943">
      <c r="B1943" s="47" t="s">
        <v>9154</v>
      </c>
      <c r="C1943" s="47" t="s">
        <v>9155</v>
      </c>
      <c r="D1943" s="38" t="s">
        <v>9156</v>
      </c>
      <c r="E1943" s="38" t="s">
        <v>5158</v>
      </c>
      <c r="F1943" s="38" t="s">
        <v>4299</v>
      </c>
      <c r="G1943" s="38" t="s">
        <v>9157</v>
      </c>
    </row>
    <row r="1944">
      <c r="B1944" s="47" t="s">
        <v>9158</v>
      </c>
      <c r="C1944" s="390" t="s">
        <v>9159</v>
      </c>
      <c r="D1944" s="38" t="s">
        <v>9160</v>
      </c>
      <c r="E1944" s="38" t="s">
        <v>5158</v>
      </c>
      <c r="F1944" s="38" t="s">
        <v>9157</v>
      </c>
    </row>
    <row r="1945">
      <c r="B1945" s="38" t="s">
        <v>9161</v>
      </c>
      <c r="C1945" s="390" t="s">
        <v>9162</v>
      </c>
      <c r="D1945" s="38" t="s">
        <v>9163</v>
      </c>
      <c r="E1945" s="38" t="s">
        <v>5158</v>
      </c>
      <c r="F1945" s="38" t="s">
        <v>9164</v>
      </c>
      <c r="G1945" s="1" t="s">
        <v>4421</v>
      </c>
    </row>
    <row r="1946">
      <c r="B1946" s="44"/>
      <c r="C1946" s="44"/>
      <c r="D1946" s="38" t="s">
        <v>9165</v>
      </c>
      <c r="E1946" s="38" t="s">
        <v>9166</v>
      </c>
      <c r="F1946" s="44"/>
    </row>
    <row r="1947">
      <c r="B1947" s="38" t="s">
        <v>9167</v>
      </c>
      <c r="C1947" s="44"/>
      <c r="D1947" s="38" t="s">
        <v>9168</v>
      </c>
      <c r="E1947" s="38" t="s">
        <v>1206</v>
      </c>
      <c r="F1947" s="44"/>
    </row>
    <row r="1948">
      <c r="B1948" s="38" t="s">
        <v>439</v>
      </c>
      <c r="C1948" s="38">
        <v>2.0</v>
      </c>
      <c r="D1948" s="38" t="s">
        <v>9169</v>
      </c>
      <c r="E1948" s="38" t="s">
        <v>5333</v>
      </c>
      <c r="F1948" s="38" t="s">
        <v>9170</v>
      </c>
    </row>
    <row r="1949">
      <c r="B1949" s="131" t="s">
        <v>1159</v>
      </c>
      <c r="C1949" s="131">
        <v>1.0</v>
      </c>
      <c r="D1949" s="131" t="s">
        <v>992</v>
      </c>
      <c r="E1949" s="422" t="s">
        <v>8832</v>
      </c>
      <c r="F1949" s="131" t="s">
        <v>8833</v>
      </c>
    </row>
    <row r="1950">
      <c r="B1950" s="38" t="s">
        <v>183</v>
      </c>
      <c r="C1950" s="38">
        <v>4.0</v>
      </c>
      <c r="D1950" s="38" t="s">
        <v>1109</v>
      </c>
      <c r="E1950" s="38" t="s">
        <v>9171</v>
      </c>
      <c r="F1950" s="38" t="s">
        <v>9172</v>
      </c>
    </row>
    <row r="1951">
      <c r="B1951" s="44"/>
      <c r="C1951" s="38" t="s">
        <v>9173</v>
      </c>
      <c r="D1951" s="305" t="s">
        <v>9174</v>
      </c>
      <c r="E1951" s="38" t="s">
        <v>5158</v>
      </c>
      <c r="F1951" s="38" t="s">
        <v>4421</v>
      </c>
    </row>
    <row r="1952">
      <c r="B1952" s="44"/>
      <c r="C1952" s="38"/>
      <c r="D1952" s="305" t="s">
        <v>9175</v>
      </c>
      <c r="E1952" s="38" t="s">
        <v>5158</v>
      </c>
      <c r="F1952" s="38" t="s">
        <v>4421</v>
      </c>
    </row>
    <row r="1953">
      <c r="B1953" s="44"/>
      <c r="C1953" s="38" t="s">
        <v>9176</v>
      </c>
      <c r="D1953" s="352" t="s">
        <v>9177</v>
      </c>
      <c r="E1953" s="38" t="s">
        <v>5615</v>
      </c>
      <c r="F1953" s="389"/>
      <c r="G1953" s="38" t="s">
        <v>8909</v>
      </c>
    </row>
    <row r="1954">
      <c r="B1954" s="38" t="s">
        <v>9178</v>
      </c>
      <c r="C1954" s="38" t="s">
        <v>9179</v>
      </c>
      <c r="D1954" s="38" t="s">
        <v>9180</v>
      </c>
      <c r="E1954" s="38" t="s">
        <v>5615</v>
      </c>
      <c r="F1954" s="44"/>
      <c r="G1954" s="38" t="s">
        <v>8909</v>
      </c>
    </row>
    <row r="1955">
      <c r="B1955" s="38" t="s">
        <v>9181</v>
      </c>
      <c r="C1955" s="390" t="s">
        <v>9182</v>
      </c>
      <c r="D1955" s="38" t="s">
        <v>6798</v>
      </c>
      <c r="E1955" s="38" t="s">
        <v>5615</v>
      </c>
      <c r="F1955" s="44"/>
      <c r="G1955" s="38" t="s">
        <v>8909</v>
      </c>
    </row>
    <row r="1956">
      <c r="B1956" s="38"/>
      <c r="C1956" s="390"/>
      <c r="D1956" s="423" t="s">
        <v>9183</v>
      </c>
      <c r="E1956" s="38" t="s">
        <v>5615</v>
      </c>
      <c r="F1956" s="44"/>
      <c r="G1956" s="38" t="s">
        <v>8909</v>
      </c>
    </row>
    <row r="1957">
      <c r="B1957" s="38"/>
      <c r="C1957" s="390"/>
      <c r="D1957" s="423"/>
      <c r="E1957" s="38" t="s">
        <v>5615</v>
      </c>
      <c r="F1957" s="38" t="s">
        <v>9184</v>
      </c>
      <c r="G1957" s="1"/>
    </row>
    <row r="1958">
      <c r="B1958" s="389" t="s">
        <v>9185</v>
      </c>
      <c r="C1958" s="390"/>
      <c r="D1958" s="423"/>
      <c r="E1958" s="38" t="s">
        <v>5615</v>
      </c>
      <c r="F1958" s="38" t="s">
        <v>9186</v>
      </c>
    </row>
    <row r="1959">
      <c r="B1959" s="38" t="s">
        <v>1513</v>
      </c>
      <c r="C1959" s="38">
        <v>2.0</v>
      </c>
      <c r="D1959" s="38" t="s">
        <v>9187</v>
      </c>
      <c r="E1959" s="38" t="s">
        <v>9188</v>
      </c>
      <c r="F1959" s="38" t="s">
        <v>9189</v>
      </c>
    </row>
    <row r="1960">
      <c r="B1960" s="1" t="s">
        <v>9190</v>
      </c>
      <c r="C1960" s="1" t="s">
        <v>9191</v>
      </c>
      <c r="E1960" s="1" t="s">
        <v>9192</v>
      </c>
    </row>
    <row r="1961">
      <c r="B1961" s="38" t="s">
        <v>9193</v>
      </c>
      <c r="C1961" s="38">
        <v>2.0</v>
      </c>
      <c r="D1961" s="38" t="s">
        <v>9194</v>
      </c>
      <c r="E1961" s="38" t="s">
        <v>9195</v>
      </c>
      <c r="F1961" s="38" t="s">
        <v>9170</v>
      </c>
    </row>
    <row r="1962">
      <c r="B1962" s="38" t="s">
        <v>9196</v>
      </c>
      <c r="C1962" s="44"/>
      <c r="D1962" s="44"/>
      <c r="E1962" s="38" t="s">
        <v>974</v>
      </c>
      <c r="F1962" s="38" t="s">
        <v>4421</v>
      </c>
    </row>
    <row r="1963">
      <c r="B1963" s="38" t="s">
        <v>22</v>
      </c>
      <c r="C1963" s="38">
        <v>2.0</v>
      </c>
      <c r="D1963" s="38" t="s">
        <v>229</v>
      </c>
      <c r="E1963" s="38" t="s">
        <v>9197</v>
      </c>
      <c r="F1963" s="38" t="s">
        <v>9198</v>
      </c>
    </row>
    <row r="1964">
      <c r="B1964" s="38"/>
      <c r="C1964" s="38"/>
      <c r="D1964" s="38" t="s">
        <v>9199</v>
      </c>
      <c r="E1964" s="38" t="s">
        <v>9197</v>
      </c>
      <c r="F1964" s="38" t="s">
        <v>9200</v>
      </c>
    </row>
    <row r="1965">
      <c r="B1965" s="38" t="s">
        <v>103</v>
      </c>
      <c r="C1965" s="38">
        <v>1.0</v>
      </c>
      <c r="D1965" s="38" t="s">
        <v>9201</v>
      </c>
      <c r="E1965" s="38" t="s">
        <v>413</v>
      </c>
      <c r="F1965" s="38" t="s">
        <v>9202</v>
      </c>
    </row>
    <row r="1966">
      <c r="B1966" s="38" t="s">
        <v>9203</v>
      </c>
      <c r="C1966" s="390" t="s">
        <v>9204</v>
      </c>
      <c r="D1966" s="38" t="s">
        <v>9205</v>
      </c>
      <c r="E1966" s="38" t="s">
        <v>9206</v>
      </c>
      <c r="F1966" s="38" t="s">
        <v>9207</v>
      </c>
    </row>
    <row r="1967">
      <c r="B1967" s="38" t="s">
        <v>9208</v>
      </c>
      <c r="C1967" s="390"/>
      <c r="D1967" s="38" t="s">
        <v>9209</v>
      </c>
      <c r="E1967" s="38" t="s">
        <v>9206</v>
      </c>
      <c r="F1967" s="38" t="s">
        <v>9210</v>
      </c>
      <c r="G1967" s="38" t="s">
        <v>9211</v>
      </c>
    </row>
    <row r="1968">
      <c r="B1968" s="38" t="s">
        <v>9212</v>
      </c>
      <c r="C1968" s="38">
        <v>1.0</v>
      </c>
      <c r="D1968" s="353" t="s">
        <v>9213</v>
      </c>
      <c r="E1968" s="38" t="s">
        <v>9214</v>
      </c>
      <c r="F1968" s="38" t="s">
        <v>9215</v>
      </c>
    </row>
    <row r="1969">
      <c r="B1969" s="38" t="s">
        <v>4756</v>
      </c>
      <c r="C1969" s="38">
        <v>4.0</v>
      </c>
      <c r="D1969" s="38" t="s">
        <v>315</v>
      </c>
      <c r="E1969" s="274" t="s">
        <v>9216</v>
      </c>
      <c r="F1969" s="38" t="s">
        <v>9217</v>
      </c>
    </row>
    <row r="1970">
      <c r="B1970" s="38"/>
      <c r="C1970" s="38"/>
      <c r="D1970" s="38" t="s">
        <v>9218</v>
      </c>
      <c r="E1970" s="38" t="s">
        <v>9219</v>
      </c>
      <c r="F1970" s="38" t="s">
        <v>9220</v>
      </c>
    </row>
    <row r="1971">
      <c r="B1971" s="38" t="s">
        <v>9221</v>
      </c>
      <c r="C1971" s="38" t="s">
        <v>9222</v>
      </c>
      <c r="D1971" s="44"/>
      <c r="E1971" s="38" t="s">
        <v>413</v>
      </c>
      <c r="F1971" s="38" t="s">
        <v>9223</v>
      </c>
    </row>
    <row r="1972">
      <c r="B1972" s="38" t="s">
        <v>9224</v>
      </c>
      <c r="C1972" s="38" t="s">
        <v>9225</v>
      </c>
      <c r="D1972" s="44"/>
      <c r="E1972" s="38" t="s">
        <v>413</v>
      </c>
      <c r="F1972" s="44"/>
    </row>
    <row r="1973">
      <c r="B1973" s="38" t="s">
        <v>214</v>
      </c>
      <c r="C1973" s="38">
        <v>1.0</v>
      </c>
      <c r="D1973" s="38" t="s">
        <v>294</v>
      </c>
      <c r="E1973" s="298" t="s">
        <v>9226</v>
      </c>
      <c r="F1973" s="38" t="s">
        <v>9227</v>
      </c>
    </row>
    <row r="1974">
      <c r="B1974" s="38" t="s">
        <v>479</v>
      </c>
      <c r="C1974" s="38">
        <v>2.0</v>
      </c>
      <c r="D1974" s="38" t="s">
        <v>2097</v>
      </c>
      <c r="E1974" s="38" t="s">
        <v>396</v>
      </c>
      <c r="F1974" s="38" t="s">
        <v>9228</v>
      </c>
    </row>
    <row r="1975">
      <c r="B1975" s="38" t="s">
        <v>122</v>
      </c>
      <c r="C1975" s="38">
        <v>4.0</v>
      </c>
      <c r="D1975" s="38" t="s">
        <v>8513</v>
      </c>
      <c r="E1975" s="38" t="s">
        <v>9229</v>
      </c>
      <c r="F1975" s="38" t="s">
        <v>9230</v>
      </c>
    </row>
    <row r="1976">
      <c r="A1976" s="65">
        <v>44390.0</v>
      </c>
      <c r="B1976" s="38" t="s">
        <v>9231</v>
      </c>
      <c r="C1976" s="47" t="s">
        <v>9232</v>
      </c>
      <c r="D1976" s="38" t="s">
        <v>9233</v>
      </c>
      <c r="E1976" s="38" t="s">
        <v>9234</v>
      </c>
      <c r="F1976" s="38" t="s">
        <v>9235</v>
      </c>
      <c r="G1976" s="38" t="s">
        <v>9236</v>
      </c>
    </row>
    <row r="1977">
      <c r="A1977" s="38" t="s">
        <v>9237</v>
      </c>
      <c r="B1977" s="424" t="s">
        <v>9238</v>
      </c>
      <c r="C1977" s="38" t="s">
        <v>9239</v>
      </c>
      <c r="D1977" s="47" t="s">
        <v>9240</v>
      </c>
      <c r="E1977" s="38" t="s">
        <v>9234</v>
      </c>
      <c r="F1977" s="38" t="s">
        <v>9241</v>
      </c>
      <c r="G1977" s="38" t="s">
        <v>9236</v>
      </c>
    </row>
    <row r="1978">
      <c r="B1978" s="44"/>
      <c r="C1978" s="44"/>
      <c r="D1978" s="38" t="s">
        <v>9242</v>
      </c>
      <c r="E1978" s="38" t="s">
        <v>2613</v>
      </c>
      <c r="F1978" s="38" t="s">
        <v>9243</v>
      </c>
    </row>
    <row r="1979">
      <c r="B1979" s="305" t="s">
        <v>9244</v>
      </c>
      <c r="C1979" s="305" t="s">
        <v>9245</v>
      </c>
      <c r="D1979" s="352" t="s">
        <v>9246</v>
      </c>
      <c r="E1979" s="38" t="s">
        <v>9247</v>
      </c>
      <c r="F1979" s="38" t="s">
        <v>1943</v>
      </c>
    </row>
    <row r="1980">
      <c r="B1980" s="38" t="s">
        <v>9248</v>
      </c>
      <c r="C1980" s="44"/>
      <c r="D1980" s="44"/>
      <c r="E1980" s="38" t="s">
        <v>9249</v>
      </c>
      <c r="F1980" s="38" t="s">
        <v>1808</v>
      </c>
      <c r="G1980" s="38" t="s">
        <v>4421</v>
      </c>
    </row>
    <row r="1981">
      <c r="B1981" s="38" t="s">
        <v>4563</v>
      </c>
      <c r="C1981" s="38">
        <v>1.0</v>
      </c>
      <c r="D1981" s="38" t="s">
        <v>9250</v>
      </c>
      <c r="E1981" s="38" t="s">
        <v>418</v>
      </c>
      <c r="F1981" s="38" t="s">
        <v>9251</v>
      </c>
    </row>
    <row r="1982">
      <c r="B1982" s="353" t="s">
        <v>6347</v>
      </c>
      <c r="C1982" s="38" t="s">
        <v>9252</v>
      </c>
      <c r="D1982" s="38" t="s">
        <v>3573</v>
      </c>
      <c r="E1982" s="38" t="s">
        <v>4762</v>
      </c>
      <c r="F1982" s="38" t="s">
        <v>9253</v>
      </c>
    </row>
    <row r="1983">
      <c r="B1983" s="38" t="s">
        <v>140</v>
      </c>
      <c r="C1983" s="38">
        <v>4.0</v>
      </c>
      <c r="D1983" s="38" t="s">
        <v>206</v>
      </c>
      <c r="E1983" s="38" t="s">
        <v>1141</v>
      </c>
      <c r="F1983" s="38" t="s">
        <v>9061</v>
      </c>
    </row>
    <row r="1984">
      <c r="B1984" s="38" t="s">
        <v>22</v>
      </c>
      <c r="C1984" s="38">
        <v>2.0</v>
      </c>
      <c r="D1984" s="38" t="s">
        <v>289</v>
      </c>
      <c r="E1984" s="275" t="s">
        <v>9254</v>
      </c>
      <c r="F1984" s="425" t="s">
        <v>9255</v>
      </c>
    </row>
    <row r="1985">
      <c r="B1985" s="38" t="s">
        <v>9256</v>
      </c>
      <c r="C1985" s="44"/>
      <c r="D1985" s="44"/>
      <c r="E1985" s="38" t="s">
        <v>9257</v>
      </c>
      <c r="F1985" s="38" t="s">
        <v>4421</v>
      </c>
    </row>
    <row r="1986">
      <c r="B1986" s="38" t="s">
        <v>43</v>
      </c>
      <c r="C1986" s="38">
        <v>2.0</v>
      </c>
      <c r="D1986" s="38" t="s">
        <v>9258</v>
      </c>
      <c r="E1986" s="38" t="s">
        <v>873</v>
      </c>
      <c r="F1986" s="38" t="s">
        <v>9259</v>
      </c>
    </row>
    <row r="1987">
      <c r="B1987" s="38" t="s">
        <v>47</v>
      </c>
      <c r="C1987" s="38">
        <v>2.0</v>
      </c>
      <c r="D1987" s="38" t="s">
        <v>9258</v>
      </c>
      <c r="E1987" s="38" t="s">
        <v>873</v>
      </c>
      <c r="F1987" s="38" t="s">
        <v>9259</v>
      </c>
    </row>
    <row r="1988">
      <c r="B1988" s="335" t="s">
        <v>9260</v>
      </c>
      <c r="C1988" s="305" t="s">
        <v>9261</v>
      </c>
      <c r="D1988" s="305" t="s">
        <v>9262</v>
      </c>
      <c r="E1988" s="38" t="s">
        <v>5366</v>
      </c>
      <c r="F1988" s="38" t="s">
        <v>9263</v>
      </c>
    </row>
    <row r="1989">
      <c r="B1989" s="331"/>
      <c r="C1989" s="38" t="s">
        <v>9264</v>
      </c>
      <c r="D1989" s="426" t="s">
        <v>9265</v>
      </c>
      <c r="E1989" s="281" t="s">
        <v>9266</v>
      </c>
      <c r="F1989" s="44"/>
    </row>
    <row r="1990">
      <c r="B1990" s="305" t="s">
        <v>9267</v>
      </c>
      <c r="C1990" s="305" t="s">
        <v>4683</v>
      </c>
      <c r="D1990" s="38" t="s">
        <v>1540</v>
      </c>
      <c r="E1990" s="38" t="s">
        <v>5033</v>
      </c>
      <c r="F1990" s="38" t="s">
        <v>9268</v>
      </c>
      <c r="G1990" s="38" t="s">
        <v>144</v>
      </c>
    </row>
    <row r="1991">
      <c r="B1991" s="38" t="s">
        <v>25</v>
      </c>
      <c r="C1991" s="38">
        <v>4.0</v>
      </c>
      <c r="D1991" s="38" t="s">
        <v>1305</v>
      </c>
      <c r="E1991" s="38" t="s">
        <v>9269</v>
      </c>
      <c r="F1991" s="38" t="s">
        <v>9270</v>
      </c>
    </row>
    <row r="1992">
      <c r="B1992" s="38" t="s">
        <v>9271</v>
      </c>
      <c r="C1992" s="44"/>
      <c r="D1992" s="331" t="s">
        <v>9272</v>
      </c>
      <c r="E1992" s="38" t="s">
        <v>6805</v>
      </c>
      <c r="F1992" s="38" t="s">
        <v>4421</v>
      </c>
    </row>
    <row r="1993">
      <c r="B1993" s="44"/>
      <c r="C1993" s="38" t="s">
        <v>9273</v>
      </c>
      <c r="D1993" s="390" t="s">
        <v>9274</v>
      </c>
      <c r="E1993" s="38" t="s">
        <v>4959</v>
      </c>
      <c r="F1993" s="38" t="s">
        <v>9038</v>
      </c>
    </row>
    <row r="1994">
      <c r="B1994" s="44"/>
      <c r="C1994" s="38" t="s">
        <v>9275</v>
      </c>
      <c r="D1994" s="38" t="s">
        <v>9276</v>
      </c>
      <c r="E1994" s="38" t="s">
        <v>9277</v>
      </c>
      <c r="F1994" s="38" t="s">
        <v>9236</v>
      </c>
    </row>
    <row r="1995">
      <c r="B1995" s="44"/>
      <c r="C1995" s="44"/>
      <c r="D1995" s="38" t="s">
        <v>9278</v>
      </c>
      <c r="E1995" s="38" t="s">
        <v>9279</v>
      </c>
      <c r="F1995" s="47" t="s">
        <v>9280</v>
      </c>
      <c r="G1995" s="38" t="s">
        <v>9281</v>
      </c>
    </row>
    <row r="1996">
      <c r="B1996" s="38" t="s">
        <v>354</v>
      </c>
      <c r="C1996" s="38">
        <v>4.0</v>
      </c>
      <c r="D1996" s="38" t="s">
        <v>9282</v>
      </c>
      <c r="E1996" s="38" t="s">
        <v>9283</v>
      </c>
      <c r="F1996" s="38" t="s">
        <v>9284</v>
      </c>
      <c r="G1996" s="38" t="s">
        <v>9281</v>
      </c>
    </row>
    <row r="1997">
      <c r="A1997" s="1"/>
      <c r="B1997" s="38" t="s">
        <v>1349</v>
      </c>
      <c r="C1997" s="38">
        <v>1.0</v>
      </c>
      <c r="D1997" s="38" t="s">
        <v>1109</v>
      </c>
      <c r="E1997" s="38" t="s">
        <v>9285</v>
      </c>
      <c r="F1997" s="38" t="s">
        <v>6740</v>
      </c>
    </row>
    <row r="1998">
      <c r="B1998" s="38" t="s">
        <v>205</v>
      </c>
      <c r="C1998" s="38">
        <v>2.0</v>
      </c>
      <c r="D1998" s="38" t="s">
        <v>5035</v>
      </c>
      <c r="E1998" s="38" t="s">
        <v>9286</v>
      </c>
      <c r="F1998" s="38" t="s">
        <v>9287</v>
      </c>
    </row>
    <row r="1999">
      <c r="B1999" s="38" t="s">
        <v>140</v>
      </c>
      <c r="C1999" s="38">
        <v>4.0</v>
      </c>
      <c r="D1999" s="38" t="s">
        <v>9288</v>
      </c>
      <c r="E1999" s="38" t="s">
        <v>9289</v>
      </c>
      <c r="F1999" s="38" t="s">
        <v>9290</v>
      </c>
    </row>
    <row r="2000">
      <c r="B2000" s="38" t="s">
        <v>3853</v>
      </c>
      <c r="C2000" s="38">
        <v>4.0</v>
      </c>
      <c r="D2000" s="38" t="s">
        <v>9291</v>
      </c>
      <c r="E2000" s="38" t="s">
        <v>9292</v>
      </c>
      <c r="F2000" s="38" t="s">
        <v>9293</v>
      </c>
    </row>
    <row r="2001">
      <c r="B2001" s="38"/>
      <c r="C2001" s="38">
        <v>1.0</v>
      </c>
      <c r="D2001" s="38" t="s">
        <v>9294</v>
      </c>
      <c r="E2001" s="38" t="s">
        <v>9292</v>
      </c>
      <c r="F2001" s="38" t="s">
        <v>9293</v>
      </c>
    </row>
    <row r="2002">
      <c r="B2002" s="38" t="s">
        <v>25</v>
      </c>
      <c r="C2002" s="38">
        <v>2.0</v>
      </c>
      <c r="D2002" s="38" t="s">
        <v>9295</v>
      </c>
      <c r="E2002" s="281" t="s">
        <v>7001</v>
      </c>
      <c r="F2002" s="38" t="s">
        <v>9296</v>
      </c>
    </row>
    <row r="2003">
      <c r="B2003" s="38" t="s">
        <v>3725</v>
      </c>
      <c r="C2003" s="38">
        <v>4.0</v>
      </c>
      <c r="D2003" s="38" t="s">
        <v>36</v>
      </c>
      <c r="E2003" s="38" t="s">
        <v>9297</v>
      </c>
      <c r="F2003" s="38" t="s">
        <v>9298</v>
      </c>
    </row>
    <row r="2004">
      <c r="B2004" s="47" t="s">
        <v>25</v>
      </c>
      <c r="C2004" s="47">
        <v>4.0</v>
      </c>
      <c r="D2004" s="47" t="s">
        <v>8285</v>
      </c>
      <c r="E2004" s="47" t="s">
        <v>9299</v>
      </c>
      <c r="F2004" s="38" t="s">
        <v>9300</v>
      </c>
    </row>
    <row r="2005">
      <c r="B2005" s="47" t="s">
        <v>1432</v>
      </c>
      <c r="C2005" s="47">
        <v>4.0</v>
      </c>
      <c r="D2005" s="47" t="s">
        <v>8285</v>
      </c>
      <c r="E2005" s="47" t="s">
        <v>9299</v>
      </c>
      <c r="F2005" s="38" t="s">
        <v>9301</v>
      </c>
    </row>
    <row r="2006">
      <c r="B2006" s="44"/>
      <c r="C2006" s="38" t="s">
        <v>9302</v>
      </c>
      <c r="D2006" s="38" t="s">
        <v>9303</v>
      </c>
      <c r="E2006" s="38" t="s">
        <v>5615</v>
      </c>
      <c r="F2006" s="38" t="s">
        <v>9304</v>
      </c>
      <c r="G2006" s="38" t="s">
        <v>9186</v>
      </c>
    </row>
    <row r="2007">
      <c r="B2007" s="47" t="s">
        <v>9305</v>
      </c>
      <c r="C2007" s="47" t="s">
        <v>9306</v>
      </c>
      <c r="D2007" s="38" t="s">
        <v>9307</v>
      </c>
      <c r="E2007" s="38" t="s">
        <v>2382</v>
      </c>
      <c r="F2007" s="38" t="s">
        <v>9308</v>
      </c>
      <c r="G2007" s="38" t="s">
        <v>8753</v>
      </c>
    </row>
    <row r="2008">
      <c r="B2008" s="38" t="s">
        <v>9309</v>
      </c>
      <c r="C2008" s="284" t="s">
        <v>1200</v>
      </c>
      <c r="D2008" s="427" t="s">
        <v>9310</v>
      </c>
      <c r="E2008" s="289" t="s">
        <v>9311</v>
      </c>
      <c r="F2008" s="428" t="s">
        <v>9312</v>
      </c>
      <c r="G2008" s="289" t="s">
        <v>9313</v>
      </c>
      <c r="H2008" s="429"/>
    </row>
    <row r="2009">
      <c r="B2009" s="47" t="s">
        <v>9314</v>
      </c>
      <c r="C2009" s="38" t="s">
        <v>9315</v>
      </c>
      <c r="D2009" s="47" t="s">
        <v>9316</v>
      </c>
      <c r="E2009" s="38" t="s">
        <v>217</v>
      </c>
      <c r="F2009" s="305" t="s">
        <v>9317</v>
      </c>
      <c r="G2009" s="38" t="s">
        <v>4421</v>
      </c>
    </row>
    <row r="2010">
      <c r="B2010" s="38" t="s">
        <v>9318</v>
      </c>
      <c r="C2010" s="38" t="s">
        <v>9319</v>
      </c>
      <c r="D2010" s="47" t="s">
        <v>9320</v>
      </c>
      <c r="E2010" s="38" t="s">
        <v>217</v>
      </c>
      <c r="F2010" s="38" t="s">
        <v>9321</v>
      </c>
      <c r="G2010" s="38" t="s">
        <v>4421</v>
      </c>
    </row>
    <row r="2011">
      <c r="B2011" s="44"/>
      <c r="C2011" s="44"/>
      <c r="D2011" s="44"/>
      <c r="E2011" s="38" t="s">
        <v>9322</v>
      </c>
      <c r="F2011" s="44"/>
      <c r="G2011" s="38" t="s">
        <v>4421</v>
      </c>
    </row>
    <row r="2012">
      <c r="B2012" s="44"/>
      <c r="C2012" s="44"/>
      <c r="D2012" s="38" t="s">
        <v>9323</v>
      </c>
      <c r="E2012" s="38" t="s">
        <v>9324</v>
      </c>
      <c r="F2012" s="38" t="s">
        <v>9325</v>
      </c>
    </row>
    <row r="2013">
      <c r="B2013" s="44"/>
      <c r="C2013" s="44"/>
      <c r="D2013" s="38" t="s">
        <v>9326</v>
      </c>
      <c r="E2013" s="38" t="s">
        <v>9324</v>
      </c>
      <c r="F2013" s="38" t="s">
        <v>9157</v>
      </c>
    </row>
    <row r="2014">
      <c r="B2014" s="44"/>
      <c r="C2014" s="38">
        <v>4.0</v>
      </c>
      <c r="D2014" s="38" t="s">
        <v>9327</v>
      </c>
      <c r="E2014" s="38" t="s">
        <v>5158</v>
      </c>
      <c r="F2014" s="38" t="s">
        <v>9328</v>
      </c>
      <c r="G2014" s="38" t="s">
        <v>9329</v>
      </c>
    </row>
    <row r="2015">
      <c r="B2015" s="38" t="s">
        <v>718</v>
      </c>
      <c r="C2015" s="38">
        <v>4.0</v>
      </c>
      <c r="D2015" s="38" t="s">
        <v>315</v>
      </c>
      <c r="E2015" s="38" t="s">
        <v>5158</v>
      </c>
      <c r="F2015" s="38" t="s">
        <v>9330</v>
      </c>
      <c r="G2015" s="38" t="s">
        <v>4421</v>
      </c>
    </row>
    <row r="2016">
      <c r="B2016" s="38" t="s">
        <v>9331</v>
      </c>
      <c r="C2016" s="38" t="s">
        <v>9332</v>
      </c>
      <c r="D2016" s="44"/>
      <c r="E2016" s="38" t="s">
        <v>5158</v>
      </c>
      <c r="F2016" s="44"/>
      <c r="G2016" s="38" t="s">
        <v>4421</v>
      </c>
    </row>
    <row r="2017">
      <c r="B2017" s="38"/>
      <c r="C2017" s="38"/>
      <c r="D2017" s="38" t="s">
        <v>9333</v>
      </c>
      <c r="E2017" s="38" t="s">
        <v>5158</v>
      </c>
      <c r="F2017" s="38" t="s">
        <v>9334</v>
      </c>
    </row>
    <row r="2018">
      <c r="B2018" s="38" t="s">
        <v>9335</v>
      </c>
      <c r="C2018" s="38">
        <v>4.0</v>
      </c>
      <c r="D2018" s="38" t="s">
        <v>9336</v>
      </c>
      <c r="E2018" s="274" t="s">
        <v>9337</v>
      </c>
      <c r="F2018" s="38" t="s">
        <v>9338</v>
      </c>
    </row>
    <row r="2019">
      <c r="B2019" s="38" t="s">
        <v>2333</v>
      </c>
      <c r="C2019" s="38">
        <v>4.0</v>
      </c>
      <c r="D2019" s="38" t="s">
        <v>9339</v>
      </c>
      <c r="E2019" s="38" t="s">
        <v>9340</v>
      </c>
      <c r="F2019" s="38" t="s">
        <v>9341</v>
      </c>
    </row>
    <row r="2020">
      <c r="B2020" s="38" t="s">
        <v>411</v>
      </c>
      <c r="C2020" s="38">
        <v>4.0</v>
      </c>
      <c r="D2020" s="38" t="s">
        <v>9342</v>
      </c>
      <c r="E2020" s="38" t="s">
        <v>9343</v>
      </c>
      <c r="F2020" s="38" t="s">
        <v>9344</v>
      </c>
      <c r="G2020" s="38" t="s">
        <v>9345</v>
      </c>
    </row>
    <row r="2021">
      <c r="A2021" s="5"/>
      <c r="B2021" s="38" t="s">
        <v>183</v>
      </c>
      <c r="C2021" s="38">
        <v>4.0</v>
      </c>
      <c r="D2021" s="38" t="s">
        <v>1084</v>
      </c>
      <c r="E2021" s="38" t="s">
        <v>9346</v>
      </c>
      <c r="F2021" s="38" t="s">
        <v>9347</v>
      </c>
      <c r="G2021" s="38" t="s">
        <v>9348</v>
      </c>
    </row>
    <row r="2022">
      <c r="A2022" s="5"/>
      <c r="B2022" s="38"/>
      <c r="C2022" s="38">
        <v>4.0</v>
      </c>
      <c r="D2022" s="38" t="s">
        <v>9349</v>
      </c>
      <c r="E2022" s="38" t="s">
        <v>9346</v>
      </c>
      <c r="F2022" s="38" t="s">
        <v>9350</v>
      </c>
    </row>
    <row r="2023">
      <c r="A2023" s="1"/>
      <c r="B2023" s="38"/>
      <c r="C2023" s="38"/>
      <c r="D2023" s="44"/>
      <c r="E2023" s="38" t="s">
        <v>9351</v>
      </c>
      <c r="F2023" s="38" t="s">
        <v>9352</v>
      </c>
    </row>
    <row r="2024">
      <c r="A2024" s="1"/>
      <c r="B2024" s="38" t="s">
        <v>9353</v>
      </c>
      <c r="C2024" s="38"/>
      <c r="D2024" s="304" t="s">
        <v>9354</v>
      </c>
      <c r="E2024" s="38" t="s">
        <v>9355</v>
      </c>
      <c r="F2024" s="38" t="s">
        <v>9356</v>
      </c>
    </row>
    <row r="2025">
      <c r="A2025" s="38" t="s">
        <v>1113</v>
      </c>
      <c r="B2025" s="38" t="s">
        <v>4405</v>
      </c>
      <c r="C2025" s="38">
        <v>4.0</v>
      </c>
      <c r="D2025" s="38" t="s">
        <v>1084</v>
      </c>
      <c r="E2025" s="38" t="s">
        <v>413</v>
      </c>
      <c r="F2025" s="38" t="s">
        <v>9357</v>
      </c>
    </row>
    <row r="2026">
      <c r="A2026" s="38" t="s">
        <v>1113</v>
      </c>
      <c r="B2026" s="38" t="s">
        <v>718</v>
      </c>
      <c r="C2026" s="38">
        <v>4.0</v>
      </c>
      <c r="D2026" s="38" t="s">
        <v>684</v>
      </c>
      <c r="E2026" s="38" t="s">
        <v>5158</v>
      </c>
      <c r="F2026" s="38" t="s">
        <v>9329</v>
      </c>
    </row>
    <row r="2027">
      <c r="A2027" s="38"/>
      <c r="B2027" s="38"/>
      <c r="C2027" s="38"/>
      <c r="D2027" s="38" t="s">
        <v>9358</v>
      </c>
      <c r="E2027" s="38" t="s">
        <v>5158</v>
      </c>
      <c r="F2027" s="38" t="s">
        <v>9359</v>
      </c>
      <c r="G2027" s="1" t="s">
        <v>144</v>
      </c>
    </row>
    <row r="2028">
      <c r="A2028" s="5"/>
      <c r="B2028" s="38" t="s">
        <v>271</v>
      </c>
      <c r="C2028" s="38">
        <v>4.0</v>
      </c>
      <c r="D2028" s="38" t="s">
        <v>684</v>
      </c>
      <c r="E2028" s="38" t="s">
        <v>9360</v>
      </c>
      <c r="F2028" s="38" t="s">
        <v>9361</v>
      </c>
    </row>
    <row r="2029">
      <c r="A2029" s="5"/>
      <c r="B2029" s="38" t="s">
        <v>219</v>
      </c>
      <c r="C2029" s="38">
        <v>4.0</v>
      </c>
      <c r="D2029" s="38" t="s">
        <v>9362</v>
      </c>
      <c r="E2029" s="38" t="s">
        <v>9363</v>
      </c>
      <c r="F2029" s="38" t="s">
        <v>9364</v>
      </c>
      <c r="G2029" s="8"/>
    </row>
    <row r="2030">
      <c r="A2030" s="5"/>
      <c r="B2030" s="38" t="s">
        <v>1264</v>
      </c>
      <c r="C2030" s="38">
        <v>4.0</v>
      </c>
      <c r="D2030" s="38" t="s">
        <v>9365</v>
      </c>
      <c r="E2030" s="38" t="s">
        <v>9366</v>
      </c>
      <c r="F2030" s="38" t="s">
        <v>9367</v>
      </c>
    </row>
    <row r="2031">
      <c r="A2031" s="1"/>
      <c r="B2031" s="38" t="s">
        <v>439</v>
      </c>
      <c r="C2031" s="38">
        <v>4.0</v>
      </c>
      <c r="D2031" s="38" t="s">
        <v>4383</v>
      </c>
      <c r="E2031" s="38" t="s">
        <v>9141</v>
      </c>
      <c r="F2031" s="38" t="s">
        <v>9368</v>
      </c>
    </row>
    <row r="2032">
      <c r="A2032" s="38" t="s">
        <v>1113</v>
      </c>
      <c r="B2032" s="38" t="s">
        <v>266</v>
      </c>
      <c r="C2032" s="38">
        <v>4.0</v>
      </c>
      <c r="D2032" s="38" t="s">
        <v>9369</v>
      </c>
      <c r="E2032" s="38" t="s">
        <v>9370</v>
      </c>
      <c r="F2032" s="38" t="s">
        <v>9371</v>
      </c>
    </row>
    <row r="2033">
      <c r="A2033" s="38" t="s">
        <v>1113</v>
      </c>
      <c r="B2033" s="38" t="s">
        <v>4563</v>
      </c>
      <c r="C2033" s="38">
        <v>4.0</v>
      </c>
      <c r="D2033" s="38" t="s">
        <v>9372</v>
      </c>
      <c r="E2033" s="38" t="s">
        <v>9373</v>
      </c>
      <c r="F2033" s="38" t="s">
        <v>9371</v>
      </c>
    </row>
    <row r="2034">
      <c r="A2034" s="38" t="s">
        <v>1113</v>
      </c>
      <c r="B2034" s="38" t="s">
        <v>430</v>
      </c>
      <c r="C2034" s="38">
        <v>4.0</v>
      </c>
      <c r="D2034" s="47" t="s">
        <v>9374</v>
      </c>
      <c r="E2034" s="38" t="s">
        <v>9375</v>
      </c>
      <c r="F2034" s="38" t="s">
        <v>9376</v>
      </c>
    </row>
    <row r="2035">
      <c r="A2035" s="38" t="s">
        <v>1113</v>
      </c>
      <c r="B2035" s="47" t="s">
        <v>7578</v>
      </c>
      <c r="C2035" s="47">
        <v>4.0</v>
      </c>
      <c r="D2035" s="47" t="s">
        <v>9377</v>
      </c>
      <c r="E2035" s="47" t="s">
        <v>9378</v>
      </c>
      <c r="F2035" s="38" t="s">
        <v>9371</v>
      </c>
    </row>
    <row r="2036">
      <c r="A2036" s="38" t="s">
        <v>1113</v>
      </c>
      <c r="B2036" s="38" t="s">
        <v>77</v>
      </c>
      <c r="C2036" s="38">
        <v>2.0</v>
      </c>
      <c r="D2036" s="38" t="s">
        <v>6192</v>
      </c>
      <c r="E2036" s="57" t="s">
        <v>8277</v>
      </c>
      <c r="F2036" s="38" t="s">
        <v>9371</v>
      </c>
    </row>
    <row r="2037">
      <c r="A2037" s="38" t="s">
        <v>1113</v>
      </c>
      <c r="B2037" s="38" t="s">
        <v>430</v>
      </c>
      <c r="C2037" s="38">
        <v>4.0</v>
      </c>
      <c r="D2037" s="47" t="s">
        <v>9374</v>
      </c>
      <c r="E2037" s="38" t="s">
        <v>9379</v>
      </c>
      <c r="F2037" s="38" t="s">
        <v>9371</v>
      </c>
    </row>
    <row r="2038">
      <c r="A2038" s="38" t="s">
        <v>1113</v>
      </c>
      <c r="B2038" s="38" t="s">
        <v>430</v>
      </c>
      <c r="C2038" s="38">
        <v>4.0</v>
      </c>
      <c r="D2038" s="47" t="s">
        <v>9374</v>
      </c>
      <c r="E2038" s="38" t="s">
        <v>9380</v>
      </c>
      <c r="F2038" s="40" t="s">
        <v>9371</v>
      </c>
    </row>
    <row r="2039">
      <c r="A2039" s="38" t="s">
        <v>1113</v>
      </c>
      <c r="B2039" s="38" t="s">
        <v>25</v>
      </c>
      <c r="C2039" s="38">
        <v>2.0</v>
      </c>
      <c r="D2039" s="38" t="s">
        <v>6167</v>
      </c>
      <c r="E2039" s="38" t="s">
        <v>9381</v>
      </c>
      <c r="F2039" s="38" t="s">
        <v>9371</v>
      </c>
    </row>
    <row r="2040">
      <c r="A2040" s="38" t="s">
        <v>1113</v>
      </c>
      <c r="B2040" s="38" t="s">
        <v>1010</v>
      </c>
      <c r="C2040" s="38">
        <v>2.0</v>
      </c>
      <c r="D2040" s="38" t="s">
        <v>8607</v>
      </c>
      <c r="E2040" s="356" t="s">
        <v>8300</v>
      </c>
      <c r="F2040" s="38" t="s">
        <v>9371</v>
      </c>
    </row>
    <row r="2041">
      <c r="A2041" s="38" t="s">
        <v>1113</v>
      </c>
      <c r="B2041" s="38" t="s">
        <v>876</v>
      </c>
      <c r="C2041" s="38">
        <v>4.0</v>
      </c>
      <c r="D2041" s="353" t="s">
        <v>9382</v>
      </c>
      <c r="E2041" s="38" t="s">
        <v>9383</v>
      </c>
      <c r="F2041" s="38" t="s">
        <v>9371</v>
      </c>
    </row>
    <row r="2042">
      <c r="A2042" s="38" t="s">
        <v>1113</v>
      </c>
      <c r="B2042" s="38" t="s">
        <v>31</v>
      </c>
      <c r="C2042" s="38">
        <v>2.0</v>
      </c>
      <c r="D2042" s="38" t="s">
        <v>289</v>
      </c>
      <c r="E2042" s="38" t="s">
        <v>9384</v>
      </c>
      <c r="F2042" s="38" t="s">
        <v>9371</v>
      </c>
    </row>
    <row r="2043">
      <c r="A2043" s="38" t="s">
        <v>1113</v>
      </c>
      <c r="B2043" s="38" t="s">
        <v>339</v>
      </c>
      <c r="C2043" s="38">
        <v>4.0</v>
      </c>
      <c r="D2043" s="38" t="s">
        <v>9385</v>
      </c>
      <c r="E2043" s="38" t="s">
        <v>8293</v>
      </c>
      <c r="F2043" s="38" t="s">
        <v>9371</v>
      </c>
    </row>
    <row r="2044">
      <c r="A2044" s="38" t="s">
        <v>1113</v>
      </c>
      <c r="B2044" s="38" t="s">
        <v>77</v>
      </c>
      <c r="C2044" s="38">
        <v>4.0</v>
      </c>
      <c r="D2044" s="38" t="s">
        <v>9386</v>
      </c>
      <c r="E2044" s="38" t="s">
        <v>5968</v>
      </c>
      <c r="F2044" s="38" t="s">
        <v>9371</v>
      </c>
    </row>
    <row r="2045">
      <c r="A2045" s="38" t="s">
        <v>1113</v>
      </c>
      <c r="B2045" s="38" t="s">
        <v>85</v>
      </c>
      <c r="C2045" s="38">
        <v>4.0</v>
      </c>
      <c r="D2045" s="38" t="s">
        <v>6920</v>
      </c>
      <c r="E2045" s="38" t="s">
        <v>3663</v>
      </c>
      <c r="F2045" s="38" t="s">
        <v>9387</v>
      </c>
    </row>
    <row r="2046">
      <c r="A2046" s="38" t="s">
        <v>1113</v>
      </c>
      <c r="B2046" s="38" t="s">
        <v>354</v>
      </c>
      <c r="C2046" s="38">
        <v>4.0</v>
      </c>
      <c r="D2046" s="38" t="s">
        <v>9388</v>
      </c>
      <c r="E2046" s="38" t="s">
        <v>9389</v>
      </c>
      <c r="F2046" s="38" t="s">
        <v>9390</v>
      </c>
      <c r="G2046" s="38" t="s">
        <v>9391</v>
      </c>
    </row>
    <row r="2047">
      <c r="A2047" s="38" t="s">
        <v>1113</v>
      </c>
      <c r="B2047" s="38" t="s">
        <v>949</v>
      </c>
      <c r="C2047" s="38">
        <v>4.0</v>
      </c>
      <c r="D2047" s="38" t="s">
        <v>6571</v>
      </c>
      <c r="E2047" s="38" t="s">
        <v>5705</v>
      </c>
      <c r="F2047" s="38" t="s">
        <v>9392</v>
      </c>
    </row>
    <row r="2048">
      <c r="A2048" s="38" t="s">
        <v>1113</v>
      </c>
      <c r="B2048" s="38" t="s">
        <v>183</v>
      </c>
      <c r="C2048" s="38">
        <v>4.0</v>
      </c>
      <c r="D2048" s="38" t="s">
        <v>289</v>
      </c>
      <c r="E2048" s="38" t="s">
        <v>9393</v>
      </c>
      <c r="F2048" s="38" t="s">
        <v>3432</v>
      </c>
    </row>
    <row r="2049">
      <c r="A2049" s="5"/>
      <c r="B2049" s="38" t="s">
        <v>3433</v>
      </c>
      <c r="C2049" s="38">
        <v>4.0</v>
      </c>
      <c r="D2049" s="38" t="s">
        <v>684</v>
      </c>
      <c r="E2049" s="38" t="s">
        <v>9394</v>
      </c>
      <c r="F2049" s="38" t="s">
        <v>9395</v>
      </c>
    </row>
    <row r="2050">
      <c r="A2050" s="5"/>
      <c r="B2050" s="38" t="s">
        <v>85</v>
      </c>
      <c r="C2050" s="38">
        <v>4.0</v>
      </c>
      <c r="D2050" s="38" t="s">
        <v>9396</v>
      </c>
      <c r="E2050" s="38" t="s">
        <v>9397</v>
      </c>
      <c r="F2050" s="38" t="s">
        <v>9398</v>
      </c>
    </row>
    <row r="2051">
      <c r="A2051" s="38" t="s">
        <v>1113</v>
      </c>
      <c r="B2051" s="38" t="s">
        <v>31</v>
      </c>
      <c r="C2051" s="38">
        <v>4.0</v>
      </c>
      <c r="D2051" s="59" t="s">
        <v>9399</v>
      </c>
      <c r="E2051" s="274" t="s">
        <v>9400</v>
      </c>
      <c r="F2051" s="38" t="s">
        <v>9401</v>
      </c>
      <c r="G2051" s="38" t="s">
        <v>9402</v>
      </c>
    </row>
    <row r="2052">
      <c r="B2052" s="38" t="s">
        <v>1285</v>
      </c>
      <c r="C2052" s="38">
        <v>4.0</v>
      </c>
      <c r="D2052" s="38" t="s">
        <v>9403</v>
      </c>
      <c r="E2052" s="38" t="s">
        <v>9404</v>
      </c>
      <c r="F2052" s="38" t="s">
        <v>9405</v>
      </c>
    </row>
    <row r="2055">
      <c r="B2055" s="47" t="s">
        <v>9406</v>
      </c>
      <c r="C2055" s="47" t="s">
        <v>9407</v>
      </c>
      <c r="D2055" s="47" t="s">
        <v>9408</v>
      </c>
      <c r="E2055" s="38" t="s">
        <v>9409</v>
      </c>
      <c r="F2055" s="38" t="s">
        <v>9410</v>
      </c>
    </row>
    <row r="2056">
      <c r="B2056" s="38" t="s">
        <v>3725</v>
      </c>
      <c r="C2056" s="38">
        <v>4.0</v>
      </c>
      <c r="D2056" s="38" t="s">
        <v>9411</v>
      </c>
      <c r="E2056" s="38" t="s">
        <v>9412</v>
      </c>
      <c r="F2056" s="38" t="s">
        <v>9413</v>
      </c>
    </row>
    <row r="2057">
      <c r="B2057" s="38" t="s">
        <v>9414</v>
      </c>
      <c r="C2057" s="38" t="s">
        <v>9415</v>
      </c>
      <c r="D2057" s="44"/>
      <c r="E2057" s="112" t="s">
        <v>9416</v>
      </c>
      <c r="F2057" s="38" t="s">
        <v>9417</v>
      </c>
    </row>
    <row r="2058">
      <c r="B2058" s="47" t="s">
        <v>9418</v>
      </c>
      <c r="C2058" s="47"/>
      <c r="D2058" s="47" t="s">
        <v>9419</v>
      </c>
      <c r="E2058" s="47" t="s">
        <v>9420</v>
      </c>
      <c r="F2058" s="47" t="s">
        <v>9421</v>
      </c>
    </row>
    <row r="2059">
      <c r="B2059" s="44"/>
      <c r="C2059" s="44"/>
      <c r="D2059" s="38" t="s">
        <v>9422</v>
      </c>
      <c r="E2059" s="38" t="s">
        <v>9423</v>
      </c>
      <c r="F2059" s="44"/>
    </row>
    <row r="2060">
      <c r="B2060" s="38" t="s">
        <v>210</v>
      </c>
      <c r="C2060" s="38">
        <v>1.0</v>
      </c>
      <c r="D2060" s="38" t="s">
        <v>294</v>
      </c>
      <c r="E2060" s="38" t="s">
        <v>873</v>
      </c>
      <c r="F2060" s="38" t="s">
        <v>9424</v>
      </c>
    </row>
    <row r="2061">
      <c r="B2061" s="47" t="s">
        <v>584</v>
      </c>
      <c r="C2061" s="47" t="s">
        <v>8257</v>
      </c>
      <c r="D2061" s="353" t="s">
        <v>9425</v>
      </c>
      <c r="E2061" s="38" t="s">
        <v>9426</v>
      </c>
      <c r="F2061" s="353" t="s">
        <v>2520</v>
      </c>
    </row>
    <row r="2062">
      <c r="B2062" s="430" t="s">
        <v>9427</v>
      </c>
      <c r="C2062" s="431" t="s">
        <v>9428</v>
      </c>
      <c r="D2062" s="38" t="s">
        <v>9429</v>
      </c>
      <c r="E2062" s="38" t="s">
        <v>9426</v>
      </c>
      <c r="F2062" s="38" t="s">
        <v>9430</v>
      </c>
    </row>
    <row r="2063">
      <c r="A2063" s="131" t="s">
        <v>9431</v>
      </c>
      <c r="B2063" s="432" t="s">
        <v>9432</v>
      </c>
      <c r="C2063" s="433" t="s">
        <v>9433</v>
      </c>
      <c r="D2063" s="131" t="s">
        <v>9434</v>
      </c>
      <c r="E2063" s="131" t="s">
        <v>2438</v>
      </c>
      <c r="F2063" s="433" t="s">
        <v>9435</v>
      </c>
    </row>
    <row r="2064">
      <c r="A2064" s="434">
        <v>44420.0</v>
      </c>
      <c r="B2064" s="435" t="s">
        <v>9436</v>
      </c>
      <c r="C2064" s="131" t="s">
        <v>9437</v>
      </c>
      <c r="D2064" s="433" t="s">
        <v>9438</v>
      </c>
      <c r="E2064" s="131" t="s">
        <v>2438</v>
      </c>
      <c r="F2064" s="436" t="s">
        <v>9439</v>
      </c>
    </row>
    <row r="2065">
      <c r="A2065" s="130"/>
      <c r="B2065" s="433" t="s">
        <v>9440</v>
      </c>
      <c r="C2065" s="131" t="s">
        <v>9441</v>
      </c>
      <c r="D2065" s="433"/>
      <c r="E2065" s="131" t="s">
        <v>2438</v>
      </c>
      <c r="F2065" s="435" t="s">
        <v>9442</v>
      </c>
    </row>
    <row r="2066">
      <c r="A2066" s="130"/>
      <c r="B2066" s="433" t="s">
        <v>25</v>
      </c>
      <c r="C2066" s="131">
        <v>4.0</v>
      </c>
      <c r="D2066" s="433" t="s">
        <v>9443</v>
      </c>
      <c r="E2066" s="131" t="s">
        <v>2438</v>
      </c>
      <c r="F2066" s="435" t="s">
        <v>9444</v>
      </c>
    </row>
    <row r="2067">
      <c r="A2067" s="130"/>
      <c r="B2067" s="433"/>
      <c r="C2067" s="131"/>
      <c r="D2067" s="433"/>
      <c r="E2067" s="131" t="s">
        <v>2438</v>
      </c>
      <c r="F2067" s="435" t="s">
        <v>9445</v>
      </c>
    </row>
    <row r="2068">
      <c r="B2068" s="47" t="s">
        <v>9446</v>
      </c>
      <c r="C2068" s="38" t="s">
        <v>4844</v>
      </c>
      <c r="D2068" s="38" t="s">
        <v>9447</v>
      </c>
      <c r="E2068" s="38" t="s">
        <v>1199</v>
      </c>
      <c r="F2068" s="44"/>
    </row>
    <row r="2069">
      <c r="B2069" s="38" t="s">
        <v>8704</v>
      </c>
      <c r="C2069" s="38">
        <v>2.0</v>
      </c>
      <c r="D2069" s="38" t="s">
        <v>1109</v>
      </c>
      <c r="E2069" s="38" t="s">
        <v>4959</v>
      </c>
      <c r="F2069" s="38" t="s">
        <v>9448</v>
      </c>
    </row>
    <row r="2070">
      <c r="B2070" s="38" t="s">
        <v>5596</v>
      </c>
      <c r="C2070" s="38">
        <v>16.0</v>
      </c>
      <c r="D2070" s="38" t="s">
        <v>9449</v>
      </c>
      <c r="E2070" s="281" t="s">
        <v>9450</v>
      </c>
      <c r="F2070" s="38" t="s">
        <v>9451</v>
      </c>
    </row>
    <row r="2071">
      <c r="B2071" s="38" t="s">
        <v>8619</v>
      </c>
      <c r="C2071" s="38">
        <v>2.0</v>
      </c>
      <c r="D2071" s="38" t="s">
        <v>8616</v>
      </c>
      <c r="E2071" s="38" t="s">
        <v>418</v>
      </c>
      <c r="F2071" s="38" t="s">
        <v>9452</v>
      </c>
    </row>
    <row r="2072">
      <c r="A2072" s="38" t="s">
        <v>9453</v>
      </c>
      <c r="B2072" s="38" t="s">
        <v>9454</v>
      </c>
      <c r="C2072" s="38" t="s">
        <v>9455</v>
      </c>
      <c r="D2072" s="85" t="s">
        <v>9456</v>
      </c>
      <c r="E2072" s="38" t="s">
        <v>9457</v>
      </c>
      <c r="F2072" s="38" t="s">
        <v>9458</v>
      </c>
    </row>
    <row r="2073">
      <c r="A2073" s="38" t="s">
        <v>9453</v>
      </c>
      <c r="B2073" s="38" t="s">
        <v>9459</v>
      </c>
      <c r="C2073" s="38" t="s">
        <v>9460</v>
      </c>
      <c r="D2073" s="85" t="s">
        <v>9461</v>
      </c>
      <c r="E2073" s="38" t="s">
        <v>9457</v>
      </c>
      <c r="F2073" s="38" t="s">
        <v>9462</v>
      </c>
    </row>
    <row r="2074">
      <c r="B2074" s="44"/>
      <c r="C2074" s="38" t="s">
        <v>9463</v>
      </c>
      <c r="D2074" s="44"/>
      <c r="E2074" s="38" t="s">
        <v>9464</v>
      </c>
      <c r="F2074" s="38" t="s">
        <v>9465</v>
      </c>
    </row>
    <row r="2075">
      <c r="B2075" s="38" t="s">
        <v>439</v>
      </c>
      <c r="C2075" s="38">
        <v>2.0</v>
      </c>
      <c r="D2075" s="38" t="s">
        <v>9466</v>
      </c>
      <c r="E2075" s="38" t="s">
        <v>4741</v>
      </c>
      <c r="F2075" s="38" t="s">
        <v>9467</v>
      </c>
    </row>
    <row r="2076">
      <c r="B2076" s="38" t="s">
        <v>9468</v>
      </c>
      <c r="C2076" s="390" t="s">
        <v>9469</v>
      </c>
      <c r="D2076" s="340" t="s">
        <v>9470</v>
      </c>
      <c r="E2076" s="38" t="s">
        <v>4478</v>
      </c>
      <c r="F2076" s="38" t="s">
        <v>9471</v>
      </c>
    </row>
    <row r="2077">
      <c r="B2077" s="305" t="s">
        <v>9143</v>
      </c>
      <c r="C2077" s="38" t="s">
        <v>9472</v>
      </c>
      <c r="D2077" s="352" t="s">
        <v>9473</v>
      </c>
      <c r="E2077" s="38" t="s">
        <v>2290</v>
      </c>
      <c r="F2077" s="38" t="s">
        <v>9474</v>
      </c>
      <c r="G2077" s="38" t="s">
        <v>9475</v>
      </c>
    </row>
    <row r="2078">
      <c r="B2078" s="305"/>
      <c r="C2078" s="38"/>
      <c r="D2078" s="352" t="s">
        <v>9476</v>
      </c>
      <c r="E2078" s="38" t="s">
        <v>2290</v>
      </c>
      <c r="F2078" s="38" t="s">
        <v>9477</v>
      </c>
      <c r="G2078" s="38" t="s">
        <v>9475</v>
      </c>
    </row>
    <row r="2079">
      <c r="B2079" s="44"/>
      <c r="C2079" s="38"/>
      <c r="D2079" s="389" t="s">
        <v>9478</v>
      </c>
      <c r="E2079" s="38" t="s">
        <v>2290</v>
      </c>
      <c r="F2079" s="38" t="s">
        <v>647</v>
      </c>
      <c r="G2079" s="38" t="s">
        <v>9475</v>
      </c>
    </row>
    <row r="2080">
      <c r="B2080" s="44"/>
      <c r="C2080" s="38" t="s">
        <v>9479</v>
      </c>
      <c r="D2080" s="44"/>
      <c r="E2080" s="38" t="s">
        <v>9480</v>
      </c>
      <c r="F2080" s="38" t="s">
        <v>9371</v>
      </c>
    </row>
    <row r="2081">
      <c r="B2081" s="38" t="s">
        <v>195</v>
      </c>
      <c r="C2081" s="38">
        <v>2.0</v>
      </c>
      <c r="D2081" s="38" t="s">
        <v>9481</v>
      </c>
      <c r="E2081" s="38" t="s">
        <v>6587</v>
      </c>
      <c r="F2081" s="38" t="s">
        <v>922</v>
      </c>
    </row>
    <row r="2082">
      <c r="B2082" s="38" t="s">
        <v>199</v>
      </c>
      <c r="C2082" s="38">
        <v>2.0</v>
      </c>
      <c r="D2082" s="38" t="s">
        <v>9481</v>
      </c>
      <c r="E2082" s="38" t="s">
        <v>6587</v>
      </c>
      <c r="F2082" s="38" t="s">
        <v>2218</v>
      </c>
    </row>
    <row r="2083">
      <c r="B2083" s="44"/>
      <c r="C2083" s="44"/>
      <c r="D2083" s="38" t="s">
        <v>9482</v>
      </c>
      <c r="E2083" s="38" t="s">
        <v>974</v>
      </c>
      <c r="F2083" s="38" t="s">
        <v>9483</v>
      </c>
      <c r="G2083" s="38" t="s">
        <v>4421</v>
      </c>
    </row>
    <row r="2084">
      <c r="C2084" s="1" t="s">
        <v>9484</v>
      </c>
      <c r="E2084" s="1" t="s">
        <v>1309</v>
      </c>
    </row>
    <row r="2085">
      <c r="B2085" s="85"/>
      <c r="C2085" s="85"/>
      <c r="D2085" s="38" t="s">
        <v>9485</v>
      </c>
      <c r="E2085" s="38" t="s">
        <v>392</v>
      </c>
      <c r="F2085" s="38" t="s">
        <v>9486</v>
      </c>
      <c r="G2085" s="44"/>
    </row>
    <row r="2086">
      <c r="B2086" s="85" t="s">
        <v>9487</v>
      </c>
      <c r="C2086" s="85" t="s">
        <v>9488</v>
      </c>
      <c r="D2086" s="38"/>
      <c r="E2086" s="38" t="s">
        <v>392</v>
      </c>
      <c r="F2086" s="38" t="s">
        <v>9489</v>
      </c>
      <c r="G2086" s="38" t="s">
        <v>9486</v>
      </c>
    </row>
    <row r="2087">
      <c r="B2087" s="85"/>
      <c r="C2087" s="85"/>
      <c r="D2087" s="38" t="s">
        <v>9490</v>
      </c>
      <c r="E2087" s="38" t="s">
        <v>5916</v>
      </c>
      <c r="F2087" s="38" t="s">
        <v>9491</v>
      </c>
      <c r="G2087" s="38" t="s">
        <v>9486</v>
      </c>
    </row>
    <row r="2088">
      <c r="B2088" s="44"/>
      <c r="C2088" s="47" t="s">
        <v>9492</v>
      </c>
      <c r="D2088" s="38" t="s">
        <v>9137</v>
      </c>
      <c r="E2088" s="38" t="s">
        <v>9493</v>
      </c>
      <c r="F2088" s="38" t="s">
        <v>9494</v>
      </c>
      <c r="G2088" s="38" t="s">
        <v>4421</v>
      </c>
    </row>
    <row r="2089">
      <c r="B2089" s="44"/>
      <c r="C2089" s="47"/>
      <c r="D2089" s="38"/>
      <c r="E2089" s="38" t="s">
        <v>9493</v>
      </c>
      <c r="F2089" s="38" t="s">
        <v>9495</v>
      </c>
      <c r="G2089" s="38" t="s">
        <v>4421</v>
      </c>
    </row>
    <row r="2090">
      <c r="B2090" s="38" t="s">
        <v>9496</v>
      </c>
      <c r="C2090" s="38" t="s">
        <v>9497</v>
      </c>
      <c r="D2090" s="47" t="s">
        <v>9498</v>
      </c>
      <c r="E2090" s="38" t="s">
        <v>6383</v>
      </c>
      <c r="F2090" s="38" t="s">
        <v>9499</v>
      </c>
      <c r="G2090" s="44"/>
    </row>
    <row r="2091">
      <c r="B2091" s="38" t="s">
        <v>9500</v>
      </c>
      <c r="C2091" s="38" t="s">
        <v>9501</v>
      </c>
      <c r="D2091" s="38" t="s">
        <v>9502</v>
      </c>
      <c r="E2091" s="38" t="s">
        <v>9503</v>
      </c>
      <c r="F2091" s="38" t="s">
        <v>9504</v>
      </c>
      <c r="G2091" s="38" t="s">
        <v>6034</v>
      </c>
    </row>
    <row r="2092">
      <c r="B2092" s="38" t="s">
        <v>479</v>
      </c>
      <c r="C2092" s="44"/>
      <c r="D2092" s="38" t="s">
        <v>4076</v>
      </c>
      <c r="E2092" s="38" t="s">
        <v>9505</v>
      </c>
      <c r="F2092" s="38" t="s">
        <v>9506</v>
      </c>
    </row>
    <row r="2093">
      <c r="B2093" s="38" t="s">
        <v>2276</v>
      </c>
      <c r="C2093" s="38">
        <v>1.0</v>
      </c>
      <c r="D2093" s="38" t="s">
        <v>9507</v>
      </c>
      <c r="E2093" s="38" t="s">
        <v>9508</v>
      </c>
      <c r="F2093" s="38" t="s">
        <v>9509</v>
      </c>
    </row>
    <row r="2094">
      <c r="B2094" s="38" t="s">
        <v>9510</v>
      </c>
      <c r="C2094" s="38"/>
      <c r="D2094" s="353" t="s">
        <v>9511</v>
      </c>
      <c r="E2094" s="38" t="s">
        <v>9508</v>
      </c>
      <c r="F2094" s="38" t="s">
        <v>9512</v>
      </c>
    </row>
    <row r="2095">
      <c r="B2095" s="294" t="s">
        <v>9513</v>
      </c>
      <c r="C2095" s="352" t="s">
        <v>9514</v>
      </c>
      <c r="D2095" s="38" t="s">
        <v>9515</v>
      </c>
      <c r="E2095" s="38" t="s">
        <v>9516</v>
      </c>
      <c r="F2095" s="38" t="s">
        <v>9517</v>
      </c>
    </row>
    <row r="2096">
      <c r="B2096" s="38" t="s">
        <v>4229</v>
      </c>
      <c r="C2096" s="38">
        <v>4.0</v>
      </c>
      <c r="D2096" s="38" t="s">
        <v>6073</v>
      </c>
      <c r="E2096" s="38" t="s">
        <v>9518</v>
      </c>
      <c r="F2096" s="38" t="s">
        <v>9519</v>
      </c>
    </row>
    <row r="2097">
      <c r="B2097" s="238" t="s">
        <v>9520</v>
      </c>
      <c r="C2097" s="238" t="s">
        <v>9521</v>
      </c>
      <c r="D2097" s="273" t="s">
        <v>9522</v>
      </c>
      <c r="E2097" s="1" t="s">
        <v>9523</v>
      </c>
      <c r="F2097" s="238" t="s">
        <v>9524</v>
      </c>
    </row>
    <row r="2098">
      <c r="D2098" s="238" t="s">
        <v>9525</v>
      </c>
      <c r="E2098" s="1" t="s">
        <v>9526</v>
      </c>
    </row>
    <row r="2099">
      <c r="B2099" s="38" t="s">
        <v>9527</v>
      </c>
      <c r="C2099" s="44"/>
      <c r="D2099" s="305" t="s">
        <v>9528</v>
      </c>
      <c r="E2099" s="38" t="s">
        <v>6688</v>
      </c>
      <c r="F2099" s="38" t="s">
        <v>9529</v>
      </c>
      <c r="G2099" s="38" t="s">
        <v>9530</v>
      </c>
    </row>
    <row r="2100">
      <c r="B2100" s="38" t="s">
        <v>9531</v>
      </c>
      <c r="C2100" s="38" t="s">
        <v>9532</v>
      </c>
      <c r="D2100" s="305" t="s">
        <v>9533</v>
      </c>
      <c r="E2100" s="38" t="s">
        <v>6688</v>
      </c>
      <c r="F2100" s="130"/>
      <c r="G2100" s="38" t="s">
        <v>9530</v>
      </c>
    </row>
    <row r="2101">
      <c r="B2101" s="38" t="s">
        <v>9534</v>
      </c>
      <c r="C2101" s="294" t="s">
        <v>9535</v>
      </c>
      <c r="D2101" s="294" t="s">
        <v>9536</v>
      </c>
      <c r="E2101" s="38" t="s">
        <v>4407</v>
      </c>
      <c r="F2101" s="38" t="s">
        <v>9537</v>
      </c>
    </row>
    <row r="2102">
      <c r="B2102" s="390" t="s">
        <v>9538</v>
      </c>
      <c r="C2102" s="44"/>
      <c r="D2102" s="305" t="s">
        <v>9539</v>
      </c>
      <c r="E2102" s="38" t="s">
        <v>9540</v>
      </c>
      <c r="F2102" s="38" t="s">
        <v>9541</v>
      </c>
      <c r="G2102" s="38" t="s">
        <v>4421</v>
      </c>
    </row>
    <row r="2103">
      <c r="B2103" s="38" t="s">
        <v>4420</v>
      </c>
      <c r="C2103" s="294" t="s">
        <v>9542</v>
      </c>
      <c r="D2103" s="332"/>
      <c r="E2103" s="38" t="s">
        <v>9540</v>
      </c>
      <c r="F2103" s="44"/>
      <c r="G2103" s="38" t="s">
        <v>4421</v>
      </c>
    </row>
    <row r="2104">
      <c r="B2104" s="38" t="s">
        <v>9543</v>
      </c>
      <c r="C2104" s="38" t="s">
        <v>9544</v>
      </c>
      <c r="D2104" s="437" t="s">
        <v>9545</v>
      </c>
      <c r="E2104" s="38" t="s">
        <v>9540</v>
      </c>
      <c r="F2104" s="38" t="s">
        <v>9546</v>
      </c>
      <c r="G2104" s="38" t="s">
        <v>4421</v>
      </c>
    </row>
    <row r="2105">
      <c r="B2105" s="352" t="s">
        <v>9547</v>
      </c>
      <c r="C2105" s="352" t="s">
        <v>9548</v>
      </c>
      <c r="D2105" s="305" t="s">
        <v>9549</v>
      </c>
      <c r="E2105" s="38" t="s">
        <v>9550</v>
      </c>
      <c r="F2105" s="305" t="s">
        <v>9551</v>
      </c>
    </row>
    <row r="2106">
      <c r="B2106" s="38" t="s">
        <v>9552</v>
      </c>
      <c r="C2106" s="38" t="s">
        <v>9553</v>
      </c>
      <c r="D2106" s="44"/>
      <c r="E2106" s="38" t="s">
        <v>9550</v>
      </c>
      <c r="F2106" s="44"/>
    </row>
    <row r="2107">
      <c r="B2107" s="44"/>
      <c r="C2107" s="38" t="s">
        <v>9554</v>
      </c>
      <c r="D2107" s="352" t="s">
        <v>9555</v>
      </c>
      <c r="E2107" s="38" t="s">
        <v>7104</v>
      </c>
      <c r="F2107" s="38" t="s">
        <v>8377</v>
      </c>
    </row>
    <row r="2108">
      <c r="B2108" s="38" t="s">
        <v>25</v>
      </c>
      <c r="C2108" s="38">
        <v>4.0</v>
      </c>
      <c r="D2108" s="38" t="s">
        <v>289</v>
      </c>
      <c r="E2108" s="38" t="s">
        <v>396</v>
      </c>
      <c r="F2108" s="38" t="s">
        <v>9556</v>
      </c>
    </row>
    <row r="2109">
      <c r="B2109" s="38" t="s">
        <v>9557</v>
      </c>
      <c r="C2109" s="38" t="s">
        <v>9558</v>
      </c>
      <c r="D2109" s="44"/>
      <c r="E2109" s="38" t="s">
        <v>9559</v>
      </c>
      <c r="F2109" s="38" t="s">
        <v>9560</v>
      </c>
      <c r="G2109" s="38" t="s">
        <v>9329</v>
      </c>
    </row>
    <row r="2110">
      <c r="B2110" s="38" t="s">
        <v>9561</v>
      </c>
      <c r="C2110" s="44"/>
      <c r="D2110" s="294" t="s">
        <v>9562</v>
      </c>
      <c r="E2110" s="38" t="s">
        <v>9563</v>
      </c>
      <c r="F2110" s="44"/>
      <c r="G2110" s="38" t="s">
        <v>9329</v>
      </c>
    </row>
    <row r="2111">
      <c r="B2111" s="294" t="s">
        <v>9564</v>
      </c>
      <c r="C2111" s="38" t="s">
        <v>9565</v>
      </c>
      <c r="D2111" s="38" t="s">
        <v>9566</v>
      </c>
      <c r="E2111" s="38" t="s">
        <v>9563</v>
      </c>
      <c r="F2111" s="38" t="s">
        <v>9567</v>
      </c>
      <c r="G2111" s="1" t="s">
        <v>9329</v>
      </c>
    </row>
    <row r="2112">
      <c r="B2112" s="44"/>
      <c r="C2112" s="38" t="s">
        <v>9568</v>
      </c>
      <c r="D2112" s="44"/>
      <c r="E2112" s="38" t="s">
        <v>9563</v>
      </c>
      <c r="F2112" s="38" t="s">
        <v>9569</v>
      </c>
      <c r="G2112" s="1" t="s">
        <v>9329</v>
      </c>
    </row>
    <row r="2113">
      <c r="B2113" s="38" t="s">
        <v>9570</v>
      </c>
      <c r="C2113" s="38" t="s">
        <v>9571</v>
      </c>
      <c r="D2113" s="38" t="s">
        <v>9572</v>
      </c>
      <c r="E2113" s="38" t="s">
        <v>9563</v>
      </c>
      <c r="F2113" s="38" t="s">
        <v>9573</v>
      </c>
      <c r="G2113" s="1" t="s">
        <v>9329</v>
      </c>
    </row>
    <row r="2114">
      <c r="B2114" s="38" t="s">
        <v>9574</v>
      </c>
      <c r="C2114" s="38" t="s">
        <v>9575</v>
      </c>
      <c r="D2114" s="38" t="s">
        <v>9576</v>
      </c>
      <c r="E2114" s="38" t="s">
        <v>9563</v>
      </c>
      <c r="F2114" s="38" t="s">
        <v>9577</v>
      </c>
      <c r="G2114" s="1" t="s">
        <v>9329</v>
      </c>
    </row>
    <row r="2115">
      <c r="B2115" s="38" t="s">
        <v>9578</v>
      </c>
      <c r="C2115" s="38" t="s">
        <v>9579</v>
      </c>
      <c r="D2115" s="38" t="s">
        <v>9580</v>
      </c>
      <c r="E2115" s="38" t="s">
        <v>9563</v>
      </c>
      <c r="F2115" s="38" t="s">
        <v>9581</v>
      </c>
      <c r="G2115" s="1" t="s">
        <v>9329</v>
      </c>
    </row>
    <row r="2116">
      <c r="B2116" s="38" t="s">
        <v>9582</v>
      </c>
      <c r="C2116" s="38" t="s">
        <v>9583</v>
      </c>
      <c r="D2116" s="294" t="s">
        <v>9584</v>
      </c>
      <c r="E2116" s="38" t="s">
        <v>9563</v>
      </c>
      <c r="F2116" s="294" t="s">
        <v>9585</v>
      </c>
      <c r="G2116" s="1" t="s">
        <v>9329</v>
      </c>
    </row>
    <row r="2117">
      <c r="B2117" s="44"/>
      <c r="C2117" s="38" t="s">
        <v>9586</v>
      </c>
      <c r="D2117" s="38" t="s">
        <v>9587</v>
      </c>
      <c r="E2117" s="38" t="s">
        <v>9563</v>
      </c>
      <c r="F2117" s="38" t="s">
        <v>9588</v>
      </c>
      <c r="G2117" s="1" t="s">
        <v>9329</v>
      </c>
    </row>
    <row r="2118">
      <c r="B2118" s="438" t="s">
        <v>9589</v>
      </c>
      <c r="C2118" s="125" t="s">
        <v>9590</v>
      </c>
      <c r="D2118" s="294" t="s">
        <v>9591</v>
      </c>
      <c r="E2118" s="38" t="s">
        <v>9563</v>
      </c>
      <c r="F2118" s="38" t="s">
        <v>9592</v>
      </c>
      <c r="G2118" s="1" t="s">
        <v>9329</v>
      </c>
    </row>
    <row r="2119">
      <c r="B2119" s="38" t="s">
        <v>9593</v>
      </c>
      <c r="C2119" s="38" t="s">
        <v>9594</v>
      </c>
      <c r="D2119" s="44"/>
      <c r="E2119" s="38" t="s">
        <v>9595</v>
      </c>
      <c r="F2119" s="38" t="s">
        <v>9329</v>
      </c>
    </row>
    <row r="2120">
      <c r="B2120" s="38" t="s">
        <v>9596</v>
      </c>
      <c r="C2120" s="44"/>
      <c r="D2120" s="38"/>
      <c r="E2120" s="38" t="s">
        <v>9563</v>
      </c>
      <c r="F2120" s="38" t="s">
        <v>9329</v>
      </c>
    </row>
    <row r="2121">
      <c r="B2121" s="294" t="s">
        <v>9597</v>
      </c>
      <c r="C2121" s="38" t="s">
        <v>9598</v>
      </c>
      <c r="D2121" s="38" t="s">
        <v>9599</v>
      </c>
      <c r="E2121" s="38" t="s">
        <v>9563</v>
      </c>
      <c r="F2121" s="38" t="s">
        <v>9329</v>
      </c>
    </row>
    <row r="2122">
      <c r="B2122" s="38" t="s">
        <v>9600</v>
      </c>
      <c r="C2122" s="38" t="s">
        <v>9601</v>
      </c>
      <c r="D2122" s="38" t="s">
        <v>9602</v>
      </c>
      <c r="E2122" s="38" t="s">
        <v>9563</v>
      </c>
      <c r="F2122" s="38" t="s">
        <v>9329</v>
      </c>
    </row>
    <row r="2123">
      <c r="B2123" s="44"/>
      <c r="C2123" s="38" t="s">
        <v>9603</v>
      </c>
      <c r="D2123" s="38" t="s">
        <v>9604</v>
      </c>
      <c r="E2123" s="38" t="s">
        <v>9605</v>
      </c>
      <c r="F2123" s="38" t="s">
        <v>9329</v>
      </c>
    </row>
    <row r="2124">
      <c r="B2124" s="38" t="s">
        <v>9606</v>
      </c>
      <c r="C2124" s="38" t="s">
        <v>1542</v>
      </c>
      <c r="D2124" s="38" t="s">
        <v>9607</v>
      </c>
      <c r="E2124" s="38" t="s">
        <v>7603</v>
      </c>
      <c r="F2124" s="439" t="s">
        <v>9608</v>
      </c>
      <c r="G2124" s="38" t="s">
        <v>9517</v>
      </c>
    </row>
    <row r="2125">
      <c r="B2125" s="38" t="s">
        <v>9609</v>
      </c>
      <c r="C2125" s="44"/>
      <c r="D2125" s="47" t="s">
        <v>9610</v>
      </c>
      <c r="E2125" s="38" t="s">
        <v>7603</v>
      </c>
      <c r="F2125" s="439" t="s">
        <v>9611</v>
      </c>
      <c r="G2125" s="38" t="s">
        <v>9517</v>
      </c>
    </row>
    <row r="2126">
      <c r="B2126" s="44"/>
      <c r="C2126" s="44"/>
      <c r="D2126" s="38" t="s">
        <v>9612</v>
      </c>
      <c r="E2126" s="38" t="s">
        <v>9540</v>
      </c>
      <c r="F2126" s="44"/>
      <c r="G2126" s="38" t="s">
        <v>144</v>
      </c>
    </row>
    <row r="2127">
      <c r="B2127" s="38" t="s">
        <v>9613</v>
      </c>
      <c r="C2127" s="38" t="s">
        <v>9614</v>
      </c>
      <c r="D2127" s="38" t="s">
        <v>9615</v>
      </c>
      <c r="E2127" s="38" t="s">
        <v>9616</v>
      </c>
      <c r="F2127" s="38" t="s">
        <v>9617</v>
      </c>
      <c r="G2127" s="38" t="s">
        <v>9618</v>
      </c>
    </row>
    <row r="2128">
      <c r="B2128" s="38" t="s">
        <v>9619</v>
      </c>
      <c r="C2128" s="47" t="s">
        <v>9620</v>
      </c>
      <c r="D2128" s="352" t="s">
        <v>9621</v>
      </c>
      <c r="E2128" s="38" t="s">
        <v>6688</v>
      </c>
      <c r="F2128" s="38" t="s">
        <v>9622</v>
      </c>
      <c r="G2128" s="38" t="s">
        <v>9530</v>
      </c>
    </row>
    <row r="2129">
      <c r="B2129" s="38" t="s">
        <v>9623</v>
      </c>
      <c r="C2129" s="47" t="s">
        <v>9624</v>
      </c>
      <c r="D2129" s="47" t="s">
        <v>9625</v>
      </c>
      <c r="E2129" s="38" t="s">
        <v>6688</v>
      </c>
      <c r="F2129" s="38" t="s">
        <v>9626</v>
      </c>
      <c r="G2129" s="38" t="s">
        <v>9530</v>
      </c>
    </row>
    <row r="2130">
      <c r="B2130" s="44"/>
      <c r="C2130" s="44"/>
      <c r="D2130" s="294" t="s">
        <v>9627</v>
      </c>
      <c r="E2130" s="38" t="s">
        <v>6688</v>
      </c>
      <c r="F2130" s="38" t="s">
        <v>9628</v>
      </c>
      <c r="G2130" s="38" t="s">
        <v>9530</v>
      </c>
    </row>
    <row r="2131">
      <c r="B2131" s="38" t="s">
        <v>9629</v>
      </c>
      <c r="C2131" s="47" t="s">
        <v>9630</v>
      </c>
      <c r="D2131" s="47" t="s">
        <v>9631</v>
      </c>
      <c r="E2131" s="38" t="s">
        <v>9559</v>
      </c>
      <c r="F2131" s="38" t="s">
        <v>9329</v>
      </c>
    </row>
    <row r="2132">
      <c r="B2132" s="38" t="s">
        <v>9632</v>
      </c>
      <c r="C2132" s="47" t="s">
        <v>9633</v>
      </c>
      <c r="D2132" s="38" t="s">
        <v>9634</v>
      </c>
      <c r="E2132" s="38" t="s">
        <v>9559</v>
      </c>
      <c r="F2132" s="38" t="s">
        <v>9329</v>
      </c>
    </row>
    <row r="2133">
      <c r="B2133" s="38" t="s">
        <v>9635</v>
      </c>
      <c r="C2133" s="47"/>
      <c r="D2133" s="44"/>
      <c r="E2133" s="38" t="s">
        <v>9559</v>
      </c>
      <c r="F2133" s="38" t="s">
        <v>9329</v>
      </c>
    </row>
    <row r="2134">
      <c r="B2134" s="38"/>
      <c r="C2134" s="47"/>
      <c r="D2134" s="38" t="s">
        <v>9636</v>
      </c>
      <c r="E2134" s="38" t="s">
        <v>9559</v>
      </c>
      <c r="F2134" s="38" t="s">
        <v>9329</v>
      </c>
    </row>
    <row r="2135">
      <c r="B2135" s="38"/>
      <c r="C2135" s="47"/>
      <c r="D2135" s="38"/>
      <c r="E2135" s="38" t="s">
        <v>9559</v>
      </c>
      <c r="F2135" s="38" t="s">
        <v>9637</v>
      </c>
      <c r="G2135" s="44"/>
    </row>
    <row r="2136">
      <c r="B2136" s="38" t="s">
        <v>2276</v>
      </c>
      <c r="C2136" s="38">
        <v>4.0</v>
      </c>
      <c r="D2136" s="38" t="s">
        <v>9638</v>
      </c>
      <c r="E2136" s="38" t="s">
        <v>9639</v>
      </c>
      <c r="F2136" s="38" t="s">
        <v>9640</v>
      </c>
      <c r="G2136" s="38" t="s">
        <v>144</v>
      </c>
    </row>
    <row r="2137">
      <c r="B2137" s="38" t="s">
        <v>128</v>
      </c>
      <c r="C2137" s="38">
        <v>4.0</v>
      </c>
      <c r="D2137" s="38" t="s">
        <v>9641</v>
      </c>
      <c r="E2137" s="295" t="s">
        <v>9642</v>
      </c>
      <c r="F2137" s="38" t="s">
        <v>9643</v>
      </c>
    </row>
    <row r="2138">
      <c r="B2138" s="38" t="s">
        <v>283</v>
      </c>
      <c r="C2138" s="38">
        <v>4.0</v>
      </c>
      <c r="D2138" s="38" t="s">
        <v>7274</v>
      </c>
      <c r="E2138" s="38" t="s">
        <v>9644</v>
      </c>
      <c r="F2138" s="38" t="s">
        <v>9645</v>
      </c>
    </row>
    <row r="2139">
      <c r="B2139" s="38" t="s">
        <v>81</v>
      </c>
      <c r="C2139" s="38">
        <v>4.0</v>
      </c>
      <c r="D2139" s="38" t="s">
        <v>6334</v>
      </c>
      <c r="E2139" s="38" t="s">
        <v>9644</v>
      </c>
      <c r="F2139" s="38" t="s">
        <v>9646</v>
      </c>
    </row>
    <row r="2140">
      <c r="B2140" s="280" t="s">
        <v>9647</v>
      </c>
      <c r="C2140" s="44"/>
      <c r="D2140" s="44"/>
      <c r="E2140" s="38" t="s">
        <v>9648</v>
      </c>
      <c r="F2140" s="38" t="s">
        <v>5063</v>
      </c>
    </row>
    <row r="2141">
      <c r="B2141" s="38" t="s">
        <v>8051</v>
      </c>
      <c r="C2141" s="38">
        <v>4.0</v>
      </c>
      <c r="D2141" s="38" t="s">
        <v>9649</v>
      </c>
      <c r="E2141" s="38" t="s">
        <v>9650</v>
      </c>
      <c r="F2141" s="38" t="s">
        <v>9651</v>
      </c>
    </row>
    <row r="2142">
      <c r="B2142" s="38" t="s">
        <v>9652</v>
      </c>
      <c r="C2142" s="38" t="s">
        <v>9653</v>
      </c>
      <c r="D2142" s="353" t="s">
        <v>9654</v>
      </c>
      <c r="E2142" s="38" t="s">
        <v>9655</v>
      </c>
      <c r="F2142" s="353" t="s">
        <v>9656</v>
      </c>
      <c r="G2142" s="353" t="s">
        <v>9657</v>
      </c>
    </row>
    <row r="2143">
      <c r="B2143" s="38" t="s">
        <v>31</v>
      </c>
      <c r="C2143" s="38">
        <v>4.0</v>
      </c>
      <c r="D2143" s="38" t="s">
        <v>2814</v>
      </c>
      <c r="E2143" s="274" t="s">
        <v>9658</v>
      </c>
      <c r="F2143" s="38" t="s">
        <v>9659</v>
      </c>
    </row>
    <row r="2144">
      <c r="B2144" s="44"/>
      <c r="C2144" s="44"/>
      <c r="D2144" s="38" t="s">
        <v>9660</v>
      </c>
      <c r="E2144" s="38" t="s">
        <v>9661</v>
      </c>
      <c r="F2144" s="38" t="s">
        <v>144</v>
      </c>
    </row>
    <row r="2145">
      <c r="B2145" s="44"/>
      <c r="C2145" s="44"/>
      <c r="D2145" s="38" t="s">
        <v>9662</v>
      </c>
      <c r="E2145" s="38" t="s">
        <v>9663</v>
      </c>
      <c r="F2145" s="38" t="s">
        <v>9664</v>
      </c>
    </row>
    <row r="2146">
      <c r="B2146" s="305" t="s">
        <v>9665</v>
      </c>
      <c r="C2146" s="38" t="s">
        <v>9666</v>
      </c>
      <c r="D2146" s="440" t="s">
        <v>9667</v>
      </c>
      <c r="E2146" s="38" t="s">
        <v>9668</v>
      </c>
      <c r="F2146" s="38" t="s">
        <v>9669</v>
      </c>
    </row>
    <row r="2147">
      <c r="B2147" s="44"/>
      <c r="C2147" s="38" t="s">
        <v>9670</v>
      </c>
      <c r="D2147" s="440" t="s">
        <v>9671</v>
      </c>
      <c r="E2147" s="38" t="s">
        <v>9668</v>
      </c>
      <c r="F2147" s="47" t="s">
        <v>9672</v>
      </c>
    </row>
    <row r="2148">
      <c r="B2148" s="38" t="s">
        <v>9673</v>
      </c>
      <c r="C2148" s="38" t="s">
        <v>9674</v>
      </c>
      <c r="D2148" s="440"/>
      <c r="E2148" s="38" t="s">
        <v>9668</v>
      </c>
      <c r="F2148" s="38" t="s">
        <v>9675</v>
      </c>
    </row>
    <row r="2149">
      <c r="B2149" s="38" t="s">
        <v>9676</v>
      </c>
      <c r="C2149" s="38" t="s">
        <v>9677</v>
      </c>
      <c r="D2149" s="38" t="s">
        <v>9678</v>
      </c>
      <c r="E2149" s="38" t="s">
        <v>1773</v>
      </c>
      <c r="F2149" s="38" t="s">
        <v>9679</v>
      </c>
    </row>
    <row r="2150">
      <c r="B2150" s="1" t="s">
        <v>647</v>
      </c>
      <c r="C2150" s="369" t="s">
        <v>9680</v>
      </c>
      <c r="D2150" s="369" t="s">
        <v>9681</v>
      </c>
      <c r="E2150" s="1" t="s">
        <v>9192</v>
      </c>
      <c r="F2150" s="1" t="s">
        <v>9682</v>
      </c>
    </row>
    <row r="2151">
      <c r="B2151" s="38" t="s">
        <v>25</v>
      </c>
      <c r="C2151" s="38">
        <v>4.0</v>
      </c>
      <c r="D2151" s="38" t="s">
        <v>1964</v>
      </c>
      <c r="E2151" s="38" t="s">
        <v>9683</v>
      </c>
      <c r="F2151" s="44"/>
    </row>
    <row r="2152">
      <c r="B2152" s="38" t="s">
        <v>3792</v>
      </c>
      <c r="C2152" s="38">
        <v>1.0</v>
      </c>
      <c r="D2152" s="38" t="s">
        <v>163</v>
      </c>
      <c r="E2152" s="38" t="s">
        <v>974</v>
      </c>
      <c r="F2152" s="38" t="s">
        <v>9684</v>
      </c>
      <c r="G2152" s="38" t="s">
        <v>4421</v>
      </c>
    </row>
    <row r="2153">
      <c r="B2153" s="38" t="s">
        <v>9685</v>
      </c>
      <c r="C2153" s="38" t="s">
        <v>9686</v>
      </c>
      <c r="D2153" s="38" t="s">
        <v>9687</v>
      </c>
      <c r="E2153" s="38" t="s">
        <v>974</v>
      </c>
      <c r="F2153" s="38" t="s">
        <v>9688</v>
      </c>
      <c r="G2153" s="38" t="s">
        <v>4421</v>
      </c>
    </row>
    <row r="2154">
      <c r="B2154" s="38" t="s">
        <v>9689</v>
      </c>
      <c r="C2154" s="38" t="s">
        <v>9690</v>
      </c>
      <c r="D2154" s="352" t="s">
        <v>9691</v>
      </c>
      <c r="E2154" s="38" t="s">
        <v>974</v>
      </c>
      <c r="F2154" s="390" t="s">
        <v>9692</v>
      </c>
      <c r="G2154" s="38" t="s">
        <v>4421</v>
      </c>
    </row>
    <row r="2155">
      <c r="B2155" s="38"/>
      <c r="C2155" s="38"/>
      <c r="D2155" s="352" t="s">
        <v>9693</v>
      </c>
      <c r="E2155" s="38" t="s">
        <v>974</v>
      </c>
      <c r="F2155" s="390" t="s">
        <v>9694</v>
      </c>
      <c r="G2155" s="38" t="s">
        <v>4421</v>
      </c>
    </row>
    <row r="2156">
      <c r="B2156" s="38"/>
      <c r="C2156" s="38"/>
      <c r="D2156" s="352"/>
      <c r="E2156" s="38" t="s">
        <v>974</v>
      </c>
      <c r="F2156" s="390" t="s">
        <v>9695</v>
      </c>
      <c r="G2156" s="38" t="s">
        <v>4421</v>
      </c>
    </row>
    <row r="2157">
      <c r="B2157" s="38" t="s">
        <v>2798</v>
      </c>
      <c r="C2157" s="38">
        <v>8.0</v>
      </c>
      <c r="D2157" s="38" t="s">
        <v>9449</v>
      </c>
      <c r="E2157" s="38" t="s">
        <v>9450</v>
      </c>
      <c r="F2157" s="38" t="s">
        <v>9696</v>
      </c>
      <c r="G2157" s="38" t="s">
        <v>9697</v>
      </c>
    </row>
    <row r="2158">
      <c r="B2158" s="38" t="s">
        <v>2798</v>
      </c>
      <c r="C2158" s="38">
        <v>8.0</v>
      </c>
      <c r="D2158" s="38" t="s">
        <v>9449</v>
      </c>
      <c r="E2158" s="38" t="s">
        <v>9450</v>
      </c>
      <c r="F2158" s="38" t="s">
        <v>9698</v>
      </c>
      <c r="G2158" s="38" t="s">
        <v>9697</v>
      </c>
    </row>
    <row r="2159">
      <c r="B2159" s="47" t="s">
        <v>9699</v>
      </c>
      <c r="C2159" s="44"/>
      <c r="D2159" s="44"/>
      <c r="E2159" s="38" t="s">
        <v>4846</v>
      </c>
      <c r="F2159" s="38" t="s">
        <v>9700</v>
      </c>
    </row>
    <row r="2160">
      <c r="B2160" s="38" t="s">
        <v>85</v>
      </c>
      <c r="C2160" s="38">
        <v>2.0</v>
      </c>
      <c r="D2160" s="38" t="s">
        <v>8513</v>
      </c>
      <c r="E2160" s="38" t="s">
        <v>9701</v>
      </c>
      <c r="F2160" s="38" t="s">
        <v>9702</v>
      </c>
    </row>
    <row r="2161">
      <c r="A2161" s="8"/>
      <c r="B2161" s="47" t="s">
        <v>9703</v>
      </c>
      <c r="C2161" s="47" t="s">
        <v>9704</v>
      </c>
      <c r="D2161" s="44"/>
      <c r="E2161" s="38" t="s">
        <v>5261</v>
      </c>
      <c r="F2161" s="38" t="s">
        <v>4650</v>
      </c>
    </row>
    <row r="2162">
      <c r="B2162" s="47" t="s">
        <v>9705</v>
      </c>
      <c r="C2162" s="47" t="s">
        <v>9706</v>
      </c>
      <c r="D2162" s="44"/>
      <c r="E2162" s="38" t="s">
        <v>886</v>
      </c>
      <c r="F2162" s="38" t="s">
        <v>9707</v>
      </c>
    </row>
    <row r="2163">
      <c r="B2163" s="38" t="s">
        <v>9708</v>
      </c>
      <c r="C2163" s="38">
        <v>4.0</v>
      </c>
      <c r="D2163" s="38" t="s">
        <v>1964</v>
      </c>
      <c r="E2163" s="38" t="s">
        <v>9709</v>
      </c>
      <c r="F2163" s="38" t="s">
        <v>9710</v>
      </c>
    </row>
    <row r="2164">
      <c r="B2164" s="44"/>
      <c r="C2164" s="38" t="s">
        <v>7824</v>
      </c>
      <c r="D2164" s="44"/>
      <c r="E2164" s="38" t="s">
        <v>9711</v>
      </c>
      <c r="F2164" s="44"/>
      <c r="G2164" s="38" t="s">
        <v>9220</v>
      </c>
    </row>
    <row r="2165">
      <c r="B2165" s="38" t="s">
        <v>9712</v>
      </c>
      <c r="C2165" s="38" t="s">
        <v>9713</v>
      </c>
      <c r="D2165" s="38" t="s">
        <v>9714</v>
      </c>
      <c r="E2165" s="47" t="s">
        <v>9711</v>
      </c>
      <c r="F2165" s="38" t="s">
        <v>9715</v>
      </c>
      <c r="G2165" s="38" t="s">
        <v>9220</v>
      </c>
    </row>
    <row r="2166">
      <c r="B2166" s="38" t="s">
        <v>9716</v>
      </c>
      <c r="C2166" s="44"/>
      <c r="D2166" s="38" t="s">
        <v>9717</v>
      </c>
      <c r="E2166" s="38" t="s">
        <v>9718</v>
      </c>
      <c r="F2166" s="38" t="s">
        <v>9719</v>
      </c>
    </row>
    <row r="2167">
      <c r="B2167" s="441" t="s">
        <v>9720</v>
      </c>
      <c r="C2167" s="44"/>
      <c r="D2167" s="441" t="s">
        <v>9721</v>
      </c>
      <c r="E2167" s="38" t="s">
        <v>9718</v>
      </c>
      <c r="F2167" s="38" t="s">
        <v>9722</v>
      </c>
    </row>
    <row r="2168">
      <c r="B2168" s="44"/>
      <c r="C2168" s="38" t="s">
        <v>9723</v>
      </c>
      <c r="D2168" s="38" t="s">
        <v>9724</v>
      </c>
      <c r="E2168" s="38" t="s">
        <v>9718</v>
      </c>
      <c r="F2168" s="44"/>
    </row>
    <row r="2169">
      <c r="B2169" s="38" t="s">
        <v>1327</v>
      </c>
      <c r="C2169" s="38">
        <v>1.0</v>
      </c>
      <c r="D2169" s="38" t="s">
        <v>9725</v>
      </c>
      <c r="E2169" s="38" t="s">
        <v>2971</v>
      </c>
      <c r="F2169" s="38" t="s">
        <v>9726</v>
      </c>
      <c r="G2169" s="38" t="s">
        <v>9727</v>
      </c>
    </row>
    <row r="2170">
      <c r="B2170" s="38" t="s">
        <v>1761</v>
      </c>
      <c r="C2170" s="38">
        <v>2.0</v>
      </c>
      <c r="D2170" s="38" t="s">
        <v>9725</v>
      </c>
      <c r="E2170" s="38" t="s">
        <v>2971</v>
      </c>
      <c r="F2170" s="44"/>
      <c r="G2170" s="38" t="s">
        <v>9727</v>
      </c>
    </row>
    <row r="2171">
      <c r="B2171" s="38" t="s">
        <v>3527</v>
      </c>
      <c r="C2171" s="38">
        <v>4.0</v>
      </c>
      <c r="D2171" s="38" t="s">
        <v>3528</v>
      </c>
      <c r="E2171" s="38" t="s">
        <v>2971</v>
      </c>
      <c r="F2171" s="38" t="s">
        <v>9728</v>
      </c>
      <c r="G2171" s="38" t="s">
        <v>9727</v>
      </c>
    </row>
    <row r="2172">
      <c r="B2172" s="38" t="s">
        <v>199</v>
      </c>
      <c r="C2172" s="38">
        <v>2.0</v>
      </c>
      <c r="D2172" s="38" t="s">
        <v>3135</v>
      </c>
      <c r="E2172" s="38" t="s">
        <v>9729</v>
      </c>
      <c r="F2172" s="38" t="s">
        <v>9730</v>
      </c>
    </row>
    <row r="2173">
      <c r="B2173" s="38" t="s">
        <v>195</v>
      </c>
      <c r="C2173" s="38">
        <v>2.0</v>
      </c>
      <c r="D2173" s="38" t="s">
        <v>3135</v>
      </c>
      <c r="E2173" s="38" t="s">
        <v>9729</v>
      </c>
      <c r="F2173" s="38" t="s">
        <v>9731</v>
      </c>
    </row>
    <row r="2174">
      <c r="B2174" s="38"/>
      <c r="C2174" s="38"/>
      <c r="D2174" s="38" t="s">
        <v>9732</v>
      </c>
      <c r="E2174" s="38" t="s">
        <v>9729</v>
      </c>
      <c r="F2174" s="38" t="s">
        <v>9731</v>
      </c>
    </row>
    <row r="2175">
      <c r="B2175" s="38" t="s">
        <v>261</v>
      </c>
      <c r="C2175" s="38">
        <v>4.0</v>
      </c>
      <c r="D2175" s="38" t="s">
        <v>408</v>
      </c>
      <c r="E2175" s="38" t="s">
        <v>9733</v>
      </c>
      <c r="F2175" s="38" t="s">
        <v>9734</v>
      </c>
    </row>
    <row r="2176">
      <c r="B2176" s="38" t="s">
        <v>77</v>
      </c>
      <c r="C2176" s="38">
        <v>4.0</v>
      </c>
      <c r="D2176" s="38" t="s">
        <v>9735</v>
      </c>
      <c r="E2176" s="38" t="s">
        <v>7128</v>
      </c>
      <c r="F2176" s="38" t="s">
        <v>9736</v>
      </c>
    </row>
    <row r="2177">
      <c r="B2177" s="38" t="s">
        <v>147</v>
      </c>
      <c r="C2177" s="38">
        <v>4.0</v>
      </c>
      <c r="D2177" s="38" t="s">
        <v>9737</v>
      </c>
      <c r="E2177" s="38" t="s">
        <v>7128</v>
      </c>
      <c r="F2177" s="38" t="s">
        <v>9738</v>
      </c>
    </row>
    <row r="2178">
      <c r="B2178" s="38" t="s">
        <v>58</v>
      </c>
      <c r="C2178" s="38">
        <v>4.0</v>
      </c>
      <c r="D2178" s="38" t="s">
        <v>3215</v>
      </c>
      <c r="E2178" s="38" t="s">
        <v>873</v>
      </c>
      <c r="F2178" s="38" t="s">
        <v>9739</v>
      </c>
    </row>
    <row r="2179">
      <c r="B2179" s="38" t="s">
        <v>170</v>
      </c>
      <c r="C2179" s="38">
        <v>4.0</v>
      </c>
      <c r="D2179" s="38" t="s">
        <v>9740</v>
      </c>
      <c r="E2179" s="38" t="s">
        <v>418</v>
      </c>
      <c r="F2179" s="38" t="s">
        <v>9741</v>
      </c>
    </row>
    <row r="2180">
      <c r="B2180" s="38" t="s">
        <v>166</v>
      </c>
      <c r="C2180" s="38">
        <v>4.0</v>
      </c>
      <c r="D2180" s="38" t="s">
        <v>9740</v>
      </c>
      <c r="E2180" s="38" t="s">
        <v>418</v>
      </c>
      <c r="F2180" s="38" t="s">
        <v>9742</v>
      </c>
    </row>
    <row r="2181">
      <c r="B2181" s="38" t="s">
        <v>2573</v>
      </c>
      <c r="C2181" s="38">
        <v>4.0</v>
      </c>
      <c r="D2181" s="38" t="s">
        <v>9743</v>
      </c>
      <c r="E2181" s="38" t="s">
        <v>418</v>
      </c>
      <c r="F2181" s="38" t="s">
        <v>9744</v>
      </c>
    </row>
    <row r="2182">
      <c r="B2182" s="38" t="s">
        <v>4044</v>
      </c>
      <c r="C2182" s="38">
        <v>4.0</v>
      </c>
      <c r="D2182" s="38" t="s">
        <v>9740</v>
      </c>
      <c r="E2182" s="38" t="s">
        <v>418</v>
      </c>
      <c r="F2182" s="38" t="s">
        <v>9742</v>
      </c>
    </row>
    <row r="2183">
      <c r="B2183" s="38" t="s">
        <v>58</v>
      </c>
      <c r="C2183" s="38">
        <v>4.0</v>
      </c>
      <c r="D2183" s="38" t="s">
        <v>427</v>
      </c>
      <c r="E2183" s="38" t="s">
        <v>418</v>
      </c>
      <c r="F2183" s="38" t="s">
        <v>9742</v>
      </c>
    </row>
    <row r="2184">
      <c r="B2184" s="38" t="s">
        <v>430</v>
      </c>
      <c r="C2184" s="38">
        <v>4.0</v>
      </c>
      <c r="D2184" s="38" t="s">
        <v>9745</v>
      </c>
      <c r="E2184" s="38" t="s">
        <v>9746</v>
      </c>
      <c r="F2184" s="38" t="s">
        <v>9747</v>
      </c>
    </row>
    <row r="2185">
      <c r="B2185" s="38" t="s">
        <v>333</v>
      </c>
      <c r="C2185" s="38">
        <v>4.0</v>
      </c>
      <c r="D2185" s="38" t="s">
        <v>9748</v>
      </c>
      <c r="E2185" s="38" t="s">
        <v>9749</v>
      </c>
      <c r="F2185" s="38" t="s">
        <v>9750</v>
      </c>
    </row>
    <row r="2186">
      <c r="B2186" s="38" t="s">
        <v>1296</v>
      </c>
      <c r="C2186" s="38">
        <v>4.0</v>
      </c>
      <c r="D2186" s="38" t="s">
        <v>9751</v>
      </c>
      <c r="E2186" s="38" t="s">
        <v>9752</v>
      </c>
      <c r="F2186" s="38" t="s">
        <v>9753</v>
      </c>
    </row>
    <row r="2187">
      <c r="B2187" s="38" t="s">
        <v>85</v>
      </c>
      <c r="C2187" s="38">
        <v>2.0</v>
      </c>
      <c r="D2187" s="38" t="s">
        <v>408</v>
      </c>
      <c r="E2187" s="38" t="s">
        <v>4804</v>
      </c>
      <c r="F2187" s="38" t="s">
        <v>9754</v>
      </c>
    </row>
    <row r="2188">
      <c r="B2188" s="38" t="s">
        <v>1575</v>
      </c>
      <c r="C2188" s="38">
        <v>2.0</v>
      </c>
      <c r="D2188" s="38" t="s">
        <v>408</v>
      </c>
      <c r="E2188" s="38" t="s">
        <v>4804</v>
      </c>
      <c r="F2188" s="38" t="s">
        <v>9755</v>
      </c>
    </row>
    <row r="2189">
      <c r="B2189" s="442" t="s">
        <v>9756</v>
      </c>
      <c r="C2189" s="305" t="s">
        <v>9757</v>
      </c>
      <c r="D2189" s="443" t="s">
        <v>9758</v>
      </c>
      <c r="E2189" s="38" t="s">
        <v>9759</v>
      </c>
      <c r="F2189" s="443" t="s">
        <v>9760</v>
      </c>
    </row>
    <row r="2190">
      <c r="B2190" s="38" t="s">
        <v>9761</v>
      </c>
      <c r="C2190" s="44"/>
      <c r="D2190" s="38" t="s">
        <v>9762</v>
      </c>
      <c r="E2190" s="38" t="s">
        <v>9759</v>
      </c>
      <c r="F2190" s="38" t="s">
        <v>9763</v>
      </c>
    </row>
    <row r="2191">
      <c r="B2191" s="38"/>
      <c r="C2191" s="44"/>
      <c r="D2191" s="38" t="s">
        <v>9764</v>
      </c>
      <c r="E2191" s="38" t="s">
        <v>9759</v>
      </c>
      <c r="F2191" s="38" t="s">
        <v>8377</v>
      </c>
    </row>
    <row r="2192">
      <c r="B2192" s="38" t="s">
        <v>43</v>
      </c>
      <c r="C2192" s="38">
        <v>2.0</v>
      </c>
      <c r="D2192" s="38" t="s">
        <v>2391</v>
      </c>
      <c r="E2192" s="38" t="s">
        <v>9765</v>
      </c>
      <c r="F2192" s="38" t="s">
        <v>9766</v>
      </c>
    </row>
    <row r="2193">
      <c r="B2193" s="38" t="s">
        <v>47</v>
      </c>
      <c r="C2193" s="38">
        <v>2.0</v>
      </c>
      <c r="D2193" s="38" t="s">
        <v>2391</v>
      </c>
      <c r="E2193" s="38" t="s">
        <v>9765</v>
      </c>
      <c r="F2193" s="38" t="s">
        <v>2435</v>
      </c>
    </row>
    <row r="2194">
      <c r="B2194" s="38" t="s">
        <v>147</v>
      </c>
      <c r="C2194" s="38">
        <v>4.0</v>
      </c>
      <c r="D2194" s="38" t="s">
        <v>9767</v>
      </c>
      <c r="E2194" s="38" t="s">
        <v>9768</v>
      </c>
      <c r="F2194" s="38" t="s">
        <v>9769</v>
      </c>
    </row>
    <row r="2195">
      <c r="B2195" s="38" t="s">
        <v>357</v>
      </c>
      <c r="C2195" s="38">
        <v>4.0</v>
      </c>
      <c r="D2195" s="38" t="s">
        <v>2391</v>
      </c>
      <c r="E2195" s="38" t="s">
        <v>9770</v>
      </c>
      <c r="F2195" s="38" t="s">
        <v>9771</v>
      </c>
    </row>
    <row r="2196">
      <c r="B2196" s="38" t="s">
        <v>58</v>
      </c>
      <c r="C2196" s="38">
        <v>4.0</v>
      </c>
      <c r="D2196" s="38" t="s">
        <v>684</v>
      </c>
      <c r="E2196" s="38" t="s">
        <v>9772</v>
      </c>
      <c r="F2196" s="38" t="s">
        <v>9773</v>
      </c>
    </row>
    <row r="2197">
      <c r="B2197" s="38" t="s">
        <v>25</v>
      </c>
      <c r="C2197" s="38">
        <v>8.0</v>
      </c>
      <c r="D2197" s="38" t="s">
        <v>9774</v>
      </c>
      <c r="E2197" s="274" t="s">
        <v>6105</v>
      </c>
      <c r="F2197" s="38" t="s">
        <v>9775</v>
      </c>
    </row>
    <row r="2198">
      <c r="B2198" s="38" t="s">
        <v>166</v>
      </c>
      <c r="C2198" s="38">
        <v>1.0</v>
      </c>
      <c r="D2198" s="38" t="s">
        <v>8271</v>
      </c>
      <c r="E2198" s="38" t="s">
        <v>873</v>
      </c>
      <c r="F2198" s="38" t="s">
        <v>9776</v>
      </c>
    </row>
    <row r="2199">
      <c r="B2199" s="38" t="s">
        <v>9777</v>
      </c>
      <c r="C2199" s="444" t="s">
        <v>9778</v>
      </c>
      <c r="D2199" s="38" t="s">
        <v>9779</v>
      </c>
      <c r="E2199" s="38" t="s">
        <v>9780</v>
      </c>
      <c r="F2199" s="38" t="s">
        <v>9781</v>
      </c>
    </row>
    <row r="2200">
      <c r="B2200" s="38" t="s">
        <v>9782</v>
      </c>
      <c r="C2200" s="38" t="s">
        <v>1542</v>
      </c>
      <c r="D2200" s="38" t="s">
        <v>9783</v>
      </c>
      <c r="E2200" s="38" t="s">
        <v>217</v>
      </c>
      <c r="F2200" s="44"/>
    </row>
    <row r="2201">
      <c r="B2201" s="272" t="s">
        <v>9784</v>
      </c>
      <c r="C2201" s="331" t="s">
        <v>9785</v>
      </c>
      <c r="D2201" s="38" t="s">
        <v>9786</v>
      </c>
      <c r="E2201" s="38" t="s">
        <v>9787</v>
      </c>
      <c r="F2201" s="272" t="s">
        <v>9788</v>
      </c>
      <c r="G2201" s="38" t="s">
        <v>5692</v>
      </c>
    </row>
    <row r="2202">
      <c r="B2202" s="38" t="s">
        <v>22</v>
      </c>
      <c r="C2202" s="38">
        <v>4.0</v>
      </c>
      <c r="D2202" s="38" t="s">
        <v>6192</v>
      </c>
      <c r="E2202" s="38" t="s">
        <v>4478</v>
      </c>
      <c r="F2202" s="38" t="s">
        <v>6368</v>
      </c>
    </row>
    <row r="2203">
      <c r="B2203" s="38" t="s">
        <v>2728</v>
      </c>
      <c r="C2203" s="38">
        <v>4.0</v>
      </c>
      <c r="D2203" s="38" t="s">
        <v>3135</v>
      </c>
      <c r="E2203" s="38" t="s">
        <v>9789</v>
      </c>
      <c r="F2203" s="38" t="s">
        <v>9790</v>
      </c>
    </row>
    <row r="2204">
      <c r="B2204" s="44"/>
      <c r="C2204" s="44"/>
      <c r="D2204" s="44"/>
      <c r="E2204" s="38" t="s">
        <v>9791</v>
      </c>
      <c r="F2204" s="38" t="s">
        <v>144</v>
      </c>
    </row>
    <row r="2205">
      <c r="B2205" s="38" t="s">
        <v>718</v>
      </c>
      <c r="C2205" s="38">
        <v>4.0</v>
      </c>
      <c r="D2205" s="38" t="s">
        <v>9792</v>
      </c>
      <c r="E2205" s="38" t="s">
        <v>9793</v>
      </c>
      <c r="F2205" s="38" t="s">
        <v>9794</v>
      </c>
    </row>
    <row r="2206">
      <c r="B2206" s="38" t="s">
        <v>283</v>
      </c>
      <c r="C2206" s="38">
        <v>4.0</v>
      </c>
      <c r="D2206" s="38" t="s">
        <v>684</v>
      </c>
      <c r="E2206" s="38" t="s">
        <v>9795</v>
      </c>
      <c r="F2206" s="38" t="s">
        <v>9796</v>
      </c>
    </row>
    <row r="2207">
      <c r="B2207" s="38" t="s">
        <v>430</v>
      </c>
      <c r="C2207" s="38">
        <v>4.0</v>
      </c>
      <c r="D2207" s="38" t="s">
        <v>684</v>
      </c>
      <c r="E2207" s="274" t="s">
        <v>3715</v>
      </c>
      <c r="F2207" s="38" t="s">
        <v>9797</v>
      </c>
      <c r="G2207" s="38" t="s">
        <v>9798</v>
      </c>
    </row>
    <row r="2208">
      <c r="B2208" s="38" t="s">
        <v>58</v>
      </c>
      <c r="C2208" s="38">
        <v>4.0</v>
      </c>
      <c r="D2208" s="38" t="s">
        <v>684</v>
      </c>
      <c r="E2208" s="274" t="s">
        <v>3905</v>
      </c>
      <c r="F2208" s="38" t="s">
        <v>9799</v>
      </c>
      <c r="G2208" s="38" t="s">
        <v>9800</v>
      </c>
    </row>
    <row r="2209">
      <c r="B2209" s="38" t="s">
        <v>7695</v>
      </c>
      <c r="C2209" s="38">
        <v>4.0</v>
      </c>
      <c r="D2209" s="38" t="s">
        <v>684</v>
      </c>
      <c r="E2209" s="38" t="s">
        <v>3330</v>
      </c>
      <c r="F2209" s="38" t="s">
        <v>9801</v>
      </c>
    </row>
    <row r="2210">
      <c r="B2210" s="44"/>
      <c r="C2210" s="44"/>
      <c r="D2210" s="443" t="s">
        <v>9802</v>
      </c>
      <c r="E2210" s="38" t="s">
        <v>413</v>
      </c>
      <c r="F2210" s="38" t="s">
        <v>9356</v>
      </c>
    </row>
    <row r="2211">
      <c r="B2211" s="44"/>
      <c r="C2211" s="44"/>
      <c r="D2211" s="443" t="s">
        <v>9803</v>
      </c>
      <c r="E2211" s="38" t="s">
        <v>413</v>
      </c>
      <c r="F2211" s="38" t="s">
        <v>9356</v>
      </c>
    </row>
    <row r="2212">
      <c r="B2212" s="38" t="s">
        <v>81</v>
      </c>
      <c r="C2212" s="38">
        <v>4.0</v>
      </c>
      <c r="D2212" s="38" t="s">
        <v>6334</v>
      </c>
      <c r="E2212" s="38" t="s">
        <v>8651</v>
      </c>
      <c r="F2212" s="38" t="s">
        <v>9804</v>
      </c>
    </row>
    <row r="2213">
      <c r="B2213" s="125" t="s">
        <v>9805</v>
      </c>
      <c r="C2213" s="44"/>
      <c r="D2213" s="38" t="s">
        <v>9806</v>
      </c>
      <c r="E2213" s="101" t="s">
        <v>9807</v>
      </c>
      <c r="F2213" s="44"/>
    </row>
    <row r="2214">
      <c r="B2214" s="38" t="s">
        <v>9808</v>
      </c>
      <c r="C2214" s="44"/>
      <c r="D2214" s="38" t="s">
        <v>8726</v>
      </c>
      <c r="E2214" s="101" t="s">
        <v>9807</v>
      </c>
      <c r="F2214" s="44"/>
    </row>
    <row r="2215">
      <c r="B2215" s="38" t="s">
        <v>9809</v>
      </c>
      <c r="C2215" s="38" t="s">
        <v>6756</v>
      </c>
      <c r="D2215" s="445"/>
      <c r="E2215" s="101" t="s">
        <v>9807</v>
      </c>
      <c r="F2215" s="44"/>
    </row>
    <row r="2216">
      <c r="B2216" s="38" t="s">
        <v>9810</v>
      </c>
      <c r="C2216" s="38" t="s">
        <v>6756</v>
      </c>
      <c r="D2216" s="38" t="s">
        <v>9811</v>
      </c>
      <c r="E2216" s="38" t="s">
        <v>9812</v>
      </c>
      <c r="F2216" s="38" t="s">
        <v>9813</v>
      </c>
      <c r="G2216" s="38"/>
      <c r="H2216" s="38" t="s">
        <v>4421</v>
      </c>
    </row>
    <row r="2217">
      <c r="B2217" s="38" t="s">
        <v>9814</v>
      </c>
      <c r="C2217" s="38" t="s">
        <v>9815</v>
      </c>
      <c r="D2217" s="38" t="s">
        <v>9816</v>
      </c>
      <c r="E2217" s="38" t="s">
        <v>9812</v>
      </c>
      <c r="F2217" s="38" t="s">
        <v>9817</v>
      </c>
      <c r="G2217" s="38" t="s">
        <v>9783</v>
      </c>
      <c r="H2217" s="38" t="s">
        <v>4421</v>
      </c>
    </row>
    <row r="2218">
      <c r="B2218" s="38"/>
      <c r="C2218" s="38"/>
      <c r="D2218" s="44"/>
      <c r="E2218" s="38" t="s">
        <v>9818</v>
      </c>
      <c r="F2218" s="38" t="s">
        <v>9819</v>
      </c>
      <c r="G2218" s="38"/>
      <c r="H2218" s="38" t="s">
        <v>4421</v>
      </c>
    </row>
    <row r="2219">
      <c r="B2219" s="38"/>
      <c r="C2219" s="38"/>
      <c r="D2219" s="38"/>
      <c r="E2219" s="38" t="s">
        <v>9818</v>
      </c>
      <c r="F2219" s="38" t="s">
        <v>9820</v>
      </c>
      <c r="G2219" s="38"/>
      <c r="H2219" s="38" t="s">
        <v>4421</v>
      </c>
    </row>
    <row r="2220">
      <c r="B2220" s="38"/>
      <c r="C2220" s="38"/>
      <c r="D2220" s="38"/>
      <c r="E2220" s="38" t="s">
        <v>9818</v>
      </c>
      <c r="F2220" s="38" t="s">
        <v>9821</v>
      </c>
      <c r="G2220" s="38"/>
      <c r="H2220" s="38" t="s">
        <v>4421</v>
      </c>
    </row>
    <row r="2221">
      <c r="B2221" s="38" t="s">
        <v>9822</v>
      </c>
      <c r="C2221" s="38">
        <v>4.0</v>
      </c>
      <c r="D2221" s="38" t="s">
        <v>2405</v>
      </c>
      <c r="E2221" s="38" t="s">
        <v>9823</v>
      </c>
      <c r="F2221" s="38" t="s">
        <v>9824</v>
      </c>
    </row>
    <row r="2222">
      <c r="B2222" s="38" t="s">
        <v>22</v>
      </c>
      <c r="C2222" s="38">
        <v>4.0</v>
      </c>
      <c r="D2222" s="38" t="s">
        <v>1964</v>
      </c>
      <c r="E2222" s="38" t="s">
        <v>9825</v>
      </c>
      <c r="F2222" s="38" t="s">
        <v>9826</v>
      </c>
    </row>
    <row r="2223">
      <c r="B2223" s="38" t="s">
        <v>77</v>
      </c>
      <c r="C2223" s="38">
        <v>2.0</v>
      </c>
      <c r="D2223" s="38" t="s">
        <v>433</v>
      </c>
      <c r="E2223" s="38" t="s">
        <v>5131</v>
      </c>
      <c r="F2223" s="38" t="s">
        <v>9827</v>
      </c>
    </row>
    <row r="2224">
      <c r="B2224" s="38" t="s">
        <v>9828</v>
      </c>
      <c r="C2224" s="38" t="s">
        <v>9829</v>
      </c>
      <c r="D2224" s="38" t="s">
        <v>9830</v>
      </c>
      <c r="E2224" s="38" t="s">
        <v>9605</v>
      </c>
      <c r="F2224" s="38" t="s">
        <v>9831</v>
      </c>
      <c r="G2224" s="38" t="s">
        <v>9329</v>
      </c>
    </row>
    <row r="2225">
      <c r="B2225" s="38" t="s">
        <v>9832</v>
      </c>
      <c r="C2225" s="38" t="s">
        <v>9833</v>
      </c>
      <c r="D2225" s="44"/>
      <c r="E2225" s="38" t="s">
        <v>9605</v>
      </c>
      <c r="F2225" s="38" t="s">
        <v>9834</v>
      </c>
      <c r="G2225" s="38" t="s">
        <v>9329</v>
      </c>
    </row>
    <row r="2226">
      <c r="B2226" s="38" t="s">
        <v>9835</v>
      </c>
      <c r="C2226" s="44"/>
      <c r="D2226" s="44"/>
      <c r="E2226" s="38" t="s">
        <v>9605</v>
      </c>
      <c r="F2226" s="44"/>
      <c r="G2226" s="38" t="s">
        <v>9329</v>
      </c>
    </row>
    <row r="2227">
      <c r="B2227" s="38" t="s">
        <v>1327</v>
      </c>
      <c r="C2227" s="38">
        <v>2.0</v>
      </c>
      <c r="D2227" s="38" t="s">
        <v>406</v>
      </c>
      <c r="E2227" s="38" t="s">
        <v>9836</v>
      </c>
      <c r="F2227" s="38" t="s">
        <v>9837</v>
      </c>
      <c r="G2227" s="38" t="s">
        <v>9727</v>
      </c>
    </row>
    <row r="2228">
      <c r="B2228" s="38" t="s">
        <v>1761</v>
      </c>
      <c r="C2228" s="38">
        <v>2.0</v>
      </c>
      <c r="D2228" s="38" t="s">
        <v>406</v>
      </c>
      <c r="E2228" s="38" t="s">
        <v>2971</v>
      </c>
      <c r="F2228" s="38" t="s">
        <v>1405</v>
      </c>
      <c r="G2228" s="38" t="s">
        <v>9838</v>
      </c>
    </row>
    <row r="2229">
      <c r="B2229" s="38" t="s">
        <v>8887</v>
      </c>
      <c r="C2229" s="38" t="s">
        <v>9839</v>
      </c>
      <c r="D2229" s="38" t="s">
        <v>9840</v>
      </c>
      <c r="E2229" s="38" t="s">
        <v>9841</v>
      </c>
      <c r="F2229" s="38" t="s">
        <v>535</v>
      </c>
      <c r="G2229" s="38" t="s">
        <v>9842</v>
      </c>
    </row>
    <row r="2230">
      <c r="B2230" s="44"/>
      <c r="C2230" s="44"/>
      <c r="D2230" s="44"/>
      <c r="E2230" s="38" t="s">
        <v>9841</v>
      </c>
      <c r="F2230" s="38" t="s">
        <v>9843</v>
      </c>
      <c r="G2230" s="38" t="s">
        <v>9844</v>
      </c>
    </row>
    <row r="2231">
      <c r="B2231" s="38" t="s">
        <v>283</v>
      </c>
      <c r="C2231" s="38">
        <v>4.0</v>
      </c>
      <c r="D2231" s="38" t="s">
        <v>9388</v>
      </c>
      <c r="E2231" s="38" t="s">
        <v>1385</v>
      </c>
      <c r="F2231" s="38" t="s">
        <v>9845</v>
      </c>
      <c r="G2231" s="1"/>
    </row>
    <row r="2232">
      <c r="A2232" s="5"/>
      <c r="B2232" s="38" t="s">
        <v>22</v>
      </c>
      <c r="C2232" s="38">
        <v>4.0</v>
      </c>
      <c r="D2232" s="38" t="s">
        <v>1084</v>
      </c>
      <c r="E2232" s="38" t="s">
        <v>9846</v>
      </c>
      <c r="F2232" s="38" t="s">
        <v>9847</v>
      </c>
    </row>
    <row r="2233">
      <c r="B2233" s="38" t="s">
        <v>25</v>
      </c>
      <c r="C2233" s="38">
        <v>1.0</v>
      </c>
      <c r="D2233" s="38" t="s">
        <v>9848</v>
      </c>
      <c r="E2233" s="38" t="s">
        <v>9849</v>
      </c>
      <c r="F2233" s="38" t="s">
        <v>9850</v>
      </c>
      <c r="G2233" s="38" t="s">
        <v>9851</v>
      </c>
    </row>
    <row r="2234">
      <c r="A2234" s="44"/>
      <c r="B2234" s="38" t="s">
        <v>81</v>
      </c>
      <c r="C2234" s="38">
        <v>4.0</v>
      </c>
      <c r="D2234" s="38" t="s">
        <v>9735</v>
      </c>
      <c r="E2234" s="38" t="s">
        <v>9852</v>
      </c>
      <c r="F2234" s="38" t="s">
        <v>9853</v>
      </c>
    </row>
    <row r="2235">
      <c r="B2235" s="38" t="s">
        <v>271</v>
      </c>
      <c r="C2235" s="38">
        <v>4.0</v>
      </c>
      <c r="D2235" s="38" t="s">
        <v>9854</v>
      </c>
      <c r="E2235" s="295" t="s">
        <v>9855</v>
      </c>
      <c r="F2235" s="38" t="s">
        <v>9856</v>
      </c>
      <c r="G2235" s="38" t="s">
        <v>9857</v>
      </c>
    </row>
    <row r="2236">
      <c r="B2236" s="38"/>
      <c r="C2236" s="38">
        <v>2.0</v>
      </c>
      <c r="D2236" s="38" t="s">
        <v>9858</v>
      </c>
      <c r="E2236" s="295" t="s">
        <v>9855</v>
      </c>
      <c r="F2236" s="38" t="s">
        <v>9859</v>
      </c>
      <c r="G2236" s="38" t="s">
        <v>9857</v>
      </c>
    </row>
    <row r="2237">
      <c r="B2237" s="38"/>
      <c r="C2237" s="38">
        <v>2.0</v>
      </c>
      <c r="D2237" s="38" t="s">
        <v>9860</v>
      </c>
      <c r="E2237" s="295" t="s">
        <v>9855</v>
      </c>
      <c r="F2237" s="38" t="s">
        <v>9859</v>
      </c>
      <c r="G2237" s="38" t="s">
        <v>9857</v>
      </c>
    </row>
    <row r="2238">
      <c r="B2238" s="38" t="s">
        <v>333</v>
      </c>
      <c r="C2238" s="38">
        <v>4.0</v>
      </c>
      <c r="D2238" s="38" t="s">
        <v>6571</v>
      </c>
      <c r="E2238" s="281" t="s">
        <v>9861</v>
      </c>
      <c r="F2238" s="38" t="s">
        <v>9862</v>
      </c>
    </row>
    <row r="2239">
      <c r="B2239" s="38" t="s">
        <v>205</v>
      </c>
      <c r="C2239" s="38">
        <v>4.0</v>
      </c>
      <c r="D2239" s="38" t="s">
        <v>9863</v>
      </c>
      <c r="E2239" s="281" t="s">
        <v>9864</v>
      </c>
      <c r="F2239" s="38" t="s">
        <v>9865</v>
      </c>
    </row>
    <row r="2240">
      <c r="B2240" s="44"/>
      <c r="C2240" s="44"/>
      <c r="D2240" s="38" t="s">
        <v>9866</v>
      </c>
      <c r="E2240" s="38" t="s">
        <v>5615</v>
      </c>
      <c r="F2240" s="38" t="s">
        <v>9186</v>
      </c>
    </row>
    <row r="2241">
      <c r="B2241" s="38" t="s">
        <v>183</v>
      </c>
      <c r="C2241" s="38">
        <v>4.0</v>
      </c>
      <c r="D2241" s="38" t="s">
        <v>27</v>
      </c>
      <c r="E2241" s="38" t="s">
        <v>9112</v>
      </c>
      <c r="F2241" s="38" t="s">
        <v>9867</v>
      </c>
    </row>
    <row r="2242">
      <c r="B2242" s="38" t="s">
        <v>183</v>
      </c>
      <c r="C2242" s="38">
        <v>4.0</v>
      </c>
      <c r="D2242" s="38" t="s">
        <v>684</v>
      </c>
      <c r="E2242" s="38" t="s">
        <v>9868</v>
      </c>
      <c r="F2242" s="38" t="s">
        <v>9869</v>
      </c>
    </row>
    <row r="2243">
      <c r="B2243" s="38" t="s">
        <v>7695</v>
      </c>
      <c r="C2243" s="38">
        <v>4.0</v>
      </c>
      <c r="D2243" s="38" t="s">
        <v>684</v>
      </c>
      <c r="E2243" s="38" t="s">
        <v>4709</v>
      </c>
      <c r="F2243" s="38" t="s">
        <v>9870</v>
      </c>
    </row>
    <row r="2244">
      <c r="B2244" s="38" t="s">
        <v>22</v>
      </c>
      <c r="C2244" s="38">
        <v>4.0</v>
      </c>
      <c r="D2244" s="38" t="s">
        <v>6192</v>
      </c>
      <c r="E2244" s="38" t="s">
        <v>9871</v>
      </c>
      <c r="F2244" s="38" t="s">
        <v>9872</v>
      </c>
    </row>
    <row r="2245">
      <c r="B2245" s="38" t="s">
        <v>205</v>
      </c>
      <c r="C2245" s="38">
        <v>4.0</v>
      </c>
      <c r="D2245" s="38" t="s">
        <v>9873</v>
      </c>
      <c r="E2245" s="38" t="s">
        <v>9874</v>
      </c>
      <c r="F2245" s="38" t="s">
        <v>8532</v>
      </c>
    </row>
    <row r="2246">
      <c r="B2246" s="38" t="s">
        <v>85</v>
      </c>
      <c r="C2246" s="38">
        <v>4.0</v>
      </c>
      <c r="D2246" s="38" t="s">
        <v>408</v>
      </c>
      <c r="E2246" s="274" t="s">
        <v>9875</v>
      </c>
      <c r="F2246" s="38" t="s">
        <v>9876</v>
      </c>
    </row>
    <row r="2247">
      <c r="B2247" s="38" t="s">
        <v>982</v>
      </c>
      <c r="C2247" s="38">
        <v>4.0</v>
      </c>
      <c r="D2247" s="38" t="s">
        <v>412</v>
      </c>
      <c r="E2247" s="38" t="s">
        <v>9877</v>
      </c>
      <c r="F2247" s="38" t="s">
        <v>9878</v>
      </c>
    </row>
    <row r="2248">
      <c r="B2248" s="38" t="s">
        <v>205</v>
      </c>
      <c r="C2248" s="38">
        <v>4.0</v>
      </c>
      <c r="D2248" s="38" t="s">
        <v>433</v>
      </c>
      <c r="E2248" s="38" t="s">
        <v>3984</v>
      </c>
      <c r="F2248" s="38" t="s">
        <v>4260</v>
      </c>
    </row>
    <row r="2249">
      <c r="B2249" s="44"/>
      <c r="C2249" s="44"/>
      <c r="D2249" s="59" t="s">
        <v>9879</v>
      </c>
      <c r="E2249" s="59" t="s">
        <v>9880</v>
      </c>
      <c r="F2249" s="38" t="s">
        <v>9329</v>
      </c>
    </row>
    <row r="2250">
      <c r="B2250" s="44"/>
      <c r="C2250" s="44"/>
      <c r="D2250" s="38" t="s">
        <v>9881</v>
      </c>
      <c r="E2250" s="59" t="s">
        <v>9880</v>
      </c>
      <c r="F2250" s="38" t="s">
        <v>9329</v>
      </c>
    </row>
    <row r="2251">
      <c r="B2251" s="38" t="s">
        <v>2329</v>
      </c>
      <c r="C2251" s="38">
        <v>4.0</v>
      </c>
      <c r="D2251" s="38" t="s">
        <v>630</v>
      </c>
      <c r="E2251" s="38" t="s">
        <v>9882</v>
      </c>
      <c r="F2251" s="38" t="s">
        <v>9883</v>
      </c>
    </row>
    <row r="2252">
      <c r="B2252" s="38" t="s">
        <v>195</v>
      </c>
      <c r="C2252" s="38">
        <v>2.0</v>
      </c>
      <c r="D2252" s="38" t="s">
        <v>9884</v>
      </c>
      <c r="E2252" s="38" t="s">
        <v>9882</v>
      </c>
      <c r="F2252" s="38" t="s">
        <v>9885</v>
      </c>
      <c r="G2252" s="38" t="s">
        <v>9886</v>
      </c>
    </row>
    <row r="2253">
      <c r="B2253" s="38" t="s">
        <v>199</v>
      </c>
      <c r="C2253" s="38">
        <v>2.0</v>
      </c>
      <c r="D2253" s="38" t="s">
        <v>9884</v>
      </c>
      <c r="E2253" s="38" t="s">
        <v>9882</v>
      </c>
      <c r="F2253" s="38" t="s">
        <v>9887</v>
      </c>
      <c r="G2253" s="38" t="s">
        <v>9886</v>
      </c>
    </row>
    <row r="2254">
      <c r="B2254" s="38" t="s">
        <v>85</v>
      </c>
      <c r="C2254" s="38">
        <v>4.0</v>
      </c>
      <c r="D2254" s="38" t="s">
        <v>9888</v>
      </c>
      <c r="E2254" s="281" t="s">
        <v>9889</v>
      </c>
      <c r="F2254" s="38" t="s">
        <v>9890</v>
      </c>
    </row>
    <row r="2255">
      <c r="B2255" s="38" t="s">
        <v>439</v>
      </c>
      <c r="C2255" s="38">
        <v>2.0</v>
      </c>
      <c r="D2255" s="38" t="s">
        <v>2423</v>
      </c>
      <c r="E2255" s="38" t="s">
        <v>9891</v>
      </c>
      <c r="F2255" s="38" t="s">
        <v>9892</v>
      </c>
    </row>
    <row r="2256">
      <c r="B2256" s="38" t="s">
        <v>107</v>
      </c>
      <c r="C2256" s="38">
        <v>2.0</v>
      </c>
      <c r="D2256" s="38" t="s">
        <v>2423</v>
      </c>
      <c r="E2256" s="38" t="s">
        <v>9891</v>
      </c>
      <c r="F2256" s="38" t="s">
        <v>9892</v>
      </c>
    </row>
    <row r="2257">
      <c r="B2257" s="38" t="s">
        <v>25</v>
      </c>
      <c r="C2257" s="38">
        <v>4.0</v>
      </c>
      <c r="D2257" s="38" t="s">
        <v>9893</v>
      </c>
      <c r="E2257" s="274" t="s">
        <v>9450</v>
      </c>
      <c r="F2257" s="38" t="s">
        <v>9894</v>
      </c>
    </row>
    <row r="2258">
      <c r="B2258" s="38" t="s">
        <v>9895</v>
      </c>
      <c r="C2258" s="38" t="s">
        <v>9896</v>
      </c>
      <c r="D2258" s="294" t="s">
        <v>9897</v>
      </c>
      <c r="E2258" s="304" t="s">
        <v>9898</v>
      </c>
      <c r="F2258" s="38"/>
    </row>
    <row r="2259">
      <c r="B2259" s="38" t="s">
        <v>205</v>
      </c>
      <c r="C2259" s="38">
        <v>4.0</v>
      </c>
      <c r="D2259" s="38" t="s">
        <v>289</v>
      </c>
      <c r="E2259" s="38" t="s">
        <v>9899</v>
      </c>
      <c r="F2259" s="38" t="s">
        <v>9900</v>
      </c>
    </row>
    <row r="2260">
      <c r="B2260" s="38" t="s">
        <v>1317</v>
      </c>
      <c r="C2260" s="38">
        <v>2.0</v>
      </c>
      <c r="D2260" s="38" t="s">
        <v>9901</v>
      </c>
      <c r="E2260" s="274" t="s">
        <v>9902</v>
      </c>
      <c r="F2260" s="38" t="s">
        <v>9903</v>
      </c>
    </row>
    <row r="2261">
      <c r="B2261" s="38" t="s">
        <v>52</v>
      </c>
      <c r="C2261" s="38">
        <v>4.0</v>
      </c>
      <c r="D2261" s="38" t="s">
        <v>406</v>
      </c>
      <c r="E2261" s="274" t="s">
        <v>9904</v>
      </c>
      <c r="F2261" s="38" t="s">
        <v>9903</v>
      </c>
    </row>
    <row r="2262">
      <c r="B2262" s="38" t="s">
        <v>1322</v>
      </c>
      <c r="C2262" s="38">
        <v>2.0</v>
      </c>
      <c r="D2262" s="38" t="s">
        <v>9901</v>
      </c>
      <c r="E2262" s="274" t="s">
        <v>9904</v>
      </c>
      <c r="F2262" s="38" t="s">
        <v>9903</v>
      </c>
    </row>
    <row r="2263">
      <c r="B2263" s="379" t="s">
        <v>9905</v>
      </c>
      <c r="C2263" s="38">
        <v>4.0</v>
      </c>
      <c r="D2263" s="38" t="s">
        <v>9906</v>
      </c>
      <c r="E2263" s="38" t="s">
        <v>9907</v>
      </c>
      <c r="F2263" s="38" t="s">
        <v>7003</v>
      </c>
    </row>
    <row r="2264">
      <c r="B2264" s="59" t="s">
        <v>25</v>
      </c>
      <c r="C2264" s="38">
        <v>4.0</v>
      </c>
      <c r="D2264" s="38" t="s">
        <v>433</v>
      </c>
      <c r="E2264" s="38" t="s">
        <v>9907</v>
      </c>
      <c r="F2264" s="38" t="s">
        <v>9908</v>
      </c>
    </row>
    <row r="2265">
      <c r="B2265" s="38" t="s">
        <v>271</v>
      </c>
      <c r="C2265" s="38">
        <v>4.0</v>
      </c>
      <c r="D2265" s="38" t="s">
        <v>684</v>
      </c>
      <c r="E2265" s="38" t="s">
        <v>9909</v>
      </c>
      <c r="F2265" s="38" t="s">
        <v>9910</v>
      </c>
    </row>
    <row r="2266">
      <c r="B2266" s="38" t="s">
        <v>85</v>
      </c>
      <c r="C2266" s="38">
        <v>4.0</v>
      </c>
      <c r="D2266" s="38" t="s">
        <v>9911</v>
      </c>
      <c r="E2266" s="274" t="s">
        <v>9912</v>
      </c>
      <c r="F2266" s="38" t="s">
        <v>4837</v>
      </c>
    </row>
    <row r="2267">
      <c r="B2267" s="38" t="s">
        <v>91</v>
      </c>
      <c r="C2267" s="38">
        <v>2.0</v>
      </c>
      <c r="D2267" s="38" t="s">
        <v>2391</v>
      </c>
      <c r="E2267" s="274" t="s">
        <v>9912</v>
      </c>
      <c r="F2267" s="38" t="s">
        <v>7256</v>
      </c>
    </row>
    <row r="2268">
      <c r="B2268" s="38" t="s">
        <v>94</v>
      </c>
      <c r="C2268" s="38">
        <v>2.0</v>
      </c>
      <c r="D2268" s="38" t="s">
        <v>2391</v>
      </c>
      <c r="E2268" s="274" t="s">
        <v>9912</v>
      </c>
      <c r="F2268" s="38" t="s">
        <v>3432</v>
      </c>
    </row>
    <row r="2269">
      <c r="B2269" s="38" t="s">
        <v>25</v>
      </c>
      <c r="C2269" s="38">
        <v>4.0</v>
      </c>
      <c r="D2269" s="38" t="s">
        <v>289</v>
      </c>
      <c r="E2269" s="38" t="s">
        <v>4407</v>
      </c>
      <c r="F2269" s="38" t="s">
        <v>9913</v>
      </c>
    </row>
    <row r="2270">
      <c r="B2270" s="44"/>
      <c r="C2270" s="38" t="s">
        <v>9914</v>
      </c>
      <c r="D2270" s="38" t="s">
        <v>9915</v>
      </c>
      <c r="E2270" s="38" t="s">
        <v>4939</v>
      </c>
      <c r="F2270" s="38" t="s">
        <v>9916</v>
      </c>
    </row>
    <row r="2271">
      <c r="B2271" s="38" t="s">
        <v>205</v>
      </c>
      <c r="C2271" s="38">
        <v>4.0</v>
      </c>
      <c r="D2271" s="298" t="s">
        <v>9917</v>
      </c>
      <c r="E2271" s="38" t="s">
        <v>4478</v>
      </c>
      <c r="F2271" s="38" t="s">
        <v>9918</v>
      </c>
    </row>
    <row r="2272">
      <c r="B2272" s="38" t="s">
        <v>342</v>
      </c>
      <c r="C2272" s="38">
        <v>4.0</v>
      </c>
      <c r="D2272" s="38" t="s">
        <v>9919</v>
      </c>
      <c r="E2272" s="295" t="s">
        <v>9920</v>
      </c>
      <c r="F2272" s="38" t="s">
        <v>9921</v>
      </c>
    </row>
    <row r="2273">
      <c r="B2273" s="38" t="s">
        <v>271</v>
      </c>
      <c r="C2273" s="38">
        <v>4.0</v>
      </c>
      <c r="D2273" s="38" t="s">
        <v>27</v>
      </c>
      <c r="E2273" s="274" t="s">
        <v>9922</v>
      </c>
      <c r="F2273" s="38" t="s">
        <v>9923</v>
      </c>
    </row>
    <row r="2274">
      <c r="B2274" s="131" t="s">
        <v>1006</v>
      </c>
      <c r="C2274" s="131">
        <v>4.0</v>
      </c>
      <c r="D2274" s="131" t="s">
        <v>9924</v>
      </c>
      <c r="E2274" s="422" t="s">
        <v>9925</v>
      </c>
      <c r="F2274" s="131" t="s">
        <v>9926</v>
      </c>
    </row>
    <row r="2275">
      <c r="B2275" s="38" t="s">
        <v>25</v>
      </c>
      <c r="C2275" s="38">
        <v>4.0</v>
      </c>
      <c r="D2275" s="38" t="s">
        <v>289</v>
      </c>
      <c r="E2275" s="405" t="s">
        <v>9927</v>
      </c>
      <c r="F2275" s="38" t="s">
        <v>9928</v>
      </c>
    </row>
    <row r="2276">
      <c r="B2276" s="1" t="s">
        <v>2329</v>
      </c>
      <c r="C2276" s="1">
        <v>4.0</v>
      </c>
      <c r="D2276" s="1" t="s">
        <v>6289</v>
      </c>
      <c r="E2276" s="1" t="s">
        <v>514</v>
      </c>
      <c r="F2276" s="1" t="s">
        <v>7117</v>
      </c>
    </row>
    <row r="2277">
      <c r="A2277" s="8"/>
      <c r="B2277" s="1" t="s">
        <v>122</v>
      </c>
      <c r="C2277" s="1">
        <v>4.0</v>
      </c>
      <c r="D2277" s="1" t="s">
        <v>408</v>
      </c>
      <c r="E2277" s="1" t="s">
        <v>9929</v>
      </c>
      <c r="F2277" s="1" t="s">
        <v>9930</v>
      </c>
      <c r="G2277" s="1" t="s">
        <v>9931</v>
      </c>
    </row>
    <row r="2278">
      <c r="B2278" s="38" t="s">
        <v>876</v>
      </c>
      <c r="C2278" s="38">
        <v>4.0</v>
      </c>
      <c r="D2278" s="38" t="s">
        <v>9932</v>
      </c>
      <c r="E2278" s="38" t="s">
        <v>9933</v>
      </c>
      <c r="F2278" s="38" t="s">
        <v>9934</v>
      </c>
    </row>
    <row r="2279">
      <c r="B2279" s="131" t="s">
        <v>261</v>
      </c>
      <c r="C2279" s="131">
        <v>4.0</v>
      </c>
      <c r="D2279" s="131" t="s">
        <v>6125</v>
      </c>
      <c r="E2279" s="131" t="s">
        <v>484</v>
      </c>
      <c r="F2279" s="131" t="s">
        <v>2507</v>
      </c>
    </row>
    <row r="2280">
      <c r="B2280" s="131" t="s">
        <v>22</v>
      </c>
      <c r="C2280" s="131">
        <v>4.0</v>
      </c>
      <c r="D2280" s="131" t="s">
        <v>9935</v>
      </c>
      <c r="E2280" s="131" t="s">
        <v>484</v>
      </c>
      <c r="F2280" s="131" t="s">
        <v>9936</v>
      </c>
    </row>
    <row r="2281">
      <c r="B2281" s="38" t="s">
        <v>122</v>
      </c>
      <c r="C2281" s="38">
        <v>4.0</v>
      </c>
      <c r="D2281" s="38" t="s">
        <v>412</v>
      </c>
      <c r="E2281" s="38" t="s">
        <v>9937</v>
      </c>
      <c r="F2281" s="38" t="s">
        <v>9938</v>
      </c>
    </row>
    <row r="2282">
      <c r="B2282" s="38" t="s">
        <v>25</v>
      </c>
      <c r="C2282" s="38">
        <v>4.0</v>
      </c>
      <c r="D2282" s="38" t="s">
        <v>6569</v>
      </c>
      <c r="E2282" s="38" t="s">
        <v>9939</v>
      </c>
      <c r="F2282" s="38" t="s">
        <v>9940</v>
      </c>
    </row>
    <row r="2283">
      <c r="A2283" s="8"/>
      <c r="B2283" s="38" t="s">
        <v>1432</v>
      </c>
      <c r="C2283" s="38">
        <v>4.0</v>
      </c>
      <c r="D2283" s="38" t="s">
        <v>9735</v>
      </c>
      <c r="E2283" s="38" t="s">
        <v>9941</v>
      </c>
      <c r="F2283" s="38" t="s">
        <v>9940</v>
      </c>
    </row>
    <row r="2284">
      <c r="A2284" s="44"/>
      <c r="B2284" s="38" t="s">
        <v>8678</v>
      </c>
      <c r="C2284" s="38">
        <v>1.0</v>
      </c>
      <c r="D2284" s="321" t="s">
        <v>9942</v>
      </c>
      <c r="E2284" s="38" t="s">
        <v>9943</v>
      </c>
      <c r="F2284" s="38" t="s">
        <v>9944</v>
      </c>
    </row>
    <row r="2285">
      <c r="B2285" s="38" t="s">
        <v>357</v>
      </c>
      <c r="C2285" s="38">
        <v>4.0</v>
      </c>
      <c r="D2285" s="38" t="s">
        <v>6705</v>
      </c>
      <c r="E2285" s="274" t="s">
        <v>9945</v>
      </c>
      <c r="F2285" s="38" t="s">
        <v>7379</v>
      </c>
    </row>
    <row r="2286">
      <c r="B2286" s="38" t="s">
        <v>22</v>
      </c>
      <c r="C2286" s="38">
        <v>4.0</v>
      </c>
      <c r="D2286" s="38" t="s">
        <v>9946</v>
      </c>
      <c r="E2286" s="38" t="s">
        <v>5645</v>
      </c>
      <c r="F2286" s="38" t="s">
        <v>9947</v>
      </c>
    </row>
    <row r="2287">
      <c r="B2287" s="38" t="s">
        <v>271</v>
      </c>
      <c r="C2287" s="38">
        <v>2.0</v>
      </c>
      <c r="D2287" s="38" t="s">
        <v>684</v>
      </c>
      <c r="E2287" s="38" t="s">
        <v>9948</v>
      </c>
      <c r="F2287" s="38" t="s">
        <v>9949</v>
      </c>
      <c r="G2287" s="38" t="s">
        <v>9950</v>
      </c>
    </row>
    <row r="2288">
      <c r="B2288" s="38" t="s">
        <v>28</v>
      </c>
      <c r="C2288" s="38">
        <v>4.0</v>
      </c>
      <c r="D2288" s="38" t="s">
        <v>3215</v>
      </c>
      <c r="E2288" s="38" t="s">
        <v>7196</v>
      </c>
      <c r="F2288" s="38" t="s">
        <v>9951</v>
      </c>
      <c r="G2288" s="38" t="s">
        <v>9952</v>
      </c>
    </row>
    <row r="2289">
      <c r="B2289" s="38" t="s">
        <v>7695</v>
      </c>
      <c r="C2289" s="38">
        <v>4.0</v>
      </c>
      <c r="D2289" s="38" t="s">
        <v>3215</v>
      </c>
      <c r="E2289" s="38" t="s">
        <v>7196</v>
      </c>
      <c r="F2289" s="38" t="s">
        <v>9953</v>
      </c>
      <c r="G2289" s="38" t="s">
        <v>9952</v>
      </c>
    </row>
    <row r="2290">
      <c r="B2290" s="38" t="s">
        <v>357</v>
      </c>
      <c r="C2290" s="38">
        <v>4.0</v>
      </c>
      <c r="D2290" s="38" t="s">
        <v>2389</v>
      </c>
      <c r="E2290" s="274" t="s">
        <v>4642</v>
      </c>
      <c r="F2290" s="38" t="s">
        <v>9867</v>
      </c>
    </row>
    <row r="2291">
      <c r="A2291" s="44"/>
      <c r="B2291" s="38" t="s">
        <v>177</v>
      </c>
      <c r="C2291" s="38">
        <v>4.0</v>
      </c>
      <c r="D2291" s="38" t="s">
        <v>9954</v>
      </c>
      <c r="E2291" s="38" t="s">
        <v>179</v>
      </c>
      <c r="F2291" s="38" t="s">
        <v>9955</v>
      </c>
    </row>
    <row r="2292">
      <c r="B2292" s="38" t="s">
        <v>479</v>
      </c>
      <c r="C2292" s="38">
        <v>4.0</v>
      </c>
      <c r="D2292" s="38" t="s">
        <v>684</v>
      </c>
      <c r="E2292" s="38" t="s">
        <v>1758</v>
      </c>
      <c r="F2292" s="38" t="s">
        <v>9956</v>
      </c>
      <c r="G2292" s="38" t="s">
        <v>9950</v>
      </c>
    </row>
    <row r="2293">
      <c r="B2293" s="38" t="s">
        <v>9957</v>
      </c>
      <c r="C2293" s="38" t="s">
        <v>9958</v>
      </c>
      <c r="D2293" s="38" t="s">
        <v>9959</v>
      </c>
      <c r="E2293" s="38" t="s">
        <v>5744</v>
      </c>
      <c r="F2293" s="38" t="s">
        <v>9960</v>
      </c>
      <c r="G2293" s="38" t="s">
        <v>9253</v>
      </c>
    </row>
    <row r="2294">
      <c r="B2294" s="38" t="s">
        <v>5747</v>
      </c>
      <c r="C2294" s="44"/>
      <c r="D2294" s="38" t="s">
        <v>5748</v>
      </c>
      <c r="E2294" s="38" t="s">
        <v>5744</v>
      </c>
      <c r="F2294" s="38" t="s">
        <v>5749</v>
      </c>
      <c r="G2294" s="38" t="s">
        <v>9253</v>
      </c>
    </row>
    <row r="2295">
      <c r="B2295" s="38"/>
      <c r="C2295" s="44"/>
      <c r="D2295" s="38" t="s">
        <v>9961</v>
      </c>
      <c r="E2295" s="38" t="s">
        <v>5744</v>
      </c>
      <c r="F2295" s="38" t="s">
        <v>1252</v>
      </c>
      <c r="G2295" s="38" t="s">
        <v>9253</v>
      </c>
    </row>
    <row r="2296">
      <c r="B2296" s="38" t="s">
        <v>2159</v>
      </c>
      <c r="C2296" s="38">
        <v>4.0</v>
      </c>
      <c r="D2296" s="38" t="s">
        <v>412</v>
      </c>
      <c r="E2296" s="38" t="s">
        <v>1141</v>
      </c>
      <c r="F2296" s="38" t="s">
        <v>9962</v>
      </c>
      <c r="G2296" s="38" t="s">
        <v>9963</v>
      </c>
    </row>
    <row r="2297">
      <c r="B2297" s="38" t="s">
        <v>77</v>
      </c>
      <c r="C2297" s="38">
        <v>4.0</v>
      </c>
      <c r="D2297" s="38" t="s">
        <v>6334</v>
      </c>
      <c r="E2297" s="38" t="s">
        <v>4478</v>
      </c>
      <c r="F2297" s="38" t="s">
        <v>9964</v>
      </c>
    </row>
    <row r="2298">
      <c r="B2298" s="38" t="s">
        <v>25</v>
      </c>
      <c r="C2298" s="38">
        <v>53.0</v>
      </c>
      <c r="D2298" s="38" t="s">
        <v>2021</v>
      </c>
      <c r="E2298" s="38" t="s">
        <v>9965</v>
      </c>
      <c r="F2298" s="38" t="s">
        <v>4107</v>
      </c>
      <c r="G2298" s="38" t="s">
        <v>9966</v>
      </c>
    </row>
    <row r="2299">
      <c r="A2299" s="44"/>
      <c r="B2299" s="38" t="s">
        <v>733</v>
      </c>
      <c r="C2299" s="38">
        <v>4.0</v>
      </c>
      <c r="D2299" s="38" t="s">
        <v>8060</v>
      </c>
      <c r="E2299" s="38" t="s">
        <v>9967</v>
      </c>
      <c r="F2299" s="38" t="s">
        <v>9968</v>
      </c>
      <c r="G2299" s="38" t="s">
        <v>9966</v>
      </c>
    </row>
    <row r="2300">
      <c r="A2300" s="44"/>
      <c r="B2300" s="38"/>
      <c r="C2300" s="38"/>
      <c r="D2300" s="38"/>
      <c r="E2300" s="38" t="s">
        <v>9967</v>
      </c>
      <c r="F2300" s="38" t="s">
        <v>9969</v>
      </c>
      <c r="G2300" s="38"/>
    </row>
    <row r="2301">
      <c r="B2301" s="38" t="s">
        <v>755</v>
      </c>
      <c r="C2301" s="38">
        <v>2.0</v>
      </c>
      <c r="D2301" s="38" t="s">
        <v>684</v>
      </c>
      <c r="E2301" s="38" t="s">
        <v>2551</v>
      </c>
      <c r="F2301" s="38" t="s">
        <v>9970</v>
      </c>
    </row>
    <row r="2302">
      <c r="B2302" s="38" t="s">
        <v>199</v>
      </c>
      <c r="C2302" s="38">
        <v>2.0</v>
      </c>
      <c r="D2302" s="38" t="s">
        <v>684</v>
      </c>
      <c r="E2302" s="38" t="s">
        <v>2551</v>
      </c>
      <c r="F2302" s="38" t="s">
        <v>9970</v>
      </c>
    </row>
    <row r="2303">
      <c r="B2303" s="38" t="s">
        <v>9971</v>
      </c>
      <c r="C2303" s="38"/>
      <c r="D2303" s="38" t="s">
        <v>9972</v>
      </c>
      <c r="E2303" s="38" t="s">
        <v>2551</v>
      </c>
      <c r="F2303" s="38" t="s">
        <v>9973</v>
      </c>
    </row>
    <row r="2304">
      <c r="B2304" s="38" t="s">
        <v>205</v>
      </c>
      <c r="C2304" s="38">
        <v>4.0</v>
      </c>
      <c r="D2304" s="38" t="s">
        <v>289</v>
      </c>
      <c r="E2304" s="274" t="s">
        <v>9974</v>
      </c>
      <c r="F2304" s="38" t="s">
        <v>175</v>
      </c>
      <c r="G2304" s="38" t="s">
        <v>7032</v>
      </c>
    </row>
    <row r="2305">
      <c r="B2305" s="38" t="s">
        <v>276</v>
      </c>
      <c r="C2305" s="38">
        <v>4.0</v>
      </c>
      <c r="D2305" s="38" t="s">
        <v>9975</v>
      </c>
      <c r="E2305" s="38" t="s">
        <v>9976</v>
      </c>
      <c r="F2305" s="38" t="s">
        <v>9371</v>
      </c>
    </row>
    <row r="2306">
      <c r="B2306" s="38" t="s">
        <v>733</v>
      </c>
      <c r="C2306" s="38">
        <v>4.0</v>
      </c>
      <c r="D2306" s="38" t="s">
        <v>684</v>
      </c>
      <c r="E2306" s="38" t="s">
        <v>9977</v>
      </c>
      <c r="F2306" s="38" t="s">
        <v>9938</v>
      </c>
    </row>
    <row r="2307">
      <c r="B2307" s="38" t="s">
        <v>354</v>
      </c>
      <c r="C2307" s="38">
        <v>4.0</v>
      </c>
      <c r="D2307" s="38" t="s">
        <v>684</v>
      </c>
      <c r="E2307" s="38" t="s">
        <v>9977</v>
      </c>
      <c r="F2307" s="38" t="s">
        <v>9938</v>
      </c>
    </row>
    <row r="2308">
      <c r="B2308" s="38" t="s">
        <v>283</v>
      </c>
      <c r="C2308" s="38">
        <v>4.0</v>
      </c>
      <c r="D2308" s="38" t="s">
        <v>684</v>
      </c>
      <c r="E2308" s="38" t="s">
        <v>9977</v>
      </c>
      <c r="F2308" s="38" t="s">
        <v>9938</v>
      </c>
    </row>
    <row r="2309">
      <c r="B2309" s="38" t="s">
        <v>4563</v>
      </c>
      <c r="C2309" s="38">
        <v>4.0</v>
      </c>
      <c r="D2309" s="38" t="s">
        <v>1084</v>
      </c>
      <c r="E2309" s="38" t="s">
        <v>9978</v>
      </c>
      <c r="F2309" s="38" t="s">
        <v>9979</v>
      </c>
    </row>
    <row r="2310">
      <c r="B2310" s="38"/>
      <c r="C2310" s="38" t="s">
        <v>9980</v>
      </c>
      <c r="D2310" s="38" t="s">
        <v>9981</v>
      </c>
      <c r="E2310" s="38" t="s">
        <v>9978</v>
      </c>
      <c r="F2310" s="38" t="s">
        <v>9982</v>
      </c>
      <c r="G2310" s="38" t="s">
        <v>9983</v>
      </c>
    </row>
    <row r="2311">
      <c r="B2311" s="38" t="s">
        <v>205</v>
      </c>
      <c r="C2311" s="38">
        <v>4.0</v>
      </c>
      <c r="D2311" s="38" t="s">
        <v>412</v>
      </c>
      <c r="E2311" s="38" t="s">
        <v>886</v>
      </c>
      <c r="F2311" s="38" t="s">
        <v>9984</v>
      </c>
    </row>
    <row r="2312">
      <c r="B2312" s="38" t="s">
        <v>77</v>
      </c>
      <c r="C2312" s="38">
        <v>4.0</v>
      </c>
      <c r="D2312" s="38" t="s">
        <v>289</v>
      </c>
      <c r="E2312" s="38" t="s">
        <v>9985</v>
      </c>
      <c r="F2312" s="38" t="s">
        <v>9986</v>
      </c>
    </row>
    <row r="2313">
      <c r="A2313" s="8"/>
      <c r="B2313" s="38" t="s">
        <v>271</v>
      </c>
      <c r="C2313" s="38">
        <v>4.0</v>
      </c>
      <c r="D2313" s="38" t="s">
        <v>9932</v>
      </c>
      <c r="E2313" s="281" t="s">
        <v>9987</v>
      </c>
      <c r="F2313" s="38" t="s">
        <v>9988</v>
      </c>
    </row>
    <row r="2314">
      <c r="B2314" s="38" t="s">
        <v>205</v>
      </c>
      <c r="C2314" s="38">
        <v>4.0</v>
      </c>
      <c r="D2314" s="38" t="s">
        <v>412</v>
      </c>
      <c r="E2314" s="38" t="s">
        <v>4478</v>
      </c>
      <c r="F2314" s="38" t="s">
        <v>9989</v>
      </c>
    </row>
    <row r="2315">
      <c r="B2315" s="38" t="s">
        <v>103</v>
      </c>
      <c r="C2315" s="38">
        <v>2.0</v>
      </c>
      <c r="D2315" s="38" t="s">
        <v>9990</v>
      </c>
      <c r="E2315" s="38" t="s">
        <v>4741</v>
      </c>
      <c r="F2315" s="38" t="s">
        <v>9991</v>
      </c>
    </row>
    <row r="2316">
      <c r="B2316" s="38" t="s">
        <v>1096</v>
      </c>
      <c r="C2316" s="38">
        <v>2.0</v>
      </c>
      <c r="D2316" s="38" t="s">
        <v>9990</v>
      </c>
      <c r="E2316" s="38" t="s">
        <v>4741</v>
      </c>
      <c r="F2316" s="38" t="s">
        <v>9991</v>
      </c>
    </row>
    <row r="2317">
      <c r="A2317" s="8"/>
      <c r="B2317" s="38" t="s">
        <v>271</v>
      </c>
      <c r="C2317" s="38">
        <v>4.0</v>
      </c>
      <c r="D2317" s="38" t="s">
        <v>684</v>
      </c>
      <c r="E2317" s="281" t="s">
        <v>9992</v>
      </c>
      <c r="F2317" s="38" t="s">
        <v>9993</v>
      </c>
    </row>
    <row r="2318">
      <c r="B2318" s="38" t="s">
        <v>1264</v>
      </c>
      <c r="C2318" s="38">
        <v>4.0</v>
      </c>
      <c r="D2318" s="38" t="s">
        <v>9994</v>
      </c>
      <c r="E2318" s="274" t="s">
        <v>9995</v>
      </c>
      <c r="F2318" s="38" t="s">
        <v>9996</v>
      </c>
    </row>
    <row r="2319">
      <c r="B2319" s="38" t="s">
        <v>128</v>
      </c>
      <c r="C2319" s="38">
        <v>4.0</v>
      </c>
      <c r="D2319" s="38" t="s">
        <v>684</v>
      </c>
      <c r="E2319" s="281" t="s">
        <v>9997</v>
      </c>
      <c r="F2319" s="38" t="s">
        <v>9998</v>
      </c>
    </row>
    <row r="2320">
      <c r="B2320" s="38" t="s">
        <v>789</v>
      </c>
      <c r="C2320" s="38">
        <v>4.0</v>
      </c>
      <c r="D2320" s="38" t="s">
        <v>684</v>
      </c>
      <c r="E2320" s="38" t="s">
        <v>9937</v>
      </c>
      <c r="F2320" s="38" t="s">
        <v>9999</v>
      </c>
    </row>
    <row r="2321">
      <c r="B2321" s="38" t="s">
        <v>25</v>
      </c>
      <c r="C2321" s="38">
        <v>4.0</v>
      </c>
      <c r="D2321" s="38" t="s">
        <v>10000</v>
      </c>
      <c r="E2321" s="38" t="s">
        <v>1098</v>
      </c>
      <c r="F2321" s="38" t="s">
        <v>10001</v>
      </c>
    </row>
    <row r="2322">
      <c r="A2322" s="8"/>
      <c r="B2322" s="38" t="s">
        <v>266</v>
      </c>
      <c r="C2322" s="38">
        <v>4.0</v>
      </c>
      <c r="D2322" s="38" t="s">
        <v>9735</v>
      </c>
      <c r="E2322" s="281" t="s">
        <v>10002</v>
      </c>
      <c r="F2322" s="38" t="s">
        <v>10003</v>
      </c>
    </row>
    <row r="2323">
      <c r="A2323" s="8"/>
      <c r="B2323" s="38" t="s">
        <v>2159</v>
      </c>
      <c r="C2323" s="38">
        <v>8.0</v>
      </c>
      <c r="D2323" s="38" t="s">
        <v>630</v>
      </c>
      <c r="E2323" s="281" t="s">
        <v>10002</v>
      </c>
      <c r="F2323" s="38" t="s">
        <v>10004</v>
      </c>
      <c r="G2323" s="38" t="s">
        <v>10005</v>
      </c>
    </row>
    <row r="2324">
      <c r="A2324" s="8"/>
      <c r="B2324" s="38" t="s">
        <v>3725</v>
      </c>
      <c r="C2324" s="38">
        <v>6.0</v>
      </c>
      <c r="D2324" s="38" t="s">
        <v>630</v>
      </c>
      <c r="E2324" s="281" t="s">
        <v>10002</v>
      </c>
      <c r="F2324" s="44"/>
      <c r="G2324" s="38" t="s">
        <v>10005</v>
      </c>
    </row>
    <row r="2325">
      <c r="A2325" s="8"/>
      <c r="B2325" s="38" t="s">
        <v>22</v>
      </c>
      <c r="C2325" s="38">
        <v>4.0</v>
      </c>
      <c r="D2325" s="38" t="s">
        <v>1964</v>
      </c>
      <c r="E2325" s="281" t="s">
        <v>10002</v>
      </c>
      <c r="F2325" s="38" t="s">
        <v>10006</v>
      </c>
      <c r="G2325" s="38" t="s">
        <v>10005</v>
      </c>
    </row>
    <row r="2326">
      <c r="A2326" s="8"/>
      <c r="B2326" s="38" t="s">
        <v>2329</v>
      </c>
      <c r="C2326" s="38">
        <v>4.0</v>
      </c>
      <c r="D2326" s="38" t="s">
        <v>6871</v>
      </c>
      <c r="E2326" s="281" t="s">
        <v>10002</v>
      </c>
      <c r="F2326" s="38" t="s">
        <v>5418</v>
      </c>
      <c r="G2326" s="38" t="s">
        <v>10005</v>
      </c>
    </row>
    <row r="2327">
      <c r="A2327" s="8"/>
      <c r="B2327" s="38" t="s">
        <v>718</v>
      </c>
      <c r="C2327" s="38">
        <v>4.0</v>
      </c>
      <c r="D2327" s="38" t="s">
        <v>684</v>
      </c>
      <c r="E2327" s="38" t="s">
        <v>10007</v>
      </c>
      <c r="F2327" s="38" t="s">
        <v>10008</v>
      </c>
    </row>
    <row r="2328">
      <c r="A2328" s="8"/>
      <c r="B2328" s="38" t="s">
        <v>25</v>
      </c>
      <c r="C2328" s="38">
        <v>4.0</v>
      </c>
      <c r="D2328" s="38" t="s">
        <v>289</v>
      </c>
      <c r="E2328" s="38" t="s">
        <v>10007</v>
      </c>
      <c r="F2328" s="38" t="s">
        <v>10008</v>
      </c>
    </row>
    <row r="2329">
      <c r="B2329" s="38" t="s">
        <v>1468</v>
      </c>
      <c r="C2329" s="38">
        <v>2.0</v>
      </c>
      <c r="D2329" s="38" t="s">
        <v>10009</v>
      </c>
      <c r="E2329" s="38" t="s">
        <v>10007</v>
      </c>
      <c r="F2329" s="38" t="s">
        <v>10008</v>
      </c>
    </row>
    <row r="2330">
      <c r="B2330" s="44"/>
      <c r="C2330" s="44"/>
      <c r="D2330" s="38" t="s">
        <v>10010</v>
      </c>
      <c r="E2330" s="38" t="s">
        <v>633</v>
      </c>
      <c r="F2330" s="38" t="s">
        <v>10011</v>
      </c>
    </row>
    <row r="2331">
      <c r="B2331" s="38" t="s">
        <v>1006</v>
      </c>
      <c r="C2331" s="38">
        <v>4.0</v>
      </c>
      <c r="D2331" s="38" t="s">
        <v>9994</v>
      </c>
      <c r="E2331" s="38" t="s">
        <v>873</v>
      </c>
      <c r="F2331" s="38" t="s">
        <v>10012</v>
      </c>
    </row>
    <row r="2332">
      <c r="B2332" s="38" t="s">
        <v>25</v>
      </c>
      <c r="C2332" s="38">
        <v>4.0</v>
      </c>
      <c r="D2332" s="38" t="s">
        <v>1964</v>
      </c>
      <c r="E2332" s="38" t="s">
        <v>10013</v>
      </c>
      <c r="F2332" s="38" t="s">
        <v>4759</v>
      </c>
    </row>
    <row r="2333">
      <c r="B2333" s="38" t="s">
        <v>35</v>
      </c>
      <c r="C2333" s="38">
        <v>2.0</v>
      </c>
      <c r="D2333" s="38" t="s">
        <v>684</v>
      </c>
      <c r="E2333" s="38" t="s">
        <v>6540</v>
      </c>
      <c r="F2333" s="38" t="s">
        <v>10014</v>
      </c>
    </row>
    <row r="2334">
      <c r="B2334" s="38" t="s">
        <v>416</v>
      </c>
      <c r="C2334" s="38">
        <v>2.0</v>
      </c>
      <c r="D2334" s="38" t="s">
        <v>684</v>
      </c>
      <c r="E2334" s="38" t="s">
        <v>6540</v>
      </c>
      <c r="F2334" s="38" t="s">
        <v>10014</v>
      </c>
    </row>
    <row r="2335">
      <c r="B2335" s="38" t="s">
        <v>128</v>
      </c>
      <c r="C2335" s="38">
        <v>4.0</v>
      </c>
      <c r="D2335" s="38" t="s">
        <v>684</v>
      </c>
      <c r="E2335" s="38" t="s">
        <v>6540</v>
      </c>
      <c r="F2335" s="38" t="s">
        <v>10014</v>
      </c>
    </row>
    <row r="2336">
      <c r="B2336" s="38" t="s">
        <v>3853</v>
      </c>
      <c r="C2336" s="38">
        <v>4.0</v>
      </c>
      <c r="D2336" s="38" t="s">
        <v>630</v>
      </c>
      <c r="E2336" s="38" t="s">
        <v>10015</v>
      </c>
      <c r="F2336" s="38" t="s">
        <v>10016</v>
      </c>
    </row>
    <row r="2337">
      <c r="B2337" s="38" t="s">
        <v>2798</v>
      </c>
      <c r="C2337" s="38">
        <v>2.0</v>
      </c>
      <c r="D2337" s="38" t="s">
        <v>412</v>
      </c>
      <c r="E2337" s="38" t="s">
        <v>10017</v>
      </c>
      <c r="F2337" s="38" t="s">
        <v>10018</v>
      </c>
    </row>
    <row r="2338">
      <c r="B2338" s="38" t="s">
        <v>77</v>
      </c>
      <c r="C2338" s="38">
        <v>4.0</v>
      </c>
      <c r="D2338" s="38" t="s">
        <v>684</v>
      </c>
      <c r="E2338" s="38" t="s">
        <v>10019</v>
      </c>
      <c r="F2338" s="44"/>
    </row>
    <row r="2339">
      <c r="B2339" s="38" t="s">
        <v>210</v>
      </c>
      <c r="C2339" s="38">
        <v>4.0</v>
      </c>
      <c r="D2339" s="38" t="s">
        <v>684</v>
      </c>
      <c r="E2339" s="38" t="s">
        <v>337</v>
      </c>
      <c r="F2339" s="38" t="s">
        <v>10020</v>
      </c>
    </row>
    <row r="2340">
      <c r="B2340" s="38" t="s">
        <v>430</v>
      </c>
      <c r="C2340" s="38">
        <v>4.0</v>
      </c>
      <c r="D2340" s="38" t="s">
        <v>545</v>
      </c>
      <c r="E2340" s="38" t="s">
        <v>418</v>
      </c>
      <c r="F2340" s="38" t="s">
        <v>10021</v>
      </c>
    </row>
    <row r="2341">
      <c r="B2341" s="38" t="s">
        <v>1400</v>
      </c>
      <c r="C2341" s="38">
        <v>4.0</v>
      </c>
      <c r="D2341" s="38" t="s">
        <v>513</v>
      </c>
      <c r="E2341" s="38" t="s">
        <v>10022</v>
      </c>
      <c r="F2341" s="38" t="s">
        <v>10023</v>
      </c>
    </row>
    <row r="2342">
      <c r="B2342" s="59" t="s">
        <v>10024</v>
      </c>
      <c r="C2342" s="38">
        <v>2.0</v>
      </c>
      <c r="D2342" s="38" t="s">
        <v>10025</v>
      </c>
      <c r="E2342" s="38" t="s">
        <v>5869</v>
      </c>
      <c r="F2342" s="38" t="s">
        <v>10026</v>
      </c>
      <c r="G2342" s="38" t="s">
        <v>10027</v>
      </c>
    </row>
    <row r="2343">
      <c r="B2343" s="59"/>
      <c r="C2343" s="38">
        <v>2.0</v>
      </c>
      <c r="D2343" s="38" t="s">
        <v>10028</v>
      </c>
      <c r="E2343" s="38" t="s">
        <v>5869</v>
      </c>
      <c r="F2343" s="59" t="s">
        <v>10029</v>
      </c>
      <c r="G2343" s="38" t="s">
        <v>10027</v>
      </c>
    </row>
    <row r="2344">
      <c r="B2344" s="38" t="s">
        <v>394</v>
      </c>
      <c r="C2344" s="38">
        <v>4.0</v>
      </c>
      <c r="D2344" s="38" t="s">
        <v>10030</v>
      </c>
      <c r="E2344" s="38" t="s">
        <v>337</v>
      </c>
      <c r="F2344" s="38" t="s">
        <v>10031</v>
      </c>
    </row>
    <row r="2345">
      <c r="B2345" s="38" t="s">
        <v>25</v>
      </c>
      <c r="C2345" s="38">
        <v>4.0</v>
      </c>
      <c r="D2345" s="38" t="s">
        <v>10032</v>
      </c>
      <c r="E2345" s="38" t="s">
        <v>4741</v>
      </c>
      <c r="F2345" s="38" t="s">
        <v>10033</v>
      </c>
    </row>
    <row r="2346">
      <c r="B2346" s="38" t="s">
        <v>25</v>
      </c>
      <c r="C2346" s="38">
        <v>4.0</v>
      </c>
      <c r="D2346" s="38" t="s">
        <v>1964</v>
      </c>
      <c r="E2346" s="38" t="s">
        <v>6587</v>
      </c>
      <c r="F2346" s="38" t="s">
        <v>10034</v>
      </c>
    </row>
    <row r="2347">
      <c r="B2347" s="38" t="s">
        <v>876</v>
      </c>
      <c r="C2347" s="38">
        <v>4.0</v>
      </c>
      <c r="D2347" s="38" t="s">
        <v>2021</v>
      </c>
      <c r="E2347" s="38" t="s">
        <v>2551</v>
      </c>
      <c r="F2347" s="38" t="s">
        <v>10035</v>
      </c>
    </row>
    <row r="2348">
      <c r="B2348" s="38" t="s">
        <v>10036</v>
      </c>
      <c r="C2348" s="38"/>
      <c r="D2348" s="38" t="s">
        <v>10037</v>
      </c>
      <c r="E2348" s="38" t="s">
        <v>2551</v>
      </c>
      <c r="F2348" s="38" t="s">
        <v>10038</v>
      </c>
      <c r="G2348" s="38" t="s">
        <v>9971</v>
      </c>
    </row>
    <row r="2349">
      <c r="B2349" s="38" t="s">
        <v>1542</v>
      </c>
      <c r="C2349" s="38" t="s">
        <v>10039</v>
      </c>
      <c r="D2349" s="38" t="s">
        <v>10040</v>
      </c>
      <c r="E2349" s="38" t="s">
        <v>2551</v>
      </c>
      <c r="F2349" s="38" t="s">
        <v>10041</v>
      </c>
      <c r="G2349" s="38" t="s">
        <v>9971</v>
      </c>
    </row>
    <row r="2350">
      <c r="B2350" s="38" t="s">
        <v>3853</v>
      </c>
      <c r="C2350" s="38">
        <v>4.0</v>
      </c>
      <c r="D2350" s="38" t="s">
        <v>10042</v>
      </c>
      <c r="E2350" s="38" t="s">
        <v>8850</v>
      </c>
      <c r="F2350" s="38" t="s">
        <v>10043</v>
      </c>
    </row>
    <row r="2351">
      <c r="B2351" s="38" t="s">
        <v>2333</v>
      </c>
      <c r="C2351" s="38">
        <v>4.0</v>
      </c>
      <c r="D2351" s="38" t="s">
        <v>9975</v>
      </c>
      <c r="E2351" s="281" t="s">
        <v>10044</v>
      </c>
      <c r="F2351" s="38" t="s">
        <v>10045</v>
      </c>
    </row>
    <row r="2352">
      <c r="B2352" s="38" t="s">
        <v>876</v>
      </c>
      <c r="C2352" s="38">
        <v>4.0</v>
      </c>
      <c r="D2352" s="38" t="s">
        <v>10046</v>
      </c>
      <c r="E2352" s="38" t="s">
        <v>6781</v>
      </c>
      <c r="F2352" s="38" t="s">
        <v>10047</v>
      </c>
    </row>
    <row r="2353">
      <c r="B2353" s="38" t="s">
        <v>183</v>
      </c>
      <c r="C2353" s="38">
        <v>4.0</v>
      </c>
      <c r="D2353" s="38" t="s">
        <v>6192</v>
      </c>
      <c r="E2353" s="38" t="s">
        <v>10048</v>
      </c>
      <c r="F2353" s="38" t="s">
        <v>10049</v>
      </c>
    </row>
    <row r="2354">
      <c r="B2354" s="38" t="s">
        <v>205</v>
      </c>
      <c r="C2354" s="38">
        <v>4.0</v>
      </c>
      <c r="D2354" s="38" t="s">
        <v>412</v>
      </c>
      <c r="E2354" s="38" t="s">
        <v>10050</v>
      </c>
      <c r="F2354" s="38" t="s">
        <v>10051</v>
      </c>
    </row>
    <row r="2355">
      <c r="B2355" s="38" t="s">
        <v>949</v>
      </c>
      <c r="C2355" s="38">
        <v>2.0</v>
      </c>
      <c r="D2355" s="38" t="s">
        <v>10052</v>
      </c>
      <c r="E2355" s="274" t="s">
        <v>10053</v>
      </c>
      <c r="F2355" s="38" t="s">
        <v>10054</v>
      </c>
    </row>
    <row r="2356">
      <c r="B2356" s="38" t="s">
        <v>430</v>
      </c>
      <c r="C2356" s="38">
        <v>4.0</v>
      </c>
      <c r="D2356" s="38" t="s">
        <v>10055</v>
      </c>
      <c r="E2356" s="446" t="s">
        <v>6780</v>
      </c>
      <c r="F2356" s="38" t="s">
        <v>10056</v>
      </c>
    </row>
    <row r="2357">
      <c r="A2357" s="8"/>
      <c r="B2357" s="38" t="s">
        <v>1006</v>
      </c>
      <c r="C2357" s="38">
        <v>4.0</v>
      </c>
      <c r="D2357" s="38" t="s">
        <v>6156</v>
      </c>
      <c r="E2357" s="38" t="s">
        <v>10057</v>
      </c>
      <c r="F2357" s="38" t="s">
        <v>10058</v>
      </c>
      <c r="G2357" s="101" t="s">
        <v>10059</v>
      </c>
    </row>
    <row r="2358">
      <c r="B2358" s="38" t="s">
        <v>58</v>
      </c>
      <c r="C2358" s="38">
        <v>4.0</v>
      </c>
      <c r="D2358" s="38" t="s">
        <v>1084</v>
      </c>
      <c r="E2358" s="38" t="s">
        <v>10060</v>
      </c>
      <c r="F2358" s="38" t="s">
        <v>10061</v>
      </c>
    </row>
    <row r="2359">
      <c r="B2359" s="38" t="s">
        <v>85</v>
      </c>
      <c r="C2359" s="38">
        <v>4.0</v>
      </c>
      <c r="D2359" s="38" t="s">
        <v>1389</v>
      </c>
      <c r="E2359" s="38" t="s">
        <v>5978</v>
      </c>
      <c r="F2359" s="38" t="s">
        <v>10062</v>
      </c>
    </row>
    <row r="2360">
      <c r="B2360" s="38" t="s">
        <v>81</v>
      </c>
      <c r="C2360" s="38">
        <v>1.0</v>
      </c>
      <c r="D2360" s="38" t="s">
        <v>9748</v>
      </c>
      <c r="E2360" s="38" t="s">
        <v>7371</v>
      </c>
      <c r="F2360" s="38" t="s">
        <v>10063</v>
      </c>
    </row>
    <row r="2361">
      <c r="B2361" s="38" t="s">
        <v>22</v>
      </c>
      <c r="C2361" s="38">
        <v>4.0</v>
      </c>
      <c r="D2361" s="38" t="s">
        <v>10064</v>
      </c>
      <c r="E2361" s="38" t="s">
        <v>7371</v>
      </c>
      <c r="F2361" s="38" t="s">
        <v>10065</v>
      </c>
      <c r="G2361" s="1"/>
    </row>
    <row r="2362">
      <c r="B2362" s="38" t="s">
        <v>10066</v>
      </c>
      <c r="C2362" s="38">
        <v>4.0</v>
      </c>
      <c r="D2362" s="38" t="s">
        <v>6571</v>
      </c>
      <c r="E2362" s="38" t="s">
        <v>10067</v>
      </c>
      <c r="F2362" s="38" t="s">
        <v>10068</v>
      </c>
    </row>
    <row r="2363">
      <c r="B2363" s="38" t="s">
        <v>357</v>
      </c>
      <c r="C2363" s="38">
        <v>4.0</v>
      </c>
      <c r="D2363" s="38" t="s">
        <v>9854</v>
      </c>
      <c r="E2363" s="38" t="s">
        <v>5629</v>
      </c>
      <c r="F2363" s="38" t="s">
        <v>10069</v>
      </c>
    </row>
    <row r="2364">
      <c r="B2364" s="38" t="s">
        <v>261</v>
      </c>
      <c r="C2364" s="38">
        <v>4.0</v>
      </c>
      <c r="D2364" s="38" t="s">
        <v>427</v>
      </c>
      <c r="E2364" s="38" t="s">
        <v>5629</v>
      </c>
      <c r="F2364" s="38" t="s">
        <v>10070</v>
      </c>
    </row>
    <row r="2365">
      <c r="B2365" s="38" t="s">
        <v>357</v>
      </c>
      <c r="C2365" s="38">
        <v>4.0</v>
      </c>
      <c r="D2365" s="38" t="s">
        <v>2389</v>
      </c>
      <c r="E2365" s="38" t="s">
        <v>5629</v>
      </c>
      <c r="F2365" s="38" t="s">
        <v>10071</v>
      </c>
    </row>
    <row r="2366">
      <c r="B2366" s="38" t="s">
        <v>357</v>
      </c>
      <c r="C2366" s="38">
        <v>4.0</v>
      </c>
      <c r="D2366" s="38" t="s">
        <v>2389</v>
      </c>
      <c r="E2366" s="38" t="s">
        <v>5629</v>
      </c>
      <c r="F2366" s="38" t="s">
        <v>10072</v>
      </c>
    </row>
    <row r="2367">
      <c r="B2367" s="38" t="s">
        <v>77</v>
      </c>
      <c r="C2367" s="38">
        <v>4.0</v>
      </c>
      <c r="D2367" s="38" t="s">
        <v>289</v>
      </c>
      <c r="E2367" s="38" t="s">
        <v>5629</v>
      </c>
      <c r="F2367" s="38" t="s">
        <v>10073</v>
      </c>
    </row>
    <row r="2368">
      <c r="B2368" s="38" t="s">
        <v>81</v>
      </c>
      <c r="C2368" s="38">
        <v>4.0</v>
      </c>
      <c r="D2368" s="38" t="s">
        <v>9990</v>
      </c>
      <c r="E2368" s="38" t="s">
        <v>5629</v>
      </c>
      <c r="F2368" s="38" t="s">
        <v>10074</v>
      </c>
    </row>
    <row r="2369">
      <c r="B2369" s="38" t="s">
        <v>219</v>
      </c>
      <c r="C2369" s="38">
        <v>4.0</v>
      </c>
      <c r="D2369" s="38" t="s">
        <v>10075</v>
      </c>
      <c r="E2369" s="38" t="s">
        <v>10076</v>
      </c>
      <c r="F2369" s="38" t="s">
        <v>10077</v>
      </c>
    </row>
    <row r="2370">
      <c r="A2370" s="8"/>
      <c r="B2370" s="38"/>
      <c r="C2370" s="38"/>
      <c r="D2370" s="38"/>
      <c r="E2370" s="38" t="s">
        <v>10076</v>
      </c>
      <c r="F2370" s="38" t="s">
        <v>10078</v>
      </c>
    </row>
    <row r="2371">
      <c r="A2371" s="44"/>
      <c r="B2371" s="38" t="s">
        <v>25</v>
      </c>
      <c r="C2371" s="38">
        <v>20.0</v>
      </c>
      <c r="D2371" s="38" t="s">
        <v>289</v>
      </c>
      <c r="E2371" s="38" t="s">
        <v>6218</v>
      </c>
      <c r="F2371" s="38" t="s">
        <v>10079</v>
      </c>
    </row>
    <row r="2372">
      <c r="A2372" s="44"/>
      <c r="B2372" s="38" t="s">
        <v>3682</v>
      </c>
      <c r="C2372" s="38">
        <v>4.0</v>
      </c>
      <c r="D2372" s="38" t="s">
        <v>289</v>
      </c>
      <c r="E2372" s="38" t="s">
        <v>6218</v>
      </c>
      <c r="F2372" s="38" t="s">
        <v>10079</v>
      </c>
    </row>
    <row r="2373">
      <c r="A2373" s="44"/>
      <c r="B2373" s="38" t="s">
        <v>22</v>
      </c>
      <c r="C2373" s="38">
        <v>8.0</v>
      </c>
      <c r="D2373" s="38" t="s">
        <v>2121</v>
      </c>
      <c r="E2373" s="38" t="s">
        <v>6218</v>
      </c>
      <c r="F2373" s="38" t="s">
        <v>10079</v>
      </c>
    </row>
    <row r="2374">
      <c r="B2374" s="44"/>
      <c r="C2374" s="44"/>
      <c r="D2374" s="38" t="s">
        <v>10080</v>
      </c>
      <c r="E2374" s="274" t="s">
        <v>10081</v>
      </c>
      <c r="F2374" s="44"/>
    </row>
    <row r="2375">
      <c r="B2375" s="44"/>
      <c r="C2375" s="44"/>
      <c r="D2375" s="38" t="s">
        <v>10082</v>
      </c>
      <c r="E2375" s="447" t="s">
        <v>10083</v>
      </c>
      <c r="F2375" s="38" t="s">
        <v>10084</v>
      </c>
    </row>
    <row r="2376">
      <c r="B2376" s="38" t="s">
        <v>183</v>
      </c>
      <c r="C2376" s="38">
        <v>4.0</v>
      </c>
      <c r="D2376" s="38" t="s">
        <v>3215</v>
      </c>
      <c r="E2376" s="38" t="s">
        <v>10085</v>
      </c>
      <c r="F2376" s="38" t="s">
        <v>10086</v>
      </c>
    </row>
    <row r="2377">
      <c r="B2377" s="38" t="s">
        <v>25</v>
      </c>
      <c r="C2377" s="38">
        <v>4.0</v>
      </c>
      <c r="D2377" s="38" t="s">
        <v>289</v>
      </c>
      <c r="E2377" s="38" t="s">
        <v>10085</v>
      </c>
      <c r="F2377" s="38"/>
    </row>
    <row r="2378">
      <c r="B2378" s="38" t="s">
        <v>271</v>
      </c>
      <c r="C2378" s="38">
        <v>4.0</v>
      </c>
      <c r="D2378" s="38" t="s">
        <v>289</v>
      </c>
      <c r="E2378" s="38" t="s">
        <v>10087</v>
      </c>
      <c r="F2378" s="38" t="s">
        <v>353</v>
      </c>
    </row>
    <row r="2379">
      <c r="B2379" s="38" t="s">
        <v>416</v>
      </c>
      <c r="C2379" s="38">
        <v>4.0</v>
      </c>
      <c r="D2379" s="38" t="s">
        <v>684</v>
      </c>
      <c r="E2379" s="281" t="s">
        <v>10088</v>
      </c>
      <c r="F2379" s="38" t="s">
        <v>10089</v>
      </c>
      <c r="G2379" s="38" t="s">
        <v>10090</v>
      </c>
    </row>
    <row r="2380">
      <c r="B2380" s="38" t="s">
        <v>479</v>
      </c>
      <c r="C2380" s="38">
        <v>4.0</v>
      </c>
      <c r="D2380" s="38" t="s">
        <v>684</v>
      </c>
      <c r="E2380" s="281" t="s">
        <v>10088</v>
      </c>
      <c r="F2380" s="38" t="s">
        <v>10091</v>
      </c>
      <c r="G2380" s="38" t="s">
        <v>10090</v>
      </c>
    </row>
    <row r="2381">
      <c r="B2381" s="38" t="s">
        <v>2329</v>
      </c>
      <c r="C2381" s="38">
        <v>4.0</v>
      </c>
      <c r="D2381" s="38" t="s">
        <v>10092</v>
      </c>
      <c r="E2381" s="38" t="s">
        <v>6739</v>
      </c>
      <c r="F2381" s="38" t="s">
        <v>10093</v>
      </c>
    </row>
    <row r="2382">
      <c r="B2382" s="38" t="s">
        <v>949</v>
      </c>
      <c r="C2382" s="38">
        <v>4.0</v>
      </c>
      <c r="D2382" s="38" t="s">
        <v>6816</v>
      </c>
      <c r="E2382" s="38" t="s">
        <v>6739</v>
      </c>
      <c r="F2382" s="38" t="s">
        <v>10093</v>
      </c>
    </row>
    <row r="2383">
      <c r="B2383" s="38" t="s">
        <v>1317</v>
      </c>
      <c r="C2383" s="38">
        <v>2.0</v>
      </c>
      <c r="D2383" s="38" t="s">
        <v>9901</v>
      </c>
      <c r="E2383" s="38" t="s">
        <v>6355</v>
      </c>
      <c r="F2383" s="38" t="s">
        <v>10094</v>
      </c>
    </row>
    <row r="2384">
      <c r="B2384" s="38" t="s">
        <v>1322</v>
      </c>
      <c r="C2384" s="38">
        <v>2.0</v>
      </c>
      <c r="D2384" s="38" t="s">
        <v>9901</v>
      </c>
      <c r="E2384" s="38" t="s">
        <v>6355</v>
      </c>
      <c r="F2384" s="38" t="s">
        <v>10095</v>
      </c>
    </row>
    <row r="2385">
      <c r="B2385" s="44"/>
      <c r="C2385" s="38">
        <v>1.0</v>
      </c>
      <c r="D2385" s="38" t="s">
        <v>10096</v>
      </c>
      <c r="E2385" s="38" t="s">
        <v>10097</v>
      </c>
      <c r="F2385" s="38" t="s">
        <v>6606</v>
      </c>
      <c r="G2385" s="38" t="s">
        <v>10098</v>
      </c>
      <c r="H2385" s="44"/>
    </row>
    <row r="2386">
      <c r="B2386" s="38" t="s">
        <v>982</v>
      </c>
      <c r="C2386" s="38">
        <v>4.0</v>
      </c>
      <c r="D2386" s="59" t="s">
        <v>10099</v>
      </c>
      <c r="E2386" s="38" t="s">
        <v>10100</v>
      </c>
      <c r="F2386" s="38" t="s">
        <v>10101</v>
      </c>
    </row>
    <row r="2387">
      <c r="B2387" s="44"/>
      <c r="C2387" s="44"/>
      <c r="D2387" s="38" t="s">
        <v>10102</v>
      </c>
      <c r="E2387" s="38" t="s">
        <v>10103</v>
      </c>
      <c r="F2387" s="38" t="s">
        <v>10104</v>
      </c>
    </row>
    <row r="2388">
      <c r="B2388" s="38" t="s">
        <v>357</v>
      </c>
      <c r="C2388" s="38">
        <v>4.0</v>
      </c>
      <c r="D2388" s="38" t="s">
        <v>10105</v>
      </c>
      <c r="E2388" s="38" t="s">
        <v>4741</v>
      </c>
      <c r="F2388" s="38" t="s">
        <v>10033</v>
      </c>
    </row>
    <row r="2389">
      <c r="B2389" s="38" t="s">
        <v>81</v>
      </c>
      <c r="C2389" s="38">
        <v>4.0</v>
      </c>
      <c r="D2389" s="38" t="s">
        <v>6773</v>
      </c>
      <c r="E2389" s="38" t="s">
        <v>4741</v>
      </c>
      <c r="F2389" s="38" t="s">
        <v>10033</v>
      </c>
    </row>
    <row r="2390">
      <c r="B2390" s="38" t="s">
        <v>1400</v>
      </c>
      <c r="C2390" s="38">
        <v>4.0</v>
      </c>
      <c r="D2390" s="38" t="s">
        <v>10106</v>
      </c>
      <c r="E2390" s="38" t="s">
        <v>4741</v>
      </c>
      <c r="F2390" s="38" t="s">
        <v>10107</v>
      </c>
    </row>
    <row r="2391">
      <c r="B2391" s="38" t="s">
        <v>205</v>
      </c>
      <c r="C2391" s="38">
        <v>4.0</v>
      </c>
      <c r="D2391" s="38" t="s">
        <v>433</v>
      </c>
      <c r="E2391" s="38" t="s">
        <v>10108</v>
      </c>
      <c r="F2391" s="38" t="s">
        <v>10109</v>
      </c>
    </row>
    <row r="2392">
      <c r="B2392" s="38" t="s">
        <v>25</v>
      </c>
      <c r="C2392" s="38">
        <v>2.0</v>
      </c>
      <c r="D2392" s="38" t="s">
        <v>6192</v>
      </c>
      <c r="E2392" s="38" t="s">
        <v>633</v>
      </c>
      <c r="F2392" s="38" t="s">
        <v>10110</v>
      </c>
    </row>
    <row r="2393">
      <c r="B2393" s="38" t="s">
        <v>22</v>
      </c>
      <c r="C2393" s="38">
        <v>4.0</v>
      </c>
      <c r="D2393" s="38" t="s">
        <v>6569</v>
      </c>
      <c r="E2393" s="38" t="s">
        <v>10111</v>
      </c>
      <c r="F2393" s="38" t="s">
        <v>10112</v>
      </c>
    </row>
    <row r="2394">
      <c r="B2394" s="38" t="s">
        <v>147</v>
      </c>
      <c r="C2394" s="38">
        <v>4.0</v>
      </c>
      <c r="D2394" s="38" t="s">
        <v>6705</v>
      </c>
      <c r="E2394" s="38" t="s">
        <v>10113</v>
      </c>
      <c r="F2394" s="38" t="s">
        <v>10114</v>
      </c>
      <c r="G2394" s="44"/>
    </row>
    <row r="2395">
      <c r="B2395" s="38" t="s">
        <v>25</v>
      </c>
      <c r="C2395" s="38">
        <v>4.0</v>
      </c>
      <c r="D2395" s="38" t="s">
        <v>7093</v>
      </c>
      <c r="E2395" s="38" t="s">
        <v>10115</v>
      </c>
      <c r="F2395" s="38" t="s">
        <v>10116</v>
      </c>
    </row>
    <row r="2396">
      <c r="B2396" s="38" t="s">
        <v>210</v>
      </c>
      <c r="C2396" s="38">
        <v>4.0</v>
      </c>
      <c r="D2396" s="38" t="s">
        <v>412</v>
      </c>
      <c r="E2396" s="38" t="s">
        <v>10117</v>
      </c>
      <c r="F2396" s="38" t="s">
        <v>10118</v>
      </c>
    </row>
    <row r="2397">
      <c r="B2397" s="38" t="s">
        <v>122</v>
      </c>
      <c r="C2397" s="38">
        <v>4.0</v>
      </c>
      <c r="D2397" s="38" t="s">
        <v>684</v>
      </c>
      <c r="E2397" s="38" t="s">
        <v>10119</v>
      </c>
      <c r="F2397" s="38" t="s">
        <v>10120</v>
      </c>
    </row>
    <row r="2398">
      <c r="B2398" s="38" t="s">
        <v>25</v>
      </c>
      <c r="C2398" s="38">
        <v>4.0</v>
      </c>
      <c r="D2398" s="38" t="s">
        <v>289</v>
      </c>
      <c r="E2398" s="38" t="s">
        <v>4407</v>
      </c>
      <c r="F2398" s="38" t="s">
        <v>10121</v>
      </c>
    </row>
    <row r="2399">
      <c r="B2399" s="38" t="s">
        <v>271</v>
      </c>
      <c r="C2399" s="38">
        <v>4.0</v>
      </c>
      <c r="D2399" s="38" t="s">
        <v>1389</v>
      </c>
      <c r="E2399" s="38" t="s">
        <v>4407</v>
      </c>
      <c r="F2399" s="38" t="s">
        <v>10122</v>
      </c>
    </row>
    <row r="2400">
      <c r="A2400" s="44"/>
      <c r="B2400" s="38" t="s">
        <v>77</v>
      </c>
      <c r="C2400" s="38">
        <v>4.0</v>
      </c>
      <c r="D2400" s="38" t="s">
        <v>6192</v>
      </c>
      <c r="E2400" s="275" t="s">
        <v>10123</v>
      </c>
      <c r="F2400" s="38" t="s">
        <v>10124</v>
      </c>
      <c r="G2400" s="448" t="s">
        <v>10125</v>
      </c>
    </row>
    <row r="2401">
      <c r="B2401" s="38" t="s">
        <v>7845</v>
      </c>
      <c r="C2401" s="38">
        <v>2.0</v>
      </c>
      <c r="D2401" s="38" t="s">
        <v>10126</v>
      </c>
      <c r="E2401" s="38" t="s">
        <v>10127</v>
      </c>
      <c r="F2401" s="38" t="s">
        <v>10128</v>
      </c>
    </row>
    <row r="2402">
      <c r="B2402" s="38" t="s">
        <v>22</v>
      </c>
      <c r="C2402" s="38">
        <v>4.0</v>
      </c>
      <c r="D2402" s="38" t="s">
        <v>7917</v>
      </c>
      <c r="E2402" s="281" t="s">
        <v>10129</v>
      </c>
      <c r="F2402" s="38" t="s">
        <v>10130</v>
      </c>
    </row>
    <row r="2403">
      <c r="B2403" s="38" t="s">
        <v>1296</v>
      </c>
      <c r="C2403" s="38">
        <v>4.0</v>
      </c>
      <c r="D2403" s="38" t="s">
        <v>10131</v>
      </c>
      <c r="E2403" s="38" t="s">
        <v>10132</v>
      </c>
      <c r="F2403" s="38" t="s">
        <v>10133</v>
      </c>
    </row>
    <row r="2404">
      <c r="B2404" s="38" t="s">
        <v>354</v>
      </c>
      <c r="C2404" s="38">
        <v>4.0</v>
      </c>
      <c r="D2404" s="38" t="s">
        <v>427</v>
      </c>
      <c r="E2404" s="281" t="s">
        <v>10134</v>
      </c>
      <c r="F2404" s="38" t="s">
        <v>10135</v>
      </c>
    </row>
    <row r="2405">
      <c r="B2405" s="38" t="s">
        <v>411</v>
      </c>
      <c r="C2405" s="38">
        <v>4.0</v>
      </c>
      <c r="D2405" s="38" t="s">
        <v>10136</v>
      </c>
      <c r="E2405" s="38" t="s">
        <v>10137</v>
      </c>
      <c r="F2405" s="38" t="s">
        <v>10138</v>
      </c>
    </row>
    <row r="2406">
      <c r="B2406" s="38" t="s">
        <v>205</v>
      </c>
      <c r="C2406" s="38">
        <v>4.0</v>
      </c>
      <c r="D2406" s="38" t="s">
        <v>684</v>
      </c>
      <c r="E2406" s="38" t="s">
        <v>10139</v>
      </c>
      <c r="F2406" s="38" t="s">
        <v>10140</v>
      </c>
      <c r="G2406" s="1" t="s">
        <v>10141</v>
      </c>
    </row>
    <row r="2407">
      <c r="B2407" s="38" t="s">
        <v>28</v>
      </c>
      <c r="C2407" s="38">
        <v>4.0</v>
      </c>
      <c r="D2407" s="38" t="s">
        <v>4326</v>
      </c>
      <c r="E2407" s="38" t="s">
        <v>9977</v>
      </c>
      <c r="F2407" s="38" t="s">
        <v>10142</v>
      </c>
    </row>
    <row r="2408">
      <c r="B2408" s="38" t="s">
        <v>219</v>
      </c>
      <c r="C2408" s="38">
        <v>4.0</v>
      </c>
      <c r="D2408" s="38" t="s">
        <v>684</v>
      </c>
      <c r="E2408" s="38" t="s">
        <v>9977</v>
      </c>
      <c r="F2408" s="38" t="s">
        <v>10143</v>
      </c>
    </row>
    <row r="2409">
      <c r="A2409" s="8"/>
      <c r="B2409" s="38" t="s">
        <v>94</v>
      </c>
      <c r="C2409" s="38">
        <v>2.0</v>
      </c>
      <c r="D2409" s="38" t="s">
        <v>408</v>
      </c>
      <c r="E2409" s="38" t="s">
        <v>10144</v>
      </c>
      <c r="F2409" s="449" t="s">
        <v>10145</v>
      </c>
    </row>
    <row r="2410">
      <c r="A2410" s="8"/>
      <c r="B2410" s="38" t="s">
        <v>91</v>
      </c>
      <c r="C2410" s="38">
        <v>2.0</v>
      </c>
      <c r="D2410" s="38" t="s">
        <v>408</v>
      </c>
      <c r="E2410" s="38" t="s">
        <v>10144</v>
      </c>
      <c r="F2410" s="38" t="s">
        <v>10146</v>
      </c>
    </row>
    <row r="2411">
      <c r="B2411" s="38" t="s">
        <v>91</v>
      </c>
      <c r="C2411" s="38">
        <v>2.0</v>
      </c>
      <c r="D2411" s="38" t="s">
        <v>10147</v>
      </c>
      <c r="E2411" s="38" t="s">
        <v>6605</v>
      </c>
      <c r="F2411" s="38" t="s">
        <v>10148</v>
      </c>
    </row>
    <row r="2412">
      <c r="B2412" s="38" t="s">
        <v>4229</v>
      </c>
      <c r="C2412" s="38">
        <v>4.0</v>
      </c>
      <c r="D2412" s="38" t="s">
        <v>684</v>
      </c>
      <c r="E2412" s="38" t="s">
        <v>4792</v>
      </c>
      <c r="F2412" s="38" t="s">
        <v>10149</v>
      </c>
    </row>
    <row r="2413">
      <c r="B2413" s="38" t="s">
        <v>205</v>
      </c>
      <c r="C2413" s="38">
        <v>4.0</v>
      </c>
      <c r="D2413" s="38" t="s">
        <v>289</v>
      </c>
      <c r="E2413" s="38" t="s">
        <v>10015</v>
      </c>
      <c r="F2413" s="38" t="s">
        <v>10150</v>
      </c>
    </row>
    <row r="2414">
      <c r="B2414" s="38" t="s">
        <v>205</v>
      </c>
      <c r="C2414" s="38">
        <v>2.0</v>
      </c>
      <c r="D2414" s="38" t="s">
        <v>10151</v>
      </c>
      <c r="E2414" s="274" t="s">
        <v>10152</v>
      </c>
      <c r="F2414" s="38" t="s">
        <v>10153</v>
      </c>
    </row>
    <row r="2415">
      <c r="B2415" s="38" t="s">
        <v>4061</v>
      </c>
      <c r="C2415" s="38">
        <v>4.0</v>
      </c>
      <c r="D2415" s="38" t="s">
        <v>2391</v>
      </c>
      <c r="E2415" s="38" t="s">
        <v>10154</v>
      </c>
      <c r="F2415" s="38" t="s">
        <v>10155</v>
      </c>
    </row>
    <row r="2416">
      <c r="B2416" s="44"/>
      <c r="C2416" s="44"/>
      <c r="D2416" s="38" t="s">
        <v>10156</v>
      </c>
      <c r="E2416" s="38" t="s">
        <v>10157</v>
      </c>
      <c r="F2416" s="38" t="s">
        <v>10158</v>
      </c>
      <c r="G2416" s="38" t="s">
        <v>10159</v>
      </c>
    </row>
    <row r="2417">
      <c r="B2417" s="38" t="s">
        <v>25</v>
      </c>
      <c r="C2417" s="38">
        <v>4.0</v>
      </c>
      <c r="D2417" s="38" t="s">
        <v>6192</v>
      </c>
      <c r="E2417" s="38" t="s">
        <v>6781</v>
      </c>
      <c r="F2417" s="38" t="s">
        <v>1743</v>
      </c>
    </row>
    <row r="2418">
      <c r="B2418" s="38" t="s">
        <v>63</v>
      </c>
      <c r="C2418" s="38">
        <v>4.0</v>
      </c>
      <c r="D2418" s="38" t="s">
        <v>1389</v>
      </c>
      <c r="E2418" s="38" t="s">
        <v>10160</v>
      </c>
      <c r="F2418" s="38" t="s">
        <v>10161</v>
      </c>
    </row>
    <row r="2419">
      <c r="B2419" s="38" t="s">
        <v>876</v>
      </c>
      <c r="C2419" s="38">
        <v>4.0</v>
      </c>
      <c r="D2419" s="38" t="s">
        <v>10162</v>
      </c>
      <c r="E2419" s="38" t="s">
        <v>4245</v>
      </c>
      <c r="F2419" s="38" t="s">
        <v>10163</v>
      </c>
      <c r="G2419" s="38" t="s">
        <v>10164</v>
      </c>
    </row>
    <row r="2420">
      <c r="B2420" s="38" t="s">
        <v>2798</v>
      </c>
      <c r="C2420" s="38">
        <v>2.0</v>
      </c>
      <c r="D2420" s="38" t="s">
        <v>10165</v>
      </c>
      <c r="E2420" s="38" t="s">
        <v>4245</v>
      </c>
      <c r="F2420" s="38" t="s">
        <v>10166</v>
      </c>
      <c r="G2420" s="38" t="s">
        <v>10164</v>
      </c>
    </row>
    <row r="2421">
      <c r="B2421" s="38" t="s">
        <v>394</v>
      </c>
      <c r="C2421" s="38">
        <v>4.0</v>
      </c>
      <c r="D2421" s="38" t="s">
        <v>412</v>
      </c>
      <c r="E2421" s="38" t="s">
        <v>4245</v>
      </c>
      <c r="F2421" s="38" t="s">
        <v>10167</v>
      </c>
      <c r="G2421" s="38" t="s">
        <v>10168</v>
      </c>
    </row>
    <row r="2422">
      <c r="B2422" s="44"/>
      <c r="C2422" s="44"/>
      <c r="D2422" s="38" t="s">
        <v>10169</v>
      </c>
      <c r="E2422" s="38" t="s">
        <v>2546</v>
      </c>
      <c r="F2422" s="38" t="s">
        <v>10170</v>
      </c>
    </row>
    <row r="2423">
      <c r="B2423" s="38" t="s">
        <v>2159</v>
      </c>
      <c r="C2423" s="38">
        <v>4.0</v>
      </c>
      <c r="D2423" s="38" t="s">
        <v>630</v>
      </c>
      <c r="E2423" s="38" t="s">
        <v>10171</v>
      </c>
      <c r="F2423" s="38" t="s">
        <v>4954</v>
      </c>
      <c r="G2423" s="38" t="s">
        <v>10172</v>
      </c>
    </row>
    <row r="2424">
      <c r="B2424" s="44"/>
      <c r="C2424" s="38">
        <v>4.0</v>
      </c>
      <c r="D2424" s="38" t="s">
        <v>10173</v>
      </c>
      <c r="E2424" s="38" t="s">
        <v>10171</v>
      </c>
      <c r="F2424" s="38" t="s">
        <v>10174</v>
      </c>
      <c r="G2424" s="38" t="s">
        <v>10172</v>
      </c>
    </row>
    <row r="2425">
      <c r="B2425" s="38" t="s">
        <v>43</v>
      </c>
      <c r="C2425" s="38">
        <v>2.0</v>
      </c>
      <c r="D2425" s="38" t="s">
        <v>408</v>
      </c>
      <c r="E2425" s="47" t="s">
        <v>10175</v>
      </c>
      <c r="F2425" s="38" t="s">
        <v>10176</v>
      </c>
      <c r="G2425" s="38" t="s">
        <v>10177</v>
      </c>
    </row>
    <row r="2426">
      <c r="B2426" s="38" t="s">
        <v>47</v>
      </c>
      <c r="C2426" s="38">
        <v>2.0</v>
      </c>
      <c r="D2426" s="38" t="s">
        <v>408</v>
      </c>
      <c r="E2426" s="47" t="s">
        <v>10175</v>
      </c>
      <c r="F2426" s="38" t="s">
        <v>10178</v>
      </c>
      <c r="G2426" s="38" t="s">
        <v>10177</v>
      </c>
    </row>
    <row r="2427">
      <c r="B2427" s="38" t="s">
        <v>439</v>
      </c>
      <c r="C2427" s="38">
        <v>2.0</v>
      </c>
      <c r="D2427" s="38" t="s">
        <v>408</v>
      </c>
      <c r="E2427" s="281" t="s">
        <v>10179</v>
      </c>
      <c r="F2427" s="38" t="s">
        <v>10180</v>
      </c>
    </row>
    <row r="2428">
      <c r="B2428" s="38" t="s">
        <v>495</v>
      </c>
      <c r="C2428" s="38">
        <v>2.0</v>
      </c>
      <c r="D2428" s="38" t="s">
        <v>408</v>
      </c>
      <c r="E2428" s="281" t="s">
        <v>10179</v>
      </c>
      <c r="F2428" s="44"/>
    </row>
    <row r="2429">
      <c r="B2429" s="38" t="s">
        <v>2285</v>
      </c>
      <c r="C2429" s="38">
        <v>4.0</v>
      </c>
      <c r="D2429" s="38" t="s">
        <v>1389</v>
      </c>
      <c r="E2429" s="47" t="s">
        <v>10181</v>
      </c>
      <c r="F2429" s="38" t="s">
        <v>10182</v>
      </c>
      <c r="G2429" s="38" t="s">
        <v>10183</v>
      </c>
    </row>
    <row r="2430">
      <c r="B2430" s="38"/>
      <c r="C2430" s="38"/>
      <c r="D2430" s="38"/>
      <c r="E2430" s="47" t="s">
        <v>10181</v>
      </c>
      <c r="F2430" s="38" t="s">
        <v>10184</v>
      </c>
      <c r="G2430" s="38" t="s">
        <v>10183</v>
      </c>
    </row>
    <row r="2431">
      <c r="A2431" s="8"/>
      <c r="B2431" s="38" t="s">
        <v>77</v>
      </c>
      <c r="C2431" s="38">
        <v>4.0</v>
      </c>
      <c r="D2431" s="38" t="s">
        <v>289</v>
      </c>
      <c r="E2431" s="38" t="s">
        <v>10185</v>
      </c>
      <c r="F2431" s="38" t="s">
        <v>10186</v>
      </c>
    </row>
    <row r="2432">
      <c r="B2432" s="38" t="s">
        <v>2774</v>
      </c>
      <c r="C2432" s="38">
        <v>4.0</v>
      </c>
      <c r="D2432" s="38" t="s">
        <v>10187</v>
      </c>
      <c r="E2432" s="274" t="s">
        <v>10188</v>
      </c>
      <c r="F2432" s="38" t="s">
        <v>10189</v>
      </c>
    </row>
    <row r="2433">
      <c r="B2433" s="38" t="s">
        <v>246</v>
      </c>
      <c r="C2433" s="38">
        <v>2.0</v>
      </c>
      <c r="D2433" s="38" t="s">
        <v>7115</v>
      </c>
      <c r="E2433" s="274" t="s">
        <v>10188</v>
      </c>
      <c r="F2433" s="38" t="s">
        <v>10189</v>
      </c>
    </row>
    <row r="2434">
      <c r="B2434" s="38" t="s">
        <v>1454</v>
      </c>
      <c r="C2434" s="38">
        <v>4.0</v>
      </c>
      <c r="D2434" s="38" t="s">
        <v>9919</v>
      </c>
      <c r="E2434" s="38" t="s">
        <v>7045</v>
      </c>
      <c r="F2434" s="38" t="s">
        <v>10190</v>
      </c>
      <c r="G2434" s="38" t="s">
        <v>10191</v>
      </c>
    </row>
    <row r="2435">
      <c r="B2435" s="38" t="s">
        <v>183</v>
      </c>
      <c r="C2435" s="38">
        <v>4.0</v>
      </c>
      <c r="D2435" s="38" t="s">
        <v>10192</v>
      </c>
      <c r="E2435" s="274" t="s">
        <v>10193</v>
      </c>
      <c r="F2435" s="38" t="s">
        <v>6740</v>
      </c>
      <c r="G2435" s="38" t="s">
        <v>10194</v>
      </c>
    </row>
    <row r="2436">
      <c r="B2436" s="38" t="s">
        <v>25</v>
      </c>
      <c r="C2436" s="38">
        <v>4.0</v>
      </c>
      <c r="D2436" s="38" t="s">
        <v>1964</v>
      </c>
      <c r="E2436" s="38" t="s">
        <v>10195</v>
      </c>
      <c r="F2436" s="38" t="s">
        <v>10196</v>
      </c>
    </row>
    <row r="2437">
      <c r="B2437" s="38" t="s">
        <v>3725</v>
      </c>
      <c r="C2437" s="38">
        <v>2.0</v>
      </c>
      <c r="D2437" s="38" t="s">
        <v>7460</v>
      </c>
      <c r="E2437" s="38" t="s">
        <v>10195</v>
      </c>
      <c r="F2437" s="38" t="s">
        <v>10196</v>
      </c>
    </row>
    <row r="2438">
      <c r="B2438" s="38" t="s">
        <v>140</v>
      </c>
      <c r="C2438" s="38">
        <v>4.0</v>
      </c>
      <c r="D2438" s="38" t="s">
        <v>9288</v>
      </c>
      <c r="E2438" s="450" t="s">
        <v>10197</v>
      </c>
      <c r="F2438" s="38" t="s">
        <v>10198</v>
      </c>
    </row>
    <row r="2439">
      <c r="B2439" s="38" t="s">
        <v>25</v>
      </c>
      <c r="C2439" s="38">
        <v>4.0</v>
      </c>
      <c r="D2439" s="38" t="s">
        <v>289</v>
      </c>
      <c r="E2439" s="38" t="s">
        <v>7062</v>
      </c>
      <c r="F2439" s="38" t="s">
        <v>10199</v>
      </c>
    </row>
    <row r="2440">
      <c r="B2440" s="38" t="s">
        <v>25</v>
      </c>
      <c r="C2440" s="38">
        <v>4.0</v>
      </c>
      <c r="D2440" s="38" t="s">
        <v>232</v>
      </c>
      <c r="E2440" s="274" t="s">
        <v>10200</v>
      </c>
      <c r="F2440" s="38" t="s">
        <v>10201</v>
      </c>
    </row>
    <row r="2441">
      <c r="B2441" s="38" t="s">
        <v>210</v>
      </c>
      <c r="C2441" s="38">
        <v>2.0</v>
      </c>
      <c r="D2441" s="38" t="s">
        <v>6571</v>
      </c>
      <c r="E2441" s="38" t="s">
        <v>10202</v>
      </c>
      <c r="F2441" s="38" t="s">
        <v>5099</v>
      </c>
      <c r="G2441" s="44"/>
      <c r="H2441" s="38" t="s">
        <v>4421</v>
      </c>
    </row>
    <row r="2442">
      <c r="B2442" s="38" t="s">
        <v>210</v>
      </c>
      <c r="C2442" s="38">
        <v>2.0</v>
      </c>
      <c r="D2442" s="38" t="s">
        <v>10203</v>
      </c>
      <c r="E2442" s="38" t="s">
        <v>10202</v>
      </c>
      <c r="F2442" s="38" t="s">
        <v>10204</v>
      </c>
      <c r="G2442" s="38" t="s">
        <v>10205</v>
      </c>
      <c r="H2442" s="38" t="s">
        <v>4421</v>
      </c>
    </row>
    <row r="2443">
      <c r="B2443" s="38" t="s">
        <v>122</v>
      </c>
      <c r="C2443" s="38">
        <v>4.0</v>
      </c>
      <c r="D2443" s="38" t="s">
        <v>6543</v>
      </c>
      <c r="E2443" s="38" t="s">
        <v>10202</v>
      </c>
      <c r="F2443" s="38" t="s">
        <v>10206</v>
      </c>
      <c r="G2443" s="44"/>
      <c r="H2443" s="38" t="s">
        <v>4421</v>
      </c>
    </row>
    <row r="2444">
      <c r="B2444" s="38" t="s">
        <v>28</v>
      </c>
      <c r="C2444" s="38">
        <v>4.0</v>
      </c>
      <c r="D2444" s="38" t="s">
        <v>229</v>
      </c>
      <c r="E2444" s="38" t="s">
        <v>10202</v>
      </c>
      <c r="F2444" s="38" t="s">
        <v>10207</v>
      </c>
      <c r="G2444" s="44"/>
      <c r="H2444" s="38" t="s">
        <v>4421</v>
      </c>
    </row>
    <row r="2445">
      <c r="B2445" s="38" t="s">
        <v>10208</v>
      </c>
      <c r="C2445" s="38">
        <v>2.0</v>
      </c>
      <c r="D2445" s="38" t="s">
        <v>134</v>
      </c>
      <c r="E2445" s="38" t="s">
        <v>10202</v>
      </c>
      <c r="F2445" s="38" t="s">
        <v>10209</v>
      </c>
      <c r="G2445" s="44"/>
      <c r="H2445" s="38" t="s">
        <v>4421</v>
      </c>
    </row>
    <row r="2446">
      <c r="B2446" s="38" t="s">
        <v>10210</v>
      </c>
      <c r="C2446" s="38">
        <v>4.0</v>
      </c>
      <c r="D2446" s="38" t="s">
        <v>10211</v>
      </c>
      <c r="E2446" s="38" t="s">
        <v>217</v>
      </c>
      <c r="F2446" s="38" t="s">
        <v>10212</v>
      </c>
    </row>
    <row r="2447">
      <c r="B2447" s="38" t="s">
        <v>430</v>
      </c>
      <c r="C2447" s="38">
        <v>4.0</v>
      </c>
      <c r="D2447" s="38" t="s">
        <v>427</v>
      </c>
      <c r="E2447" s="274" t="s">
        <v>10213</v>
      </c>
      <c r="F2447" s="44"/>
    </row>
    <row r="2448">
      <c r="B2448" s="38" t="s">
        <v>25</v>
      </c>
      <c r="C2448" s="38">
        <v>4.0</v>
      </c>
      <c r="D2448" s="38" t="s">
        <v>289</v>
      </c>
      <c r="E2448" s="38" t="s">
        <v>10195</v>
      </c>
      <c r="F2448" s="38" t="s">
        <v>10196</v>
      </c>
    </row>
    <row r="2449">
      <c r="B2449" s="38" t="s">
        <v>1006</v>
      </c>
      <c r="C2449" s="38">
        <v>4.0</v>
      </c>
      <c r="D2449" s="38" t="s">
        <v>289</v>
      </c>
      <c r="E2449" s="38" t="s">
        <v>10195</v>
      </c>
      <c r="F2449" s="38" t="s">
        <v>10196</v>
      </c>
    </row>
    <row r="2450">
      <c r="A2450" s="8"/>
      <c r="B2450" s="38" t="s">
        <v>1285</v>
      </c>
      <c r="C2450" s="38">
        <v>4.0</v>
      </c>
      <c r="D2450" s="38" t="s">
        <v>684</v>
      </c>
      <c r="E2450" s="38" t="s">
        <v>10214</v>
      </c>
      <c r="F2450" s="38" t="s">
        <v>10215</v>
      </c>
    </row>
    <row r="2451">
      <c r="B2451" s="38" t="s">
        <v>357</v>
      </c>
      <c r="C2451" s="38">
        <v>4.0</v>
      </c>
      <c r="D2451" s="38" t="s">
        <v>10216</v>
      </c>
      <c r="E2451" s="38" t="s">
        <v>230</v>
      </c>
      <c r="F2451" s="38" t="s">
        <v>10217</v>
      </c>
    </row>
    <row r="2452">
      <c r="B2452" s="44"/>
      <c r="C2452" s="44"/>
      <c r="D2452" s="38" t="s">
        <v>10218</v>
      </c>
      <c r="E2452" s="38" t="s">
        <v>10219</v>
      </c>
      <c r="F2452" s="38" t="s">
        <v>10220</v>
      </c>
    </row>
    <row r="2453">
      <c r="B2453" s="44"/>
      <c r="C2453" s="44"/>
      <c r="D2453" s="44"/>
      <c r="E2453" s="38" t="s">
        <v>4624</v>
      </c>
      <c r="F2453" s="38" t="s">
        <v>10221</v>
      </c>
    </row>
    <row r="2454">
      <c r="B2454" s="38" t="s">
        <v>246</v>
      </c>
      <c r="C2454" s="38">
        <v>4.0</v>
      </c>
      <c r="D2454" s="38" t="s">
        <v>10222</v>
      </c>
      <c r="E2454" s="38" t="s">
        <v>413</v>
      </c>
      <c r="F2454" s="38" t="s">
        <v>10223</v>
      </c>
    </row>
    <row r="2455">
      <c r="B2455" s="38"/>
      <c r="C2455" s="38" t="s">
        <v>10224</v>
      </c>
      <c r="D2455" s="38" t="s">
        <v>10225</v>
      </c>
      <c r="E2455" s="38" t="s">
        <v>413</v>
      </c>
      <c r="F2455" s="38" t="s">
        <v>10226</v>
      </c>
      <c r="G2455" s="38" t="s">
        <v>9356</v>
      </c>
    </row>
    <row r="2456">
      <c r="B2456" s="44"/>
      <c r="C2456" s="44"/>
      <c r="D2456" s="44"/>
      <c r="E2456" s="373" t="s">
        <v>10227</v>
      </c>
      <c r="F2456" s="38" t="s">
        <v>10228</v>
      </c>
    </row>
    <row r="2457">
      <c r="B2457" s="38" t="s">
        <v>2013</v>
      </c>
      <c r="C2457" s="38">
        <v>2.0</v>
      </c>
      <c r="D2457" s="38" t="s">
        <v>408</v>
      </c>
      <c r="E2457" s="101" t="s">
        <v>10229</v>
      </c>
      <c r="F2457" s="38" t="s">
        <v>10230</v>
      </c>
    </row>
    <row r="2458">
      <c r="B2458" s="38" t="s">
        <v>718</v>
      </c>
      <c r="C2458" s="38">
        <v>2.0</v>
      </c>
      <c r="D2458" s="38" t="s">
        <v>408</v>
      </c>
      <c r="E2458" s="101" t="s">
        <v>10229</v>
      </c>
      <c r="F2458" s="44"/>
    </row>
    <row r="2459">
      <c r="B2459" s="38" t="s">
        <v>25</v>
      </c>
      <c r="C2459" s="38">
        <v>2.0</v>
      </c>
      <c r="D2459" s="38" t="s">
        <v>412</v>
      </c>
      <c r="E2459" s="38" t="s">
        <v>337</v>
      </c>
      <c r="F2459" s="38" t="s">
        <v>8267</v>
      </c>
    </row>
    <row r="2460">
      <c r="B2460" s="38" t="s">
        <v>25</v>
      </c>
      <c r="C2460" s="38">
        <v>2.0</v>
      </c>
      <c r="D2460" s="38" t="s">
        <v>412</v>
      </c>
      <c r="E2460" s="38" t="s">
        <v>337</v>
      </c>
      <c r="F2460" s="38" t="s">
        <v>8267</v>
      </c>
    </row>
    <row r="2461">
      <c r="B2461" s="38" t="s">
        <v>283</v>
      </c>
      <c r="C2461" s="38">
        <v>4.0</v>
      </c>
      <c r="D2461" s="38" t="s">
        <v>9919</v>
      </c>
      <c r="E2461" s="281" t="s">
        <v>2324</v>
      </c>
      <c r="F2461" s="38" t="s">
        <v>10231</v>
      </c>
    </row>
    <row r="2462">
      <c r="B2462" s="38" t="s">
        <v>219</v>
      </c>
      <c r="C2462" s="38">
        <v>4.0</v>
      </c>
      <c r="D2462" s="38" t="s">
        <v>6571</v>
      </c>
      <c r="E2462" s="38" t="s">
        <v>7184</v>
      </c>
      <c r="F2462" s="38" t="s">
        <v>10232</v>
      </c>
    </row>
    <row r="2463">
      <c r="B2463" s="38" t="s">
        <v>63</v>
      </c>
      <c r="C2463" s="38">
        <v>2.0</v>
      </c>
      <c r="D2463" s="38" t="s">
        <v>7093</v>
      </c>
      <c r="E2463" s="38" t="s">
        <v>3984</v>
      </c>
      <c r="F2463" s="38" t="s">
        <v>925</v>
      </c>
    </row>
    <row r="2464">
      <c r="A2464" s="8"/>
      <c r="B2464" s="38" t="s">
        <v>357</v>
      </c>
      <c r="C2464" s="38">
        <v>4.0</v>
      </c>
      <c r="D2464" s="38" t="s">
        <v>6705</v>
      </c>
      <c r="E2464" s="38" t="s">
        <v>10233</v>
      </c>
      <c r="F2464" s="38" t="s">
        <v>6611</v>
      </c>
    </row>
    <row r="2465">
      <c r="B2465" s="44"/>
      <c r="C2465" s="44"/>
      <c r="D2465" s="44"/>
      <c r="E2465" s="38" t="s">
        <v>10234</v>
      </c>
      <c r="F2465" s="38" t="s">
        <v>10235</v>
      </c>
    </row>
    <row r="2466">
      <c r="B2466" s="38" t="s">
        <v>22</v>
      </c>
      <c r="C2466" s="38">
        <v>4.0</v>
      </c>
      <c r="D2466" s="38" t="s">
        <v>10236</v>
      </c>
      <c r="E2466" s="38" t="s">
        <v>10237</v>
      </c>
      <c r="F2466" s="38" t="s">
        <v>8858</v>
      </c>
    </row>
    <row r="2467">
      <c r="B2467" s="38" t="s">
        <v>339</v>
      </c>
      <c r="C2467" s="38">
        <v>4.0</v>
      </c>
      <c r="D2467" s="38" t="s">
        <v>2421</v>
      </c>
      <c r="E2467" s="38" t="s">
        <v>10238</v>
      </c>
      <c r="F2467" s="38" t="s">
        <v>10239</v>
      </c>
    </row>
    <row r="2468">
      <c r="B2468" s="38" t="s">
        <v>354</v>
      </c>
      <c r="C2468" s="38">
        <v>2.0</v>
      </c>
      <c r="D2468" s="38" t="s">
        <v>684</v>
      </c>
      <c r="E2468" s="38" t="s">
        <v>1098</v>
      </c>
      <c r="F2468" s="38" t="s">
        <v>3869</v>
      </c>
      <c r="G2468" s="38" t="s">
        <v>10240</v>
      </c>
    </row>
    <row r="2469">
      <c r="B2469" s="38" t="s">
        <v>479</v>
      </c>
      <c r="C2469" s="38">
        <v>2.0</v>
      </c>
      <c r="D2469" s="38" t="s">
        <v>684</v>
      </c>
      <c r="E2469" s="38" t="s">
        <v>1098</v>
      </c>
      <c r="F2469" s="38" t="s">
        <v>10241</v>
      </c>
      <c r="G2469" s="38" t="s">
        <v>10240</v>
      </c>
    </row>
    <row r="2470">
      <c r="B2470" s="38" t="s">
        <v>35</v>
      </c>
      <c r="C2470" s="38">
        <v>2.0</v>
      </c>
      <c r="D2470" s="38" t="s">
        <v>408</v>
      </c>
      <c r="E2470" s="38" t="s">
        <v>1098</v>
      </c>
      <c r="F2470" s="38" t="s">
        <v>10242</v>
      </c>
      <c r="G2470" s="38" t="s">
        <v>10240</v>
      </c>
    </row>
    <row r="2471">
      <c r="B2471" s="38" t="s">
        <v>416</v>
      </c>
      <c r="C2471" s="38">
        <v>2.0</v>
      </c>
      <c r="D2471" s="38" t="s">
        <v>408</v>
      </c>
      <c r="E2471" s="38" t="s">
        <v>1098</v>
      </c>
      <c r="F2471" s="38" t="s">
        <v>10243</v>
      </c>
      <c r="G2471" s="38" t="s">
        <v>10240</v>
      </c>
    </row>
    <row r="2472">
      <c r="B2472" s="38" t="s">
        <v>308</v>
      </c>
      <c r="C2472" s="38">
        <v>4.0</v>
      </c>
      <c r="D2472" s="38" t="s">
        <v>7155</v>
      </c>
      <c r="E2472" s="38" t="s">
        <v>2787</v>
      </c>
      <c r="F2472" s="38" t="s">
        <v>10244</v>
      </c>
    </row>
    <row r="2473">
      <c r="B2473" s="44"/>
      <c r="C2473" s="44"/>
      <c r="D2473" s="44"/>
      <c r="E2473" s="38" t="s">
        <v>1141</v>
      </c>
      <c r="F2473" s="38" t="s">
        <v>10245</v>
      </c>
      <c r="G2473" s="38" t="s">
        <v>9963</v>
      </c>
    </row>
    <row r="2474">
      <c r="B2474" s="38" t="s">
        <v>1006</v>
      </c>
      <c r="C2474" s="38">
        <v>4.0</v>
      </c>
      <c r="D2474" s="38" t="s">
        <v>9854</v>
      </c>
      <c r="E2474" s="38" t="s">
        <v>10246</v>
      </c>
      <c r="F2474" s="38" t="s">
        <v>10247</v>
      </c>
    </row>
    <row r="2475">
      <c r="B2475" s="44"/>
      <c r="C2475" s="38" t="s">
        <v>10248</v>
      </c>
      <c r="D2475" s="38" t="s">
        <v>6927</v>
      </c>
      <c r="E2475" s="38" t="s">
        <v>1814</v>
      </c>
      <c r="F2475" s="38" t="s">
        <v>10249</v>
      </c>
    </row>
    <row r="2476">
      <c r="B2476" s="38" t="s">
        <v>416</v>
      </c>
      <c r="C2476" s="38">
        <v>4.0</v>
      </c>
      <c r="D2476" s="38" t="s">
        <v>6742</v>
      </c>
      <c r="E2476" s="38" t="s">
        <v>10250</v>
      </c>
      <c r="F2476" s="38" t="s">
        <v>10251</v>
      </c>
    </row>
    <row r="2477">
      <c r="A2477" s="8"/>
      <c r="B2477" s="38" t="s">
        <v>430</v>
      </c>
      <c r="C2477" s="38">
        <v>4.0</v>
      </c>
      <c r="D2477" s="38" t="s">
        <v>684</v>
      </c>
      <c r="E2477" s="47" t="s">
        <v>10252</v>
      </c>
      <c r="F2477" s="38" t="s">
        <v>10253</v>
      </c>
    </row>
    <row r="2478">
      <c r="B2478" s="38" t="s">
        <v>52</v>
      </c>
      <c r="C2478" s="38">
        <v>4.0</v>
      </c>
      <c r="D2478" s="38" t="s">
        <v>10254</v>
      </c>
      <c r="E2478" s="274" t="s">
        <v>9902</v>
      </c>
      <c r="F2478" s="38" t="s">
        <v>10255</v>
      </c>
    </row>
    <row r="2479">
      <c r="B2479" s="59" t="s">
        <v>10256</v>
      </c>
      <c r="C2479" s="59" t="s">
        <v>10257</v>
      </c>
      <c r="D2479" s="59" t="s">
        <v>10258</v>
      </c>
      <c r="E2479" s="38" t="s">
        <v>4478</v>
      </c>
      <c r="F2479" s="38" t="s">
        <v>10259</v>
      </c>
    </row>
    <row r="2480">
      <c r="B2480" s="38" t="s">
        <v>4608</v>
      </c>
      <c r="C2480" s="38">
        <v>2.0</v>
      </c>
      <c r="D2480" s="38" t="s">
        <v>2296</v>
      </c>
      <c r="E2480" s="274" t="s">
        <v>10260</v>
      </c>
      <c r="F2480" s="38">
        <v>238.0</v>
      </c>
    </row>
    <row r="2481">
      <c r="B2481" s="38" t="s">
        <v>1757</v>
      </c>
      <c r="C2481" s="38">
        <v>2.0</v>
      </c>
      <c r="D2481" s="38" t="s">
        <v>2296</v>
      </c>
      <c r="E2481" s="274" t="s">
        <v>10260</v>
      </c>
      <c r="F2481" s="38" t="s">
        <v>10261</v>
      </c>
    </row>
    <row r="2482">
      <c r="B2482" s="38" t="s">
        <v>10262</v>
      </c>
      <c r="C2482" s="38">
        <v>4.0</v>
      </c>
      <c r="D2482" s="38" t="s">
        <v>3215</v>
      </c>
      <c r="E2482" s="281" t="s">
        <v>10263</v>
      </c>
      <c r="F2482" s="38" t="s">
        <v>8925</v>
      </c>
    </row>
    <row r="2483">
      <c r="B2483" s="38" t="s">
        <v>81</v>
      </c>
      <c r="C2483" s="38">
        <v>1.0</v>
      </c>
      <c r="D2483" s="38" t="s">
        <v>545</v>
      </c>
      <c r="E2483" s="38" t="s">
        <v>10264</v>
      </c>
      <c r="F2483" s="38" t="s">
        <v>4211</v>
      </c>
    </row>
    <row r="2484">
      <c r="B2484" s="38" t="s">
        <v>77</v>
      </c>
      <c r="C2484" s="38">
        <v>4.0</v>
      </c>
      <c r="D2484" s="38" t="s">
        <v>10265</v>
      </c>
      <c r="E2484" s="38" t="s">
        <v>3223</v>
      </c>
      <c r="F2484" s="38" t="s">
        <v>10266</v>
      </c>
    </row>
    <row r="2485">
      <c r="B2485" s="38" t="s">
        <v>266</v>
      </c>
      <c r="C2485" s="38">
        <v>4.0</v>
      </c>
      <c r="D2485" s="38" t="s">
        <v>412</v>
      </c>
      <c r="E2485" s="274" t="s">
        <v>10267</v>
      </c>
      <c r="F2485" s="38" t="s">
        <v>10268</v>
      </c>
    </row>
    <row r="2486">
      <c r="B2486" s="38" t="s">
        <v>982</v>
      </c>
      <c r="C2486" s="38">
        <v>4.0</v>
      </c>
      <c r="D2486" s="38" t="s">
        <v>412</v>
      </c>
      <c r="E2486" s="38" t="s">
        <v>10269</v>
      </c>
      <c r="F2486" s="38" t="s">
        <v>10270</v>
      </c>
      <c r="G2486" s="38" t="s">
        <v>10235</v>
      </c>
    </row>
    <row r="2487">
      <c r="B2487" s="38" t="s">
        <v>183</v>
      </c>
      <c r="C2487" s="38">
        <v>2.0</v>
      </c>
      <c r="D2487" s="38" t="s">
        <v>684</v>
      </c>
      <c r="E2487" s="38" t="s">
        <v>6921</v>
      </c>
      <c r="F2487" s="38" t="s">
        <v>10271</v>
      </c>
    </row>
    <row r="2488">
      <c r="B2488" s="38" t="s">
        <v>22</v>
      </c>
      <c r="C2488" s="38">
        <v>4.0</v>
      </c>
      <c r="D2488" s="38" t="s">
        <v>10272</v>
      </c>
      <c r="E2488" s="38" t="s">
        <v>4956</v>
      </c>
      <c r="F2488" s="38" t="s">
        <v>10273</v>
      </c>
      <c r="G2488" s="38" t="s">
        <v>10274</v>
      </c>
    </row>
    <row r="2489">
      <c r="B2489" s="38"/>
      <c r="C2489" s="38"/>
      <c r="D2489" s="38"/>
      <c r="E2489" s="38" t="s">
        <v>4956</v>
      </c>
      <c r="F2489" s="38" t="s">
        <v>10275</v>
      </c>
      <c r="G2489" s="38" t="s">
        <v>10274</v>
      </c>
    </row>
    <row r="2490">
      <c r="B2490" s="38" t="s">
        <v>28</v>
      </c>
      <c r="C2490" s="38">
        <v>4.0</v>
      </c>
      <c r="D2490" s="38" t="s">
        <v>27</v>
      </c>
      <c r="E2490" s="38" t="s">
        <v>10276</v>
      </c>
      <c r="F2490" s="38" t="s">
        <v>10277</v>
      </c>
    </row>
    <row r="2491">
      <c r="B2491" s="38" t="s">
        <v>10278</v>
      </c>
      <c r="C2491" s="38">
        <v>4.0</v>
      </c>
      <c r="D2491" s="38" t="s">
        <v>10279</v>
      </c>
      <c r="E2491" s="274" t="s">
        <v>10280</v>
      </c>
      <c r="F2491" s="38" t="s">
        <v>10281</v>
      </c>
    </row>
    <row r="2492">
      <c r="B2492" s="38" t="s">
        <v>22</v>
      </c>
      <c r="C2492" s="38">
        <v>4.0</v>
      </c>
      <c r="D2492" s="38" t="s">
        <v>10282</v>
      </c>
      <c r="E2492" s="38" t="s">
        <v>10283</v>
      </c>
      <c r="F2492" s="38" t="s">
        <v>10284</v>
      </c>
    </row>
    <row r="2493">
      <c r="B2493" s="38" t="s">
        <v>22</v>
      </c>
      <c r="C2493" s="38">
        <v>4.0</v>
      </c>
      <c r="D2493" s="38" t="s">
        <v>9935</v>
      </c>
      <c r="E2493" s="281" t="s">
        <v>10285</v>
      </c>
      <c r="F2493" s="38" t="s">
        <v>10286</v>
      </c>
    </row>
    <row r="2494">
      <c r="A2494" s="451">
        <v>44501.0</v>
      </c>
      <c r="B2494" s="44"/>
      <c r="C2494" s="44"/>
      <c r="D2494" s="38" t="s">
        <v>10287</v>
      </c>
      <c r="E2494" s="38" t="s">
        <v>4851</v>
      </c>
      <c r="F2494" s="38" t="s">
        <v>10288</v>
      </c>
    </row>
    <row r="2495">
      <c r="A2495" s="452"/>
      <c r="B2495" s="38" t="s">
        <v>1242</v>
      </c>
      <c r="C2495" s="38" t="s">
        <v>10289</v>
      </c>
      <c r="D2495" s="47" t="s">
        <v>10290</v>
      </c>
      <c r="E2495" s="38" t="s">
        <v>4851</v>
      </c>
      <c r="F2495" s="38" t="s">
        <v>4860</v>
      </c>
    </row>
    <row r="2496">
      <c r="B2496" s="38" t="s">
        <v>3725</v>
      </c>
      <c r="C2496" s="38">
        <v>2.0</v>
      </c>
      <c r="D2496" s="38" t="s">
        <v>10291</v>
      </c>
      <c r="E2496" s="38" t="s">
        <v>10292</v>
      </c>
      <c r="F2496" s="38" t="s">
        <v>10293</v>
      </c>
    </row>
    <row r="2497">
      <c r="B2497" s="38"/>
      <c r="C2497" s="38"/>
      <c r="D2497" s="38"/>
      <c r="E2497" s="38" t="s">
        <v>10292</v>
      </c>
      <c r="F2497" s="38" t="s">
        <v>10294</v>
      </c>
      <c r="G2497" s="93" t="s">
        <v>8646</v>
      </c>
    </row>
    <row r="2498">
      <c r="B2498" s="38" t="s">
        <v>339</v>
      </c>
      <c r="C2498" s="38">
        <v>4.0</v>
      </c>
      <c r="D2498" s="38" t="s">
        <v>8060</v>
      </c>
      <c r="E2498" s="47" t="s">
        <v>8196</v>
      </c>
      <c r="F2498" s="38" t="s">
        <v>10295</v>
      </c>
    </row>
    <row r="2499">
      <c r="B2499" s="38" t="s">
        <v>22</v>
      </c>
      <c r="C2499" s="38">
        <v>4.0</v>
      </c>
      <c r="D2499" s="38" t="s">
        <v>10151</v>
      </c>
      <c r="E2499" s="47" t="s">
        <v>10296</v>
      </c>
      <c r="F2499" s="38" t="s">
        <v>10297</v>
      </c>
    </row>
    <row r="2500">
      <c r="B2500" s="38" t="s">
        <v>88</v>
      </c>
      <c r="C2500" s="38">
        <v>4.0</v>
      </c>
      <c r="D2500" s="38" t="s">
        <v>9735</v>
      </c>
      <c r="E2500" s="38" t="s">
        <v>10298</v>
      </c>
      <c r="F2500" s="38" t="s">
        <v>10299</v>
      </c>
    </row>
    <row r="2501">
      <c r="B2501" s="38" t="s">
        <v>22</v>
      </c>
      <c r="C2501" s="38">
        <v>4.0</v>
      </c>
      <c r="D2501" s="38" t="s">
        <v>1964</v>
      </c>
      <c r="E2501" s="274" t="s">
        <v>10300</v>
      </c>
      <c r="F2501" s="38" t="s">
        <v>10301</v>
      </c>
    </row>
    <row r="2502">
      <c r="B2502" s="38" t="s">
        <v>339</v>
      </c>
      <c r="C2502" s="38">
        <v>4.0</v>
      </c>
      <c r="D2502" s="38" t="s">
        <v>408</v>
      </c>
      <c r="E2502" s="274" t="s">
        <v>10302</v>
      </c>
      <c r="F2502" s="38" t="s">
        <v>10303</v>
      </c>
    </row>
    <row r="2503">
      <c r="B2503" s="38" t="s">
        <v>94</v>
      </c>
      <c r="C2503" s="38">
        <v>2.0</v>
      </c>
      <c r="D2503" s="38" t="s">
        <v>2423</v>
      </c>
      <c r="E2503" s="38" t="s">
        <v>10304</v>
      </c>
      <c r="F2503" s="38" t="s">
        <v>10305</v>
      </c>
    </row>
    <row r="2504">
      <c r="B2504" s="38" t="s">
        <v>91</v>
      </c>
      <c r="C2504" s="38">
        <v>2.0</v>
      </c>
      <c r="D2504" s="38" t="s">
        <v>2423</v>
      </c>
      <c r="E2504" s="38" t="s">
        <v>10304</v>
      </c>
      <c r="F2504" s="38" t="s">
        <v>10305</v>
      </c>
    </row>
    <row r="2505">
      <c r="B2505" s="38" t="s">
        <v>416</v>
      </c>
      <c r="C2505" s="38">
        <v>4.0</v>
      </c>
      <c r="D2505" s="38" t="s">
        <v>289</v>
      </c>
      <c r="E2505" s="38" t="s">
        <v>10306</v>
      </c>
      <c r="F2505" s="38" t="s">
        <v>5418</v>
      </c>
    </row>
    <row r="2506">
      <c r="B2506" s="38" t="s">
        <v>1454</v>
      </c>
      <c r="C2506" s="38">
        <v>2.0</v>
      </c>
      <c r="D2506" s="38" t="s">
        <v>9901</v>
      </c>
      <c r="E2506" s="38" t="s">
        <v>1098</v>
      </c>
      <c r="F2506" s="38" t="s">
        <v>10307</v>
      </c>
    </row>
    <row r="2507">
      <c r="B2507" s="38" t="s">
        <v>1409</v>
      </c>
      <c r="C2507" s="38">
        <v>2.0</v>
      </c>
      <c r="D2507" s="38" t="s">
        <v>9901</v>
      </c>
      <c r="E2507" s="38" t="s">
        <v>1098</v>
      </c>
      <c r="F2507" s="38" t="s">
        <v>10308</v>
      </c>
    </row>
    <row r="2508">
      <c r="B2508" s="38" t="s">
        <v>1057</v>
      </c>
      <c r="C2508" s="38">
        <v>2.0</v>
      </c>
      <c r="D2508" s="38" t="s">
        <v>753</v>
      </c>
      <c r="E2508" s="38" t="s">
        <v>10309</v>
      </c>
      <c r="F2508" s="38" t="s">
        <v>10310</v>
      </c>
    </row>
    <row r="2509">
      <c r="B2509" s="38" t="s">
        <v>85</v>
      </c>
      <c r="C2509" s="38">
        <v>4.0</v>
      </c>
      <c r="D2509" s="38" t="s">
        <v>408</v>
      </c>
      <c r="E2509" s="38" t="s">
        <v>10311</v>
      </c>
      <c r="F2509" s="38" t="s">
        <v>922</v>
      </c>
    </row>
    <row r="2510">
      <c r="B2510" s="38" t="s">
        <v>430</v>
      </c>
      <c r="C2510" s="38">
        <v>4.0</v>
      </c>
      <c r="D2510" s="38" t="s">
        <v>408</v>
      </c>
      <c r="E2510" s="38" t="s">
        <v>10312</v>
      </c>
      <c r="F2510" s="38" t="s">
        <v>10313</v>
      </c>
    </row>
    <row r="2511">
      <c r="B2511" s="38" t="s">
        <v>140</v>
      </c>
      <c r="C2511" s="38">
        <v>4.0</v>
      </c>
      <c r="D2511" s="38" t="s">
        <v>10314</v>
      </c>
      <c r="E2511" s="38" t="s">
        <v>3977</v>
      </c>
      <c r="F2511" s="38" t="s">
        <v>10315</v>
      </c>
    </row>
    <row r="2512">
      <c r="B2512" s="38" t="s">
        <v>949</v>
      </c>
      <c r="C2512" s="38">
        <v>2.0</v>
      </c>
      <c r="D2512" s="38" t="s">
        <v>408</v>
      </c>
      <c r="E2512" s="38" t="s">
        <v>6587</v>
      </c>
      <c r="F2512" s="38" t="s">
        <v>10316</v>
      </c>
    </row>
    <row r="2513">
      <c r="B2513" s="38" t="s">
        <v>261</v>
      </c>
      <c r="C2513" s="38">
        <v>4.0</v>
      </c>
      <c r="D2513" s="38" t="s">
        <v>684</v>
      </c>
      <c r="E2513" s="38" t="s">
        <v>8084</v>
      </c>
      <c r="F2513" s="38" t="s">
        <v>10317</v>
      </c>
    </row>
    <row r="2514">
      <c r="B2514" s="38" t="s">
        <v>6655</v>
      </c>
      <c r="C2514" s="38">
        <v>2.0</v>
      </c>
      <c r="D2514" s="38" t="s">
        <v>10318</v>
      </c>
      <c r="E2514" s="38" t="s">
        <v>8084</v>
      </c>
      <c r="F2514" s="38" t="s">
        <v>10319</v>
      </c>
    </row>
    <row r="2515">
      <c r="B2515" s="38" t="s">
        <v>4739</v>
      </c>
      <c r="C2515" s="38">
        <v>2.0</v>
      </c>
      <c r="D2515" s="38" t="s">
        <v>10318</v>
      </c>
      <c r="E2515" s="38" t="s">
        <v>8084</v>
      </c>
      <c r="F2515" s="38" t="s">
        <v>10320</v>
      </c>
    </row>
    <row r="2516">
      <c r="B2516" s="38" t="s">
        <v>10321</v>
      </c>
      <c r="C2516" s="38" t="s">
        <v>10322</v>
      </c>
      <c r="D2516" s="443" t="s">
        <v>10323</v>
      </c>
      <c r="E2516" s="38" t="s">
        <v>10324</v>
      </c>
      <c r="F2516" s="38">
        <v>8.60389023E8</v>
      </c>
    </row>
    <row r="2517">
      <c r="B2517" s="38" t="s">
        <v>10321</v>
      </c>
      <c r="C2517" s="44"/>
      <c r="D2517" s="443" t="s">
        <v>10325</v>
      </c>
      <c r="E2517" s="38" t="s">
        <v>10324</v>
      </c>
      <c r="F2517" s="38" t="s">
        <v>10326</v>
      </c>
    </row>
    <row r="2518">
      <c r="B2518" s="44"/>
      <c r="C2518" s="44"/>
      <c r="D2518" s="38" t="s">
        <v>10327</v>
      </c>
      <c r="E2518" s="274" t="s">
        <v>10328</v>
      </c>
      <c r="F2518" s="38" t="s">
        <v>10329</v>
      </c>
    </row>
    <row r="2519">
      <c r="B2519" s="38" t="s">
        <v>63</v>
      </c>
      <c r="C2519" s="38">
        <v>2.0</v>
      </c>
      <c r="D2519" s="38" t="s">
        <v>10330</v>
      </c>
      <c r="E2519" s="38" t="s">
        <v>1017</v>
      </c>
      <c r="F2519" s="38" t="s">
        <v>10331</v>
      </c>
    </row>
    <row r="2520">
      <c r="B2520" s="38" t="s">
        <v>205</v>
      </c>
      <c r="C2520" s="38">
        <v>8.0</v>
      </c>
      <c r="D2520" s="38" t="s">
        <v>289</v>
      </c>
      <c r="E2520" s="38" t="s">
        <v>7867</v>
      </c>
      <c r="F2520" s="38" t="s">
        <v>10332</v>
      </c>
    </row>
    <row r="2521">
      <c r="B2521" s="38" t="s">
        <v>1400</v>
      </c>
      <c r="C2521" s="38">
        <v>4.0</v>
      </c>
      <c r="D2521" s="38" t="s">
        <v>1964</v>
      </c>
      <c r="E2521" s="38" t="s">
        <v>10333</v>
      </c>
      <c r="F2521" s="44"/>
    </row>
    <row r="2522">
      <c r="B2522" s="38" t="s">
        <v>271</v>
      </c>
      <c r="C2522" s="38">
        <v>4.0</v>
      </c>
      <c r="D2522" s="38" t="s">
        <v>2421</v>
      </c>
      <c r="E2522" s="38" t="s">
        <v>2787</v>
      </c>
      <c r="F2522" s="38" t="s">
        <v>10334</v>
      </c>
    </row>
    <row r="2523">
      <c r="B2523" s="44"/>
      <c r="C2523" s="44"/>
      <c r="D2523" s="395" t="s">
        <v>10335</v>
      </c>
      <c r="E2523" s="38" t="s">
        <v>1015</v>
      </c>
      <c r="F2523" s="44"/>
    </row>
    <row r="2524">
      <c r="B2524" s="38" t="s">
        <v>166</v>
      </c>
      <c r="C2524" s="38">
        <v>2.0</v>
      </c>
      <c r="D2524" s="38" t="s">
        <v>8950</v>
      </c>
      <c r="E2524" s="38" t="s">
        <v>10336</v>
      </c>
      <c r="F2524" s="38" t="s">
        <v>10337</v>
      </c>
    </row>
    <row r="2525">
      <c r="B2525" s="38" t="s">
        <v>38</v>
      </c>
      <c r="C2525" s="38">
        <v>2.0</v>
      </c>
      <c r="D2525" s="38" t="s">
        <v>8950</v>
      </c>
      <c r="E2525" s="38" t="s">
        <v>10336</v>
      </c>
      <c r="F2525" s="44"/>
    </row>
    <row r="2526">
      <c r="B2526" s="44"/>
      <c r="C2526" s="44"/>
      <c r="D2526" s="59" t="s">
        <v>10338</v>
      </c>
      <c r="E2526" s="38" t="s">
        <v>418</v>
      </c>
      <c r="F2526" s="38" t="s">
        <v>10339</v>
      </c>
    </row>
    <row r="2527">
      <c r="B2527" s="38" t="s">
        <v>183</v>
      </c>
      <c r="C2527" s="38">
        <v>4.0</v>
      </c>
      <c r="D2527" s="59" t="s">
        <v>10340</v>
      </c>
      <c r="E2527" s="38" t="s">
        <v>418</v>
      </c>
      <c r="F2527" s="38" t="s">
        <v>10341</v>
      </c>
    </row>
    <row r="2528">
      <c r="B2528" s="44"/>
      <c r="C2528" s="44"/>
      <c r="D2528" s="59" t="s">
        <v>10342</v>
      </c>
      <c r="E2528" s="38" t="s">
        <v>418</v>
      </c>
      <c r="F2528" s="38" t="s">
        <v>10339</v>
      </c>
    </row>
    <row r="2529">
      <c r="B2529" s="44"/>
      <c r="C2529" s="44"/>
      <c r="D2529" s="59" t="s">
        <v>10343</v>
      </c>
      <c r="E2529" s="38" t="s">
        <v>418</v>
      </c>
      <c r="F2529" s="38" t="s">
        <v>10339</v>
      </c>
    </row>
    <row r="2530">
      <c r="B2530" s="44"/>
      <c r="C2530" s="44"/>
      <c r="D2530" s="59" t="s">
        <v>10344</v>
      </c>
      <c r="E2530" s="38" t="s">
        <v>418</v>
      </c>
      <c r="F2530" s="38" t="s">
        <v>10339</v>
      </c>
    </row>
    <row r="2531">
      <c r="B2531" s="38" t="s">
        <v>28</v>
      </c>
      <c r="C2531" s="38">
        <v>4.0</v>
      </c>
      <c r="D2531" s="59" t="s">
        <v>10345</v>
      </c>
      <c r="E2531" s="38" t="s">
        <v>418</v>
      </c>
      <c r="F2531" s="38" t="s">
        <v>10346</v>
      </c>
    </row>
    <row r="2532">
      <c r="B2532" s="44"/>
      <c r="C2532" s="44"/>
      <c r="D2532" s="59" t="s">
        <v>10347</v>
      </c>
      <c r="E2532" s="38" t="s">
        <v>418</v>
      </c>
      <c r="F2532" s="38" t="s">
        <v>10339</v>
      </c>
    </row>
    <row r="2533">
      <c r="B2533" s="44"/>
      <c r="C2533" s="44"/>
      <c r="D2533" s="59" t="s">
        <v>10348</v>
      </c>
      <c r="E2533" s="38" t="s">
        <v>418</v>
      </c>
      <c r="F2533" s="38" t="s">
        <v>10349</v>
      </c>
    </row>
    <row r="2534">
      <c r="B2534" s="38" t="s">
        <v>629</v>
      </c>
      <c r="C2534" s="38">
        <v>2.0</v>
      </c>
      <c r="D2534" s="38" t="s">
        <v>10350</v>
      </c>
      <c r="E2534" s="38" t="s">
        <v>7128</v>
      </c>
      <c r="F2534" s="38" t="s">
        <v>10351</v>
      </c>
    </row>
    <row r="2535">
      <c r="A2535" s="8"/>
      <c r="B2535" s="38" t="s">
        <v>22</v>
      </c>
      <c r="C2535" s="38">
        <v>4.0</v>
      </c>
      <c r="D2535" s="38" t="s">
        <v>10352</v>
      </c>
      <c r="E2535" s="47" t="s">
        <v>10353</v>
      </c>
      <c r="F2535" s="38" t="s">
        <v>10354</v>
      </c>
    </row>
    <row r="2536">
      <c r="B2536" s="38" t="s">
        <v>183</v>
      </c>
      <c r="C2536" s="38">
        <v>4.0</v>
      </c>
      <c r="D2536" s="38" t="s">
        <v>2389</v>
      </c>
      <c r="E2536" s="274" t="s">
        <v>9216</v>
      </c>
      <c r="F2536" s="38" t="s">
        <v>10355</v>
      </c>
    </row>
    <row r="2537">
      <c r="B2537" s="38" t="s">
        <v>1513</v>
      </c>
      <c r="C2537" s="38">
        <v>4.0</v>
      </c>
      <c r="D2537" s="38" t="s">
        <v>684</v>
      </c>
      <c r="E2537" s="38" t="s">
        <v>10356</v>
      </c>
      <c r="F2537" s="38" t="s">
        <v>10357</v>
      </c>
    </row>
    <row r="2538">
      <c r="B2538" s="38" t="s">
        <v>219</v>
      </c>
      <c r="C2538" s="38">
        <v>4.0</v>
      </c>
      <c r="D2538" s="38" t="s">
        <v>6571</v>
      </c>
      <c r="E2538" s="274" t="s">
        <v>10358</v>
      </c>
      <c r="F2538" s="38" t="s">
        <v>10359</v>
      </c>
    </row>
    <row r="2539">
      <c r="B2539" s="38" t="s">
        <v>28</v>
      </c>
      <c r="C2539" s="38">
        <v>4.0</v>
      </c>
      <c r="D2539" s="38" t="s">
        <v>2421</v>
      </c>
      <c r="E2539" s="38" t="s">
        <v>1580</v>
      </c>
      <c r="F2539" s="38" t="s">
        <v>10360</v>
      </c>
    </row>
    <row r="2540">
      <c r="B2540" s="38" t="s">
        <v>1006</v>
      </c>
      <c r="C2540" s="38">
        <v>2.0</v>
      </c>
      <c r="D2540" s="38" t="s">
        <v>9994</v>
      </c>
      <c r="E2540" s="38" t="s">
        <v>873</v>
      </c>
      <c r="F2540" s="38" t="s">
        <v>10361</v>
      </c>
    </row>
    <row r="2541">
      <c r="B2541" s="38" t="s">
        <v>2385</v>
      </c>
      <c r="C2541" s="38">
        <v>2.0</v>
      </c>
      <c r="D2541" s="38" t="s">
        <v>2391</v>
      </c>
      <c r="E2541" s="274" t="s">
        <v>10362</v>
      </c>
      <c r="F2541" s="38" t="s">
        <v>10363</v>
      </c>
    </row>
    <row r="2542">
      <c r="B2542" s="38" t="s">
        <v>2798</v>
      </c>
      <c r="C2542" s="38">
        <v>4.0</v>
      </c>
      <c r="D2542" s="38" t="s">
        <v>6871</v>
      </c>
      <c r="E2542" s="38" t="s">
        <v>10364</v>
      </c>
      <c r="F2542" s="38" t="s">
        <v>10365</v>
      </c>
    </row>
    <row r="2543">
      <c r="A2543" s="8"/>
      <c r="B2543" s="38" t="s">
        <v>10366</v>
      </c>
      <c r="C2543" s="38">
        <v>4.0</v>
      </c>
      <c r="D2543" s="38" t="s">
        <v>289</v>
      </c>
      <c r="E2543" s="38" t="s">
        <v>2925</v>
      </c>
      <c r="F2543" s="38" t="s">
        <v>10367</v>
      </c>
    </row>
    <row r="2544">
      <c r="B2544" s="38" t="s">
        <v>3996</v>
      </c>
      <c r="C2544" s="38">
        <v>4.0</v>
      </c>
      <c r="D2544" s="38" t="s">
        <v>1305</v>
      </c>
      <c r="E2544" s="38" t="s">
        <v>1072</v>
      </c>
      <c r="F2544" s="38" t="s">
        <v>10368</v>
      </c>
      <c r="G2544" s="38" t="s">
        <v>10369</v>
      </c>
    </row>
    <row r="2545">
      <c r="B2545" s="38" t="s">
        <v>1159</v>
      </c>
      <c r="C2545" s="38">
        <v>1.0</v>
      </c>
      <c r="D2545" s="38" t="s">
        <v>4251</v>
      </c>
      <c r="E2545" s="38" t="s">
        <v>3132</v>
      </c>
      <c r="F2545" s="38" t="s">
        <v>10370</v>
      </c>
    </row>
    <row r="2546">
      <c r="B2546" s="44"/>
      <c r="C2546" s="44"/>
      <c r="D2546" s="38" t="s">
        <v>10371</v>
      </c>
      <c r="E2546" s="38" t="s">
        <v>10013</v>
      </c>
      <c r="F2546" s="38" t="s">
        <v>10372</v>
      </c>
      <c r="G2546" s="38" t="s">
        <v>10373</v>
      </c>
    </row>
    <row r="2547">
      <c r="B2547" s="38" t="s">
        <v>246</v>
      </c>
      <c r="C2547" s="38">
        <v>4.0</v>
      </c>
      <c r="D2547" s="38" t="s">
        <v>545</v>
      </c>
      <c r="E2547" s="38" t="s">
        <v>10013</v>
      </c>
      <c r="F2547" s="38" t="s">
        <v>10374</v>
      </c>
      <c r="G2547" s="38" t="s">
        <v>10373</v>
      </c>
    </row>
    <row r="2548">
      <c r="B2548" s="38" t="s">
        <v>982</v>
      </c>
      <c r="C2548" s="38">
        <v>2.0</v>
      </c>
      <c r="D2548" s="38" t="s">
        <v>10375</v>
      </c>
      <c r="E2548" s="38" t="s">
        <v>4478</v>
      </c>
      <c r="F2548" s="38" t="s">
        <v>10376</v>
      </c>
    </row>
    <row r="2549">
      <c r="A2549" s="44"/>
      <c r="B2549" s="38" t="s">
        <v>10377</v>
      </c>
      <c r="C2549" s="38" t="s">
        <v>10378</v>
      </c>
      <c r="D2549" s="38" t="s">
        <v>10379</v>
      </c>
      <c r="E2549" s="38" t="s">
        <v>8552</v>
      </c>
      <c r="F2549" s="125" t="s">
        <v>10380</v>
      </c>
      <c r="G2549" s="38" t="s">
        <v>9844</v>
      </c>
    </row>
    <row r="2550">
      <c r="A2550" s="38" t="s">
        <v>10381</v>
      </c>
      <c r="B2550" s="38" t="s">
        <v>10382</v>
      </c>
      <c r="C2550" s="38" t="s">
        <v>10383</v>
      </c>
      <c r="D2550" s="38" t="s">
        <v>10384</v>
      </c>
      <c r="E2550" s="38" t="s">
        <v>8552</v>
      </c>
      <c r="F2550" s="125" t="s">
        <v>10385</v>
      </c>
      <c r="G2550" s="38" t="s">
        <v>9844</v>
      </c>
    </row>
    <row r="2551">
      <c r="A2551" s="38"/>
      <c r="B2551" s="38"/>
      <c r="C2551" s="38"/>
      <c r="D2551" s="38"/>
      <c r="E2551" s="38" t="s">
        <v>8552</v>
      </c>
      <c r="F2551" s="125" t="s">
        <v>372</v>
      </c>
      <c r="G2551" s="38" t="s">
        <v>10386</v>
      </c>
    </row>
    <row r="2552">
      <c r="B2552" s="38" t="s">
        <v>7695</v>
      </c>
      <c r="C2552" s="38">
        <v>4.0</v>
      </c>
      <c r="D2552" s="38" t="s">
        <v>7006</v>
      </c>
      <c r="E2552" s="281" t="s">
        <v>10387</v>
      </c>
      <c r="F2552" s="38" t="s">
        <v>10388</v>
      </c>
    </row>
    <row r="2553">
      <c r="B2553" s="38" t="s">
        <v>28</v>
      </c>
      <c r="C2553" s="38">
        <v>4.0</v>
      </c>
      <c r="D2553" s="38" t="s">
        <v>9369</v>
      </c>
      <c r="E2553" s="101" t="s">
        <v>10389</v>
      </c>
      <c r="F2553" s="38" t="s">
        <v>10390</v>
      </c>
      <c r="G2553" s="38" t="s">
        <v>10391</v>
      </c>
    </row>
    <row r="2554">
      <c r="A2554" s="8"/>
      <c r="B2554" s="38" t="s">
        <v>199</v>
      </c>
      <c r="C2554" s="38">
        <v>2.0</v>
      </c>
      <c r="D2554" s="38" t="s">
        <v>10105</v>
      </c>
      <c r="E2554" s="38" t="s">
        <v>10392</v>
      </c>
      <c r="F2554" s="38" t="s">
        <v>10393</v>
      </c>
      <c r="G2554" s="38" t="s">
        <v>10394</v>
      </c>
    </row>
    <row r="2555">
      <c r="A2555" s="8"/>
      <c r="B2555" s="38" t="s">
        <v>195</v>
      </c>
      <c r="C2555" s="38">
        <v>2.0</v>
      </c>
      <c r="D2555" s="38" t="s">
        <v>10105</v>
      </c>
      <c r="E2555" s="38" t="s">
        <v>10392</v>
      </c>
      <c r="F2555" s="44"/>
      <c r="G2555" s="38" t="s">
        <v>10394</v>
      </c>
    </row>
    <row r="2556">
      <c r="B2556" s="38" t="s">
        <v>3682</v>
      </c>
      <c r="C2556" s="38">
        <v>4.0</v>
      </c>
      <c r="D2556" s="38" t="s">
        <v>10395</v>
      </c>
      <c r="E2556" s="38" t="s">
        <v>10396</v>
      </c>
      <c r="F2556" s="38" t="s">
        <v>10397</v>
      </c>
    </row>
    <row r="2557">
      <c r="B2557" s="38" t="s">
        <v>58</v>
      </c>
      <c r="C2557" s="38">
        <v>1.0</v>
      </c>
      <c r="D2557" s="38" t="s">
        <v>1084</v>
      </c>
      <c r="E2557" s="38" t="s">
        <v>10398</v>
      </c>
      <c r="F2557" s="38" t="s">
        <v>10399</v>
      </c>
    </row>
    <row r="2558">
      <c r="B2558" s="38" t="s">
        <v>271</v>
      </c>
      <c r="C2558" s="38">
        <v>4.0</v>
      </c>
      <c r="D2558" s="38" t="s">
        <v>1084</v>
      </c>
      <c r="E2558" s="38" t="s">
        <v>10132</v>
      </c>
      <c r="F2558" s="38" t="s">
        <v>10400</v>
      </c>
    </row>
    <row r="2559">
      <c r="B2559" s="38" t="s">
        <v>271</v>
      </c>
      <c r="C2559" s="38">
        <v>1.0</v>
      </c>
      <c r="D2559" s="38" t="s">
        <v>10401</v>
      </c>
      <c r="E2559" s="38" t="s">
        <v>10402</v>
      </c>
      <c r="F2559" s="38" t="s">
        <v>1060</v>
      </c>
    </row>
    <row r="2560">
      <c r="B2560" s="38" t="s">
        <v>183</v>
      </c>
      <c r="C2560" s="38">
        <v>2.0</v>
      </c>
      <c r="D2560" s="38" t="s">
        <v>10403</v>
      </c>
      <c r="E2560" s="38" t="s">
        <v>4709</v>
      </c>
      <c r="F2560" s="38" t="s">
        <v>10404</v>
      </c>
    </row>
    <row r="2561">
      <c r="B2561" s="38" t="s">
        <v>308</v>
      </c>
      <c r="C2561" s="38">
        <v>4.0</v>
      </c>
      <c r="D2561" s="38" t="s">
        <v>10052</v>
      </c>
      <c r="E2561" s="38" t="s">
        <v>2742</v>
      </c>
      <c r="F2561" s="38" t="s">
        <v>10405</v>
      </c>
    </row>
    <row r="2562">
      <c r="B2562" s="38" t="s">
        <v>949</v>
      </c>
      <c r="C2562" s="38">
        <v>4.0</v>
      </c>
      <c r="D2562" s="38" t="s">
        <v>684</v>
      </c>
      <c r="E2562" s="274" t="s">
        <v>10406</v>
      </c>
      <c r="F2562" s="38" t="s">
        <v>10407</v>
      </c>
    </row>
    <row r="2563">
      <c r="B2563" s="38" t="s">
        <v>1400</v>
      </c>
      <c r="C2563" s="38">
        <v>4.0</v>
      </c>
      <c r="D2563" s="38" t="s">
        <v>6731</v>
      </c>
      <c r="E2563" s="38" t="s">
        <v>6589</v>
      </c>
      <c r="F2563" s="38" t="s">
        <v>10408</v>
      </c>
    </row>
    <row r="2564">
      <c r="B2564" s="38" t="s">
        <v>25</v>
      </c>
      <c r="C2564" s="38">
        <v>4.0</v>
      </c>
      <c r="D2564" s="38" t="s">
        <v>6192</v>
      </c>
      <c r="E2564" s="38" t="s">
        <v>10409</v>
      </c>
      <c r="F2564" s="38" t="s">
        <v>1743</v>
      </c>
    </row>
    <row r="2565">
      <c r="B2565" s="38" t="s">
        <v>25</v>
      </c>
      <c r="C2565" s="38">
        <v>2.0</v>
      </c>
      <c r="D2565" s="38" t="s">
        <v>1964</v>
      </c>
      <c r="E2565" s="38" t="s">
        <v>3941</v>
      </c>
      <c r="F2565" s="38" t="s">
        <v>10410</v>
      </c>
    </row>
    <row r="2566">
      <c r="B2566" s="44"/>
      <c r="C2566" s="44"/>
      <c r="D2566" s="38" t="s">
        <v>10411</v>
      </c>
      <c r="E2566" s="38" t="s">
        <v>10412</v>
      </c>
      <c r="F2566" s="38" t="s">
        <v>2533</v>
      </c>
    </row>
    <row r="2567">
      <c r="B2567" s="38" t="s">
        <v>10413</v>
      </c>
      <c r="C2567" s="38" t="s">
        <v>10414</v>
      </c>
      <c r="D2567" s="38" t="s">
        <v>10415</v>
      </c>
      <c r="E2567" s="38" t="s">
        <v>2378</v>
      </c>
      <c r="F2567" s="38" t="s">
        <v>10416</v>
      </c>
    </row>
    <row r="2568">
      <c r="B2568" s="38" t="s">
        <v>416</v>
      </c>
      <c r="C2568" s="38">
        <v>2.0</v>
      </c>
      <c r="D2568" s="38" t="s">
        <v>408</v>
      </c>
      <c r="E2568" s="274" t="s">
        <v>10417</v>
      </c>
      <c r="F2568" s="38" t="s">
        <v>9483</v>
      </c>
      <c r="G2568" s="38" t="s">
        <v>10418</v>
      </c>
    </row>
    <row r="2569">
      <c r="B2569" s="38" t="s">
        <v>35</v>
      </c>
      <c r="C2569" s="38">
        <v>2.0</v>
      </c>
      <c r="D2569" s="38" t="s">
        <v>408</v>
      </c>
      <c r="E2569" s="274" t="s">
        <v>10417</v>
      </c>
      <c r="F2569" s="38" t="s">
        <v>10419</v>
      </c>
      <c r="G2569" s="38" t="s">
        <v>10420</v>
      </c>
    </row>
    <row r="2570">
      <c r="B2570" s="38" t="s">
        <v>81</v>
      </c>
      <c r="C2570" s="38">
        <v>4.0</v>
      </c>
      <c r="D2570" s="38" t="s">
        <v>6571</v>
      </c>
      <c r="E2570" s="38" t="s">
        <v>10421</v>
      </c>
      <c r="F2570" s="38" t="s">
        <v>10422</v>
      </c>
    </row>
    <row r="2571">
      <c r="B2571" s="47" t="s">
        <v>10423</v>
      </c>
      <c r="C2571" s="47" t="s">
        <v>10424</v>
      </c>
      <c r="D2571" s="47" t="s">
        <v>10425</v>
      </c>
      <c r="E2571" s="38" t="s">
        <v>1017</v>
      </c>
      <c r="F2571" s="38" t="s">
        <v>10426</v>
      </c>
    </row>
    <row r="2572">
      <c r="B2572" s="125" t="s">
        <v>10427</v>
      </c>
      <c r="C2572" s="125" t="s">
        <v>10428</v>
      </c>
      <c r="D2572" s="47"/>
      <c r="E2572" s="38" t="s">
        <v>1017</v>
      </c>
      <c r="F2572" s="38" t="s">
        <v>10429</v>
      </c>
    </row>
    <row r="2573">
      <c r="B2573" s="38" t="s">
        <v>982</v>
      </c>
      <c r="C2573" s="38">
        <v>4.0</v>
      </c>
      <c r="D2573" s="38" t="s">
        <v>412</v>
      </c>
      <c r="E2573" s="38" t="s">
        <v>2742</v>
      </c>
      <c r="F2573" s="38" t="s">
        <v>10430</v>
      </c>
    </row>
    <row r="2574">
      <c r="B2574" s="44"/>
      <c r="C2574" s="38">
        <v>4.0</v>
      </c>
      <c r="D2574" s="38" t="s">
        <v>10431</v>
      </c>
      <c r="E2574" s="38" t="s">
        <v>1758</v>
      </c>
      <c r="F2574" s="38" t="s">
        <v>10432</v>
      </c>
    </row>
    <row r="2575">
      <c r="B2575" s="38" t="s">
        <v>357</v>
      </c>
      <c r="C2575" s="38">
        <v>4.0</v>
      </c>
      <c r="D2575" s="38" t="s">
        <v>10433</v>
      </c>
      <c r="E2575" s="38" t="s">
        <v>10434</v>
      </c>
      <c r="F2575" s="38" t="s">
        <v>4717</v>
      </c>
      <c r="G2575" s="44"/>
    </row>
    <row r="2576">
      <c r="B2576" s="38" t="s">
        <v>10435</v>
      </c>
      <c r="C2576" s="38" t="s">
        <v>10436</v>
      </c>
      <c r="D2576" s="38" t="s">
        <v>10437</v>
      </c>
      <c r="E2576" s="38" t="s">
        <v>10434</v>
      </c>
      <c r="F2576" s="38" t="s">
        <v>10438</v>
      </c>
      <c r="G2576" s="38" t="s">
        <v>10439</v>
      </c>
    </row>
    <row r="2577">
      <c r="B2577" s="38" t="s">
        <v>10440</v>
      </c>
      <c r="C2577" s="38">
        <v>4.0</v>
      </c>
      <c r="D2577" s="38" t="s">
        <v>10441</v>
      </c>
      <c r="E2577" s="38" t="s">
        <v>886</v>
      </c>
      <c r="F2577" s="38" t="s">
        <v>10442</v>
      </c>
      <c r="G2577" s="38" t="s">
        <v>10443</v>
      </c>
    </row>
    <row r="2578">
      <c r="B2578" s="38"/>
      <c r="C2578" s="38"/>
      <c r="D2578" s="38"/>
      <c r="E2578" s="38" t="s">
        <v>886</v>
      </c>
      <c r="F2578" s="38" t="s">
        <v>10444</v>
      </c>
      <c r="G2578" s="38" t="s">
        <v>10445</v>
      </c>
    </row>
    <row r="2579">
      <c r="B2579" s="38" t="s">
        <v>22</v>
      </c>
      <c r="C2579" s="38">
        <v>2.0</v>
      </c>
      <c r="D2579" s="38" t="s">
        <v>10446</v>
      </c>
      <c r="E2579" s="38" t="s">
        <v>1017</v>
      </c>
      <c r="F2579" s="38" t="s">
        <v>10447</v>
      </c>
    </row>
    <row r="2580">
      <c r="B2580" s="38" t="s">
        <v>246</v>
      </c>
      <c r="C2580" s="38">
        <v>4.0</v>
      </c>
      <c r="D2580" s="38" t="s">
        <v>6571</v>
      </c>
      <c r="E2580" s="38" t="s">
        <v>10448</v>
      </c>
      <c r="F2580" s="38" t="s">
        <v>338</v>
      </c>
    </row>
    <row r="2581">
      <c r="B2581" s="453" t="s">
        <v>10449</v>
      </c>
      <c r="C2581" s="453" t="s">
        <v>10450</v>
      </c>
      <c r="D2581" s="454"/>
      <c r="E2581" s="38" t="s">
        <v>1017</v>
      </c>
      <c r="F2581" s="38" t="s">
        <v>10429</v>
      </c>
    </row>
    <row r="2582">
      <c r="B2582" s="453" t="s">
        <v>10451</v>
      </c>
      <c r="C2582" s="455" t="s">
        <v>10452</v>
      </c>
      <c r="D2582" s="44"/>
      <c r="E2582" s="38" t="s">
        <v>1017</v>
      </c>
      <c r="F2582" s="38" t="s">
        <v>10429</v>
      </c>
    </row>
    <row r="2583">
      <c r="B2583" s="38" t="s">
        <v>85</v>
      </c>
      <c r="C2583" s="38">
        <v>4.0</v>
      </c>
      <c r="D2583" s="38" t="s">
        <v>6920</v>
      </c>
      <c r="E2583" s="274" t="s">
        <v>758</v>
      </c>
      <c r="F2583" s="38" t="s">
        <v>10453</v>
      </c>
    </row>
    <row r="2584">
      <c r="B2584" s="38" t="s">
        <v>183</v>
      </c>
      <c r="C2584" s="38">
        <v>4.0</v>
      </c>
      <c r="D2584" s="38" t="s">
        <v>433</v>
      </c>
      <c r="E2584" s="38" t="s">
        <v>9035</v>
      </c>
      <c r="F2584" s="38" t="s">
        <v>10454</v>
      </c>
    </row>
    <row r="2585">
      <c r="B2585" s="38" t="s">
        <v>63</v>
      </c>
      <c r="C2585" s="38">
        <v>4.0</v>
      </c>
      <c r="D2585" s="38" t="s">
        <v>412</v>
      </c>
      <c r="E2585" s="38" t="s">
        <v>10455</v>
      </c>
      <c r="F2585" s="38" t="s">
        <v>10456</v>
      </c>
    </row>
    <row r="2586">
      <c r="B2586" s="44"/>
      <c r="C2586" s="44"/>
      <c r="D2586" s="38" t="s">
        <v>10457</v>
      </c>
      <c r="E2586" s="38" t="s">
        <v>10458</v>
      </c>
      <c r="F2586" s="44"/>
    </row>
    <row r="2587">
      <c r="B2587" s="38" t="s">
        <v>10459</v>
      </c>
      <c r="C2587" s="38">
        <v>4.0</v>
      </c>
      <c r="D2587" s="38" t="s">
        <v>408</v>
      </c>
      <c r="E2587" s="38" t="s">
        <v>1758</v>
      </c>
      <c r="F2587" s="38" t="s">
        <v>10460</v>
      </c>
    </row>
    <row r="2588">
      <c r="B2588" s="38" t="s">
        <v>398</v>
      </c>
      <c r="C2588" s="38">
        <v>2.0</v>
      </c>
      <c r="D2588" s="38" t="s">
        <v>10461</v>
      </c>
      <c r="E2588" s="38" t="s">
        <v>1758</v>
      </c>
      <c r="F2588" s="38" t="s">
        <v>10462</v>
      </c>
    </row>
    <row r="2589">
      <c r="B2589" s="38" t="s">
        <v>10463</v>
      </c>
      <c r="C2589" s="44"/>
      <c r="D2589" s="38" t="s">
        <v>10464</v>
      </c>
      <c r="E2589" s="38" t="s">
        <v>10465</v>
      </c>
      <c r="F2589" s="38" t="s">
        <v>10466</v>
      </c>
    </row>
    <row r="2590">
      <c r="B2590" s="456" t="s">
        <v>10467</v>
      </c>
      <c r="C2590" s="44"/>
      <c r="D2590" s="44"/>
      <c r="E2590" s="38" t="s">
        <v>10465</v>
      </c>
      <c r="F2590" s="38" t="s">
        <v>10466</v>
      </c>
    </row>
    <row r="2591">
      <c r="B2591" s="457"/>
      <c r="C2591" s="38">
        <v>2.0</v>
      </c>
      <c r="D2591" s="38">
        <v>3.003113003E9</v>
      </c>
      <c r="E2591" s="38" t="s">
        <v>10468</v>
      </c>
      <c r="F2591" s="38">
        <v>9.38</v>
      </c>
      <c r="G2591" s="38" t="s">
        <v>9329</v>
      </c>
    </row>
    <row r="2592">
      <c r="B2592" s="44"/>
      <c r="C2592" s="38">
        <v>2.0</v>
      </c>
      <c r="D2592" s="38">
        <v>3.001181105E9</v>
      </c>
      <c r="E2592" s="38" t="s">
        <v>10469</v>
      </c>
      <c r="F2592" s="38" t="s">
        <v>10470</v>
      </c>
      <c r="G2592" s="38" t="s">
        <v>9329</v>
      </c>
    </row>
    <row r="2593">
      <c r="B2593" s="38" t="s">
        <v>283</v>
      </c>
      <c r="C2593" s="38">
        <v>4.0</v>
      </c>
      <c r="D2593" s="38" t="s">
        <v>9735</v>
      </c>
      <c r="E2593" s="38" t="s">
        <v>10471</v>
      </c>
      <c r="F2593" s="38" t="s">
        <v>10472</v>
      </c>
    </row>
    <row r="2594">
      <c r="B2594" s="38" t="s">
        <v>183</v>
      </c>
      <c r="C2594" s="38">
        <v>2.0</v>
      </c>
      <c r="D2594" s="38" t="s">
        <v>684</v>
      </c>
      <c r="E2594" s="281" t="s">
        <v>8610</v>
      </c>
      <c r="F2594" s="38" t="s">
        <v>10473</v>
      </c>
    </row>
    <row r="2595">
      <c r="B2595" s="38" t="s">
        <v>205</v>
      </c>
      <c r="C2595" s="38">
        <v>4.0</v>
      </c>
      <c r="D2595" s="38" t="s">
        <v>10474</v>
      </c>
      <c r="E2595" s="38" t="s">
        <v>10475</v>
      </c>
      <c r="F2595" s="38" t="s">
        <v>10476</v>
      </c>
    </row>
    <row r="2596">
      <c r="B2596" s="38" t="s">
        <v>876</v>
      </c>
      <c r="C2596" s="38">
        <v>2.0</v>
      </c>
      <c r="D2596" s="38" t="s">
        <v>5849</v>
      </c>
      <c r="E2596" s="385" t="s">
        <v>10477</v>
      </c>
      <c r="F2596" s="38" t="s">
        <v>10478</v>
      </c>
      <c r="G2596" s="38" t="s">
        <v>10479</v>
      </c>
    </row>
    <row r="2597">
      <c r="B2597" s="38" t="s">
        <v>122</v>
      </c>
      <c r="C2597" s="38">
        <v>4.0</v>
      </c>
      <c r="D2597" s="38" t="s">
        <v>10480</v>
      </c>
      <c r="E2597" s="38" t="s">
        <v>10481</v>
      </c>
      <c r="F2597" s="38" t="s">
        <v>10482</v>
      </c>
    </row>
    <row r="2598">
      <c r="B2598" s="38" t="s">
        <v>1714</v>
      </c>
      <c r="C2598" s="38">
        <v>1.0</v>
      </c>
      <c r="D2598" s="38" t="s">
        <v>10483</v>
      </c>
      <c r="E2598" s="38" t="s">
        <v>418</v>
      </c>
      <c r="F2598" s="38" t="s">
        <v>10484</v>
      </c>
    </row>
    <row r="2599">
      <c r="B2599" s="44"/>
      <c r="C2599" s="44"/>
      <c r="D2599" s="38" t="s">
        <v>10485</v>
      </c>
      <c r="E2599" s="38" t="s">
        <v>10486</v>
      </c>
      <c r="F2599" s="38" t="s">
        <v>10487</v>
      </c>
      <c r="G2599" s="299" t="s">
        <v>10488</v>
      </c>
    </row>
    <row r="2600">
      <c r="B2600" s="38" t="s">
        <v>10489</v>
      </c>
      <c r="C2600" s="38" t="s">
        <v>10490</v>
      </c>
      <c r="D2600" s="38" t="s">
        <v>10491</v>
      </c>
      <c r="E2600" s="38" t="s">
        <v>10492</v>
      </c>
      <c r="F2600" s="38" t="s">
        <v>10493</v>
      </c>
      <c r="G2600" s="38" t="s">
        <v>535</v>
      </c>
    </row>
    <row r="2601">
      <c r="B2601" s="458" t="s">
        <v>10494</v>
      </c>
      <c r="C2601" s="44"/>
      <c r="D2601" s="38" t="s">
        <v>10495</v>
      </c>
      <c r="E2601" s="38" t="s">
        <v>5158</v>
      </c>
      <c r="F2601" s="38" t="s">
        <v>10496</v>
      </c>
      <c r="G2601" s="38" t="s">
        <v>535</v>
      </c>
      <c r="H2601" s="38" t="s">
        <v>144</v>
      </c>
    </row>
    <row r="2602">
      <c r="B2602" s="44"/>
      <c r="C2602" s="38"/>
      <c r="D2602" s="459" t="s">
        <v>10497</v>
      </c>
      <c r="E2602" s="38" t="s">
        <v>5158</v>
      </c>
      <c r="F2602" s="38"/>
      <c r="G2602" s="44"/>
      <c r="H2602" s="38" t="s">
        <v>144</v>
      </c>
    </row>
    <row r="2603">
      <c r="B2603" s="44"/>
      <c r="C2603" s="38" t="s">
        <v>10498</v>
      </c>
      <c r="D2603" s="44"/>
      <c r="E2603" s="38" t="s">
        <v>5158</v>
      </c>
      <c r="F2603" s="38" t="s">
        <v>10499</v>
      </c>
    </row>
    <row r="2604">
      <c r="B2604" s="38" t="s">
        <v>177</v>
      </c>
      <c r="C2604" s="38">
        <v>2.0</v>
      </c>
      <c r="D2604" s="38" t="s">
        <v>8060</v>
      </c>
      <c r="E2604" s="59" t="s">
        <v>10500</v>
      </c>
      <c r="F2604" s="38" t="s">
        <v>10501</v>
      </c>
    </row>
    <row r="2605">
      <c r="B2605" s="38" t="s">
        <v>177</v>
      </c>
      <c r="C2605" s="38">
        <v>2.0</v>
      </c>
      <c r="D2605" s="38" t="s">
        <v>6571</v>
      </c>
      <c r="E2605" s="59" t="s">
        <v>10500</v>
      </c>
      <c r="F2605" s="38" t="s">
        <v>10501</v>
      </c>
    </row>
    <row r="2606">
      <c r="B2606" s="38" t="s">
        <v>25</v>
      </c>
      <c r="C2606" s="38">
        <v>1.0</v>
      </c>
      <c r="D2606" s="38" t="s">
        <v>10502</v>
      </c>
      <c r="E2606" s="38" t="s">
        <v>10503</v>
      </c>
      <c r="F2606" s="38" t="s">
        <v>2484</v>
      </c>
    </row>
    <row r="2607">
      <c r="B2607" s="38" t="s">
        <v>271</v>
      </c>
      <c r="C2607" s="38">
        <v>2.0</v>
      </c>
      <c r="D2607" s="38" t="s">
        <v>10504</v>
      </c>
      <c r="E2607" s="38" t="s">
        <v>6605</v>
      </c>
      <c r="F2607" s="38" t="s">
        <v>10505</v>
      </c>
    </row>
    <row r="2608">
      <c r="B2608" s="44"/>
      <c r="C2608" s="38" t="s">
        <v>10506</v>
      </c>
      <c r="D2608" s="38" t="s">
        <v>10507</v>
      </c>
      <c r="E2608" s="38" t="s">
        <v>10508</v>
      </c>
      <c r="F2608" s="38" t="s">
        <v>9515</v>
      </c>
    </row>
    <row r="2609">
      <c r="B2609" s="38" t="s">
        <v>271</v>
      </c>
      <c r="C2609" s="38">
        <v>4.0</v>
      </c>
      <c r="D2609" s="38" t="s">
        <v>6192</v>
      </c>
      <c r="E2609" s="38" t="s">
        <v>413</v>
      </c>
      <c r="F2609" s="38"/>
    </row>
    <row r="2610">
      <c r="B2610" s="38" t="s">
        <v>25</v>
      </c>
      <c r="C2610" s="38">
        <v>4.0</v>
      </c>
      <c r="D2610" s="38" t="s">
        <v>6192</v>
      </c>
      <c r="E2610" s="47" t="s">
        <v>10509</v>
      </c>
      <c r="F2610" s="38" t="s">
        <v>10510</v>
      </c>
    </row>
    <row r="2611">
      <c r="B2611" s="38" t="s">
        <v>107</v>
      </c>
      <c r="C2611" s="38">
        <v>2.0</v>
      </c>
      <c r="D2611" s="38" t="s">
        <v>881</v>
      </c>
      <c r="E2611" s="38" t="s">
        <v>418</v>
      </c>
      <c r="F2611" s="38" t="s">
        <v>10511</v>
      </c>
    </row>
    <row r="2612">
      <c r="B2612" s="38" t="s">
        <v>789</v>
      </c>
      <c r="C2612" s="38">
        <v>4.0</v>
      </c>
      <c r="D2612" s="38" t="s">
        <v>399</v>
      </c>
      <c r="E2612" s="38" t="s">
        <v>1758</v>
      </c>
      <c r="F2612" s="38" t="s">
        <v>10512</v>
      </c>
    </row>
    <row r="2613">
      <c r="B2613" s="38" t="s">
        <v>77</v>
      </c>
      <c r="C2613" s="38">
        <v>4.0</v>
      </c>
      <c r="D2613" s="38" t="s">
        <v>10513</v>
      </c>
      <c r="E2613" s="38" t="s">
        <v>10514</v>
      </c>
      <c r="F2613" s="38" t="s">
        <v>10515</v>
      </c>
    </row>
    <row r="2614">
      <c r="B2614" s="38" t="s">
        <v>10516</v>
      </c>
      <c r="C2614" s="38" t="s">
        <v>10517</v>
      </c>
      <c r="D2614" s="38" t="s">
        <v>10518</v>
      </c>
      <c r="E2614" s="38" t="s">
        <v>1017</v>
      </c>
      <c r="F2614" s="38" t="s">
        <v>10519</v>
      </c>
      <c r="G2614" s="38" t="s">
        <v>10429</v>
      </c>
    </row>
    <row r="2615">
      <c r="B2615" s="38" t="s">
        <v>10520</v>
      </c>
      <c r="C2615" s="38" t="s">
        <v>10521</v>
      </c>
      <c r="D2615" s="38" t="s">
        <v>10522</v>
      </c>
      <c r="E2615" s="38" t="s">
        <v>1017</v>
      </c>
      <c r="F2615" s="38" t="s">
        <v>10523</v>
      </c>
      <c r="G2615" s="38" t="s">
        <v>10429</v>
      </c>
    </row>
    <row r="2616">
      <c r="B2616" s="38" t="s">
        <v>10524</v>
      </c>
      <c r="C2616" s="38" t="s">
        <v>10525</v>
      </c>
      <c r="D2616" s="38" t="s">
        <v>10526</v>
      </c>
      <c r="E2616" s="38" t="s">
        <v>1017</v>
      </c>
      <c r="F2616" s="44"/>
      <c r="G2616" s="38" t="s">
        <v>10429</v>
      </c>
    </row>
    <row r="2617">
      <c r="B2617" s="38" t="s">
        <v>10527</v>
      </c>
      <c r="C2617" s="38" t="s">
        <v>10528</v>
      </c>
      <c r="D2617" s="38" t="s">
        <v>10529</v>
      </c>
      <c r="E2617" s="38" t="s">
        <v>1017</v>
      </c>
      <c r="F2617" s="38" t="s">
        <v>7876</v>
      </c>
      <c r="G2617" s="38" t="s">
        <v>10429</v>
      </c>
    </row>
    <row r="2618">
      <c r="B2618" s="38" t="s">
        <v>354</v>
      </c>
      <c r="C2618" s="38">
        <v>4.0</v>
      </c>
      <c r="D2618" s="38" t="s">
        <v>10530</v>
      </c>
      <c r="E2618" s="38" t="s">
        <v>10531</v>
      </c>
      <c r="F2618" s="38" t="s">
        <v>10532</v>
      </c>
    </row>
    <row r="2619">
      <c r="B2619" s="38" t="s">
        <v>479</v>
      </c>
      <c r="C2619" s="38">
        <v>2.0</v>
      </c>
      <c r="D2619" s="38" t="s">
        <v>10530</v>
      </c>
      <c r="E2619" s="38" t="s">
        <v>10531</v>
      </c>
      <c r="F2619" s="38" t="s">
        <v>10533</v>
      </c>
    </row>
    <row r="2620">
      <c r="B2620" s="38" t="s">
        <v>308</v>
      </c>
      <c r="C2620" s="38">
        <v>3.0</v>
      </c>
      <c r="D2620" s="38" t="s">
        <v>461</v>
      </c>
      <c r="E2620" s="38" t="s">
        <v>10534</v>
      </c>
      <c r="F2620" s="38" t="s">
        <v>10535</v>
      </c>
      <c r="G2620" s="38" t="s">
        <v>10536</v>
      </c>
    </row>
    <row r="2621">
      <c r="B2621" s="38" t="s">
        <v>58</v>
      </c>
      <c r="C2621" s="38">
        <v>4.0</v>
      </c>
      <c r="D2621" s="38" t="s">
        <v>10480</v>
      </c>
      <c r="E2621" s="38" t="s">
        <v>413</v>
      </c>
      <c r="F2621" s="38" t="s">
        <v>10537</v>
      </c>
      <c r="G2621" s="38" t="s">
        <v>10538</v>
      </c>
    </row>
    <row r="2622">
      <c r="B2622" s="131"/>
      <c r="C2622" s="131"/>
      <c r="D2622" s="131"/>
      <c r="E2622" s="131" t="s">
        <v>413</v>
      </c>
      <c r="F2622" s="131" t="s">
        <v>10539</v>
      </c>
    </row>
    <row r="2623">
      <c r="B2623" s="44"/>
      <c r="C2623" s="44"/>
      <c r="D2623" s="44"/>
      <c r="E2623" s="38" t="s">
        <v>413</v>
      </c>
      <c r="F2623" s="38" t="s">
        <v>10540</v>
      </c>
    </row>
    <row r="2624">
      <c r="B2624" s="38" t="s">
        <v>430</v>
      </c>
      <c r="C2624" s="38" t="s">
        <v>10541</v>
      </c>
      <c r="D2624" s="38" t="s">
        <v>10542</v>
      </c>
      <c r="E2624" s="47" t="s">
        <v>10543</v>
      </c>
      <c r="F2624" s="38" t="s">
        <v>10544</v>
      </c>
    </row>
    <row r="2625">
      <c r="A2625" s="8"/>
      <c r="B2625" s="38" t="s">
        <v>1006</v>
      </c>
      <c r="C2625" s="38">
        <v>4.0</v>
      </c>
      <c r="D2625" s="38" t="s">
        <v>412</v>
      </c>
      <c r="E2625" s="38" t="s">
        <v>10545</v>
      </c>
      <c r="F2625" s="44"/>
    </row>
    <row r="2626">
      <c r="B2626" s="38" t="s">
        <v>354</v>
      </c>
      <c r="C2626" s="38">
        <v>4.0</v>
      </c>
      <c r="D2626" s="38" t="s">
        <v>6878</v>
      </c>
      <c r="E2626" s="38" t="s">
        <v>4714</v>
      </c>
      <c r="F2626" s="38" t="s">
        <v>10546</v>
      </c>
    </row>
    <row r="2627">
      <c r="B2627" s="38" t="s">
        <v>1454</v>
      </c>
      <c r="C2627" s="38">
        <v>2.0</v>
      </c>
      <c r="D2627" s="38" t="s">
        <v>9901</v>
      </c>
      <c r="E2627" s="38" t="s">
        <v>873</v>
      </c>
      <c r="F2627" s="38" t="s">
        <v>10547</v>
      </c>
    </row>
    <row r="2628">
      <c r="B2628" s="38" t="s">
        <v>1409</v>
      </c>
      <c r="C2628" s="38">
        <v>2.0</v>
      </c>
      <c r="D2628" s="38" t="s">
        <v>9901</v>
      </c>
      <c r="E2628" s="38" t="s">
        <v>10548</v>
      </c>
      <c r="F2628" s="38" t="s">
        <v>10549</v>
      </c>
    </row>
    <row r="2629">
      <c r="B2629" s="44"/>
      <c r="C2629" s="44"/>
      <c r="D2629" s="38" t="s">
        <v>10550</v>
      </c>
      <c r="E2629" s="38" t="s">
        <v>1731</v>
      </c>
      <c r="F2629" s="44"/>
    </row>
    <row r="2630">
      <c r="B2630" s="44"/>
      <c r="C2630" s="44"/>
      <c r="D2630" s="44"/>
      <c r="E2630" s="38" t="s">
        <v>413</v>
      </c>
      <c r="F2630" s="38" t="s">
        <v>10551</v>
      </c>
    </row>
    <row r="2631">
      <c r="B2631" s="38" t="s">
        <v>1006</v>
      </c>
      <c r="C2631" s="38">
        <v>1.0</v>
      </c>
      <c r="D2631" s="38" t="s">
        <v>289</v>
      </c>
      <c r="E2631" s="38" t="s">
        <v>10552</v>
      </c>
      <c r="F2631" s="38" t="s">
        <v>10553</v>
      </c>
    </row>
    <row r="2632">
      <c r="B2632" s="38" t="s">
        <v>25</v>
      </c>
      <c r="C2632" s="38">
        <v>4.0</v>
      </c>
      <c r="D2632" s="38" t="s">
        <v>289</v>
      </c>
      <c r="E2632" s="38" t="s">
        <v>10554</v>
      </c>
      <c r="F2632" s="38" t="s">
        <v>10555</v>
      </c>
    </row>
    <row r="2633">
      <c r="B2633" s="38" t="s">
        <v>205</v>
      </c>
      <c r="C2633" s="38">
        <v>4.0</v>
      </c>
      <c r="D2633" s="38" t="s">
        <v>6192</v>
      </c>
      <c r="E2633" s="38" t="s">
        <v>633</v>
      </c>
      <c r="F2633" s="38" t="s">
        <v>10556</v>
      </c>
    </row>
    <row r="2634">
      <c r="B2634" s="38" t="s">
        <v>2035</v>
      </c>
      <c r="C2634" s="38">
        <v>4.0</v>
      </c>
      <c r="D2634" s="38" t="s">
        <v>4383</v>
      </c>
      <c r="E2634" s="38" t="s">
        <v>1098</v>
      </c>
      <c r="F2634" s="38" t="s">
        <v>10557</v>
      </c>
    </row>
    <row r="2635">
      <c r="B2635" s="38" t="s">
        <v>1513</v>
      </c>
      <c r="C2635" s="38">
        <v>4.0</v>
      </c>
      <c r="D2635" s="38" t="s">
        <v>737</v>
      </c>
      <c r="E2635" s="38" t="s">
        <v>7330</v>
      </c>
      <c r="F2635" s="38" t="s">
        <v>2252</v>
      </c>
    </row>
    <row r="2636">
      <c r="B2636" s="38" t="s">
        <v>22</v>
      </c>
      <c r="C2636" s="38">
        <v>1.0</v>
      </c>
      <c r="D2636" s="38" t="s">
        <v>10558</v>
      </c>
      <c r="E2636" s="38" t="s">
        <v>6605</v>
      </c>
      <c r="F2636" s="38" t="s">
        <v>10559</v>
      </c>
    </row>
    <row r="2637">
      <c r="B2637" s="38" t="s">
        <v>1182</v>
      </c>
      <c r="C2637" s="38">
        <v>4.0</v>
      </c>
      <c r="D2637" s="38" t="s">
        <v>560</v>
      </c>
      <c r="E2637" s="38" t="s">
        <v>10471</v>
      </c>
      <c r="F2637" s="38" t="s">
        <v>10560</v>
      </c>
    </row>
    <row r="2638">
      <c r="B2638" s="44"/>
      <c r="C2638" s="38" t="s">
        <v>6756</v>
      </c>
      <c r="D2638" s="38" t="s">
        <v>10561</v>
      </c>
      <c r="E2638" s="38" t="s">
        <v>9812</v>
      </c>
      <c r="F2638" s="38" t="s">
        <v>9813</v>
      </c>
      <c r="G2638" s="38" t="s">
        <v>10562</v>
      </c>
      <c r="H2638" s="38" t="s">
        <v>4421</v>
      </c>
    </row>
    <row r="2639">
      <c r="B2639" s="38" t="s">
        <v>9814</v>
      </c>
      <c r="C2639" s="38" t="s">
        <v>10563</v>
      </c>
      <c r="D2639" s="38" t="s">
        <v>9816</v>
      </c>
      <c r="E2639" s="38" t="s">
        <v>9812</v>
      </c>
      <c r="F2639" s="38" t="s">
        <v>10564</v>
      </c>
      <c r="G2639" s="44"/>
      <c r="H2639" s="38" t="s">
        <v>4421</v>
      </c>
    </row>
    <row r="2640">
      <c r="B2640" s="38" t="s">
        <v>177</v>
      </c>
      <c r="C2640" s="38">
        <v>4.0</v>
      </c>
      <c r="D2640" s="38" t="s">
        <v>9369</v>
      </c>
      <c r="E2640" s="38" t="s">
        <v>1156</v>
      </c>
      <c r="F2640" s="38" t="s">
        <v>10565</v>
      </c>
      <c r="G2640" s="38" t="s">
        <v>10566</v>
      </c>
    </row>
    <row r="2641">
      <c r="B2641" s="38"/>
      <c r="C2641" s="38"/>
      <c r="D2641" s="38"/>
      <c r="E2641" s="38" t="s">
        <v>1156</v>
      </c>
      <c r="F2641" s="38" t="s">
        <v>10567</v>
      </c>
      <c r="G2641" s="38" t="s">
        <v>10566</v>
      </c>
    </row>
    <row r="2642">
      <c r="B2642" s="38" t="s">
        <v>718</v>
      </c>
      <c r="C2642" s="38">
        <v>2.0</v>
      </c>
      <c r="D2642" s="38" t="s">
        <v>684</v>
      </c>
      <c r="E2642" s="38" t="s">
        <v>6444</v>
      </c>
      <c r="F2642" s="38" t="s">
        <v>175</v>
      </c>
      <c r="G2642" s="38" t="s">
        <v>144</v>
      </c>
    </row>
    <row r="2643">
      <c r="B2643" s="47" t="s">
        <v>9267</v>
      </c>
      <c r="C2643" s="38" t="s">
        <v>10568</v>
      </c>
      <c r="D2643" s="38" t="s">
        <v>701</v>
      </c>
      <c r="E2643" s="38" t="s">
        <v>6444</v>
      </c>
      <c r="F2643" s="38" t="s">
        <v>1242</v>
      </c>
      <c r="G2643" s="38" t="s">
        <v>144</v>
      </c>
    </row>
    <row r="2644">
      <c r="B2644" s="38" t="s">
        <v>10569</v>
      </c>
      <c r="C2644" s="38" t="s">
        <v>10570</v>
      </c>
      <c r="D2644" s="38" t="s">
        <v>10571</v>
      </c>
      <c r="E2644" s="38" t="s">
        <v>6444</v>
      </c>
      <c r="F2644" s="38" t="s">
        <v>10572</v>
      </c>
      <c r="G2644" s="38" t="s">
        <v>144</v>
      </c>
    </row>
    <row r="2645">
      <c r="B2645" s="38" t="s">
        <v>333</v>
      </c>
      <c r="C2645" s="38">
        <v>4.0</v>
      </c>
      <c r="D2645" s="38" t="s">
        <v>6571</v>
      </c>
      <c r="E2645" s="47" t="s">
        <v>10573</v>
      </c>
      <c r="F2645" s="44"/>
    </row>
    <row r="2646">
      <c r="B2646" s="38" t="s">
        <v>271</v>
      </c>
      <c r="C2646" s="38">
        <v>4.0</v>
      </c>
      <c r="D2646" s="38" t="s">
        <v>9735</v>
      </c>
      <c r="E2646" s="38" t="s">
        <v>9229</v>
      </c>
      <c r="F2646" s="38" t="s">
        <v>10574</v>
      </c>
    </row>
    <row r="2647">
      <c r="B2647" s="38" t="s">
        <v>246</v>
      </c>
      <c r="C2647" s="38">
        <v>2.0</v>
      </c>
      <c r="D2647" s="38" t="s">
        <v>10575</v>
      </c>
      <c r="E2647" s="38" t="s">
        <v>10050</v>
      </c>
      <c r="F2647" s="38" t="s">
        <v>10576</v>
      </c>
    </row>
    <row r="2648">
      <c r="B2648" s="44"/>
      <c r="C2648" s="38" t="s">
        <v>10577</v>
      </c>
      <c r="D2648" s="460" t="s">
        <v>10578</v>
      </c>
      <c r="E2648" s="38" t="s">
        <v>413</v>
      </c>
      <c r="F2648" s="44"/>
    </row>
    <row r="2649">
      <c r="C2649" s="1" t="s">
        <v>10579</v>
      </c>
      <c r="D2649" s="1" t="s">
        <v>10580</v>
      </c>
      <c r="E2649" s="1" t="s">
        <v>10581</v>
      </c>
      <c r="F2649" s="1" t="s">
        <v>10582</v>
      </c>
    </row>
    <row r="2650">
      <c r="B2650" s="38" t="s">
        <v>31</v>
      </c>
      <c r="C2650" s="38">
        <v>4.0</v>
      </c>
      <c r="D2650" s="38" t="s">
        <v>684</v>
      </c>
      <c r="E2650" s="38" t="s">
        <v>434</v>
      </c>
      <c r="F2650" s="38" t="s">
        <v>10583</v>
      </c>
    </row>
    <row r="2651">
      <c r="B2651" s="44"/>
      <c r="C2651" s="44"/>
      <c r="D2651" s="38" t="s">
        <v>10584</v>
      </c>
      <c r="E2651" s="38" t="s">
        <v>3941</v>
      </c>
      <c r="F2651" s="38" t="s">
        <v>8909</v>
      </c>
    </row>
    <row r="2652">
      <c r="B2652" s="38" t="s">
        <v>128</v>
      </c>
      <c r="C2652" s="38">
        <v>2.0</v>
      </c>
      <c r="D2652" s="38" t="s">
        <v>10585</v>
      </c>
      <c r="E2652" s="38" t="s">
        <v>10586</v>
      </c>
      <c r="F2652" s="38" t="s">
        <v>10587</v>
      </c>
    </row>
    <row r="2653">
      <c r="B2653" s="38" t="s">
        <v>10588</v>
      </c>
      <c r="C2653" s="125" t="s">
        <v>10589</v>
      </c>
      <c r="D2653" s="38" t="s">
        <v>10590</v>
      </c>
      <c r="E2653" s="38" t="s">
        <v>5158</v>
      </c>
      <c r="F2653" s="38" t="s">
        <v>9334</v>
      </c>
    </row>
    <row r="2654">
      <c r="B2654" s="44"/>
      <c r="C2654" s="44"/>
      <c r="D2654" s="38" t="s">
        <v>10591</v>
      </c>
      <c r="E2654" s="38" t="s">
        <v>1017</v>
      </c>
      <c r="F2654" s="38" t="s">
        <v>10592</v>
      </c>
    </row>
    <row r="2655">
      <c r="B2655" s="38" t="s">
        <v>439</v>
      </c>
      <c r="C2655" s="38">
        <v>2.0</v>
      </c>
      <c r="D2655" s="38" t="s">
        <v>8846</v>
      </c>
      <c r="E2655" s="38" t="s">
        <v>418</v>
      </c>
      <c r="F2655" s="38" t="s">
        <v>10593</v>
      </c>
    </row>
    <row r="2656">
      <c r="B2656" s="44"/>
      <c r="C2656" s="125" t="s">
        <v>10594</v>
      </c>
      <c r="D2656" s="38" t="s">
        <v>10595</v>
      </c>
      <c r="E2656" s="38" t="s">
        <v>1017</v>
      </c>
      <c r="F2656" s="38" t="s">
        <v>10596</v>
      </c>
    </row>
    <row r="2657">
      <c r="B2657" s="44"/>
      <c r="C2657" s="44"/>
      <c r="D2657" s="38" t="s">
        <v>10597</v>
      </c>
      <c r="E2657" s="38" t="s">
        <v>4210</v>
      </c>
      <c r="F2657" s="38" t="s">
        <v>10598</v>
      </c>
    </row>
    <row r="2658">
      <c r="B2658" s="44"/>
      <c r="C2658" s="44"/>
      <c r="D2658" s="44"/>
      <c r="E2658" s="38" t="s">
        <v>2546</v>
      </c>
      <c r="F2658" s="38" t="s">
        <v>10599</v>
      </c>
    </row>
    <row r="2659">
      <c r="B2659" s="38" t="s">
        <v>10600</v>
      </c>
      <c r="C2659" s="38" t="s">
        <v>10601</v>
      </c>
      <c r="D2659" s="38" t="s">
        <v>10602</v>
      </c>
      <c r="E2659" s="38" t="s">
        <v>1017</v>
      </c>
      <c r="F2659" s="38" t="s">
        <v>10603</v>
      </c>
      <c r="G2659" s="38" t="s">
        <v>10596</v>
      </c>
    </row>
    <row r="2660">
      <c r="B2660" s="38" t="s">
        <v>10604</v>
      </c>
      <c r="C2660" s="38" t="s">
        <v>10605</v>
      </c>
      <c r="D2660" s="44"/>
      <c r="E2660" s="38" t="s">
        <v>1017</v>
      </c>
      <c r="F2660" s="38" t="s">
        <v>10596</v>
      </c>
      <c r="G2660" s="44"/>
    </row>
    <row r="2661">
      <c r="A2661" s="65">
        <v>44580.0</v>
      </c>
      <c r="B2661" s="44"/>
      <c r="C2661" s="38" t="s">
        <v>10606</v>
      </c>
      <c r="D2661" s="47" t="s">
        <v>10607</v>
      </c>
      <c r="E2661" s="47" t="s">
        <v>10608</v>
      </c>
      <c r="F2661" s="38" t="s">
        <v>10609</v>
      </c>
    </row>
    <row r="2662">
      <c r="A2662" s="38" t="s">
        <v>10610</v>
      </c>
      <c r="B2662" s="38" t="s">
        <v>10611</v>
      </c>
      <c r="C2662" s="44"/>
      <c r="D2662" s="38" t="s">
        <v>10612</v>
      </c>
      <c r="E2662" s="47" t="s">
        <v>10608</v>
      </c>
      <c r="F2662" s="38" t="s">
        <v>10613</v>
      </c>
    </row>
    <row r="2663">
      <c r="B2663" s="38" t="s">
        <v>405</v>
      </c>
      <c r="C2663" s="38">
        <v>2.0</v>
      </c>
      <c r="D2663" s="38" t="s">
        <v>10614</v>
      </c>
      <c r="E2663" s="38" t="s">
        <v>1098</v>
      </c>
      <c r="F2663" s="38" t="s">
        <v>10615</v>
      </c>
    </row>
    <row r="2664">
      <c r="B2664" s="38" t="s">
        <v>52</v>
      </c>
      <c r="C2664" s="38">
        <v>2.0</v>
      </c>
      <c r="D2664" s="38" t="s">
        <v>10614</v>
      </c>
      <c r="E2664" s="38" t="s">
        <v>1098</v>
      </c>
      <c r="F2664" s="38" t="s">
        <v>10615</v>
      </c>
    </row>
    <row r="2665">
      <c r="B2665" s="38" t="s">
        <v>10616</v>
      </c>
      <c r="C2665" s="38" t="s">
        <v>10617</v>
      </c>
      <c r="D2665" s="38" t="s">
        <v>10618</v>
      </c>
      <c r="E2665" s="38" t="s">
        <v>10619</v>
      </c>
    </row>
    <row r="2666">
      <c r="B2666" s="38" t="s">
        <v>10620</v>
      </c>
      <c r="C2666" s="38" t="s">
        <v>10621</v>
      </c>
      <c r="D2666" s="44"/>
      <c r="E2666" s="38" t="s">
        <v>10622</v>
      </c>
    </row>
    <row r="2667">
      <c r="B2667" s="44"/>
      <c r="C2667" s="38"/>
      <c r="D2667" s="38" t="s">
        <v>10623</v>
      </c>
      <c r="E2667" s="38" t="s">
        <v>1731</v>
      </c>
    </row>
    <row r="2668">
      <c r="B2668" s="44"/>
      <c r="C2668" s="44"/>
      <c r="D2668" s="38" t="s">
        <v>10624</v>
      </c>
      <c r="E2668" s="38" t="s">
        <v>10625</v>
      </c>
      <c r="F2668" s="38" t="s">
        <v>10626</v>
      </c>
    </row>
    <row r="2669">
      <c r="B2669" s="38" t="s">
        <v>718</v>
      </c>
      <c r="C2669" s="38">
        <v>4.0</v>
      </c>
      <c r="D2669" s="38" t="s">
        <v>10627</v>
      </c>
      <c r="E2669" s="38" t="s">
        <v>10628</v>
      </c>
      <c r="F2669" s="38" t="s">
        <v>10629</v>
      </c>
    </row>
    <row r="2670">
      <c r="A2670" s="65">
        <v>44581.0</v>
      </c>
      <c r="B2670" s="38" t="s">
        <v>8473</v>
      </c>
      <c r="C2670" s="38" t="s">
        <v>10630</v>
      </c>
      <c r="D2670" s="38" t="s">
        <v>10631</v>
      </c>
      <c r="E2670" s="38" t="s">
        <v>10632</v>
      </c>
      <c r="F2670" s="38" t="s">
        <v>10633</v>
      </c>
      <c r="G2670" s="38" t="s">
        <v>10634</v>
      </c>
    </row>
    <row r="2671">
      <c r="A2671" s="44"/>
      <c r="B2671" s="38" t="s">
        <v>10635</v>
      </c>
      <c r="C2671" s="44"/>
      <c r="D2671" s="38" t="s">
        <v>10636</v>
      </c>
      <c r="E2671" s="38" t="s">
        <v>10632</v>
      </c>
      <c r="F2671" s="38" t="s">
        <v>10637</v>
      </c>
      <c r="G2671" s="38" t="s">
        <v>10634</v>
      </c>
    </row>
    <row r="2672">
      <c r="B2672" s="38" t="s">
        <v>22</v>
      </c>
      <c r="C2672" s="38">
        <v>4.0</v>
      </c>
      <c r="D2672" s="38" t="s">
        <v>6705</v>
      </c>
      <c r="E2672" s="38" t="s">
        <v>720</v>
      </c>
      <c r="F2672" s="38" t="s">
        <v>10638</v>
      </c>
    </row>
    <row r="2673">
      <c r="B2673" s="38" t="s">
        <v>261</v>
      </c>
      <c r="C2673" s="38">
        <v>1.0</v>
      </c>
      <c r="D2673" s="38" t="s">
        <v>4383</v>
      </c>
      <c r="E2673" s="38" t="s">
        <v>10639</v>
      </c>
      <c r="F2673" s="38" t="s">
        <v>10640</v>
      </c>
      <c r="G2673" s="38" t="s">
        <v>10641</v>
      </c>
    </row>
    <row r="2674">
      <c r="B2674" s="304" t="s">
        <v>10642</v>
      </c>
      <c r="C2674" s="38"/>
      <c r="D2674" s="38" t="s">
        <v>10643</v>
      </c>
      <c r="E2674" s="38" t="s">
        <v>10639</v>
      </c>
      <c r="F2674" s="38"/>
      <c r="G2674" s="38" t="s">
        <v>10641</v>
      </c>
    </row>
    <row r="2675">
      <c r="B2675" s="38" t="s">
        <v>3527</v>
      </c>
      <c r="C2675" s="38">
        <v>1.0</v>
      </c>
      <c r="D2675" s="38" t="s">
        <v>10644</v>
      </c>
      <c r="E2675" s="38" t="s">
        <v>10645</v>
      </c>
      <c r="F2675" s="38" t="s">
        <v>10646</v>
      </c>
    </row>
    <row r="2676">
      <c r="B2676" s="44"/>
      <c r="C2676" s="44"/>
      <c r="D2676" s="44"/>
      <c r="E2676" s="38" t="s">
        <v>10647</v>
      </c>
      <c r="F2676" s="38" t="s">
        <v>10648</v>
      </c>
    </row>
    <row r="2677">
      <c r="B2677" s="38" t="s">
        <v>8384</v>
      </c>
      <c r="C2677" s="38">
        <v>4.0</v>
      </c>
      <c r="D2677" s="38" t="s">
        <v>10649</v>
      </c>
      <c r="E2677" s="38" t="s">
        <v>10396</v>
      </c>
      <c r="F2677" s="38" t="s">
        <v>10650</v>
      </c>
    </row>
    <row r="2678">
      <c r="B2678" s="38" t="s">
        <v>10651</v>
      </c>
      <c r="C2678" s="38">
        <v>4.0</v>
      </c>
      <c r="D2678" s="38" t="s">
        <v>1084</v>
      </c>
      <c r="E2678" s="274" t="s">
        <v>10652</v>
      </c>
      <c r="F2678" s="38" t="s">
        <v>10653</v>
      </c>
    </row>
    <row r="2679">
      <c r="B2679" s="44"/>
      <c r="C2679" s="38">
        <v>4.0</v>
      </c>
      <c r="D2679" s="38" t="s">
        <v>10654</v>
      </c>
      <c r="E2679" s="274" t="s">
        <v>10652</v>
      </c>
      <c r="F2679" s="38" t="s">
        <v>10655</v>
      </c>
    </row>
    <row r="2680">
      <c r="B2680" s="38" t="s">
        <v>25</v>
      </c>
      <c r="C2680" s="38">
        <v>4.0</v>
      </c>
      <c r="D2680" s="38" t="s">
        <v>27</v>
      </c>
      <c r="E2680" s="38" t="s">
        <v>10656</v>
      </c>
      <c r="F2680" s="38" t="s">
        <v>10657</v>
      </c>
    </row>
    <row r="2681">
      <c r="B2681" s="38" t="s">
        <v>25</v>
      </c>
      <c r="C2681" s="38">
        <v>4.0</v>
      </c>
      <c r="D2681" s="38" t="s">
        <v>402</v>
      </c>
      <c r="E2681" s="38" t="s">
        <v>10658</v>
      </c>
      <c r="F2681" s="44"/>
    </row>
    <row r="2682">
      <c r="B2682" s="38" t="s">
        <v>10659</v>
      </c>
      <c r="C2682" s="44"/>
      <c r="D2682" s="38" t="s">
        <v>10660</v>
      </c>
      <c r="E2682" s="38" t="s">
        <v>5158</v>
      </c>
      <c r="F2682" s="38" t="s">
        <v>9334</v>
      </c>
    </row>
    <row r="2683">
      <c r="B2683" s="38" t="s">
        <v>10661</v>
      </c>
      <c r="C2683" s="38" t="s">
        <v>10662</v>
      </c>
      <c r="D2683" s="44"/>
      <c r="E2683" s="38" t="s">
        <v>5158</v>
      </c>
      <c r="F2683" s="38" t="s">
        <v>144</v>
      </c>
    </row>
    <row r="2684">
      <c r="B2684" s="38"/>
      <c r="C2684" s="38"/>
      <c r="D2684" s="38" t="s">
        <v>10663</v>
      </c>
      <c r="E2684" s="38" t="s">
        <v>5158</v>
      </c>
      <c r="F2684" s="38" t="s">
        <v>144</v>
      </c>
    </row>
    <row r="2685">
      <c r="B2685" s="38" t="s">
        <v>10664</v>
      </c>
      <c r="C2685" s="38" t="s">
        <v>10665</v>
      </c>
      <c r="D2685" s="38" t="s">
        <v>10666</v>
      </c>
      <c r="E2685" s="38" t="s">
        <v>5158</v>
      </c>
      <c r="F2685" s="38" t="s">
        <v>9334</v>
      </c>
    </row>
    <row r="2686">
      <c r="B2686" s="44"/>
      <c r="C2686" s="44"/>
      <c r="D2686" s="38" t="s">
        <v>10667</v>
      </c>
      <c r="E2686" s="38" t="s">
        <v>10668</v>
      </c>
      <c r="F2686" s="44"/>
    </row>
    <row r="2687">
      <c r="A2687" s="44"/>
      <c r="B2687" s="38" t="s">
        <v>25</v>
      </c>
      <c r="C2687" s="38">
        <v>4.0</v>
      </c>
      <c r="D2687" s="38" t="s">
        <v>232</v>
      </c>
      <c r="E2687" s="38" t="s">
        <v>1098</v>
      </c>
      <c r="F2687" s="38" t="s">
        <v>218</v>
      </c>
      <c r="G2687" s="38" t="s">
        <v>144</v>
      </c>
    </row>
    <row r="2688">
      <c r="A2688" s="38" t="s">
        <v>1113</v>
      </c>
      <c r="B2688" s="38" t="s">
        <v>246</v>
      </c>
      <c r="C2688" s="38">
        <v>4.0</v>
      </c>
      <c r="D2688" s="38" t="s">
        <v>1359</v>
      </c>
      <c r="E2688" s="38" t="s">
        <v>10669</v>
      </c>
      <c r="F2688" s="38" t="s">
        <v>773</v>
      </c>
    </row>
    <row r="2689">
      <c r="A2689" s="5"/>
      <c r="B2689" s="38" t="s">
        <v>416</v>
      </c>
      <c r="C2689" s="38">
        <v>4.0</v>
      </c>
      <c r="D2689" s="38" t="s">
        <v>123</v>
      </c>
      <c r="E2689" s="274" t="s">
        <v>10670</v>
      </c>
      <c r="F2689" s="38" t="s">
        <v>10671</v>
      </c>
    </row>
    <row r="2690">
      <c r="A2690" s="5"/>
      <c r="B2690" s="38" t="s">
        <v>283</v>
      </c>
      <c r="C2690" s="38">
        <v>4.0</v>
      </c>
      <c r="D2690" s="38" t="s">
        <v>8356</v>
      </c>
      <c r="E2690" s="281" t="s">
        <v>10672</v>
      </c>
      <c r="F2690" s="38"/>
    </row>
    <row r="2691">
      <c r="A2691" s="5"/>
      <c r="B2691" s="38" t="s">
        <v>210</v>
      </c>
      <c r="C2691" s="38">
        <v>4.0</v>
      </c>
      <c r="D2691" s="38" t="s">
        <v>10673</v>
      </c>
      <c r="E2691" s="281" t="s">
        <v>10674</v>
      </c>
      <c r="F2691" s="38" t="s">
        <v>10675</v>
      </c>
    </row>
    <row r="2692">
      <c r="A2692" s="5"/>
      <c r="B2692" s="38" t="s">
        <v>25</v>
      </c>
      <c r="C2692" s="38">
        <v>8.0</v>
      </c>
      <c r="D2692" s="38" t="s">
        <v>232</v>
      </c>
      <c r="E2692" s="38" t="s">
        <v>10676</v>
      </c>
      <c r="F2692" s="38" t="s">
        <v>10677</v>
      </c>
    </row>
    <row r="2693">
      <c r="A2693" s="5"/>
      <c r="B2693" s="38" t="s">
        <v>25</v>
      </c>
      <c r="C2693" s="38">
        <v>4.0</v>
      </c>
      <c r="D2693" s="38" t="s">
        <v>4326</v>
      </c>
      <c r="E2693" s="38" t="s">
        <v>10676</v>
      </c>
      <c r="F2693" s="38" t="s">
        <v>10677</v>
      </c>
    </row>
    <row r="2694">
      <c r="A2694" s="5"/>
      <c r="B2694" s="38" t="s">
        <v>28</v>
      </c>
      <c r="C2694" s="38">
        <v>4.0</v>
      </c>
      <c r="D2694" s="38" t="s">
        <v>4326</v>
      </c>
      <c r="E2694" s="38" t="s">
        <v>10676</v>
      </c>
      <c r="F2694" s="38" t="s">
        <v>10677</v>
      </c>
    </row>
    <row r="2695">
      <c r="A2695" s="5"/>
      <c r="B2695" s="38" t="s">
        <v>147</v>
      </c>
      <c r="C2695" s="38">
        <v>4.0</v>
      </c>
      <c r="D2695" s="38" t="s">
        <v>3937</v>
      </c>
      <c r="E2695" s="38" t="s">
        <v>10676</v>
      </c>
      <c r="F2695" s="38" t="s">
        <v>10677</v>
      </c>
    </row>
    <row r="2696">
      <c r="A2696" s="5"/>
      <c r="B2696" s="38" t="s">
        <v>3682</v>
      </c>
      <c r="C2696" s="38">
        <v>4.0</v>
      </c>
      <c r="D2696" s="38" t="s">
        <v>4326</v>
      </c>
      <c r="E2696" s="38" t="s">
        <v>10676</v>
      </c>
      <c r="F2696" s="38" t="s">
        <v>10678</v>
      </c>
    </row>
    <row r="2697">
      <c r="A2697" s="5"/>
      <c r="B2697" s="38" t="s">
        <v>183</v>
      </c>
      <c r="C2697" s="38">
        <v>4.0</v>
      </c>
      <c r="D2697" s="38" t="s">
        <v>3937</v>
      </c>
      <c r="E2697" s="38" t="s">
        <v>10676</v>
      </c>
      <c r="F2697" s="38" t="s">
        <v>10677</v>
      </c>
    </row>
    <row r="2698">
      <c r="A2698" s="5"/>
      <c r="B2698" s="38" t="s">
        <v>31</v>
      </c>
      <c r="C2698" s="38">
        <v>4.0</v>
      </c>
      <c r="D2698" s="38" t="s">
        <v>3937</v>
      </c>
      <c r="E2698" s="38" t="s">
        <v>10676</v>
      </c>
      <c r="F2698" s="38" t="s">
        <v>10677</v>
      </c>
    </row>
    <row r="2699">
      <c r="A2699" s="5"/>
      <c r="B2699" s="38" t="s">
        <v>271</v>
      </c>
      <c r="C2699" s="38">
        <v>4.0</v>
      </c>
      <c r="D2699" s="38" t="s">
        <v>232</v>
      </c>
      <c r="E2699" s="38" t="s">
        <v>7051</v>
      </c>
      <c r="F2699" s="38" t="s">
        <v>10679</v>
      </c>
    </row>
    <row r="2700">
      <c r="A2700" s="5"/>
      <c r="B2700" s="38" t="s">
        <v>718</v>
      </c>
      <c r="C2700" s="38">
        <v>4.0</v>
      </c>
      <c r="D2700" s="38" t="s">
        <v>10680</v>
      </c>
      <c r="E2700" s="38" t="s">
        <v>1351</v>
      </c>
      <c r="F2700" s="38" t="s">
        <v>10681</v>
      </c>
      <c r="G2700" s="38" t="s">
        <v>144</v>
      </c>
    </row>
    <row r="2701">
      <c r="A2701" s="5"/>
      <c r="B2701" s="38" t="s">
        <v>789</v>
      </c>
      <c r="C2701" s="38">
        <v>4.0</v>
      </c>
      <c r="D2701" s="38" t="s">
        <v>10682</v>
      </c>
      <c r="E2701" s="38" t="s">
        <v>10683</v>
      </c>
      <c r="F2701" s="38" t="s">
        <v>10684</v>
      </c>
    </row>
    <row r="2702">
      <c r="A2702" s="5"/>
      <c r="B2702" s="38" t="s">
        <v>876</v>
      </c>
      <c r="C2702" s="38">
        <v>4.0</v>
      </c>
      <c r="D2702" s="38" t="s">
        <v>10685</v>
      </c>
      <c r="E2702" s="38" t="s">
        <v>10686</v>
      </c>
      <c r="F2702" s="38" t="s">
        <v>10687</v>
      </c>
    </row>
    <row r="2703">
      <c r="A2703" s="5"/>
      <c r="B2703" s="38" t="s">
        <v>58</v>
      </c>
      <c r="C2703" s="38">
        <v>2.0</v>
      </c>
      <c r="D2703" s="38" t="s">
        <v>10688</v>
      </c>
      <c r="E2703" s="85" t="s">
        <v>10689</v>
      </c>
      <c r="F2703" s="38" t="s">
        <v>10690</v>
      </c>
    </row>
    <row r="2704">
      <c r="A2704" s="5"/>
      <c r="B2704" s="38" t="s">
        <v>38</v>
      </c>
      <c r="C2704" s="38">
        <v>2.0</v>
      </c>
      <c r="D2704" s="38" t="s">
        <v>134</v>
      </c>
      <c r="E2704" s="38" t="s">
        <v>371</v>
      </c>
      <c r="F2704" s="38" t="s">
        <v>10691</v>
      </c>
    </row>
    <row r="2705">
      <c r="A2705" s="5"/>
      <c r="B2705" s="38" t="s">
        <v>10692</v>
      </c>
      <c r="C2705" s="38">
        <v>2.0</v>
      </c>
      <c r="D2705" s="38" t="s">
        <v>134</v>
      </c>
      <c r="E2705" s="38" t="s">
        <v>371</v>
      </c>
      <c r="F2705" s="38" t="s">
        <v>10693</v>
      </c>
    </row>
    <row r="2706">
      <c r="A2706" s="5"/>
      <c r="B2706" s="38" t="s">
        <v>1400</v>
      </c>
      <c r="C2706" s="38">
        <v>4.0</v>
      </c>
      <c r="D2706" s="38" t="s">
        <v>402</v>
      </c>
      <c r="E2706" s="281" t="s">
        <v>10694</v>
      </c>
      <c r="F2706" s="38" t="s">
        <v>208</v>
      </c>
    </row>
    <row r="2707">
      <c r="A2707" s="5"/>
      <c r="B2707" s="38" t="s">
        <v>183</v>
      </c>
      <c r="C2707" s="38">
        <v>4.0</v>
      </c>
      <c r="D2707" s="38" t="s">
        <v>1109</v>
      </c>
      <c r="E2707" s="38" t="s">
        <v>3663</v>
      </c>
      <c r="F2707" s="38" t="s">
        <v>10695</v>
      </c>
    </row>
    <row r="2708">
      <c r="A2708" s="5"/>
      <c r="B2708" s="38" t="s">
        <v>219</v>
      </c>
      <c r="C2708" s="38">
        <v>4.0</v>
      </c>
      <c r="D2708" s="38" t="s">
        <v>10696</v>
      </c>
      <c r="E2708" s="38" t="s">
        <v>179</v>
      </c>
      <c r="F2708" s="38" t="s">
        <v>10697</v>
      </c>
    </row>
    <row r="2709">
      <c r="A2709" s="5"/>
      <c r="B2709" s="38" t="s">
        <v>31</v>
      </c>
      <c r="C2709" s="38">
        <v>4.0</v>
      </c>
      <c r="D2709" s="38" t="s">
        <v>123</v>
      </c>
      <c r="E2709" s="38" t="s">
        <v>434</v>
      </c>
      <c r="F2709" s="38" t="s">
        <v>10698</v>
      </c>
    </row>
    <row r="2710">
      <c r="A2710" s="5"/>
      <c r="B2710" s="38" t="s">
        <v>283</v>
      </c>
      <c r="C2710" s="38">
        <v>4.0</v>
      </c>
      <c r="D2710" s="38" t="s">
        <v>881</v>
      </c>
      <c r="E2710" s="274" t="s">
        <v>10699</v>
      </c>
      <c r="F2710" s="38" t="s">
        <v>10700</v>
      </c>
      <c r="G2710" s="1" t="s">
        <v>10701</v>
      </c>
    </row>
    <row r="2711">
      <c r="A2711" s="5"/>
      <c r="B2711" s="38" t="s">
        <v>789</v>
      </c>
      <c r="C2711" s="38">
        <v>4.0</v>
      </c>
      <c r="D2711" s="38" t="s">
        <v>10702</v>
      </c>
      <c r="E2711" s="461" t="s">
        <v>10703</v>
      </c>
      <c r="F2711" s="38" t="s">
        <v>6447</v>
      </c>
    </row>
    <row r="2712">
      <c r="A2712" s="5"/>
      <c r="B2712" s="38" t="s">
        <v>4563</v>
      </c>
      <c r="C2712" s="38">
        <v>4.0</v>
      </c>
      <c r="D2712" s="38" t="s">
        <v>10704</v>
      </c>
      <c r="E2712" s="274" t="s">
        <v>10705</v>
      </c>
      <c r="F2712" s="38" t="s">
        <v>10706</v>
      </c>
    </row>
    <row r="2713">
      <c r="A2713" s="5"/>
      <c r="B2713" s="38" t="s">
        <v>1182</v>
      </c>
      <c r="C2713" s="38">
        <v>2.0</v>
      </c>
      <c r="D2713" s="38" t="s">
        <v>1109</v>
      </c>
      <c r="E2713" s="38" t="s">
        <v>10707</v>
      </c>
      <c r="F2713" s="38" t="s">
        <v>10708</v>
      </c>
    </row>
    <row r="2714">
      <c r="A2714" s="5"/>
      <c r="B2714" s="38" t="s">
        <v>22</v>
      </c>
      <c r="C2714" s="38">
        <v>4.0</v>
      </c>
      <c r="D2714" s="38" t="s">
        <v>289</v>
      </c>
      <c r="E2714" s="38" t="s">
        <v>10709</v>
      </c>
      <c r="F2714" s="38" t="s">
        <v>10708</v>
      </c>
    </row>
    <row r="2715">
      <c r="A2715" s="5"/>
      <c r="B2715" s="38" t="s">
        <v>31</v>
      </c>
      <c r="C2715" s="38">
        <v>4.0</v>
      </c>
      <c r="D2715" s="38" t="s">
        <v>1109</v>
      </c>
      <c r="E2715" s="38" t="s">
        <v>10710</v>
      </c>
      <c r="F2715" s="38" t="s">
        <v>10711</v>
      </c>
    </row>
    <row r="2716">
      <c r="A2716" s="38"/>
      <c r="B2716" s="38" t="s">
        <v>170</v>
      </c>
      <c r="C2716" s="38">
        <v>4.0</v>
      </c>
      <c r="D2716" s="38" t="s">
        <v>1109</v>
      </c>
      <c r="E2716" s="38" t="s">
        <v>10712</v>
      </c>
      <c r="F2716" s="38" t="s">
        <v>10713</v>
      </c>
    </row>
    <row r="2717">
      <c r="A2717" s="5"/>
      <c r="B2717" s="38" t="s">
        <v>333</v>
      </c>
      <c r="C2717" s="38">
        <v>4.0</v>
      </c>
      <c r="D2717" s="462" t="s">
        <v>10714</v>
      </c>
      <c r="E2717" s="38" t="s">
        <v>10715</v>
      </c>
      <c r="F2717" s="38" t="s">
        <v>10708</v>
      </c>
    </row>
    <row r="2718">
      <c r="A2718" s="5"/>
      <c r="B2718" s="38" t="s">
        <v>25</v>
      </c>
      <c r="C2718" s="38">
        <v>4.0</v>
      </c>
      <c r="D2718" s="38" t="s">
        <v>4326</v>
      </c>
      <c r="E2718" s="59" t="s">
        <v>10716</v>
      </c>
      <c r="F2718" s="38" t="s">
        <v>10711</v>
      </c>
    </row>
    <row r="2719">
      <c r="A2719" s="5"/>
      <c r="B2719" s="38" t="s">
        <v>4563</v>
      </c>
      <c r="C2719" s="38">
        <v>4.0</v>
      </c>
      <c r="D2719" s="38" t="s">
        <v>10717</v>
      </c>
      <c r="E2719" s="59" t="s">
        <v>10718</v>
      </c>
      <c r="F2719" s="38" t="s">
        <v>10719</v>
      </c>
    </row>
    <row r="2720">
      <c r="A2720" s="5"/>
      <c r="B2720" s="38" t="s">
        <v>1407</v>
      </c>
      <c r="C2720" s="38">
        <v>4.0</v>
      </c>
      <c r="D2720" s="38" t="s">
        <v>1359</v>
      </c>
      <c r="E2720" s="38" t="s">
        <v>10720</v>
      </c>
      <c r="F2720" s="38" t="s">
        <v>10721</v>
      </c>
    </row>
    <row r="2721">
      <c r="A2721" s="5"/>
      <c r="B2721" s="38" t="s">
        <v>246</v>
      </c>
      <c r="C2721" s="38">
        <v>4.0</v>
      </c>
      <c r="D2721" s="38" t="s">
        <v>10722</v>
      </c>
      <c r="E2721" s="38" t="s">
        <v>10723</v>
      </c>
      <c r="F2721" s="38" t="s">
        <v>10724</v>
      </c>
    </row>
    <row r="2722">
      <c r="A2722" s="5"/>
      <c r="B2722" s="38" t="s">
        <v>261</v>
      </c>
      <c r="C2722" s="38">
        <v>4.0</v>
      </c>
      <c r="D2722" s="38" t="s">
        <v>10725</v>
      </c>
      <c r="E2722" s="353" t="s">
        <v>10726</v>
      </c>
      <c r="F2722" s="38" t="s">
        <v>10727</v>
      </c>
    </row>
    <row r="2723">
      <c r="A2723" s="5"/>
      <c r="B2723" s="38" t="s">
        <v>77</v>
      </c>
      <c r="C2723" s="38">
        <v>4.0</v>
      </c>
      <c r="D2723" s="38" t="s">
        <v>289</v>
      </c>
      <c r="E2723" s="38" t="s">
        <v>10728</v>
      </c>
      <c r="F2723" s="38" t="s">
        <v>10729</v>
      </c>
    </row>
    <row r="2724">
      <c r="A2724" s="5"/>
      <c r="B2724" s="38" t="s">
        <v>876</v>
      </c>
      <c r="C2724" s="38">
        <v>4.0</v>
      </c>
      <c r="D2724" s="38" t="s">
        <v>289</v>
      </c>
      <c r="E2724" s="38" t="s">
        <v>10730</v>
      </c>
      <c r="F2724" s="38" t="s">
        <v>10729</v>
      </c>
    </row>
    <row r="2725">
      <c r="A2725" s="5"/>
      <c r="B2725" s="38" t="s">
        <v>271</v>
      </c>
      <c r="C2725" s="38">
        <v>4.0</v>
      </c>
      <c r="D2725" s="38" t="s">
        <v>289</v>
      </c>
      <c r="E2725" s="38" t="s">
        <v>2119</v>
      </c>
      <c r="F2725" s="38" t="s">
        <v>10695</v>
      </c>
    </row>
    <row r="2726">
      <c r="A2726" s="5"/>
      <c r="B2726" s="38" t="s">
        <v>77</v>
      </c>
      <c r="C2726" s="38">
        <v>4.0</v>
      </c>
      <c r="D2726" s="38" t="s">
        <v>289</v>
      </c>
      <c r="E2726" s="38" t="s">
        <v>2119</v>
      </c>
      <c r="F2726" s="38">
        <v>79.0</v>
      </c>
    </row>
    <row r="2727">
      <c r="A2727" s="8"/>
      <c r="B2727" s="38" t="s">
        <v>205</v>
      </c>
      <c r="C2727" s="38">
        <v>4.0</v>
      </c>
      <c r="D2727" s="38" t="s">
        <v>1109</v>
      </c>
      <c r="E2727" s="38" t="s">
        <v>396</v>
      </c>
      <c r="F2727" s="38" t="s">
        <v>10731</v>
      </c>
    </row>
    <row r="2728">
      <c r="A2728" s="8"/>
      <c r="B2728" s="38" t="s">
        <v>875</v>
      </c>
      <c r="C2728" s="38">
        <v>2.0</v>
      </c>
      <c r="D2728" s="38" t="s">
        <v>9169</v>
      </c>
      <c r="E2728" s="38" t="s">
        <v>396</v>
      </c>
      <c r="F2728" s="38" t="s">
        <v>10731</v>
      </c>
    </row>
    <row r="2729">
      <c r="A2729" s="5"/>
      <c r="B2729" s="38" t="s">
        <v>28</v>
      </c>
      <c r="C2729" s="38">
        <v>2.0</v>
      </c>
      <c r="D2729" s="38" t="s">
        <v>289</v>
      </c>
      <c r="E2729" s="38" t="s">
        <v>3009</v>
      </c>
      <c r="F2729" s="38" t="s">
        <v>4717</v>
      </c>
    </row>
    <row r="2730">
      <c r="A2730" s="5"/>
      <c r="B2730" s="38" t="s">
        <v>85</v>
      </c>
      <c r="C2730" s="38">
        <v>4.0</v>
      </c>
      <c r="D2730" s="38" t="s">
        <v>1109</v>
      </c>
      <c r="E2730" s="47" t="s">
        <v>9912</v>
      </c>
      <c r="F2730" s="38" t="s">
        <v>3463</v>
      </c>
    </row>
    <row r="2731">
      <c r="A2731" s="5"/>
      <c r="B2731" s="38" t="s">
        <v>512</v>
      </c>
      <c r="C2731" s="38">
        <v>4.0</v>
      </c>
      <c r="D2731" s="38" t="s">
        <v>10732</v>
      </c>
      <c r="E2731" s="47" t="s">
        <v>9912</v>
      </c>
      <c r="F2731" s="38" t="s">
        <v>2645</v>
      </c>
    </row>
    <row r="2732">
      <c r="A2732" s="5"/>
      <c r="B2732" s="38" t="s">
        <v>6912</v>
      </c>
      <c r="C2732" s="38">
        <v>2.0</v>
      </c>
      <c r="D2732" s="38" t="s">
        <v>10733</v>
      </c>
      <c r="E2732" s="38" t="s">
        <v>10734</v>
      </c>
      <c r="F2732" s="38" t="s">
        <v>338</v>
      </c>
    </row>
    <row r="2733">
      <c r="A2733" s="5"/>
      <c r="B2733" s="38" t="s">
        <v>246</v>
      </c>
      <c r="C2733" s="38">
        <v>4.0</v>
      </c>
      <c r="D2733" s="38" t="s">
        <v>10735</v>
      </c>
      <c r="E2733" s="38" t="s">
        <v>1017</v>
      </c>
      <c r="F2733" s="38" t="s">
        <v>10736</v>
      </c>
    </row>
    <row r="2734">
      <c r="A2734" s="5"/>
      <c r="B2734" s="38" t="s">
        <v>4970</v>
      </c>
      <c r="C2734" s="38">
        <v>4.0</v>
      </c>
      <c r="D2734" s="38" t="s">
        <v>6535</v>
      </c>
      <c r="E2734" s="38" t="s">
        <v>1017</v>
      </c>
      <c r="F2734" s="38" t="s">
        <v>10736</v>
      </c>
    </row>
    <row r="2735">
      <c r="A2735" s="5"/>
      <c r="B2735" s="38" t="s">
        <v>166</v>
      </c>
      <c r="C2735" s="38">
        <v>2.0</v>
      </c>
      <c r="D2735" s="38" t="s">
        <v>10737</v>
      </c>
      <c r="E2735" s="38" t="s">
        <v>7028</v>
      </c>
      <c r="F2735" s="38">
        <v>143.0</v>
      </c>
      <c r="G2735" s="38" t="s">
        <v>10738</v>
      </c>
    </row>
    <row r="2736">
      <c r="A2736" s="5"/>
      <c r="B2736" s="38" t="s">
        <v>170</v>
      </c>
      <c r="C2736" s="38">
        <v>2.0</v>
      </c>
      <c r="D2736" s="38" t="s">
        <v>10737</v>
      </c>
      <c r="E2736" s="38" t="s">
        <v>7028</v>
      </c>
      <c r="F2736" s="38" t="s">
        <v>10739</v>
      </c>
      <c r="G2736" s="38" t="s">
        <v>10738</v>
      </c>
    </row>
    <row r="2737">
      <c r="A2737" s="5"/>
      <c r="B2737" s="38" t="s">
        <v>210</v>
      </c>
      <c r="C2737" s="38">
        <v>4.0</v>
      </c>
      <c r="D2737" s="38" t="s">
        <v>1094</v>
      </c>
      <c r="E2737" s="274" t="s">
        <v>10740</v>
      </c>
      <c r="F2737" s="38" t="s">
        <v>10741</v>
      </c>
    </row>
    <row r="2738">
      <c r="A2738" s="5"/>
      <c r="B2738" s="38" t="s">
        <v>479</v>
      </c>
      <c r="C2738" s="38">
        <v>2.0</v>
      </c>
      <c r="D2738" s="38" t="s">
        <v>1288</v>
      </c>
      <c r="E2738" s="274" t="s">
        <v>10742</v>
      </c>
      <c r="F2738" s="38" t="s">
        <v>10743</v>
      </c>
    </row>
    <row r="2739">
      <c r="A2739" s="5"/>
      <c r="B2739" s="38" t="s">
        <v>354</v>
      </c>
      <c r="C2739" s="38">
        <v>2.0</v>
      </c>
      <c r="D2739" s="38" t="s">
        <v>1288</v>
      </c>
      <c r="E2739" s="274" t="s">
        <v>10742</v>
      </c>
      <c r="F2739" s="38" t="s">
        <v>10743</v>
      </c>
    </row>
    <row r="2740">
      <c r="A2740" s="5"/>
      <c r="B2740" s="38" t="s">
        <v>91</v>
      </c>
      <c r="C2740" s="38">
        <v>2.0</v>
      </c>
      <c r="D2740" s="38" t="s">
        <v>171</v>
      </c>
      <c r="E2740" s="38" t="s">
        <v>10744</v>
      </c>
      <c r="F2740" s="38" t="s">
        <v>10708</v>
      </c>
    </row>
    <row r="2741">
      <c r="A2741" s="5"/>
      <c r="B2741" s="38" t="s">
        <v>25</v>
      </c>
      <c r="C2741" s="38">
        <v>4.0</v>
      </c>
      <c r="D2741" s="38" t="s">
        <v>10745</v>
      </c>
      <c r="E2741" s="38" t="s">
        <v>10746</v>
      </c>
      <c r="F2741" s="38" t="s">
        <v>10747</v>
      </c>
    </row>
    <row r="2742">
      <c r="A2742" s="5"/>
      <c r="B2742" s="38" t="s">
        <v>261</v>
      </c>
      <c r="C2742" s="38">
        <v>4.0</v>
      </c>
      <c r="D2742" s="38" t="s">
        <v>2097</v>
      </c>
      <c r="E2742" s="38" t="s">
        <v>413</v>
      </c>
      <c r="F2742" s="38" t="s">
        <v>10748</v>
      </c>
    </row>
    <row r="2743">
      <c r="A2743" s="5"/>
      <c r="B2743" s="38" t="s">
        <v>183</v>
      </c>
      <c r="C2743" s="38">
        <v>4.0</v>
      </c>
      <c r="D2743" s="38" t="s">
        <v>10749</v>
      </c>
      <c r="E2743" s="38" t="s">
        <v>10750</v>
      </c>
      <c r="F2743" s="38" t="s">
        <v>10751</v>
      </c>
    </row>
    <row r="2744">
      <c r="A2744" s="5"/>
      <c r="B2744" s="38" t="s">
        <v>5805</v>
      </c>
      <c r="C2744" s="38">
        <v>2.0</v>
      </c>
      <c r="D2744" s="38" t="s">
        <v>4786</v>
      </c>
      <c r="E2744" s="38" t="s">
        <v>10752</v>
      </c>
      <c r="F2744" s="38" t="s">
        <v>10753</v>
      </c>
    </row>
    <row r="2745">
      <c r="A2745" s="5"/>
      <c r="B2745" s="38" t="s">
        <v>789</v>
      </c>
      <c r="C2745" s="38">
        <v>2.0</v>
      </c>
      <c r="D2745" s="38" t="s">
        <v>4786</v>
      </c>
      <c r="E2745" s="38" t="s">
        <v>10752</v>
      </c>
      <c r="F2745" s="38" t="s">
        <v>10754</v>
      </c>
    </row>
    <row r="2746">
      <c r="A2746" s="38"/>
      <c r="B2746" s="38"/>
      <c r="C2746" s="38"/>
      <c r="D2746" s="38" t="s">
        <v>10755</v>
      </c>
      <c r="E2746" s="38" t="s">
        <v>10752</v>
      </c>
      <c r="F2746" s="38" t="s">
        <v>10756</v>
      </c>
    </row>
    <row r="2747">
      <c r="A2747" s="38" t="s">
        <v>1113</v>
      </c>
      <c r="B2747" s="38" t="s">
        <v>183</v>
      </c>
      <c r="C2747" s="38">
        <v>4.0</v>
      </c>
      <c r="D2747" s="38" t="s">
        <v>123</v>
      </c>
      <c r="E2747" s="38" t="s">
        <v>10757</v>
      </c>
      <c r="F2747" s="38" t="s">
        <v>10758</v>
      </c>
    </row>
    <row r="2748">
      <c r="A2748" s="38"/>
      <c r="B2748" s="38" t="s">
        <v>25</v>
      </c>
      <c r="C2748" s="38">
        <v>20.0</v>
      </c>
      <c r="D2748" s="38" t="s">
        <v>402</v>
      </c>
      <c r="E2748" s="38" t="s">
        <v>10757</v>
      </c>
      <c r="F2748" s="38" t="s">
        <v>10758</v>
      </c>
    </row>
    <row r="2749">
      <c r="A2749" s="5"/>
      <c r="B2749" s="38" t="s">
        <v>1349</v>
      </c>
      <c r="C2749" s="38">
        <v>4.0</v>
      </c>
      <c r="D2749" s="38" t="s">
        <v>10680</v>
      </c>
      <c r="E2749" s="38" t="s">
        <v>10757</v>
      </c>
      <c r="F2749" s="38" t="s">
        <v>10759</v>
      </c>
    </row>
    <row r="2750">
      <c r="A2750" s="5"/>
      <c r="B2750" s="38" t="s">
        <v>205</v>
      </c>
      <c r="C2750" s="38">
        <v>8.0</v>
      </c>
      <c r="D2750" s="38" t="s">
        <v>10680</v>
      </c>
      <c r="E2750" s="38" t="s">
        <v>10757</v>
      </c>
      <c r="F2750" s="38" t="s">
        <v>10759</v>
      </c>
    </row>
    <row r="2751">
      <c r="A2751" s="5"/>
      <c r="B2751" s="38" t="s">
        <v>85</v>
      </c>
      <c r="C2751" s="38">
        <v>8.0</v>
      </c>
      <c r="D2751" s="38" t="s">
        <v>10680</v>
      </c>
      <c r="E2751" s="38" t="s">
        <v>10757</v>
      </c>
      <c r="F2751" s="38" t="s">
        <v>10759</v>
      </c>
    </row>
    <row r="2752">
      <c r="A2752" s="5"/>
      <c r="B2752" s="38" t="s">
        <v>1182</v>
      </c>
      <c r="C2752" s="38">
        <v>4.0</v>
      </c>
      <c r="D2752" s="38" t="s">
        <v>10680</v>
      </c>
      <c r="E2752" s="38" t="s">
        <v>10757</v>
      </c>
      <c r="F2752" s="38" t="s">
        <v>10760</v>
      </c>
    </row>
    <row r="2753">
      <c r="A2753" s="5"/>
      <c r="B2753" s="38" t="s">
        <v>3023</v>
      </c>
      <c r="C2753" s="38">
        <v>4.0</v>
      </c>
      <c r="D2753" s="38" t="s">
        <v>973</v>
      </c>
      <c r="E2753" s="38" t="s">
        <v>10757</v>
      </c>
      <c r="F2753" s="38" t="s">
        <v>10760</v>
      </c>
    </row>
    <row r="2754">
      <c r="A2754" s="5"/>
      <c r="B2754" s="38" t="s">
        <v>1010</v>
      </c>
      <c r="C2754" s="38">
        <v>4.0</v>
      </c>
      <c r="D2754" s="38" t="s">
        <v>10680</v>
      </c>
      <c r="E2754" s="38" t="s">
        <v>10757</v>
      </c>
      <c r="F2754" s="38" t="s">
        <v>10760</v>
      </c>
    </row>
    <row r="2755">
      <c r="A2755" s="5"/>
      <c r="B2755" s="38" t="s">
        <v>140</v>
      </c>
      <c r="C2755" s="38">
        <v>4.0</v>
      </c>
      <c r="D2755" s="38" t="s">
        <v>10680</v>
      </c>
      <c r="E2755" s="38" t="s">
        <v>10757</v>
      </c>
      <c r="F2755" s="38" t="s">
        <v>10760</v>
      </c>
    </row>
    <row r="2756">
      <c r="A2756" s="5"/>
      <c r="B2756" s="38" t="s">
        <v>128</v>
      </c>
      <c r="C2756" s="38">
        <v>4.0</v>
      </c>
      <c r="D2756" s="38" t="s">
        <v>10680</v>
      </c>
      <c r="E2756" s="38" t="s">
        <v>10757</v>
      </c>
      <c r="F2756" s="38" t="s">
        <v>10760</v>
      </c>
    </row>
    <row r="2757">
      <c r="A2757" s="5"/>
      <c r="B2757" s="38" t="s">
        <v>170</v>
      </c>
      <c r="C2757" s="38">
        <v>4.0</v>
      </c>
      <c r="D2757" s="38" t="s">
        <v>10680</v>
      </c>
      <c r="E2757" s="38" t="s">
        <v>10757</v>
      </c>
      <c r="F2757" s="38" t="s">
        <v>10759</v>
      </c>
    </row>
    <row r="2758">
      <c r="A2758" s="5"/>
      <c r="B2758" s="38" t="s">
        <v>718</v>
      </c>
      <c r="C2758" s="38">
        <v>4.0</v>
      </c>
      <c r="D2758" s="38" t="s">
        <v>10680</v>
      </c>
      <c r="E2758" s="38" t="s">
        <v>10757</v>
      </c>
      <c r="F2758" s="38" t="s">
        <v>10759</v>
      </c>
    </row>
    <row r="2759">
      <c r="A2759" s="5"/>
      <c r="B2759" s="38" t="s">
        <v>122</v>
      </c>
      <c r="C2759" s="38">
        <v>4.0</v>
      </c>
      <c r="D2759" s="38" t="s">
        <v>10680</v>
      </c>
      <c r="E2759" s="38" t="s">
        <v>10757</v>
      </c>
      <c r="F2759" s="38" t="s">
        <v>10759</v>
      </c>
    </row>
    <row r="2760">
      <c r="A2760" s="5"/>
      <c r="B2760" s="38" t="s">
        <v>3822</v>
      </c>
      <c r="C2760" s="38">
        <v>4.0</v>
      </c>
      <c r="D2760" s="38" t="s">
        <v>10761</v>
      </c>
      <c r="E2760" s="38" t="s">
        <v>10757</v>
      </c>
      <c r="F2760" s="38" t="s">
        <v>10762</v>
      </c>
    </row>
    <row r="2761">
      <c r="A2761" s="5"/>
      <c r="B2761" s="38" t="s">
        <v>789</v>
      </c>
      <c r="C2761" s="38">
        <v>4.0</v>
      </c>
      <c r="D2761" s="38" t="s">
        <v>10680</v>
      </c>
      <c r="E2761" s="38" t="s">
        <v>10757</v>
      </c>
      <c r="F2761" s="38" t="s">
        <v>10762</v>
      </c>
    </row>
    <row r="2762">
      <c r="A2762" s="5"/>
      <c r="B2762" s="38" t="s">
        <v>4405</v>
      </c>
      <c r="C2762" s="38">
        <v>4.0</v>
      </c>
      <c r="D2762" s="38" t="s">
        <v>10680</v>
      </c>
      <c r="E2762" s="38" t="s">
        <v>10757</v>
      </c>
      <c r="F2762" s="38" t="s">
        <v>10762</v>
      </c>
    </row>
    <row r="2763">
      <c r="A2763" s="5"/>
      <c r="B2763" s="38" t="s">
        <v>153</v>
      </c>
      <c r="C2763" s="38">
        <v>4.0</v>
      </c>
      <c r="D2763" s="38" t="s">
        <v>10761</v>
      </c>
      <c r="E2763" s="38" t="s">
        <v>10757</v>
      </c>
      <c r="F2763" s="38" t="s">
        <v>10758</v>
      </c>
    </row>
    <row r="2764">
      <c r="A2764" s="5"/>
      <c r="B2764" s="38" t="s">
        <v>360</v>
      </c>
      <c r="C2764" s="38">
        <v>4.0</v>
      </c>
      <c r="D2764" s="38" t="s">
        <v>973</v>
      </c>
      <c r="E2764" s="38" t="s">
        <v>10757</v>
      </c>
      <c r="F2764" s="38" t="s">
        <v>10758</v>
      </c>
    </row>
    <row r="2765">
      <c r="A2765" s="5"/>
      <c r="B2765" s="38" t="s">
        <v>2108</v>
      </c>
      <c r="C2765" s="38">
        <v>4.0</v>
      </c>
      <c r="D2765" s="38" t="s">
        <v>10763</v>
      </c>
      <c r="E2765" s="38" t="s">
        <v>10757</v>
      </c>
      <c r="F2765" s="38" t="s">
        <v>10758</v>
      </c>
    </row>
    <row r="2766">
      <c r="A2766" s="5"/>
      <c r="B2766" s="38" t="s">
        <v>276</v>
      </c>
      <c r="C2766" s="38">
        <v>4.0</v>
      </c>
      <c r="D2766" s="38" t="s">
        <v>123</v>
      </c>
      <c r="E2766" s="38" t="s">
        <v>10757</v>
      </c>
      <c r="F2766" s="38" t="s">
        <v>10758</v>
      </c>
    </row>
    <row r="2767">
      <c r="A2767" s="8"/>
      <c r="B2767" s="38" t="s">
        <v>354</v>
      </c>
      <c r="C2767" s="38">
        <v>4.0</v>
      </c>
      <c r="D2767" s="38" t="s">
        <v>6742</v>
      </c>
      <c r="E2767" s="38" t="s">
        <v>10764</v>
      </c>
      <c r="F2767" s="38" t="s">
        <v>10765</v>
      </c>
    </row>
    <row r="2768">
      <c r="B2768" s="38" t="s">
        <v>91</v>
      </c>
      <c r="C2768" s="38">
        <v>4.0</v>
      </c>
      <c r="D2768" s="38" t="s">
        <v>684</v>
      </c>
      <c r="E2768" s="38" t="s">
        <v>6332</v>
      </c>
      <c r="F2768" s="38" t="s">
        <v>10766</v>
      </c>
    </row>
    <row r="2769">
      <c r="B2769" s="38" t="s">
        <v>3752</v>
      </c>
      <c r="C2769" s="38">
        <v>1.0</v>
      </c>
      <c r="D2769" s="38" t="s">
        <v>4383</v>
      </c>
      <c r="E2769" s="38" t="s">
        <v>10767</v>
      </c>
      <c r="F2769" s="38" t="s">
        <v>6881</v>
      </c>
      <c r="G2769" s="38" t="s">
        <v>10768</v>
      </c>
    </row>
    <row r="2770">
      <c r="B2770" s="44"/>
      <c r="C2770" s="44"/>
      <c r="D2770" s="44"/>
      <c r="E2770" s="38" t="s">
        <v>10767</v>
      </c>
      <c r="F2770" s="38" t="s">
        <v>10769</v>
      </c>
      <c r="G2770" s="38" t="s">
        <v>10768</v>
      </c>
    </row>
    <row r="2771">
      <c r="B2771" s="44"/>
      <c r="C2771" s="44"/>
      <c r="D2771" s="38" t="s">
        <v>10770</v>
      </c>
      <c r="E2771" s="38" t="s">
        <v>8552</v>
      </c>
      <c r="F2771" s="44"/>
    </row>
    <row r="2772">
      <c r="B2772" s="44"/>
      <c r="C2772" s="44"/>
      <c r="D2772" s="38" t="s">
        <v>10771</v>
      </c>
      <c r="E2772" s="38" t="s">
        <v>1017</v>
      </c>
      <c r="F2772" s="38" t="s">
        <v>10772</v>
      </c>
    </row>
    <row r="2773">
      <c r="B2773" s="38" t="s">
        <v>41</v>
      </c>
      <c r="C2773" s="38">
        <v>4.0</v>
      </c>
      <c r="D2773" s="38" t="s">
        <v>6156</v>
      </c>
      <c r="E2773" s="38" t="s">
        <v>1098</v>
      </c>
      <c r="F2773" s="38" t="s">
        <v>10773</v>
      </c>
      <c r="G2773" s="1" t="s">
        <v>10774</v>
      </c>
    </row>
    <row r="2774">
      <c r="B2774" s="47"/>
      <c r="C2774" s="47"/>
      <c r="D2774" s="38"/>
      <c r="E2774" s="38" t="s">
        <v>2382</v>
      </c>
      <c r="F2774" s="38" t="s">
        <v>10775</v>
      </c>
      <c r="G2774" s="38" t="s">
        <v>10776</v>
      </c>
    </row>
    <row r="2775">
      <c r="B2775" s="47" t="s">
        <v>9305</v>
      </c>
      <c r="C2775" s="47" t="s">
        <v>9306</v>
      </c>
      <c r="D2775" s="38" t="s">
        <v>9307</v>
      </c>
      <c r="E2775" s="38" t="s">
        <v>2382</v>
      </c>
      <c r="F2775" s="38" t="s">
        <v>9308</v>
      </c>
      <c r="G2775" s="38" t="s">
        <v>10776</v>
      </c>
    </row>
    <row r="2776">
      <c r="B2776" s="38" t="s">
        <v>177</v>
      </c>
      <c r="C2776" s="38">
        <v>4.0</v>
      </c>
      <c r="D2776" s="38" t="s">
        <v>6156</v>
      </c>
      <c r="E2776" s="38" t="s">
        <v>873</v>
      </c>
      <c r="F2776" s="38" t="s">
        <v>10777</v>
      </c>
    </row>
    <row r="2777">
      <c r="B2777" s="44"/>
      <c r="C2777" s="44"/>
      <c r="D2777" s="44"/>
      <c r="E2777" s="38" t="s">
        <v>10778</v>
      </c>
      <c r="F2777" s="38" t="s">
        <v>10779</v>
      </c>
    </row>
    <row r="2778">
      <c r="B2778" s="238" t="s">
        <v>10780</v>
      </c>
      <c r="C2778" s="238" t="s">
        <v>10781</v>
      </c>
      <c r="D2778" s="1" t="s">
        <v>10782</v>
      </c>
      <c r="E2778" s="1" t="s">
        <v>10783</v>
      </c>
      <c r="F2778" s="238" t="s">
        <v>10784</v>
      </c>
      <c r="G2778" s="273" t="s">
        <v>10785</v>
      </c>
    </row>
    <row r="2779">
      <c r="B2779" s="1" t="s">
        <v>10786</v>
      </c>
      <c r="D2779" s="238" t="s">
        <v>10787</v>
      </c>
      <c r="E2779" s="1" t="s">
        <v>9526</v>
      </c>
      <c r="F2779" s="1" t="s">
        <v>535</v>
      </c>
    </row>
    <row r="2780">
      <c r="B2780" s="1" t="s">
        <v>10788</v>
      </c>
      <c r="D2780" s="1" t="s">
        <v>535</v>
      </c>
      <c r="E2780" s="1" t="s">
        <v>10789</v>
      </c>
      <c r="F2780" s="1" t="s">
        <v>10636</v>
      </c>
      <c r="H2780" s="1" t="s">
        <v>10790</v>
      </c>
    </row>
    <row r="2781">
      <c r="A2781" s="8"/>
      <c r="B2781" s="1" t="s">
        <v>10791</v>
      </c>
      <c r="C2781" s="1" t="s">
        <v>10792</v>
      </c>
      <c r="E2781" s="1" t="s">
        <v>10789</v>
      </c>
    </row>
    <row r="2782">
      <c r="A2782" s="44"/>
      <c r="B2782" s="47" t="s">
        <v>10793</v>
      </c>
      <c r="C2782" s="38" t="s">
        <v>10794</v>
      </c>
      <c r="D2782" s="44"/>
      <c r="E2782" s="38" t="s">
        <v>392</v>
      </c>
      <c r="F2782" s="38" t="s">
        <v>10795</v>
      </c>
      <c r="G2782" s="38" t="s">
        <v>10796</v>
      </c>
    </row>
    <row r="2783">
      <c r="A2783" s="44"/>
      <c r="B2783" s="353" t="s">
        <v>5920</v>
      </c>
      <c r="C2783" s="353" t="s">
        <v>5921</v>
      </c>
      <c r="D2783" s="353" t="s">
        <v>5922</v>
      </c>
      <c r="E2783" s="38" t="s">
        <v>392</v>
      </c>
      <c r="F2783" s="44"/>
      <c r="G2783" s="38" t="s">
        <v>10796</v>
      </c>
    </row>
    <row r="2784">
      <c r="A2784" s="44"/>
      <c r="B2784" s="38" t="s">
        <v>10797</v>
      </c>
      <c r="C2784" s="38" t="s">
        <v>10798</v>
      </c>
      <c r="D2784" s="44"/>
      <c r="E2784" s="38" t="s">
        <v>392</v>
      </c>
      <c r="F2784" s="44"/>
      <c r="G2784" s="38" t="s">
        <v>10796</v>
      </c>
    </row>
    <row r="2785">
      <c r="B2785" s="38" t="s">
        <v>10799</v>
      </c>
      <c r="C2785" s="299"/>
      <c r="D2785" s="44"/>
      <c r="E2785" s="38" t="s">
        <v>1017</v>
      </c>
      <c r="F2785" s="59" t="s">
        <v>10800</v>
      </c>
      <c r="G2785" s="38" t="s">
        <v>10736</v>
      </c>
    </row>
    <row r="2786">
      <c r="B2786" s="38" t="s">
        <v>10801</v>
      </c>
      <c r="C2786" s="299" t="s">
        <v>10802</v>
      </c>
      <c r="D2786" s="44"/>
      <c r="E2786" s="38" t="s">
        <v>1017</v>
      </c>
      <c r="F2786" s="38" t="s">
        <v>10803</v>
      </c>
    </row>
    <row r="2787">
      <c r="B2787" s="44"/>
      <c r="C2787" s="299" t="s">
        <v>10804</v>
      </c>
      <c r="D2787" s="299" t="s">
        <v>10805</v>
      </c>
      <c r="E2787" s="38" t="s">
        <v>1017</v>
      </c>
      <c r="F2787" s="38" t="s">
        <v>10803</v>
      </c>
    </row>
    <row r="2788">
      <c r="B2788" s="299" t="s">
        <v>10806</v>
      </c>
      <c r="C2788" s="299" t="s">
        <v>10807</v>
      </c>
      <c r="D2788" s="44"/>
      <c r="E2788" s="38" t="s">
        <v>1017</v>
      </c>
      <c r="F2788" s="38" t="s">
        <v>10808</v>
      </c>
    </row>
    <row r="2789">
      <c r="B2789" s="299" t="s">
        <v>10809</v>
      </c>
      <c r="C2789" s="38" t="s">
        <v>10810</v>
      </c>
      <c r="D2789" s="44"/>
      <c r="E2789" s="38" t="s">
        <v>1017</v>
      </c>
      <c r="F2789" s="38" t="s">
        <v>10808</v>
      </c>
    </row>
    <row r="2790">
      <c r="B2790" s="59" t="s">
        <v>10811</v>
      </c>
      <c r="C2790" s="59" t="s">
        <v>10812</v>
      </c>
      <c r="D2790" s="44"/>
      <c r="E2790" s="38" t="s">
        <v>1017</v>
      </c>
      <c r="F2790" s="44"/>
      <c r="G2790" s="38" t="s">
        <v>10772</v>
      </c>
    </row>
    <row r="2791">
      <c r="B2791" s="59" t="s">
        <v>10813</v>
      </c>
      <c r="C2791" s="59" t="s">
        <v>10814</v>
      </c>
      <c r="D2791" s="59" t="s">
        <v>10815</v>
      </c>
      <c r="E2791" s="38" t="s">
        <v>1017</v>
      </c>
      <c r="F2791" s="59" t="s">
        <v>10816</v>
      </c>
      <c r="G2791" s="38" t="s">
        <v>10772</v>
      </c>
    </row>
    <row r="2792">
      <c r="A2792" s="44"/>
      <c r="B2792" s="59" t="s">
        <v>10817</v>
      </c>
      <c r="C2792" s="59" t="s">
        <v>10818</v>
      </c>
      <c r="D2792" s="59" t="s">
        <v>10819</v>
      </c>
      <c r="E2792" s="38" t="s">
        <v>1017</v>
      </c>
      <c r="F2792" s="59" t="s">
        <v>10820</v>
      </c>
      <c r="G2792" s="38" t="s">
        <v>10821</v>
      </c>
    </row>
    <row r="2793">
      <c r="B2793" s="38" t="s">
        <v>205</v>
      </c>
      <c r="C2793" s="38">
        <v>1.0</v>
      </c>
      <c r="D2793" s="38" t="s">
        <v>461</v>
      </c>
      <c r="E2793" s="38" t="s">
        <v>10822</v>
      </c>
      <c r="F2793" s="38" t="s">
        <v>10823</v>
      </c>
    </row>
    <row r="2794">
      <c r="B2794" s="38" t="s">
        <v>177</v>
      </c>
      <c r="C2794" s="38">
        <v>8.0</v>
      </c>
      <c r="D2794" s="38" t="s">
        <v>905</v>
      </c>
      <c r="E2794" s="38" t="s">
        <v>5372</v>
      </c>
      <c r="F2794" s="38" t="s">
        <v>10824</v>
      </c>
    </row>
    <row r="2795">
      <c r="B2795" s="38" t="s">
        <v>8384</v>
      </c>
      <c r="C2795" s="38">
        <v>8.0</v>
      </c>
      <c r="D2795" s="38" t="s">
        <v>905</v>
      </c>
      <c r="E2795" s="38" t="s">
        <v>5372</v>
      </c>
      <c r="F2795" s="38" t="s">
        <v>10825</v>
      </c>
    </row>
    <row r="2796">
      <c r="B2796" s="38" t="s">
        <v>10459</v>
      </c>
      <c r="C2796" s="38">
        <v>4.0</v>
      </c>
      <c r="D2796" s="38" t="s">
        <v>684</v>
      </c>
      <c r="E2796" s="38" t="s">
        <v>10826</v>
      </c>
      <c r="F2796" s="38" t="s">
        <v>10827</v>
      </c>
    </row>
    <row r="2797">
      <c r="B2797" s="44"/>
      <c r="C2797" s="44"/>
      <c r="D2797" s="38" t="s">
        <v>10828</v>
      </c>
      <c r="E2797" s="38" t="s">
        <v>4865</v>
      </c>
      <c r="F2797" s="44"/>
      <c r="G2797" s="44"/>
      <c r="H2797" s="38" t="s">
        <v>10829</v>
      </c>
    </row>
    <row r="2798">
      <c r="B2798" s="44"/>
      <c r="C2798" s="44"/>
      <c r="D2798" s="44"/>
      <c r="E2798" s="38" t="s">
        <v>4865</v>
      </c>
      <c r="F2798" s="38" t="s">
        <v>10830</v>
      </c>
      <c r="G2798" s="38" t="s">
        <v>10831</v>
      </c>
    </row>
    <row r="2799">
      <c r="B2799" s="463" t="s">
        <v>10832</v>
      </c>
      <c r="C2799" s="38" t="s">
        <v>10833</v>
      </c>
      <c r="D2799" s="463" t="s">
        <v>10834</v>
      </c>
      <c r="E2799" s="38" t="s">
        <v>10835</v>
      </c>
      <c r="F2799" s="463" t="s">
        <v>10836</v>
      </c>
      <c r="G2799" s="44"/>
      <c r="H2799" s="38" t="s">
        <v>10829</v>
      </c>
    </row>
    <row r="2800">
      <c r="B2800" s="38" t="s">
        <v>25</v>
      </c>
      <c r="C2800" s="38">
        <v>1.0</v>
      </c>
      <c r="D2800" s="38" t="s">
        <v>513</v>
      </c>
      <c r="E2800" s="38" t="s">
        <v>873</v>
      </c>
      <c r="F2800" s="38">
        <v>60.0</v>
      </c>
      <c r="G2800" s="38" t="s">
        <v>10837</v>
      </c>
    </row>
    <row r="2801">
      <c r="B2801" s="38" t="s">
        <v>276</v>
      </c>
      <c r="C2801" s="38">
        <v>1.0</v>
      </c>
      <c r="D2801" s="38" t="s">
        <v>684</v>
      </c>
      <c r="E2801" s="38" t="s">
        <v>873</v>
      </c>
      <c r="F2801" s="38" t="s">
        <v>10838</v>
      </c>
      <c r="G2801" s="38" t="s">
        <v>10837</v>
      </c>
    </row>
    <row r="2802">
      <c r="B2802" s="38" t="s">
        <v>10839</v>
      </c>
      <c r="C2802" s="38">
        <v>2.0</v>
      </c>
      <c r="D2802" s="38" t="s">
        <v>7006</v>
      </c>
      <c r="E2802" s="38" t="s">
        <v>10840</v>
      </c>
      <c r="F2802" s="38" t="s">
        <v>10841</v>
      </c>
    </row>
    <row r="2803">
      <c r="B2803" s="38" t="s">
        <v>58</v>
      </c>
      <c r="C2803" s="38">
        <v>4.0</v>
      </c>
      <c r="D2803" s="38" t="s">
        <v>10842</v>
      </c>
      <c r="E2803" s="38" t="s">
        <v>10843</v>
      </c>
      <c r="F2803" s="38" t="s">
        <v>3933</v>
      </c>
      <c r="G2803" s="38" t="s">
        <v>10844</v>
      </c>
    </row>
    <row r="2804">
      <c r="B2804" s="38" t="s">
        <v>1006</v>
      </c>
      <c r="C2804" s="38">
        <v>1.0</v>
      </c>
      <c r="D2804" s="38" t="s">
        <v>412</v>
      </c>
      <c r="E2804" s="38">
        <v>8.67819183E8</v>
      </c>
      <c r="F2804" s="38" t="s">
        <v>4717</v>
      </c>
    </row>
    <row r="2805">
      <c r="B2805" s="38" t="s">
        <v>10845</v>
      </c>
      <c r="C2805" s="38">
        <v>5.0</v>
      </c>
      <c r="D2805" s="38" t="s">
        <v>10846</v>
      </c>
      <c r="E2805" s="38" t="s">
        <v>1156</v>
      </c>
      <c r="F2805" s="38" t="s">
        <v>10847</v>
      </c>
      <c r="G2805" s="38" t="s">
        <v>10848</v>
      </c>
    </row>
    <row r="2806">
      <c r="B2806" s="38" t="s">
        <v>147</v>
      </c>
      <c r="C2806" s="38">
        <v>1.0</v>
      </c>
      <c r="D2806" s="38" t="s">
        <v>1084</v>
      </c>
      <c r="E2806" s="38" t="s">
        <v>4762</v>
      </c>
      <c r="F2806" s="38" t="s">
        <v>10849</v>
      </c>
      <c r="G2806" s="38" t="s">
        <v>10850</v>
      </c>
    </row>
    <row r="2807">
      <c r="B2807" s="38" t="s">
        <v>430</v>
      </c>
      <c r="C2807" s="38">
        <v>2.0</v>
      </c>
      <c r="D2807" s="38" t="s">
        <v>433</v>
      </c>
      <c r="E2807" s="38" t="s">
        <v>10851</v>
      </c>
      <c r="F2807" s="38" t="s">
        <v>10849</v>
      </c>
      <c r="G2807" s="38" t="s">
        <v>10852</v>
      </c>
    </row>
    <row r="2808">
      <c r="B2808" s="38" t="s">
        <v>25</v>
      </c>
      <c r="C2808" s="38">
        <v>1.0</v>
      </c>
      <c r="D2808" s="38" t="s">
        <v>433</v>
      </c>
      <c r="E2808" s="38" t="s">
        <v>10853</v>
      </c>
      <c r="F2808" s="38" t="s">
        <v>10854</v>
      </c>
      <c r="G2808" s="1" t="s">
        <v>10855</v>
      </c>
    </row>
    <row r="2809">
      <c r="B2809" s="38" t="s">
        <v>416</v>
      </c>
      <c r="C2809" s="38">
        <v>2.0</v>
      </c>
      <c r="D2809" s="38" t="s">
        <v>684</v>
      </c>
      <c r="E2809" s="38" t="s">
        <v>2551</v>
      </c>
      <c r="F2809" s="38" t="s">
        <v>10856</v>
      </c>
    </row>
    <row r="2810">
      <c r="B2810" s="38" t="s">
        <v>35</v>
      </c>
      <c r="C2810" s="38">
        <v>2.0</v>
      </c>
      <c r="D2810" s="38" t="s">
        <v>684</v>
      </c>
      <c r="E2810" s="38" t="s">
        <v>2551</v>
      </c>
      <c r="F2810" s="38" t="s">
        <v>10857</v>
      </c>
    </row>
    <row r="2811">
      <c r="B2811" s="464" t="s">
        <v>10858</v>
      </c>
      <c r="C2811" s="38" t="s">
        <v>10859</v>
      </c>
      <c r="D2811" s="38" t="s">
        <v>10860</v>
      </c>
      <c r="E2811" s="38" t="s">
        <v>974</v>
      </c>
      <c r="F2811" s="38" t="s">
        <v>4421</v>
      </c>
      <c r="G2811" s="44"/>
    </row>
    <row r="2812">
      <c r="B2812" s="44"/>
      <c r="C2812" s="44"/>
      <c r="D2812" s="38" t="s">
        <v>10861</v>
      </c>
      <c r="E2812" s="38" t="s">
        <v>1017</v>
      </c>
      <c r="F2812" s="38" t="s">
        <v>10772</v>
      </c>
    </row>
    <row r="2813">
      <c r="B2813" s="38" t="s">
        <v>25</v>
      </c>
      <c r="C2813" s="38">
        <v>2.0</v>
      </c>
      <c r="D2813" s="38" t="s">
        <v>10474</v>
      </c>
      <c r="E2813" s="38" t="s">
        <v>337</v>
      </c>
      <c r="F2813" s="38" t="s">
        <v>10862</v>
      </c>
    </row>
    <row r="2814">
      <c r="B2814" s="38" t="s">
        <v>147</v>
      </c>
      <c r="C2814" s="38">
        <v>4.0</v>
      </c>
      <c r="D2814" s="38" t="s">
        <v>684</v>
      </c>
      <c r="E2814" s="274" t="s">
        <v>10863</v>
      </c>
      <c r="F2814" s="38" t="s">
        <v>10864</v>
      </c>
      <c r="G2814" s="149" t="s">
        <v>10865</v>
      </c>
    </row>
    <row r="2815">
      <c r="A2815" s="44"/>
      <c r="B2815" s="38" t="s">
        <v>416</v>
      </c>
      <c r="C2815" s="38">
        <v>1.0</v>
      </c>
      <c r="D2815" s="38" t="s">
        <v>684</v>
      </c>
      <c r="E2815" s="38" t="s">
        <v>10866</v>
      </c>
      <c r="F2815" s="38" t="s">
        <v>10867</v>
      </c>
    </row>
    <row r="2816">
      <c r="B2816" s="38" t="s">
        <v>10868</v>
      </c>
      <c r="C2816" s="321" t="s">
        <v>10869</v>
      </c>
      <c r="D2816" s="321" t="s">
        <v>10870</v>
      </c>
      <c r="E2816" s="38" t="s">
        <v>10871</v>
      </c>
      <c r="F2816" s="38" t="s">
        <v>6475</v>
      </c>
    </row>
    <row r="2817">
      <c r="B2817" s="44"/>
      <c r="C2817" s="44"/>
      <c r="D2817" s="38" t="s">
        <v>10872</v>
      </c>
      <c r="E2817" s="38" t="s">
        <v>10871</v>
      </c>
      <c r="F2817" s="44"/>
    </row>
    <row r="2818">
      <c r="B2818" s="38" t="s">
        <v>357</v>
      </c>
      <c r="C2818" s="38">
        <v>4.0</v>
      </c>
      <c r="D2818" s="38" t="s">
        <v>10136</v>
      </c>
      <c r="E2818" s="38" t="s">
        <v>10871</v>
      </c>
      <c r="F2818" s="38" t="s">
        <v>6654</v>
      </c>
    </row>
    <row r="2819">
      <c r="B2819" s="38" t="s">
        <v>47</v>
      </c>
      <c r="C2819" s="38">
        <v>1.0</v>
      </c>
      <c r="D2819" s="38" t="s">
        <v>7618</v>
      </c>
      <c r="E2819" s="38" t="s">
        <v>1758</v>
      </c>
      <c r="F2819" s="38" t="s">
        <v>10873</v>
      </c>
    </row>
    <row r="2820">
      <c r="B2820" s="38" t="s">
        <v>97</v>
      </c>
      <c r="C2820" s="38">
        <v>4.0</v>
      </c>
      <c r="D2820" s="38" t="s">
        <v>10874</v>
      </c>
      <c r="E2820" s="38" t="s">
        <v>873</v>
      </c>
      <c r="F2820" s="38" t="s">
        <v>10875</v>
      </c>
      <c r="G2820" s="38" t="s">
        <v>10837</v>
      </c>
    </row>
    <row r="2821">
      <c r="B2821" s="38" t="s">
        <v>1006</v>
      </c>
      <c r="C2821" s="38">
        <v>1.0</v>
      </c>
      <c r="D2821" s="38" t="s">
        <v>289</v>
      </c>
      <c r="E2821" s="38" t="s">
        <v>10876</v>
      </c>
      <c r="F2821" s="38" t="s">
        <v>10877</v>
      </c>
    </row>
    <row r="2822">
      <c r="B2822" s="38" t="s">
        <v>122</v>
      </c>
      <c r="C2822" s="38">
        <v>1.0</v>
      </c>
      <c r="D2822" s="38" t="s">
        <v>684</v>
      </c>
      <c r="E2822" s="112" t="s">
        <v>10878</v>
      </c>
      <c r="F2822" s="38" t="s">
        <v>10879</v>
      </c>
    </row>
    <row r="2823">
      <c r="B2823" s="44"/>
      <c r="C2823" s="44"/>
      <c r="D2823" s="44"/>
      <c r="E2823" s="38" t="s">
        <v>10880</v>
      </c>
      <c r="F2823" s="38" t="s">
        <v>10881</v>
      </c>
      <c r="G2823" s="44"/>
    </row>
    <row r="2824">
      <c r="B2824" s="38" t="s">
        <v>10882</v>
      </c>
      <c r="C2824" s="44"/>
      <c r="D2824" s="38"/>
      <c r="E2824" s="38" t="s">
        <v>6915</v>
      </c>
      <c r="F2824" s="38"/>
      <c r="G2824" s="38" t="s">
        <v>144</v>
      </c>
    </row>
    <row r="2825">
      <c r="B2825" s="38" t="s">
        <v>308</v>
      </c>
      <c r="C2825" s="38">
        <v>2.0</v>
      </c>
      <c r="D2825" s="38" t="s">
        <v>560</v>
      </c>
      <c r="E2825" s="38" t="s">
        <v>4498</v>
      </c>
      <c r="F2825" s="38" t="s">
        <v>10883</v>
      </c>
      <c r="G2825" s="38" t="s">
        <v>10884</v>
      </c>
    </row>
    <row r="2826">
      <c r="B2826" s="38" t="s">
        <v>342</v>
      </c>
      <c r="C2826" s="38">
        <v>4.0</v>
      </c>
      <c r="D2826" s="38" t="s">
        <v>10885</v>
      </c>
      <c r="E2826" s="38" t="s">
        <v>1098</v>
      </c>
      <c r="F2826" s="1" t="s">
        <v>10886</v>
      </c>
      <c r="G2826" s="1" t="s">
        <v>10887</v>
      </c>
    </row>
    <row r="2827">
      <c r="A2827" s="465"/>
      <c r="B2827" s="38" t="s">
        <v>333</v>
      </c>
      <c r="C2827" s="38">
        <v>4.0</v>
      </c>
      <c r="D2827" s="38" t="s">
        <v>10888</v>
      </c>
      <c r="E2827" s="38" t="s">
        <v>1098</v>
      </c>
      <c r="F2827" s="1" t="s">
        <v>10889</v>
      </c>
      <c r="G2827" s="1" t="s">
        <v>10890</v>
      </c>
    </row>
    <row r="2828">
      <c r="A2828" s="465"/>
      <c r="B2828" s="38" t="s">
        <v>128</v>
      </c>
      <c r="C2828" s="38">
        <v>4.0</v>
      </c>
      <c r="D2828" s="38" t="s">
        <v>10888</v>
      </c>
      <c r="E2828" s="38" t="s">
        <v>1098</v>
      </c>
      <c r="F2828" s="1" t="s">
        <v>10891</v>
      </c>
      <c r="G2828" s="1" t="s">
        <v>10892</v>
      </c>
    </row>
    <row r="2829">
      <c r="A2829" s="44"/>
      <c r="B2829" s="44"/>
      <c r="C2829" s="44"/>
      <c r="D2829" s="47" t="s">
        <v>10893</v>
      </c>
      <c r="E2829" s="38" t="s">
        <v>1017</v>
      </c>
      <c r="F2829" s="38" t="s">
        <v>10894</v>
      </c>
      <c r="G2829" s="38" t="s">
        <v>10772</v>
      </c>
    </row>
    <row r="2830">
      <c r="B2830" s="38" t="s">
        <v>261</v>
      </c>
      <c r="C2830" s="38">
        <v>4.0</v>
      </c>
      <c r="D2830" s="38" t="s">
        <v>412</v>
      </c>
      <c r="E2830" s="274" t="s">
        <v>10895</v>
      </c>
      <c r="F2830" s="38" t="s">
        <v>10896</v>
      </c>
    </row>
    <row r="2831">
      <c r="B2831" s="38" t="s">
        <v>81</v>
      </c>
      <c r="C2831" s="38">
        <v>4.0</v>
      </c>
      <c r="D2831" s="38" t="s">
        <v>232</v>
      </c>
      <c r="E2831" s="38" t="s">
        <v>10897</v>
      </c>
      <c r="F2831" s="38" t="s">
        <v>7252</v>
      </c>
      <c r="G2831" s="38" t="s">
        <v>10898</v>
      </c>
    </row>
    <row r="2832">
      <c r="B2832" s="38" t="s">
        <v>3822</v>
      </c>
      <c r="C2832" s="38">
        <v>2.0</v>
      </c>
      <c r="D2832" s="38" t="s">
        <v>315</v>
      </c>
      <c r="E2832" s="38" t="s">
        <v>371</v>
      </c>
      <c r="F2832" s="38" t="s">
        <v>10899</v>
      </c>
      <c r="G2832" s="38" t="s">
        <v>10900</v>
      </c>
    </row>
    <row r="2833">
      <c r="B2833" s="38" t="s">
        <v>153</v>
      </c>
      <c r="C2833" s="38">
        <v>2.0</v>
      </c>
      <c r="D2833" s="38" t="s">
        <v>315</v>
      </c>
      <c r="E2833" s="38" t="s">
        <v>371</v>
      </c>
      <c r="F2833" s="38" t="s">
        <v>10901</v>
      </c>
      <c r="G2833" s="38" t="s">
        <v>10902</v>
      </c>
    </row>
    <row r="2834">
      <c r="B2834" s="38" t="s">
        <v>439</v>
      </c>
      <c r="C2834" s="38">
        <v>2.0</v>
      </c>
      <c r="D2834" s="38" t="s">
        <v>6682</v>
      </c>
      <c r="E2834" s="38" t="s">
        <v>10903</v>
      </c>
      <c r="F2834" s="38" t="s">
        <v>4430</v>
      </c>
      <c r="G2834" s="38" t="s">
        <v>10837</v>
      </c>
    </row>
    <row r="2835">
      <c r="B2835" s="38" t="s">
        <v>25</v>
      </c>
      <c r="C2835" s="38">
        <v>16.0</v>
      </c>
      <c r="D2835" s="38" t="s">
        <v>6569</v>
      </c>
      <c r="E2835" s="38" t="s">
        <v>418</v>
      </c>
      <c r="F2835" s="38" t="s">
        <v>10758</v>
      </c>
    </row>
    <row r="2836">
      <c r="B2836" s="38" t="s">
        <v>22</v>
      </c>
      <c r="C2836" s="38">
        <v>1.0</v>
      </c>
      <c r="D2836" s="38" t="s">
        <v>10904</v>
      </c>
      <c r="E2836" s="38" t="s">
        <v>10905</v>
      </c>
      <c r="F2836" s="38" t="s">
        <v>10906</v>
      </c>
    </row>
    <row r="2837">
      <c r="B2837" s="38" t="s">
        <v>31</v>
      </c>
      <c r="C2837" s="38">
        <v>2.0</v>
      </c>
      <c r="D2837" s="38" t="s">
        <v>10907</v>
      </c>
      <c r="E2837" s="38" t="s">
        <v>10908</v>
      </c>
      <c r="F2837" s="38" t="s">
        <v>10909</v>
      </c>
      <c r="G2837" s="38" t="s">
        <v>10910</v>
      </c>
    </row>
    <row r="2838">
      <c r="B2838" s="38" t="s">
        <v>85</v>
      </c>
      <c r="C2838" s="38">
        <v>2.0</v>
      </c>
      <c r="D2838" s="38" t="s">
        <v>10907</v>
      </c>
      <c r="E2838" s="38" t="s">
        <v>10908</v>
      </c>
      <c r="F2838" s="38" t="s">
        <v>338</v>
      </c>
      <c r="G2838" s="38" t="s">
        <v>10911</v>
      </c>
    </row>
    <row r="2839">
      <c r="B2839" s="389" t="s">
        <v>10912</v>
      </c>
      <c r="C2839" s="389" t="s">
        <v>10913</v>
      </c>
      <c r="D2839" s="389" t="s">
        <v>10914</v>
      </c>
      <c r="E2839" s="38" t="s">
        <v>1017</v>
      </c>
      <c r="F2839" s="389" t="s">
        <v>10915</v>
      </c>
      <c r="G2839" s="38" t="s">
        <v>10916</v>
      </c>
    </row>
    <row r="2840">
      <c r="B2840" s="389" t="s">
        <v>10917</v>
      </c>
      <c r="C2840" s="389" t="s">
        <v>10918</v>
      </c>
      <c r="D2840" s="389" t="s">
        <v>10919</v>
      </c>
      <c r="E2840" s="38" t="s">
        <v>1017</v>
      </c>
      <c r="F2840" s="389" t="s">
        <v>10920</v>
      </c>
      <c r="G2840" s="38" t="s">
        <v>10916</v>
      </c>
    </row>
    <row r="2841">
      <c r="B2841" s="44"/>
      <c r="C2841" s="38" t="s">
        <v>10921</v>
      </c>
      <c r="D2841" s="38" t="s">
        <v>10922</v>
      </c>
      <c r="E2841" s="38" t="s">
        <v>10923</v>
      </c>
      <c r="F2841" s="38" t="s">
        <v>10924</v>
      </c>
    </row>
    <row r="2842">
      <c r="B2842" s="44"/>
      <c r="C2842" s="38" t="s">
        <v>10925</v>
      </c>
      <c r="D2842" s="38" t="s">
        <v>10926</v>
      </c>
      <c r="E2842" s="38" t="s">
        <v>1017</v>
      </c>
      <c r="F2842" s="38" t="s">
        <v>10772</v>
      </c>
    </row>
    <row r="2843">
      <c r="B2843" s="44"/>
      <c r="C2843" s="44"/>
      <c r="D2843" s="38" t="s">
        <v>10927</v>
      </c>
      <c r="E2843" s="38" t="s">
        <v>2914</v>
      </c>
      <c r="F2843" s="38" t="s">
        <v>9334</v>
      </c>
    </row>
    <row r="2844">
      <c r="D2844" s="1" t="s">
        <v>10928</v>
      </c>
      <c r="E2844" s="1" t="s">
        <v>2914</v>
      </c>
      <c r="F2844" s="1"/>
    </row>
    <row r="2845">
      <c r="B2845" s="44"/>
      <c r="C2845" s="44"/>
      <c r="D2845" s="38" t="s">
        <v>10929</v>
      </c>
      <c r="E2845" s="38" t="s">
        <v>2914</v>
      </c>
      <c r="F2845" s="38" t="s">
        <v>9334</v>
      </c>
    </row>
    <row r="2846">
      <c r="B2846" s="38"/>
      <c r="C2846" s="38" t="s">
        <v>10930</v>
      </c>
      <c r="D2846" s="44"/>
      <c r="E2846" s="38" t="s">
        <v>2914</v>
      </c>
      <c r="F2846" s="38" t="s">
        <v>144</v>
      </c>
    </row>
    <row r="2847">
      <c r="B2847" s="38" t="s">
        <v>10931</v>
      </c>
      <c r="C2847" s="38"/>
      <c r="D2847" s="44"/>
      <c r="E2847" s="38" t="s">
        <v>2914</v>
      </c>
      <c r="F2847" s="38" t="s">
        <v>144</v>
      </c>
    </row>
    <row r="2848">
      <c r="B2848" s="131" t="s">
        <v>10932</v>
      </c>
      <c r="C2848" s="131">
        <v>2.0</v>
      </c>
      <c r="D2848" s="131" t="s">
        <v>10933</v>
      </c>
      <c r="E2848" s="466" t="s">
        <v>10934</v>
      </c>
      <c r="F2848" s="131" t="s">
        <v>10935</v>
      </c>
    </row>
    <row r="2849">
      <c r="B2849" s="131" t="s">
        <v>1277</v>
      </c>
      <c r="C2849" s="131">
        <v>2.0</v>
      </c>
      <c r="D2849" s="131" t="s">
        <v>10933</v>
      </c>
      <c r="E2849" s="466" t="s">
        <v>10934</v>
      </c>
      <c r="F2849" s="131" t="s">
        <v>10935</v>
      </c>
    </row>
    <row r="2850">
      <c r="B2850" s="38" t="s">
        <v>22</v>
      </c>
      <c r="C2850" s="38">
        <v>4.0</v>
      </c>
      <c r="D2850" s="38" t="s">
        <v>4326</v>
      </c>
      <c r="E2850" s="38" t="s">
        <v>396</v>
      </c>
      <c r="F2850" s="38" t="s">
        <v>10936</v>
      </c>
      <c r="G2850" s="38" t="s">
        <v>10731</v>
      </c>
    </row>
    <row r="2851">
      <c r="B2851" s="38" t="s">
        <v>479</v>
      </c>
      <c r="C2851" s="38">
        <v>1.0</v>
      </c>
      <c r="D2851" s="38" t="s">
        <v>2097</v>
      </c>
      <c r="E2851" s="38" t="s">
        <v>396</v>
      </c>
      <c r="F2851" s="38" t="s">
        <v>10937</v>
      </c>
      <c r="G2851" s="38" t="s">
        <v>10731</v>
      </c>
    </row>
    <row r="2852">
      <c r="B2852" s="59" t="s">
        <v>10938</v>
      </c>
      <c r="C2852" s="59" t="s">
        <v>10939</v>
      </c>
      <c r="D2852" s="38" t="s">
        <v>535</v>
      </c>
      <c r="E2852" s="38" t="s">
        <v>10940</v>
      </c>
      <c r="F2852" s="38" t="s">
        <v>10684</v>
      </c>
    </row>
    <row r="2853">
      <c r="B2853" s="59" t="s">
        <v>10941</v>
      </c>
      <c r="C2853" s="59" t="s">
        <v>10942</v>
      </c>
      <c r="D2853" s="38" t="s">
        <v>535</v>
      </c>
      <c r="E2853" s="38" t="s">
        <v>10940</v>
      </c>
      <c r="F2853" s="38" t="s">
        <v>10684</v>
      </c>
    </row>
    <row r="2854">
      <c r="B2854" s="38" t="s">
        <v>91</v>
      </c>
      <c r="C2854" s="38">
        <v>2.0</v>
      </c>
      <c r="D2854" s="38" t="s">
        <v>10943</v>
      </c>
      <c r="E2854" s="38" t="s">
        <v>1098</v>
      </c>
      <c r="F2854" s="1" t="s">
        <v>10944</v>
      </c>
      <c r="G2854" s="1" t="s">
        <v>10945</v>
      </c>
    </row>
    <row r="2855">
      <c r="B2855" s="38" t="s">
        <v>94</v>
      </c>
      <c r="C2855" s="38">
        <v>2.0</v>
      </c>
      <c r="D2855" s="38" t="s">
        <v>10943</v>
      </c>
      <c r="E2855" s="38" t="s">
        <v>1098</v>
      </c>
      <c r="F2855" s="1" t="s">
        <v>10946</v>
      </c>
      <c r="G2855" s="1" t="s">
        <v>10947</v>
      </c>
    </row>
    <row r="2856">
      <c r="B2856" s="44"/>
      <c r="C2856" s="44"/>
      <c r="D2856" s="38" t="s">
        <v>10948</v>
      </c>
      <c r="E2856" s="38" t="s">
        <v>1543</v>
      </c>
      <c r="F2856" s="324" t="s">
        <v>10949</v>
      </c>
      <c r="G2856" s="38" t="s">
        <v>10950</v>
      </c>
      <c r="H2856" s="38" t="s">
        <v>10951</v>
      </c>
    </row>
    <row r="2857">
      <c r="B2857" s="1" t="s">
        <v>10952</v>
      </c>
      <c r="C2857" s="1" t="s">
        <v>10953</v>
      </c>
      <c r="D2857" s="1" t="s">
        <v>10954</v>
      </c>
      <c r="E2857" s="1" t="s">
        <v>221</v>
      </c>
    </row>
    <row r="2858">
      <c r="B2858" s="1" t="s">
        <v>10955</v>
      </c>
      <c r="C2858" s="1" t="s">
        <v>10956</v>
      </c>
      <c r="D2858" s="1" t="s">
        <v>10957</v>
      </c>
      <c r="E2858" s="1" t="s">
        <v>221</v>
      </c>
      <c r="F2858" s="1" t="s">
        <v>10958</v>
      </c>
      <c r="G2858" s="1" t="s">
        <v>10959</v>
      </c>
    </row>
    <row r="2859">
      <c r="B2859" s="38" t="s">
        <v>205</v>
      </c>
      <c r="C2859" s="38">
        <v>4.0</v>
      </c>
      <c r="D2859" s="38" t="s">
        <v>10960</v>
      </c>
      <c r="E2859" s="38" t="s">
        <v>10961</v>
      </c>
      <c r="F2859" s="38" t="s">
        <v>10962</v>
      </c>
    </row>
    <row r="2860">
      <c r="B2860" s="467" t="s">
        <v>10963</v>
      </c>
      <c r="C2860" s="38">
        <v>4.0</v>
      </c>
      <c r="D2860" s="467" t="s">
        <v>10964</v>
      </c>
      <c r="E2860" s="38" t="s">
        <v>10961</v>
      </c>
      <c r="F2860" s="38" t="s">
        <v>10965</v>
      </c>
    </row>
    <row r="2861">
      <c r="B2861" s="282" t="s">
        <v>10966</v>
      </c>
      <c r="C2861" s="38"/>
      <c r="D2861" s="47" t="s">
        <v>10967</v>
      </c>
      <c r="E2861" s="38" t="s">
        <v>10961</v>
      </c>
      <c r="F2861" s="38"/>
    </row>
    <row r="2862">
      <c r="B2862" s="44"/>
      <c r="C2862" s="38" t="s">
        <v>10968</v>
      </c>
      <c r="D2862" s="38" t="s">
        <v>10969</v>
      </c>
      <c r="E2862" s="38" t="s">
        <v>4210</v>
      </c>
      <c r="F2862" s="38" t="s">
        <v>10970</v>
      </c>
      <c r="G2862" s="38" t="s">
        <v>10971</v>
      </c>
    </row>
    <row r="2863">
      <c r="B2863" s="44"/>
      <c r="C2863" s="38" t="s">
        <v>10972</v>
      </c>
      <c r="D2863" s="38" t="s">
        <v>10973</v>
      </c>
      <c r="E2863" s="38" t="s">
        <v>4210</v>
      </c>
      <c r="F2863" s="38" t="s">
        <v>10974</v>
      </c>
      <c r="G2863" s="38" t="s">
        <v>10971</v>
      </c>
    </row>
    <row r="2864">
      <c r="B2864" s="44"/>
      <c r="C2864" s="125" t="s">
        <v>10975</v>
      </c>
      <c r="D2864" s="125" t="s">
        <v>10976</v>
      </c>
      <c r="E2864" s="38" t="s">
        <v>1017</v>
      </c>
      <c r="F2864" s="38" t="s">
        <v>10916</v>
      </c>
    </row>
    <row r="2865">
      <c r="B2865" s="38" t="s">
        <v>140</v>
      </c>
      <c r="C2865" s="38">
        <v>2.0</v>
      </c>
      <c r="D2865" s="38" t="s">
        <v>1382</v>
      </c>
      <c r="E2865" s="38" t="s">
        <v>9871</v>
      </c>
      <c r="F2865" s="38" t="s">
        <v>1331</v>
      </c>
    </row>
    <row r="2866">
      <c r="B2866" s="44"/>
      <c r="C2866" s="44"/>
      <c r="D2866" s="47" t="s">
        <v>10977</v>
      </c>
      <c r="E2866" s="47" t="s">
        <v>2914</v>
      </c>
      <c r="F2866" s="47" t="s">
        <v>144</v>
      </c>
    </row>
    <row r="2867">
      <c r="B2867" s="44"/>
      <c r="C2867" s="44"/>
      <c r="D2867" s="389" t="s">
        <v>10977</v>
      </c>
      <c r="E2867" s="38" t="s">
        <v>1017</v>
      </c>
      <c r="F2867" s="38" t="s">
        <v>10916</v>
      </c>
    </row>
    <row r="2868">
      <c r="B2868" s="38" t="s">
        <v>205</v>
      </c>
      <c r="C2868" s="38">
        <v>1.0</v>
      </c>
      <c r="D2868" s="38" t="s">
        <v>6192</v>
      </c>
      <c r="E2868" s="38" t="s">
        <v>10978</v>
      </c>
      <c r="F2868" s="38" t="s">
        <v>10979</v>
      </c>
    </row>
    <row r="2869">
      <c r="B2869" s="38" t="s">
        <v>81</v>
      </c>
      <c r="C2869" s="38">
        <v>4.0</v>
      </c>
      <c r="D2869" s="38" t="s">
        <v>8687</v>
      </c>
      <c r="E2869" s="38" t="s">
        <v>3330</v>
      </c>
      <c r="F2869" s="38" t="s">
        <v>10980</v>
      </c>
    </row>
    <row r="2870">
      <c r="B2870" s="44"/>
      <c r="C2870" s="44"/>
      <c r="D2870" s="464" t="s">
        <v>10981</v>
      </c>
      <c r="E2870" s="38" t="s">
        <v>1017</v>
      </c>
      <c r="F2870" s="38" t="s">
        <v>10736</v>
      </c>
    </row>
    <row r="2871">
      <c r="B2871" s="38" t="s">
        <v>10982</v>
      </c>
      <c r="C2871" s="38">
        <v>4.0</v>
      </c>
      <c r="D2871" s="38" t="s">
        <v>7309</v>
      </c>
      <c r="E2871" s="38" t="s">
        <v>7374</v>
      </c>
      <c r="F2871" s="38" t="s">
        <v>10983</v>
      </c>
    </row>
    <row r="2872">
      <c r="A2872" s="5"/>
      <c r="B2872" s="38" t="s">
        <v>283</v>
      </c>
      <c r="C2872" s="38">
        <v>4.0</v>
      </c>
      <c r="D2872" s="38" t="s">
        <v>167</v>
      </c>
      <c r="E2872" s="281" t="s">
        <v>9658</v>
      </c>
      <c r="F2872" s="38" t="s">
        <v>10889</v>
      </c>
    </row>
    <row r="2873">
      <c r="A2873" s="5"/>
      <c r="B2873" s="38" t="s">
        <v>147</v>
      </c>
      <c r="C2873" s="38">
        <v>4.0</v>
      </c>
      <c r="D2873" s="38" t="s">
        <v>10984</v>
      </c>
      <c r="E2873" s="38" t="s">
        <v>10985</v>
      </c>
      <c r="F2873" s="38" t="s">
        <v>203</v>
      </c>
    </row>
    <row r="2874">
      <c r="A2874" s="5"/>
      <c r="B2874" s="38" t="s">
        <v>10986</v>
      </c>
      <c r="C2874" s="38">
        <v>4.0</v>
      </c>
      <c r="D2874" s="38" t="s">
        <v>10987</v>
      </c>
      <c r="E2874" s="38" t="s">
        <v>10988</v>
      </c>
      <c r="F2874" s="38" t="s">
        <v>10989</v>
      </c>
    </row>
    <row r="2875">
      <c r="A2875" s="5"/>
      <c r="B2875" s="38" t="s">
        <v>10990</v>
      </c>
      <c r="C2875" s="38" t="s">
        <v>10541</v>
      </c>
      <c r="D2875" s="38" t="s">
        <v>1155</v>
      </c>
      <c r="E2875" s="38" t="s">
        <v>7128</v>
      </c>
      <c r="F2875" s="38" t="s">
        <v>10991</v>
      </c>
    </row>
    <row r="2876">
      <c r="A2876" s="8"/>
      <c r="B2876" s="38" t="s">
        <v>357</v>
      </c>
      <c r="C2876" s="38">
        <v>4.0</v>
      </c>
      <c r="D2876" s="38" t="s">
        <v>10992</v>
      </c>
      <c r="E2876" s="38" t="s">
        <v>10993</v>
      </c>
      <c r="F2876" s="38" t="s">
        <v>6606</v>
      </c>
    </row>
    <row r="2877">
      <c r="A2877" s="8"/>
      <c r="B2877" s="38" t="s">
        <v>1327</v>
      </c>
      <c r="C2877" s="38">
        <v>4.0</v>
      </c>
      <c r="D2877" s="38" t="s">
        <v>553</v>
      </c>
      <c r="E2877" s="38" t="s">
        <v>10202</v>
      </c>
      <c r="F2877" s="38" t="s">
        <v>4974</v>
      </c>
    </row>
    <row r="2878">
      <c r="A2878" s="8"/>
      <c r="B2878" s="38" t="s">
        <v>357</v>
      </c>
      <c r="C2878" s="38">
        <v>4.0</v>
      </c>
      <c r="D2878" s="38" t="s">
        <v>300</v>
      </c>
      <c r="E2878" s="38" t="s">
        <v>10994</v>
      </c>
      <c r="F2878" s="44"/>
    </row>
    <row r="2879">
      <c r="A2879" s="8"/>
      <c r="B2879" s="38" t="s">
        <v>416</v>
      </c>
      <c r="C2879" s="38">
        <v>2.0</v>
      </c>
      <c r="D2879" s="38" t="s">
        <v>10995</v>
      </c>
      <c r="E2879" s="38" t="s">
        <v>4939</v>
      </c>
      <c r="F2879" s="38" t="s">
        <v>10996</v>
      </c>
    </row>
    <row r="2880">
      <c r="A2880" s="8"/>
      <c r="B2880" s="38" t="s">
        <v>85</v>
      </c>
      <c r="C2880" s="38">
        <v>4.0</v>
      </c>
      <c r="D2880" s="38" t="s">
        <v>5281</v>
      </c>
      <c r="E2880" s="38" t="s">
        <v>4478</v>
      </c>
      <c r="F2880" s="44"/>
    </row>
    <row r="2881">
      <c r="A2881" s="8"/>
      <c r="B2881" s="38" t="s">
        <v>43</v>
      </c>
      <c r="C2881" s="38">
        <v>1.0</v>
      </c>
      <c r="D2881" s="38" t="s">
        <v>10997</v>
      </c>
      <c r="E2881" s="38" t="s">
        <v>10998</v>
      </c>
      <c r="F2881" s="38" t="s">
        <v>10999</v>
      </c>
    </row>
    <row r="2882">
      <c r="B2882" s="38" t="s">
        <v>2698</v>
      </c>
      <c r="C2882" s="38">
        <v>1.0</v>
      </c>
      <c r="D2882" s="38" t="s">
        <v>11000</v>
      </c>
      <c r="E2882" s="38" t="s">
        <v>10998</v>
      </c>
      <c r="F2882" s="38" t="s">
        <v>11001</v>
      </c>
    </row>
    <row r="2883">
      <c r="B2883" s="38" t="s">
        <v>25</v>
      </c>
      <c r="C2883" s="38">
        <v>4.0</v>
      </c>
      <c r="D2883" s="38" t="s">
        <v>2479</v>
      </c>
      <c r="E2883" s="38" t="s">
        <v>4077</v>
      </c>
      <c r="F2883" s="44"/>
    </row>
    <row r="2884">
      <c r="B2884" s="38" t="s">
        <v>219</v>
      </c>
      <c r="C2884" s="38">
        <v>4.0</v>
      </c>
      <c r="D2884" s="38" t="s">
        <v>6773</v>
      </c>
      <c r="E2884" s="274" t="s">
        <v>11002</v>
      </c>
      <c r="F2884" s="38" t="s">
        <v>11003</v>
      </c>
    </row>
    <row r="2885">
      <c r="B2885" s="38" t="s">
        <v>11004</v>
      </c>
      <c r="C2885" s="44"/>
      <c r="D2885" s="38" t="s">
        <v>11005</v>
      </c>
      <c r="E2885" s="38" t="s">
        <v>11006</v>
      </c>
      <c r="F2885" s="38" t="s">
        <v>1542</v>
      </c>
      <c r="G2885" s="38" t="s">
        <v>10850</v>
      </c>
      <c r="H2885" s="5"/>
    </row>
    <row r="2886">
      <c r="B2886" s="38" t="s">
        <v>11007</v>
      </c>
      <c r="C2886" s="44"/>
      <c r="D2886" s="38" t="s">
        <v>11008</v>
      </c>
      <c r="E2886" s="38" t="s">
        <v>11006</v>
      </c>
      <c r="F2886" s="44"/>
      <c r="G2886" s="38" t="s">
        <v>10850</v>
      </c>
    </row>
    <row r="2887">
      <c r="B2887" s="38"/>
      <c r="C2887" s="44"/>
      <c r="D2887" s="38" t="s">
        <v>5030</v>
      </c>
      <c r="E2887" s="353" t="s">
        <v>4762</v>
      </c>
      <c r="F2887" s="38" t="s">
        <v>11009</v>
      </c>
      <c r="G2887" s="38" t="s">
        <v>10850</v>
      </c>
    </row>
    <row r="2888">
      <c r="B2888" s="59" t="s">
        <v>11010</v>
      </c>
      <c r="C2888" s="44"/>
      <c r="D2888" s="38" t="s">
        <v>11011</v>
      </c>
      <c r="E2888" s="38" t="s">
        <v>11012</v>
      </c>
      <c r="F2888" s="38" t="s">
        <v>11013</v>
      </c>
      <c r="G2888" s="38" t="s">
        <v>10684</v>
      </c>
    </row>
    <row r="2889">
      <c r="B2889" s="38" t="s">
        <v>11014</v>
      </c>
      <c r="C2889" s="44"/>
      <c r="D2889" s="38" t="s">
        <v>11015</v>
      </c>
      <c r="E2889" s="38" t="s">
        <v>11012</v>
      </c>
      <c r="F2889" s="38" t="s">
        <v>11016</v>
      </c>
      <c r="G2889" s="38" t="s">
        <v>10684</v>
      </c>
    </row>
    <row r="2890">
      <c r="B2890" s="38"/>
      <c r="C2890" s="44"/>
      <c r="D2890" s="44"/>
      <c r="E2890" s="38" t="s">
        <v>11012</v>
      </c>
      <c r="F2890" s="38" t="s">
        <v>11017</v>
      </c>
      <c r="G2890" s="38"/>
    </row>
    <row r="2891">
      <c r="A2891" s="8"/>
      <c r="B2891" s="38" t="s">
        <v>1432</v>
      </c>
      <c r="C2891" s="38">
        <v>4.0</v>
      </c>
      <c r="D2891" s="38" t="s">
        <v>11018</v>
      </c>
      <c r="E2891" s="38" t="s">
        <v>10586</v>
      </c>
      <c r="F2891" s="38" t="s">
        <v>11019</v>
      </c>
      <c r="G2891" s="38" t="s">
        <v>11020</v>
      </c>
    </row>
    <row r="2892">
      <c r="B2892" s="38" t="s">
        <v>11021</v>
      </c>
      <c r="C2892" s="38" t="s">
        <v>11022</v>
      </c>
      <c r="D2892" s="38" t="s">
        <v>11023</v>
      </c>
      <c r="E2892" s="38" t="s">
        <v>1543</v>
      </c>
      <c r="F2892" s="44"/>
    </row>
    <row r="2893">
      <c r="B2893" s="38" t="s">
        <v>2511</v>
      </c>
      <c r="C2893" s="38" t="s">
        <v>1541</v>
      </c>
      <c r="D2893" s="38" t="s">
        <v>1542</v>
      </c>
      <c r="E2893" s="38" t="s">
        <v>1543</v>
      </c>
      <c r="F2893" s="38" t="s">
        <v>11024</v>
      </c>
    </row>
    <row r="2894">
      <c r="B2894" s="305" t="s">
        <v>11025</v>
      </c>
      <c r="C2894" s="47" t="s">
        <v>9154</v>
      </c>
      <c r="D2894" s="38" t="s">
        <v>11026</v>
      </c>
      <c r="E2894" s="38" t="s">
        <v>2914</v>
      </c>
      <c r="F2894" s="38" t="s">
        <v>11027</v>
      </c>
      <c r="G2894" s="38" t="s">
        <v>144</v>
      </c>
    </row>
    <row r="2895">
      <c r="B2895" s="44"/>
      <c r="C2895" s="38" t="s">
        <v>1698</v>
      </c>
      <c r="D2895" s="460" t="s">
        <v>11028</v>
      </c>
      <c r="E2895" s="38" t="s">
        <v>2914</v>
      </c>
      <c r="F2895" s="38" t="s">
        <v>11029</v>
      </c>
      <c r="G2895" s="38" t="s">
        <v>144</v>
      </c>
    </row>
    <row r="2896">
      <c r="D2896" s="468" t="s">
        <v>11030</v>
      </c>
      <c r="E2896" s="1" t="s">
        <v>4851</v>
      </c>
    </row>
    <row r="2897">
      <c r="B2897" s="38" t="s">
        <v>11031</v>
      </c>
      <c r="C2897" s="44"/>
      <c r="D2897" s="38">
        <v>8.67054889E8</v>
      </c>
      <c r="E2897" s="38" t="s">
        <v>11032</v>
      </c>
      <c r="F2897" s="38" t="s">
        <v>11033</v>
      </c>
    </row>
    <row r="2898">
      <c r="B2898" s="44"/>
      <c r="C2898" s="44"/>
      <c r="D2898" s="38" t="s">
        <v>11034</v>
      </c>
      <c r="E2898" s="38" t="s">
        <v>10117</v>
      </c>
      <c r="F2898" s="38" t="s">
        <v>11035</v>
      </c>
    </row>
    <row r="2899">
      <c r="B2899" s="38" t="s">
        <v>11036</v>
      </c>
      <c r="C2899" s="44"/>
      <c r="D2899" s="38" t="s">
        <v>11037</v>
      </c>
      <c r="E2899" s="38" t="s">
        <v>1017</v>
      </c>
      <c r="F2899" s="469" t="s">
        <v>10736</v>
      </c>
    </row>
    <row r="2900">
      <c r="B2900" s="38" t="s">
        <v>4002</v>
      </c>
      <c r="C2900" s="44"/>
      <c r="D2900" s="38"/>
      <c r="E2900" s="38" t="s">
        <v>1017</v>
      </c>
      <c r="F2900" s="469" t="s">
        <v>10916</v>
      </c>
    </row>
    <row r="2901">
      <c r="B2901" s="38" t="s">
        <v>11038</v>
      </c>
      <c r="C2901" s="38">
        <v>1.0</v>
      </c>
      <c r="D2901" s="38" t="s">
        <v>11039</v>
      </c>
      <c r="E2901" s="38" t="s">
        <v>4478</v>
      </c>
      <c r="F2901" s="38" t="s">
        <v>4369</v>
      </c>
    </row>
    <row r="2902">
      <c r="B2902" s="38" t="s">
        <v>11040</v>
      </c>
      <c r="C2902" s="38">
        <v>1.0</v>
      </c>
      <c r="D2902" s="38" t="s">
        <v>11039</v>
      </c>
      <c r="E2902" s="38" t="s">
        <v>4478</v>
      </c>
      <c r="F2902" s="38" t="s">
        <v>353</v>
      </c>
    </row>
    <row r="2903">
      <c r="B2903" s="44"/>
      <c r="C2903" s="44"/>
      <c r="D2903" s="38" t="s">
        <v>11041</v>
      </c>
      <c r="E2903" s="38" t="s">
        <v>11042</v>
      </c>
      <c r="F2903" s="38" t="s">
        <v>11043</v>
      </c>
      <c r="G2903" s="38" t="s">
        <v>4421</v>
      </c>
    </row>
    <row r="2904">
      <c r="B2904" s="38" t="s">
        <v>11044</v>
      </c>
      <c r="C2904" s="38" t="s">
        <v>11045</v>
      </c>
      <c r="D2904" s="353" t="s">
        <v>11046</v>
      </c>
      <c r="E2904" s="38" t="s">
        <v>8718</v>
      </c>
      <c r="F2904" s="353" t="s">
        <v>11047</v>
      </c>
      <c r="G2904" s="38" t="s">
        <v>4421</v>
      </c>
    </row>
    <row r="2905">
      <c r="B2905" s="38" t="s">
        <v>8723</v>
      </c>
      <c r="C2905" s="460" t="s">
        <v>11048</v>
      </c>
      <c r="D2905" s="47" t="s">
        <v>11049</v>
      </c>
      <c r="E2905" s="38" t="s">
        <v>8718</v>
      </c>
      <c r="F2905" s="38" t="s">
        <v>11050</v>
      </c>
      <c r="G2905" s="38" t="s">
        <v>4421</v>
      </c>
    </row>
    <row r="2906">
      <c r="B2906" s="44"/>
      <c r="C2906" s="44"/>
      <c r="D2906" s="47" t="s">
        <v>11051</v>
      </c>
      <c r="E2906" s="38" t="s">
        <v>8718</v>
      </c>
      <c r="F2906" s="331" t="s">
        <v>11052</v>
      </c>
      <c r="G2906" s="38" t="s">
        <v>4421</v>
      </c>
    </row>
    <row r="2907">
      <c r="B2907" s="44"/>
      <c r="C2907" s="44"/>
      <c r="D2907" s="38" t="s">
        <v>11053</v>
      </c>
      <c r="E2907" s="38" t="s">
        <v>873</v>
      </c>
      <c r="F2907" s="38" t="s">
        <v>11054</v>
      </c>
    </row>
    <row r="2908">
      <c r="B2908" s="44"/>
      <c r="C2908" s="44"/>
      <c r="D2908" s="44"/>
      <c r="E2908" s="38" t="s">
        <v>11055</v>
      </c>
      <c r="F2908" s="38" t="s">
        <v>11056</v>
      </c>
    </row>
    <row r="2909">
      <c r="B2909" s="38" t="s">
        <v>11057</v>
      </c>
      <c r="C2909" s="38" t="s">
        <v>11058</v>
      </c>
      <c r="D2909" s="38" t="s">
        <v>11059</v>
      </c>
      <c r="E2909" s="38" t="s">
        <v>413</v>
      </c>
      <c r="F2909" s="38" t="s">
        <v>11060</v>
      </c>
      <c r="H2909" s="1" t="s">
        <v>11061</v>
      </c>
    </row>
    <row r="2910">
      <c r="B2910" s="38"/>
      <c r="C2910" s="38" t="s">
        <v>11062</v>
      </c>
      <c r="D2910" s="38" t="s">
        <v>11063</v>
      </c>
      <c r="E2910" s="38" t="s">
        <v>413</v>
      </c>
      <c r="F2910" s="38" t="s">
        <v>11064</v>
      </c>
      <c r="G2910" s="1"/>
    </row>
    <row r="2911">
      <c r="B2911" s="38"/>
      <c r="C2911" s="38"/>
      <c r="D2911" s="38"/>
      <c r="E2911" s="38" t="s">
        <v>413</v>
      </c>
      <c r="F2911" s="38" t="s">
        <v>11065</v>
      </c>
      <c r="G2911" s="1"/>
    </row>
    <row r="2912">
      <c r="B2912" s="38" t="s">
        <v>8384</v>
      </c>
      <c r="C2912" s="38">
        <v>12.0</v>
      </c>
      <c r="D2912" s="38" t="s">
        <v>905</v>
      </c>
      <c r="E2912" s="38" t="s">
        <v>6589</v>
      </c>
      <c r="F2912" s="38" t="s">
        <v>11066</v>
      </c>
    </row>
    <row r="2913">
      <c r="B2913" s="38" t="s">
        <v>52</v>
      </c>
      <c r="C2913" s="38">
        <v>2.0</v>
      </c>
      <c r="D2913" s="38" t="s">
        <v>11067</v>
      </c>
      <c r="E2913" s="38" t="s">
        <v>413</v>
      </c>
      <c r="F2913" s="38" t="s">
        <v>11068</v>
      </c>
      <c r="G2913" s="38" t="s">
        <v>10748</v>
      </c>
    </row>
    <row r="2914">
      <c r="B2914" s="38" t="s">
        <v>11069</v>
      </c>
      <c r="C2914" s="38">
        <v>2.0</v>
      </c>
      <c r="D2914" s="38" t="s">
        <v>524</v>
      </c>
      <c r="E2914" s="38" t="s">
        <v>8661</v>
      </c>
      <c r="F2914" s="38" t="s">
        <v>11070</v>
      </c>
    </row>
    <row r="2915">
      <c r="B2915" s="44"/>
      <c r="C2915" s="44"/>
      <c r="D2915" s="38" t="s">
        <v>11071</v>
      </c>
      <c r="E2915" s="38" t="s">
        <v>413</v>
      </c>
      <c r="F2915" s="38" t="s">
        <v>10748</v>
      </c>
    </row>
    <row r="2916">
      <c r="B2916" s="440"/>
      <c r="C2916" s="38"/>
      <c r="D2916" s="38" t="s">
        <v>11072</v>
      </c>
      <c r="E2916" s="38" t="s">
        <v>1017</v>
      </c>
      <c r="F2916" s="38" t="s">
        <v>10916</v>
      </c>
      <c r="G2916" s="1"/>
    </row>
    <row r="2917">
      <c r="B2917" s="440" t="s">
        <v>11073</v>
      </c>
      <c r="C2917" s="38" t="s">
        <v>11074</v>
      </c>
      <c r="D2917" s="44"/>
      <c r="E2917" s="38" t="s">
        <v>1017</v>
      </c>
      <c r="F2917" s="38" t="s">
        <v>11075</v>
      </c>
      <c r="G2917" s="38" t="s">
        <v>10736</v>
      </c>
    </row>
    <row r="2918">
      <c r="B2918" s="440"/>
      <c r="C2918" s="38"/>
      <c r="D2918" s="44"/>
      <c r="E2918" s="38" t="s">
        <v>1017</v>
      </c>
      <c r="F2918" s="38" t="s">
        <v>11076</v>
      </c>
      <c r="G2918" s="38" t="s">
        <v>10736</v>
      </c>
    </row>
    <row r="2919">
      <c r="B2919" s="440" t="s">
        <v>11077</v>
      </c>
      <c r="C2919" s="44"/>
      <c r="D2919" s="44"/>
      <c r="E2919" s="38" t="s">
        <v>1017</v>
      </c>
      <c r="F2919" s="38" t="s">
        <v>11078</v>
      </c>
      <c r="G2919" s="38" t="s">
        <v>10736</v>
      </c>
    </row>
    <row r="2920">
      <c r="B2920" s="440"/>
      <c r="C2920" s="38" t="s">
        <v>11079</v>
      </c>
      <c r="D2920" s="38" t="s">
        <v>11080</v>
      </c>
      <c r="E2920" s="38" t="s">
        <v>1017</v>
      </c>
      <c r="F2920" s="44"/>
      <c r="G2920" s="38" t="s">
        <v>10736</v>
      </c>
    </row>
    <row r="2921">
      <c r="B2921" s="440"/>
      <c r="C2921" s="38" t="s">
        <v>536</v>
      </c>
      <c r="D2921" s="38" t="s">
        <v>11081</v>
      </c>
      <c r="E2921" s="38" t="s">
        <v>1017</v>
      </c>
      <c r="F2921" s="38" t="s">
        <v>10916</v>
      </c>
    </row>
    <row r="2922">
      <c r="B2922" s="38" t="s">
        <v>876</v>
      </c>
      <c r="C2922" s="38">
        <v>4.0</v>
      </c>
      <c r="D2922" s="38" t="s">
        <v>11082</v>
      </c>
      <c r="E2922" s="38" t="s">
        <v>11083</v>
      </c>
      <c r="F2922" s="38" t="s">
        <v>11084</v>
      </c>
    </row>
    <row r="2923">
      <c r="B2923" s="38" t="s">
        <v>25</v>
      </c>
      <c r="C2923" s="38">
        <v>4.0</v>
      </c>
      <c r="D2923" s="38" t="s">
        <v>289</v>
      </c>
      <c r="E2923" s="38" t="s">
        <v>337</v>
      </c>
      <c r="F2923" s="38" t="s">
        <v>11085</v>
      </c>
      <c r="G2923" s="38" t="s">
        <v>11086</v>
      </c>
      <c r="H2923" s="38" t="s">
        <v>11087</v>
      </c>
    </row>
    <row r="2924">
      <c r="B2924" s="38" t="s">
        <v>31</v>
      </c>
      <c r="C2924" s="38">
        <v>4.0</v>
      </c>
      <c r="D2924" s="38" t="s">
        <v>123</v>
      </c>
      <c r="E2924" s="38" t="s">
        <v>4709</v>
      </c>
      <c r="F2924" s="38" t="s">
        <v>11088</v>
      </c>
    </row>
    <row r="2925">
      <c r="B2925" s="38" t="s">
        <v>58</v>
      </c>
      <c r="C2925" s="38">
        <v>4.0</v>
      </c>
      <c r="D2925" s="38" t="s">
        <v>11089</v>
      </c>
      <c r="E2925" s="38" t="s">
        <v>1098</v>
      </c>
      <c r="F2925" s="38" t="s">
        <v>11090</v>
      </c>
      <c r="G2925" s="38" t="s">
        <v>11091</v>
      </c>
    </row>
    <row r="2926">
      <c r="B2926" s="38" t="s">
        <v>214</v>
      </c>
      <c r="C2926" s="38">
        <v>2.0</v>
      </c>
      <c r="D2926" s="38" t="s">
        <v>6878</v>
      </c>
      <c r="E2926" s="38" t="s">
        <v>1098</v>
      </c>
      <c r="F2926" s="38" t="s">
        <v>11092</v>
      </c>
      <c r="G2926" s="38" t="s">
        <v>11093</v>
      </c>
    </row>
    <row r="2927">
      <c r="B2927" s="38" t="s">
        <v>210</v>
      </c>
      <c r="C2927" s="38">
        <v>2.0</v>
      </c>
      <c r="D2927" s="38" t="s">
        <v>6878</v>
      </c>
      <c r="E2927" s="38" t="s">
        <v>1098</v>
      </c>
      <c r="F2927" s="44"/>
      <c r="G2927" s="38" t="s">
        <v>11093</v>
      </c>
    </row>
    <row r="2928">
      <c r="B2928" s="38" t="s">
        <v>25</v>
      </c>
      <c r="C2928" s="38">
        <v>4.0</v>
      </c>
      <c r="D2928" s="38" t="s">
        <v>289</v>
      </c>
      <c r="E2928" s="38" t="s">
        <v>11094</v>
      </c>
      <c r="F2928" s="38" t="s">
        <v>11095</v>
      </c>
    </row>
    <row r="2929">
      <c r="B2929" s="38" t="s">
        <v>10275</v>
      </c>
      <c r="C2929" s="352" t="s">
        <v>11096</v>
      </c>
      <c r="D2929" s="38" t="s">
        <v>11097</v>
      </c>
      <c r="E2929" s="38" t="s">
        <v>9035</v>
      </c>
      <c r="F2929" s="47" t="s">
        <v>11098</v>
      </c>
    </row>
    <row r="2930">
      <c r="B2930" s="38" t="s">
        <v>11099</v>
      </c>
      <c r="C2930" s="44"/>
      <c r="D2930" s="38" t="s">
        <v>11100</v>
      </c>
      <c r="E2930" s="38" t="s">
        <v>2971</v>
      </c>
      <c r="F2930" s="38" t="s">
        <v>11101</v>
      </c>
      <c r="G2930" s="38" t="s">
        <v>11102</v>
      </c>
    </row>
    <row r="2931">
      <c r="B2931" s="38" t="s">
        <v>4563</v>
      </c>
      <c r="C2931" s="38">
        <v>4.0</v>
      </c>
      <c r="D2931" s="38" t="s">
        <v>11103</v>
      </c>
      <c r="E2931" s="38" t="s">
        <v>11104</v>
      </c>
      <c r="F2931" s="38" t="s">
        <v>11105</v>
      </c>
    </row>
    <row r="2932">
      <c r="B2932" s="44"/>
      <c r="C2932" s="44"/>
      <c r="D2932" s="470" t="s">
        <v>11106</v>
      </c>
      <c r="E2932" s="38" t="s">
        <v>1731</v>
      </c>
      <c r="F2932" s="44"/>
    </row>
    <row r="2933">
      <c r="B2933" s="38" t="s">
        <v>11107</v>
      </c>
      <c r="C2933" s="38" t="s">
        <v>11108</v>
      </c>
      <c r="D2933" s="38" t="s">
        <v>11109</v>
      </c>
      <c r="E2933" s="38" t="s">
        <v>8718</v>
      </c>
      <c r="F2933" s="38" t="s">
        <v>4421</v>
      </c>
    </row>
    <row r="2934">
      <c r="B2934" s="38" t="s">
        <v>25</v>
      </c>
      <c r="C2934" s="38">
        <v>8.0</v>
      </c>
      <c r="D2934" s="38" t="s">
        <v>289</v>
      </c>
      <c r="E2934" s="38" t="s">
        <v>230</v>
      </c>
      <c r="F2934" s="38" t="s">
        <v>11110</v>
      </c>
    </row>
    <row r="2935">
      <c r="B2935" s="38" t="s">
        <v>789</v>
      </c>
      <c r="C2935" s="38">
        <v>2.0</v>
      </c>
      <c r="D2935" s="38" t="s">
        <v>1094</v>
      </c>
      <c r="E2935" s="101" t="s">
        <v>11111</v>
      </c>
      <c r="F2935" s="38" t="s">
        <v>11112</v>
      </c>
    </row>
    <row r="2936">
      <c r="B2936" s="44"/>
      <c r="C2936" s="44"/>
      <c r="D2936" s="321" t="s">
        <v>11113</v>
      </c>
      <c r="E2936" s="38" t="s">
        <v>11114</v>
      </c>
      <c r="F2936" s="38" t="s">
        <v>11115</v>
      </c>
    </row>
    <row r="2937">
      <c r="B2937" s="38" t="s">
        <v>11116</v>
      </c>
      <c r="C2937" s="38" t="s">
        <v>11117</v>
      </c>
      <c r="D2937" s="38" t="s">
        <v>11118</v>
      </c>
      <c r="E2937" s="38" t="s">
        <v>4077</v>
      </c>
      <c r="F2937" s="304" t="s">
        <v>11119</v>
      </c>
      <c r="G2937" s="38" t="s">
        <v>10796</v>
      </c>
    </row>
    <row r="2938">
      <c r="B2938" s="38"/>
      <c r="C2938" s="38"/>
      <c r="D2938" s="38"/>
      <c r="E2938" s="38" t="s">
        <v>4077</v>
      </c>
      <c r="F2938" s="304" t="s">
        <v>11120</v>
      </c>
      <c r="G2938" s="38" t="s">
        <v>10796</v>
      </c>
    </row>
    <row r="2939">
      <c r="B2939" s="38" t="s">
        <v>31</v>
      </c>
      <c r="C2939" s="38">
        <v>4.0</v>
      </c>
      <c r="D2939" s="38" t="s">
        <v>123</v>
      </c>
      <c r="E2939" s="471" t="s">
        <v>11121</v>
      </c>
      <c r="F2939" s="38" t="s">
        <v>11122</v>
      </c>
      <c r="G2939" s="38" t="s">
        <v>11123</v>
      </c>
    </row>
    <row r="2940">
      <c r="B2940" s="38" t="s">
        <v>122</v>
      </c>
      <c r="C2940" s="38">
        <v>4.0</v>
      </c>
      <c r="D2940" s="38" t="s">
        <v>1109</v>
      </c>
      <c r="E2940" s="295" t="s">
        <v>11124</v>
      </c>
      <c r="F2940" s="38" t="s">
        <v>4974</v>
      </c>
    </row>
    <row r="2941">
      <c r="B2941" s="38" t="s">
        <v>103</v>
      </c>
      <c r="C2941" s="38">
        <v>2.0</v>
      </c>
      <c r="D2941" s="38" t="s">
        <v>11125</v>
      </c>
      <c r="E2941" s="38" t="s">
        <v>4741</v>
      </c>
      <c r="F2941" s="38" t="s">
        <v>11126</v>
      </c>
    </row>
    <row r="2942">
      <c r="B2942" s="38" t="s">
        <v>1096</v>
      </c>
      <c r="C2942" s="38">
        <v>2.0</v>
      </c>
      <c r="D2942" s="38" t="s">
        <v>11125</v>
      </c>
      <c r="E2942" s="38" t="s">
        <v>4741</v>
      </c>
      <c r="F2942" s="38" t="s">
        <v>11126</v>
      </c>
    </row>
    <row r="2943">
      <c r="A2943" s="8"/>
      <c r="B2943" s="44"/>
      <c r="C2943" s="44"/>
      <c r="D2943" s="38" t="s">
        <v>11127</v>
      </c>
      <c r="E2943" s="38" t="s">
        <v>11128</v>
      </c>
      <c r="F2943" s="47" t="s">
        <v>11129</v>
      </c>
      <c r="G2943" s="38" t="s">
        <v>4421</v>
      </c>
    </row>
    <row r="2944">
      <c r="B2944" s="38" t="s">
        <v>875</v>
      </c>
      <c r="C2944" s="38">
        <v>2.0</v>
      </c>
      <c r="D2944" s="38" t="s">
        <v>11130</v>
      </c>
      <c r="E2944" s="38" t="s">
        <v>11131</v>
      </c>
      <c r="F2944" s="38" t="s">
        <v>11132</v>
      </c>
    </row>
    <row r="2945">
      <c r="B2945" s="44"/>
      <c r="C2945" s="44"/>
      <c r="D2945" s="440" t="s">
        <v>11133</v>
      </c>
      <c r="E2945" s="38" t="s">
        <v>11134</v>
      </c>
      <c r="F2945" s="44"/>
    </row>
    <row r="2946">
      <c r="B2946" s="38" t="s">
        <v>25</v>
      </c>
      <c r="C2946" s="38">
        <v>4.0</v>
      </c>
      <c r="D2946" s="38" t="s">
        <v>11135</v>
      </c>
      <c r="E2946" s="38" t="s">
        <v>11136</v>
      </c>
      <c r="F2946" s="38" t="s">
        <v>11137</v>
      </c>
    </row>
    <row r="2947">
      <c r="B2947" s="44"/>
      <c r="C2947" s="44"/>
      <c r="D2947" s="47" t="s">
        <v>11138</v>
      </c>
      <c r="E2947" s="274" t="s">
        <v>11139</v>
      </c>
      <c r="F2947" s="38" t="s">
        <v>7146</v>
      </c>
    </row>
    <row r="2948">
      <c r="B2948" s="472" t="s">
        <v>11140</v>
      </c>
      <c r="C2948" s="44"/>
      <c r="D2948" s="38" t="s">
        <v>11141</v>
      </c>
      <c r="E2948" s="38" t="s">
        <v>10076</v>
      </c>
      <c r="F2948" s="44"/>
    </row>
    <row r="2949">
      <c r="B2949" s="38" t="s">
        <v>122</v>
      </c>
      <c r="C2949" s="38">
        <v>4.0</v>
      </c>
      <c r="D2949" s="38" t="s">
        <v>11142</v>
      </c>
      <c r="E2949" s="38" t="s">
        <v>11143</v>
      </c>
      <c r="F2949" s="38" t="s">
        <v>11144</v>
      </c>
    </row>
    <row r="2950">
      <c r="B2950" s="38" t="s">
        <v>205</v>
      </c>
      <c r="C2950" s="38">
        <v>2.0</v>
      </c>
      <c r="D2950" s="38" t="s">
        <v>1109</v>
      </c>
      <c r="E2950" s="38" t="s">
        <v>1017</v>
      </c>
      <c r="F2950" s="38" t="s">
        <v>10916</v>
      </c>
    </row>
    <row r="2951">
      <c r="B2951" s="38" t="s">
        <v>28</v>
      </c>
      <c r="C2951" s="38">
        <v>4.0</v>
      </c>
      <c r="D2951" s="38" t="s">
        <v>2775</v>
      </c>
      <c r="E2951" s="38" t="s">
        <v>11145</v>
      </c>
      <c r="F2951" s="38" t="s">
        <v>11146</v>
      </c>
    </row>
    <row r="2952">
      <c r="A2952" s="44"/>
      <c r="B2952" s="38" t="s">
        <v>430</v>
      </c>
      <c r="C2952" s="38">
        <v>4.0</v>
      </c>
      <c r="D2952" s="38" t="s">
        <v>1359</v>
      </c>
      <c r="E2952" s="38" t="s">
        <v>418</v>
      </c>
      <c r="F2952" s="38" t="s">
        <v>11147</v>
      </c>
    </row>
    <row r="2953">
      <c r="B2953" s="131" t="s">
        <v>85</v>
      </c>
      <c r="C2953" s="131">
        <v>4.0</v>
      </c>
      <c r="D2953" s="131" t="s">
        <v>123</v>
      </c>
      <c r="E2953" s="131" t="s">
        <v>3663</v>
      </c>
      <c r="F2953" s="131" t="s">
        <v>11148</v>
      </c>
    </row>
    <row r="2954">
      <c r="B2954" s="44"/>
      <c r="C2954" s="38" t="s">
        <v>11149</v>
      </c>
      <c r="D2954" s="47" t="s">
        <v>11150</v>
      </c>
      <c r="E2954" s="38" t="s">
        <v>4939</v>
      </c>
      <c r="F2954" s="38" t="s">
        <v>10996</v>
      </c>
    </row>
    <row r="2955">
      <c r="B2955" s="38" t="s">
        <v>22</v>
      </c>
      <c r="C2955" s="38">
        <v>4.0</v>
      </c>
      <c r="D2955" s="38" t="s">
        <v>289</v>
      </c>
      <c r="E2955" s="281" t="s">
        <v>4642</v>
      </c>
      <c r="F2955" s="38" t="s">
        <v>1808</v>
      </c>
    </row>
    <row r="2956">
      <c r="B2956" s="38" t="s">
        <v>25</v>
      </c>
      <c r="C2956" s="38">
        <v>12.0</v>
      </c>
      <c r="D2956" s="38" t="s">
        <v>289</v>
      </c>
      <c r="E2956" s="38" t="s">
        <v>11151</v>
      </c>
      <c r="F2956" s="38" t="s">
        <v>11152</v>
      </c>
    </row>
    <row r="2957">
      <c r="B2957" s="44"/>
      <c r="C2957" s="44"/>
      <c r="D2957" s="38" t="s">
        <v>11153</v>
      </c>
      <c r="E2957" s="38" t="s">
        <v>11154</v>
      </c>
      <c r="F2957" s="38" t="s">
        <v>11155</v>
      </c>
    </row>
    <row r="2958">
      <c r="B2958" s="38" t="s">
        <v>183</v>
      </c>
      <c r="C2958" s="38">
        <v>4.0</v>
      </c>
      <c r="D2958" s="38" t="s">
        <v>1109</v>
      </c>
      <c r="E2958" s="47" t="s">
        <v>11156</v>
      </c>
      <c r="F2958" s="38" t="s">
        <v>11157</v>
      </c>
      <c r="G2958" s="38" t="s">
        <v>11158</v>
      </c>
    </row>
    <row r="2959">
      <c r="B2959" s="38" t="s">
        <v>333</v>
      </c>
      <c r="C2959" s="38">
        <v>4.0</v>
      </c>
      <c r="D2959" s="38" t="s">
        <v>1359</v>
      </c>
      <c r="E2959" s="61" t="s">
        <v>11159</v>
      </c>
      <c r="F2959" s="38" t="s">
        <v>11160</v>
      </c>
    </row>
    <row r="2960">
      <c r="B2960" s="38" t="s">
        <v>128</v>
      </c>
      <c r="C2960" s="38">
        <v>4.0</v>
      </c>
      <c r="D2960" s="38" t="s">
        <v>1382</v>
      </c>
      <c r="E2960" s="38" t="s">
        <v>11161</v>
      </c>
      <c r="F2960" s="38" t="s">
        <v>11162</v>
      </c>
    </row>
    <row r="2961">
      <c r="B2961" s="44"/>
      <c r="C2961" s="44"/>
      <c r="D2961" s="47" t="s">
        <v>11163</v>
      </c>
      <c r="E2961" s="38" t="s">
        <v>1170</v>
      </c>
      <c r="F2961" s="38" t="s">
        <v>773</v>
      </c>
    </row>
    <row r="2962">
      <c r="B2962" s="38" t="s">
        <v>11164</v>
      </c>
      <c r="C2962" s="38" t="s">
        <v>11165</v>
      </c>
      <c r="D2962" s="38" t="s">
        <v>11166</v>
      </c>
      <c r="E2962" s="38" t="s">
        <v>1170</v>
      </c>
      <c r="F2962" s="38"/>
    </row>
    <row r="2963">
      <c r="B2963" s="44"/>
      <c r="C2963" s="44"/>
      <c r="D2963" s="47"/>
      <c r="E2963" s="38" t="s">
        <v>1170</v>
      </c>
      <c r="F2963" s="38" t="s">
        <v>11167</v>
      </c>
    </row>
    <row r="2964">
      <c r="B2964" s="38" t="s">
        <v>11168</v>
      </c>
      <c r="C2964" s="38" t="s">
        <v>11169</v>
      </c>
      <c r="D2964" s="47"/>
      <c r="E2964" s="38" t="s">
        <v>1170</v>
      </c>
      <c r="F2964" s="38"/>
    </row>
    <row r="2965">
      <c r="B2965" s="38" t="s">
        <v>2276</v>
      </c>
      <c r="C2965" s="38">
        <v>1.0</v>
      </c>
      <c r="D2965" s="38" t="s">
        <v>11170</v>
      </c>
      <c r="E2965" s="38" t="s">
        <v>11171</v>
      </c>
      <c r="F2965" s="38" t="s">
        <v>11172</v>
      </c>
    </row>
    <row r="2966">
      <c r="B2966" s="38" t="s">
        <v>170</v>
      </c>
      <c r="C2966" s="38">
        <v>2.0</v>
      </c>
      <c r="D2966" s="38" t="s">
        <v>11173</v>
      </c>
      <c r="E2966" s="85" t="s">
        <v>11174</v>
      </c>
      <c r="F2966" s="38" t="s">
        <v>11175</v>
      </c>
    </row>
    <row r="2967">
      <c r="B2967" s="38" t="s">
        <v>166</v>
      </c>
      <c r="C2967" s="38">
        <v>2.0</v>
      </c>
      <c r="D2967" s="38" t="s">
        <v>11173</v>
      </c>
      <c r="E2967" s="101" t="s">
        <v>11176</v>
      </c>
      <c r="F2967" s="38" t="s">
        <v>11175</v>
      </c>
    </row>
    <row r="2968">
      <c r="B2968" s="38" t="s">
        <v>2728</v>
      </c>
      <c r="C2968" s="38">
        <v>4.0</v>
      </c>
      <c r="D2968" s="38" t="s">
        <v>1207</v>
      </c>
      <c r="E2968" s="38" t="s">
        <v>11177</v>
      </c>
      <c r="F2968" s="38" t="s">
        <v>11178</v>
      </c>
    </row>
    <row r="2969">
      <c r="B2969" s="38" t="s">
        <v>31</v>
      </c>
      <c r="C2969" s="38">
        <v>2.0</v>
      </c>
      <c r="D2969" s="38" t="s">
        <v>10216</v>
      </c>
      <c r="E2969" s="38" t="s">
        <v>1098</v>
      </c>
      <c r="F2969" s="38">
        <v>145.0</v>
      </c>
      <c r="G2969" s="5" t="s">
        <v>11179</v>
      </c>
    </row>
    <row r="2970">
      <c r="B2970" s="38" t="s">
        <v>85</v>
      </c>
      <c r="C2970" s="38">
        <v>2.0</v>
      </c>
      <c r="D2970" s="38" t="s">
        <v>10216</v>
      </c>
      <c r="E2970" s="38" t="s">
        <v>1098</v>
      </c>
      <c r="F2970" s="38">
        <v>155.0</v>
      </c>
      <c r="G2970" s="5" t="s">
        <v>11180</v>
      </c>
    </row>
    <row r="2971">
      <c r="B2971" s="38" t="s">
        <v>11181</v>
      </c>
      <c r="C2971" s="38">
        <v>2.0</v>
      </c>
      <c r="D2971" s="38" t="s">
        <v>11182</v>
      </c>
      <c r="E2971" s="38" t="s">
        <v>514</v>
      </c>
      <c r="F2971" s="38" t="s">
        <v>2218</v>
      </c>
    </row>
    <row r="2972">
      <c r="B2972" s="44"/>
      <c r="C2972" s="44"/>
      <c r="D2972" s="38" t="s">
        <v>10974</v>
      </c>
      <c r="E2972" s="38" t="s">
        <v>5158</v>
      </c>
      <c r="F2972" s="38" t="s">
        <v>144</v>
      </c>
    </row>
    <row r="2973">
      <c r="B2973" s="38" t="s">
        <v>25</v>
      </c>
      <c r="C2973" s="38">
        <v>4.0</v>
      </c>
      <c r="D2973" s="38" t="s">
        <v>232</v>
      </c>
      <c r="E2973" s="395" t="s">
        <v>11183</v>
      </c>
      <c r="F2973" s="38" t="s">
        <v>11184</v>
      </c>
    </row>
    <row r="2974">
      <c r="B2974" s="38" t="s">
        <v>261</v>
      </c>
      <c r="C2974" s="38">
        <v>4.0</v>
      </c>
      <c r="D2974" s="38" t="s">
        <v>232</v>
      </c>
      <c r="E2974" s="85" t="s">
        <v>11185</v>
      </c>
      <c r="F2974" s="38" t="s">
        <v>11186</v>
      </c>
    </row>
    <row r="2975">
      <c r="B2975" s="473" t="s">
        <v>11187</v>
      </c>
      <c r="C2975" s="474"/>
      <c r="D2975" s="38" t="s">
        <v>11188</v>
      </c>
      <c r="E2975" s="38" t="s">
        <v>7045</v>
      </c>
      <c r="F2975" s="38" t="s">
        <v>11189</v>
      </c>
    </row>
    <row r="2976">
      <c r="B2976" s="321" t="s">
        <v>4061</v>
      </c>
      <c r="C2976" s="38">
        <v>4.0</v>
      </c>
      <c r="D2976" s="38" t="s">
        <v>11190</v>
      </c>
      <c r="E2976" s="38" t="s">
        <v>11191</v>
      </c>
      <c r="F2976" s="38" t="s">
        <v>11192</v>
      </c>
    </row>
    <row r="2977">
      <c r="B2977" s="38" t="s">
        <v>276</v>
      </c>
      <c r="C2977" s="38">
        <v>1.0</v>
      </c>
      <c r="D2977" s="38" t="s">
        <v>11193</v>
      </c>
      <c r="E2977" s="38" t="s">
        <v>11194</v>
      </c>
      <c r="F2977" s="38" t="s">
        <v>11195</v>
      </c>
    </row>
    <row r="2978">
      <c r="B2978" s="38" t="s">
        <v>755</v>
      </c>
      <c r="C2978" s="38">
        <v>2.0</v>
      </c>
      <c r="D2978" s="38" t="s">
        <v>1094</v>
      </c>
      <c r="E2978" s="38" t="s">
        <v>2551</v>
      </c>
      <c r="F2978" s="38" t="s">
        <v>11196</v>
      </c>
    </row>
    <row r="2979">
      <c r="B2979" s="38" t="s">
        <v>199</v>
      </c>
      <c r="C2979" s="38">
        <v>2.0</v>
      </c>
      <c r="D2979" s="38" t="s">
        <v>1094</v>
      </c>
      <c r="E2979" s="38" t="s">
        <v>2551</v>
      </c>
      <c r="F2979" s="38" t="s">
        <v>11196</v>
      </c>
    </row>
    <row r="2980">
      <c r="B2980" s="44"/>
      <c r="C2980" s="44"/>
      <c r="D2980" s="38" t="s">
        <v>11197</v>
      </c>
      <c r="E2980" s="38" t="s">
        <v>5158</v>
      </c>
      <c r="F2980" s="38" t="s">
        <v>11198</v>
      </c>
      <c r="G2980" s="1" t="s">
        <v>144</v>
      </c>
    </row>
    <row r="2981">
      <c r="B2981" s="38" t="s">
        <v>22</v>
      </c>
      <c r="C2981" s="38">
        <v>2.0</v>
      </c>
      <c r="D2981" s="38" t="s">
        <v>289</v>
      </c>
      <c r="E2981" s="47" t="s">
        <v>11199</v>
      </c>
      <c r="F2981" s="38" t="s">
        <v>11200</v>
      </c>
    </row>
    <row r="2982">
      <c r="B2982" s="38" t="s">
        <v>7023</v>
      </c>
      <c r="C2982" s="38">
        <v>6.0</v>
      </c>
      <c r="D2982" s="38" t="s">
        <v>11201</v>
      </c>
      <c r="E2982" s="47" t="s">
        <v>11199</v>
      </c>
      <c r="F2982" s="38" t="s">
        <v>11200</v>
      </c>
    </row>
    <row r="2983">
      <c r="B2983" s="44"/>
      <c r="C2983" s="44"/>
      <c r="D2983" s="38" t="s">
        <v>11202</v>
      </c>
      <c r="E2983" s="38" t="s">
        <v>4624</v>
      </c>
      <c r="F2983" s="38" t="s">
        <v>11203</v>
      </c>
    </row>
    <row r="2984">
      <c r="B2984" s="38" t="s">
        <v>25</v>
      </c>
      <c r="C2984" s="38">
        <v>4.0</v>
      </c>
      <c r="D2984" s="38" t="s">
        <v>232</v>
      </c>
      <c r="E2984" s="38" t="s">
        <v>6781</v>
      </c>
      <c r="F2984" s="44"/>
    </row>
    <row r="2985">
      <c r="A2985" s="8"/>
      <c r="B2985" s="38" t="s">
        <v>77</v>
      </c>
      <c r="C2985" s="38">
        <v>4.0</v>
      </c>
      <c r="D2985" s="38" t="s">
        <v>11204</v>
      </c>
      <c r="E2985" s="47" t="s">
        <v>2050</v>
      </c>
      <c r="F2985" s="38" t="s">
        <v>11205</v>
      </c>
    </row>
    <row r="2986">
      <c r="B2986" s="38" t="s">
        <v>210</v>
      </c>
      <c r="C2986" s="38">
        <v>4.0</v>
      </c>
      <c r="D2986" s="38" t="s">
        <v>1133</v>
      </c>
      <c r="E2986" s="38" t="s">
        <v>11206</v>
      </c>
      <c r="F2986" s="44"/>
    </row>
    <row r="2987">
      <c r="B2987" s="38" t="s">
        <v>170</v>
      </c>
      <c r="C2987" s="38">
        <v>4.0</v>
      </c>
      <c r="D2987" s="38" t="s">
        <v>1109</v>
      </c>
      <c r="E2987" s="38" t="s">
        <v>8206</v>
      </c>
      <c r="F2987" s="38" t="s">
        <v>11207</v>
      </c>
    </row>
    <row r="2988">
      <c r="B2988" s="38" t="s">
        <v>1010</v>
      </c>
      <c r="C2988" s="38">
        <v>4.0</v>
      </c>
      <c r="D2988" s="38" t="s">
        <v>123</v>
      </c>
      <c r="E2988" s="85" t="s">
        <v>11208</v>
      </c>
      <c r="F2988" s="38" t="s">
        <v>11209</v>
      </c>
    </row>
    <row r="2989">
      <c r="B2989" s="85" t="s">
        <v>11210</v>
      </c>
      <c r="C2989" s="38" t="s">
        <v>11211</v>
      </c>
      <c r="D2989" s="38" t="s">
        <v>11212</v>
      </c>
      <c r="E2989" s="38" t="s">
        <v>764</v>
      </c>
      <c r="F2989" s="38" t="s">
        <v>11213</v>
      </c>
      <c r="G2989" s="38" t="s">
        <v>11214</v>
      </c>
    </row>
    <row r="2990">
      <c r="B2990" s="38" t="s">
        <v>1542</v>
      </c>
      <c r="C2990" s="38" t="s">
        <v>11215</v>
      </c>
      <c r="D2990" s="44"/>
      <c r="E2990" s="38" t="s">
        <v>764</v>
      </c>
      <c r="F2990" s="44"/>
      <c r="G2990" s="38" t="s">
        <v>11214</v>
      </c>
    </row>
    <row r="2991">
      <c r="B2991" s="38"/>
      <c r="C2991" s="38"/>
      <c r="D2991" s="38" t="s">
        <v>11216</v>
      </c>
      <c r="E2991" s="38" t="s">
        <v>764</v>
      </c>
      <c r="F2991" s="44"/>
      <c r="G2991" s="38" t="s">
        <v>11214</v>
      </c>
    </row>
    <row r="2992">
      <c r="B2992" s="38" t="s">
        <v>416</v>
      </c>
      <c r="C2992" s="38">
        <v>4.0</v>
      </c>
      <c r="D2992" s="38" t="s">
        <v>123</v>
      </c>
      <c r="E2992" s="38" t="s">
        <v>1401</v>
      </c>
      <c r="F2992" s="38" t="s">
        <v>11217</v>
      </c>
    </row>
    <row r="2993">
      <c r="B2993" s="38" t="s">
        <v>11218</v>
      </c>
      <c r="C2993" s="44"/>
      <c r="D2993" s="38" t="s">
        <v>11219</v>
      </c>
      <c r="E2993" s="38" t="s">
        <v>11220</v>
      </c>
      <c r="F2993" s="38" t="s">
        <v>11221</v>
      </c>
    </row>
    <row r="2994">
      <c r="B2994" s="38"/>
      <c r="C2994" s="44"/>
      <c r="D2994" s="38" t="s">
        <v>11222</v>
      </c>
      <c r="E2994" s="38" t="s">
        <v>11220</v>
      </c>
      <c r="F2994" s="38"/>
    </row>
    <row r="2995">
      <c r="B2995" s="38"/>
      <c r="C2995" s="44"/>
      <c r="D2995" s="456" t="s">
        <v>11223</v>
      </c>
      <c r="E2995" s="38" t="s">
        <v>11220</v>
      </c>
      <c r="F2995" s="38"/>
    </row>
    <row r="2996">
      <c r="B2996" s="38" t="s">
        <v>11224</v>
      </c>
      <c r="C2996" s="38">
        <v>1.0</v>
      </c>
      <c r="D2996" s="475" t="s">
        <v>11225</v>
      </c>
      <c r="E2996" s="38" t="s">
        <v>11226</v>
      </c>
      <c r="F2996" s="38" t="s">
        <v>4974</v>
      </c>
    </row>
    <row r="2997">
      <c r="B2997" s="38" t="s">
        <v>11227</v>
      </c>
      <c r="C2997" s="38">
        <v>1.0</v>
      </c>
      <c r="D2997" s="38" t="s">
        <v>11228</v>
      </c>
      <c r="E2997" s="38" t="s">
        <v>4811</v>
      </c>
      <c r="F2997" s="38" t="s">
        <v>4974</v>
      </c>
    </row>
    <row r="2998">
      <c r="B2998" s="44"/>
      <c r="C2998" s="38" t="s">
        <v>11229</v>
      </c>
      <c r="D2998" s="38" t="s">
        <v>11230</v>
      </c>
      <c r="E2998" s="38" t="s">
        <v>9166</v>
      </c>
      <c r="F2998" s="44"/>
    </row>
    <row r="2999">
      <c r="B2999" s="38" t="s">
        <v>170</v>
      </c>
      <c r="C2999" s="38">
        <v>2.0</v>
      </c>
      <c r="D2999" s="38" t="s">
        <v>134</v>
      </c>
      <c r="E2999" s="38" t="s">
        <v>11231</v>
      </c>
      <c r="F2999" s="38" t="s">
        <v>11232</v>
      </c>
    </row>
    <row r="3000">
      <c r="B3000" s="38" t="s">
        <v>94</v>
      </c>
      <c r="C3000" s="38">
        <v>2.0</v>
      </c>
      <c r="D3000" s="38" t="s">
        <v>134</v>
      </c>
      <c r="E3000" s="38" t="s">
        <v>11231</v>
      </c>
      <c r="F3000" s="38" t="s">
        <v>11232</v>
      </c>
    </row>
    <row r="3001">
      <c r="D3001" s="1" t="s">
        <v>11233</v>
      </c>
      <c r="E3001" s="1" t="s">
        <v>6271</v>
      </c>
    </row>
    <row r="3002">
      <c r="B3002" s="44"/>
      <c r="C3002" s="38" t="s">
        <v>11234</v>
      </c>
      <c r="D3002" s="443" t="s">
        <v>11235</v>
      </c>
      <c r="E3002" s="38" t="s">
        <v>11236</v>
      </c>
      <c r="F3002" s="390" t="s">
        <v>11237</v>
      </c>
    </row>
    <row r="3003">
      <c r="B3003" s="38" t="s">
        <v>308</v>
      </c>
      <c r="C3003" s="38">
        <v>4.0</v>
      </c>
      <c r="D3003" s="38" t="s">
        <v>11238</v>
      </c>
      <c r="E3003" s="38" t="s">
        <v>2742</v>
      </c>
      <c r="F3003" s="38" t="s">
        <v>11239</v>
      </c>
    </row>
    <row r="3004">
      <c r="B3004" s="38" t="s">
        <v>4666</v>
      </c>
      <c r="C3004" s="38">
        <v>2.0</v>
      </c>
      <c r="D3004" s="38" t="s">
        <v>11238</v>
      </c>
      <c r="E3004" s="38" t="s">
        <v>2742</v>
      </c>
      <c r="F3004" s="38" t="s">
        <v>11239</v>
      </c>
    </row>
    <row r="3005">
      <c r="B3005" s="38" t="s">
        <v>978</v>
      </c>
      <c r="C3005" s="38">
        <v>2.0</v>
      </c>
      <c r="D3005" s="38" t="s">
        <v>9507</v>
      </c>
      <c r="E3005" s="38" t="s">
        <v>9113</v>
      </c>
      <c r="F3005" s="38" t="s">
        <v>11240</v>
      </c>
    </row>
    <row r="3006">
      <c r="B3006" s="38" t="s">
        <v>718</v>
      </c>
      <c r="C3006" s="38">
        <v>4.0</v>
      </c>
      <c r="D3006" s="38" t="s">
        <v>123</v>
      </c>
      <c r="E3006" s="38" t="s">
        <v>11241</v>
      </c>
      <c r="F3006" s="38" t="s">
        <v>11242</v>
      </c>
    </row>
    <row r="3007">
      <c r="B3007" s="44"/>
      <c r="C3007" s="44"/>
      <c r="D3007" s="38" t="s">
        <v>11243</v>
      </c>
      <c r="E3007" s="38" t="s">
        <v>11244</v>
      </c>
      <c r="F3007" s="44"/>
    </row>
    <row r="3008">
      <c r="B3008" s="38" t="s">
        <v>11245</v>
      </c>
      <c r="C3008" s="38">
        <v>2.0</v>
      </c>
      <c r="D3008" s="38" t="s">
        <v>4676</v>
      </c>
      <c r="E3008" s="47" t="s">
        <v>11246</v>
      </c>
      <c r="F3008" s="38" t="s">
        <v>11247</v>
      </c>
    </row>
    <row r="3009">
      <c r="B3009" s="38" t="s">
        <v>11248</v>
      </c>
      <c r="C3009" s="38">
        <v>2.0</v>
      </c>
      <c r="D3009" s="38" t="s">
        <v>4676</v>
      </c>
      <c r="E3009" s="47" t="s">
        <v>11246</v>
      </c>
      <c r="F3009" s="38" t="s">
        <v>11247</v>
      </c>
    </row>
    <row r="3010">
      <c r="B3010" s="44"/>
      <c r="C3010" s="38" t="s">
        <v>11249</v>
      </c>
      <c r="D3010" s="38" t="s">
        <v>11250</v>
      </c>
      <c r="E3010" s="38" t="s">
        <v>2290</v>
      </c>
      <c r="F3010" s="38" t="s">
        <v>11251</v>
      </c>
    </row>
    <row r="3011">
      <c r="B3011" s="38" t="s">
        <v>2603</v>
      </c>
      <c r="C3011" s="38">
        <v>4.0</v>
      </c>
      <c r="D3011" s="38" t="s">
        <v>553</v>
      </c>
      <c r="E3011" s="38" t="s">
        <v>4741</v>
      </c>
      <c r="F3011" s="38" t="s">
        <v>11252</v>
      </c>
    </row>
    <row r="3012">
      <c r="B3012" s="38" t="s">
        <v>170</v>
      </c>
      <c r="C3012" s="38">
        <v>4.0</v>
      </c>
      <c r="D3012" s="38" t="s">
        <v>11253</v>
      </c>
      <c r="E3012" s="38" t="s">
        <v>11254</v>
      </c>
      <c r="F3012" s="38" t="s">
        <v>11255</v>
      </c>
    </row>
    <row r="3013">
      <c r="B3013" s="38" t="s">
        <v>1349</v>
      </c>
      <c r="C3013" s="38">
        <v>4.0</v>
      </c>
      <c r="D3013" s="38" t="s">
        <v>11256</v>
      </c>
      <c r="E3013" s="38" t="s">
        <v>11257</v>
      </c>
      <c r="F3013" s="38" t="s">
        <v>11258</v>
      </c>
    </row>
    <row r="3014">
      <c r="B3014" s="38" t="s">
        <v>85</v>
      </c>
      <c r="C3014" s="38">
        <v>4.0</v>
      </c>
      <c r="D3014" s="38" t="s">
        <v>11256</v>
      </c>
      <c r="E3014" s="38" t="s">
        <v>6587</v>
      </c>
      <c r="F3014" s="38" t="s">
        <v>11259</v>
      </c>
    </row>
    <row r="3015">
      <c r="B3015" s="38" t="s">
        <v>11260</v>
      </c>
      <c r="C3015" s="38" t="s">
        <v>11261</v>
      </c>
      <c r="D3015" s="38" t="s">
        <v>8945</v>
      </c>
      <c r="E3015" s="38" t="s">
        <v>1141</v>
      </c>
      <c r="F3015" s="38" t="s">
        <v>11262</v>
      </c>
    </row>
    <row r="3016">
      <c r="B3016" s="38" t="s">
        <v>11263</v>
      </c>
      <c r="C3016" s="38" t="s">
        <v>11264</v>
      </c>
      <c r="D3016" s="38" t="s">
        <v>11265</v>
      </c>
      <c r="E3016" s="38" t="s">
        <v>11266</v>
      </c>
      <c r="F3016" s="38" t="s">
        <v>11267</v>
      </c>
      <c r="G3016" s="38" t="s">
        <v>11268</v>
      </c>
    </row>
    <row r="3017">
      <c r="B3017" s="38" t="s">
        <v>9455</v>
      </c>
      <c r="C3017" s="38"/>
      <c r="D3017" s="38"/>
      <c r="E3017" s="38" t="s">
        <v>11266</v>
      </c>
      <c r="F3017" s="38" t="s">
        <v>11269</v>
      </c>
      <c r="G3017" s="38" t="s">
        <v>11270</v>
      </c>
    </row>
    <row r="3018">
      <c r="B3018" s="38" t="s">
        <v>11271</v>
      </c>
      <c r="C3018" s="38" t="s">
        <v>11272</v>
      </c>
      <c r="D3018" s="38" t="s">
        <v>11273</v>
      </c>
      <c r="E3018" s="38" t="s">
        <v>11266</v>
      </c>
      <c r="F3018" s="38" t="s">
        <v>11274</v>
      </c>
      <c r="G3018" s="38" t="s">
        <v>11275</v>
      </c>
    </row>
    <row r="3019">
      <c r="B3019" s="65">
        <v>44697.0</v>
      </c>
      <c r="C3019" s="38"/>
      <c r="D3019" s="38"/>
      <c r="E3019" s="38" t="s">
        <v>11266</v>
      </c>
      <c r="F3019" s="38" t="s">
        <v>11276</v>
      </c>
      <c r="G3019" s="38" t="s">
        <v>11277</v>
      </c>
    </row>
    <row r="3020">
      <c r="B3020" s="38" t="s">
        <v>9008</v>
      </c>
      <c r="C3020" s="38">
        <v>2.0</v>
      </c>
      <c r="D3020" s="38" t="s">
        <v>11256</v>
      </c>
      <c r="E3020" s="38" t="s">
        <v>4741</v>
      </c>
      <c r="F3020" s="38" t="s">
        <v>11278</v>
      </c>
    </row>
    <row r="3021">
      <c r="B3021" s="38" t="s">
        <v>789</v>
      </c>
      <c r="C3021" s="38">
        <v>2.0</v>
      </c>
      <c r="D3021" s="38" t="s">
        <v>11256</v>
      </c>
      <c r="E3021" s="38" t="s">
        <v>4741</v>
      </c>
      <c r="F3021" s="38" t="s">
        <v>11278</v>
      </c>
    </row>
    <row r="3022">
      <c r="B3022" s="44"/>
      <c r="C3022" s="44"/>
      <c r="D3022" s="38" t="s">
        <v>11279</v>
      </c>
      <c r="E3022" s="47" t="s">
        <v>11280</v>
      </c>
      <c r="F3022" s="44"/>
    </row>
    <row r="3023">
      <c r="B3023" s="38" t="s">
        <v>271</v>
      </c>
      <c r="C3023" s="38">
        <v>4.0</v>
      </c>
      <c r="D3023" s="38" t="s">
        <v>11281</v>
      </c>
      <c r="E3023" s="38" t="s">
        <v>11151</v>
      </c>
      <c r="F3023" s="38" t="s">
        <v>11282</v>
      </c>
    </row>
    <row r="3024">
      <c r="B3024" s="38" t="s">
        <v>718</v>
      </c>
      <c r="C3024" s="38">
        <v>2.0</v>
      </c>
      <c r="D3024" s="38" t="s">
        <v>10254</v>
      </c>
      <c r="E3024" s="38" t="s">
        <v>11283</v>
      </c>
      <c r="F3024" s="38" t="s">
        <v>11284</v>
      </c>
    </row>
    <row r="3025">
      <c r="B3025" s="38" t="s">
        <v>1575</v>
      </c>
      <c r="C3025" s="38">
        <v>2.0</v>
      </c>
      <c r="D3025" s="38" t="s">
        <v>10254</v>
      </c>
      <c r="E3025" s="38" t="s">
        <v>11283</v>
      </c>
      <c r="F3025" s="44"/>
    </row>
    <row r="3026">
      <c r="B3026" s="38" t="s">
        <v>718</v>
      </c>
      <c r="C3026" s="38">
        <v>4.0</v>
      </c>
      <c r="D3026" s="38" t="s">
        <v>1109</v>
      </c>
      <c r="E3026" s="38" t="s">
        <v>11151</v>
      </c>
      <c r="F3026" s="38" t="s">
        <v>11282</v>
      </c>
    </row>
    <row r="3027">
      <c r="B3027" s="38" t="s">
        <v>28</v>
      </c>
      <c r="C3027" s="38">
        <v>2.0</v>
      </c>
      <c r="D3027" s="38" t="s">
        <v>229</v>
      </c>
      <c r="E3027" s="38" t="s">
        <v>434</v>
      </c>
      <c r="F3027" s="38" t="s">
        <v>11285</v>
      </c>
    </row>
    <row r="3028">
      <c r="B3028" s="44"/>
      <c r="C3028" s="38" t="s">
        <v>5972</v>
      </c>
      <c r="D3028" s="38" t="s">
        <v>11286</v>
      </c>
      <c r="E3028" s="38" t="s">
        <v>11287</v>
      </c>
      <c r="F3028" s="38" t="s">
        <v>11288</v>
      </c>
    </row>
    <row r="3029">
      <c r="B3029" s="38" t="s">
        <v>283</v>
      </c>
      <c r="C3029" s="38">
        <v>4.0</v>
      </c>
      <c r="D3029" s="38" t="s">
        <v>11289</v>
      </c>
      <c r="E3029" s="38" t="s">
        <v>11290</v>
      </c>
      <c r="F3029" s="38" t="s">
        <v>11291</v>
      </c>
    </row>
    <row r="3030">
      <c r="B3030" s="38" t="s">
        <v>430</v>
      </c>
      <c r="C3030" s="38">
        <v>2.0</v>
      </c>
      <c r="D3030" s="38" t="s">
        <v>11292</v>
      </c>
      <c r="E3030" s="38" t="s">
        <v>11293</v>
      </c>
      <c r="F3030" s="38" t="s">
        <v>11294</v>
      </c>
      <c r="G3030" s="476" t="s">
        <v>11295</v>
      </c>
    </row>
    <row r="3031">
      <c r="B3031" s="1" t="s">
        <v>11296</v>
      </c>
      <c r="C3031" s="1" t="s">
        <v>11297</v>
      </c>
      <c r="D3031" s="1" t="s">
        <v>11298</v>
      </c>
      <c r="E3031" s="1" t="s">
        <v>4634</v>
      </c>
    </row>
    <row r="3032">
      <c r="B3032" s="38" t="s">
        <v>25</v>
      </c>
      <c r="C3032" s="38">
        <v>4.0</v>
      </c>
      <c r="D3032" s="38" t="s">
        <v>1114</v>
      </c>
      <c r="E3032" s="38" t="s">
        <v>4709</v>
      </c>
      <c r="F3032" s="38" t="s">
        <v>11299</v>
      </c>
    </row>
    <row r="3033">
      <c r="B3033" s="44"/>
      <c r="C3033" s="44"/>
      <c r="D3033" s="38" t="s">
        <v>11300</v>
      </c>
      <c r="E3033" s="38" t="s">
        <v>11301</v>
      </c>
      <c r="F3033" s="44"/>
      <c r="G3033" s="38" t="s">
        <v>144</v>
      </c>
    </row>
    <row r="3034">
      <c r="B3034" s="38" t="s">
        <v>1271</v>
      </c>
      <c r="C3034" s="38">
        <v>2.0</v>
      </c>
      <c r="D3034" s="38" t="s">
        <v>229</v>
      </c>
      <c r="E3034" s="38" t="s">
        <v>11302</v>
      </c>
      <c r="F3034" s="38" t="s">
        <v>11303</v>
      </c>
    </row>
    <row r="3035">
      <c r="B3035" s="38" t="s">
        <v>28</v>
      </c>
      <c r="C3035" s="38">
        <v>2.0</v>
      </c>
      <c r="D3035" s="38" t="s">
        <v>11304</v>
      </c>
      <c r="E3035" s="38" t="s">
        <v>2742</v>
      </c>
      <c r="F3035" s="38" t="s">
        <v>11305</v>
      </c>
    </row>
    <row r="3036">
      <c r="B3036" s="38" t="s">
        <v>122</v>
      </c>
      <c r="C3036" s="38">
        <v>4.0</v>
      </c>
      <c r="D3036" s="38" t="s">
        <v>11306</v>
      </c>
      <c r="E3036" s="38" t="s">
        <v>2119</v>
      </c>
      <c r="F3036" s="38" t="s">
        <v>11307</v>
      </c>
    </row>
    <row r="3037">
      <c r="B3037" s="38" t="s">
        <v>405</v>
      </c>
      <c r="C3037" s="38">
        <v>2.0</v>
      </c>
      <c r="D3037" s="38" t="s">
        <v>7218</v>
      </c>
      <c r="E3037" s="38" t="s">
        <v>1098</v>
      </c>
      <c r="F3037" s="38" t="s">
        <v>11308</v>
      </c>
      <c r="G3037" s="38" t="s">
        <v>11309</v>
      </c>
    </row>
    <row r="3038">
      <c r="B3038" s="38" t="s">
        <v>52</v>
      </c>
      <c r="C3038" s="38">
        <v>2.0</v>
      </c>
      <c r="D3038" s="38" t="s">
        <v>7218</v>
      </c>
      <c r="E3038" s="38" t="s">
        <v>1098</v>
      </c>
      <c r="F3038" s="38" t="s">
        <v>11310</v>
      </c>
      <c r="G3038" s="38" t="s">
        <v>11309</v>
      </c>
    </row>
    <row r="3039">
      <c r="B3039" s="38" t="s">
        <v>5381</v>
      </c>
      <c r="C3039" s="38">
        <v>4.0</v>
      </c>
      <c r="D3039" s="38" t="s">
        <v>2097</v>
      </c>
      <c r="E3039" s="38" t="s">
        <v>11311</v>
      </c>
      <c r="F3039" s="38" t="s">
        <v>175</v>
      </c>
    </row>
    <row r="3040">
      <c r="B3040" s="38" t="s">
        <v>876</v>
      </c>
      <c r="C3040" s="38">
        <v>4.0</v>
      </c>
      <c r="D3040" s="38" t="s">
        <v>123</v>
      </c>
      <c r="E3040" s="38" t="s">
        <v>11312</v>
      </c>
      <c r="F3040" s="38" t="s">
        <v>4508</v>
      </c>
    </row>
    <row r="3041">
      <c r="B3041" s="44"/>
      <c r="C3041" s="38">
        <v>4.0</v>
      </c>
      <c r="D3041" s="38" t="s">
        <v>11313</v>
      </c>
      <c r="E3041" s="47" t="s">
        <v>11314</v>
      </c>
      <c r="F3041" s="38" t="s">
        <v>11315</v>
      </c>
    </row>
    <row r="3042">
      <c r="B3042" s="44"/>
      <c r="C3042" s="44"/>
      <c r="D3042" s="38" t="s">
        <v>11316</v>
      </c>
      <c r="E3042" s="38" t="s">
        <v>6892</v>
      </c>
      <c r="F3042" s="38" t="s">
        <v>11317</v>
      </c>
    </row>
    <row r="3043">
      <c r="B3043" s="38" t="s">
        <v>85</v>
      </c>
      <c r="C3043" s="38">
        <v>2.0</v>
      </c>
      <c r="D3043" s="38" t="s">
        <v>684</v>
      </c>
      <c r="E3043" s="38" t="s">
        <v>1098</v>
      </c>
      <c r="F3043" s="477" t="s">
        <v>11318</v>
      </c>
      <c r="G3043" s="392" t="s">
        <v>11309</v>
      </c>
    </row>
    <row r="3044">
      <c r="B3044" s="38" t="s">
        <v>31</v>
      </c>
      <c r="C3044" s="38">
        <v>2.0</v>
      </c>
      <c r="D3044" s="38" t="s">
        <v>684</v>
      </c>
      <c r="E3044" s="38" t="s">
        <v>1098</v>
      </c>
      <c r="F3044" s="38"/>
      <c r="G3044" s="38" t="s">
        <v>11309</v>
      </c>
    </row>
    <row r="3045">
      <c r="B3045" s="38" t="s">
        <v>205</v>
      </c>
      <c r="C3045" s="38">
        <v>4.0</v>
      </c>
      <c r="D3045" s="38" t="s">
        <v>1109</v>
      </c>
      <c r="E3045" s="38" t="s">
        <v>11319</v>
      </c>
      <c r="F3045" s="38" t="s">
        <v>2484</v>
      </c>
    </row>
    <row r="3046">
      <c r="B3046" s="38" t="s">
        <v>308</v>
      </c>
      <c r="C3046" s="38">
        <v>4.0</v>
      </c>
      <c r="D3046" s="38" t="s">
        <v>5626</v>
      </c>
      <c r="E3046" s="38" t="s">
        <v>4478</v>
      </c>
      <c r="F3046" s="38" t="s">
        <v>11320</v>
      </c>
    </row>
    <row r="3047">
      <c r="B3047" s="38" t="s">
        <v>2329</v>
      </c>
      <c r="C3047" s="38">
        <v>2.0</v>
      </c>
      <c r="D3047" s="38" t="s">
        <v>11321</v>
      </c>
      <c r="E3047" s="38" t="s">
        <v>4741</v>
      </c>
      <c r="F3047" s="38" t="s">
        <v>11322</v>
      </c>
    </row>
    <row r="3048">
      <c r="B3048" s="38" t="s">
        <v>128</v>
      </c>
      <c r="C3048" s="38">
        <v>4.0</v>
      </c>
      <c r="D3048" s="38" t="s">
        <v>1084</v>
      </c>
      <c r="E3048" s="38" t="s">
        <v>11161</v>
      </c>
      <c r="F3048" s="38" t="s">
        <v>11323</v>
      </c>
    </row>
    <row r="3049">
      <c r="B3049" s="38" t="s">
        <v>354</v>
      </c>
      <c r="C3049" s="38">
        <v>4.0</v>
      </c>
      <c r="D3049" s="38" t="s">
        <v>86</v>
      </c>
      <c r="E3049" s="38" t="s">
        <v>11324</v>
      </c>
      <c r="F3049" s="38">
        <v>80.0</v>
      </c>
    </row>
    <row r="3050">
      <c r="B3050" s="38" t="s">
        <v>1327</v>
      </c>
      <c r="C3050" s="38">
        <v>2.0</v>
      </c>
      <c r="D3050" s="38" t="s">
        <v>11325</v>
      </c>
      <c r="E3050" s="38" t="s">
        <v>974</v>
      </c>
      <c r="F3050" s="38" t="s">
        <v>11326</v>
      </c>
    </row>
    <row r="3051">
      <c r="B3051" s="38" t="s">
        <v>875</v>
      </c>
      <c r="C3051" s="38">
        <v>2.0</v>
      </c>
      <c r="D3051" s="38" t="s">
        <v>11325</v>
      </c>
      <c r="E3051" s="38" t="s">
        <v>974</v>
      </c>
      <c r="F3051" s="38" t="s">
        <v>11326</v>
      </c>
    </row>
    <row r="3052">
      <c r="B3052" s="38" t="s">
        <v>11327</v>
      </c>
      <c r="C3052" s="38">
        <v>4.0</v>
      </c>
      <c r="D3052" s="38" t="s">
        <v>11328</v>
      </c>
      <c r="E3052" s="38" t="s">
        <v>11329</v>
      </c>
      <c r="F3052" s="38" t="s">
        <v>11330</v>
      </c>
    </row>
    <row r="3053">
      <c r="B3053" s="38" t="s">
        <v>10839</v>
      </c>
      <c r="C3053" s="38">
        <v>2.0</v>
      </c>
      <c r="D3053" s="38" t="s">
        <v>11331</v>
      </c>
      <c r="E3053" s="38" t="s">
        <v>11332</v>
      </c>
      <c r="F3053" s="38" t="s">
        <v>11333</v>
      </c>
    </row>
    <row r="3054">
      <c r="B3054" s="38" t="s">
        <v>2013</v>
      </c>
      <c r="C3054" s="38">
        <v>2.0</v>
      </c>
      <c r="D3054" s="38" t="s">
        <v>1109</v>
      </c>
      <c r="E3054" s="274" t="s">
        <v>11334</v>
      </c>
      <c r="F3054" s="38" t="s">
        <v>10754</v>
      </c>
    </row>
    <row r="3055">
      <c r="B3055" s="38" t="s">
        <v>718</v>
      </c>
      <c r="C3055" s="38">
        <v>2.0</v>
      </c>
      <c r="D3055" s="38" t="s">
        <v>1109</v>
      </c>
      <c r="E3055" s="274" t="s">
        <v>11335</v>
      </c>
      <c r="F3055" s="38" t="s">
        <v>10754</v>
      </c>
    </row>
    <row r="3056">
      <c r="B3056" s="44"/>
      <c r="C3056" s="44"/>
      <c r="D3056" s="478" t="s">
        <v>11336</v>
      </c>
      <c r="E3056" s="38" t="s">
        <v>1294</v>
      </c>
      <c r="F3056" s="38" t="s">
        <v>10803</v>
      </c>
    </row>
    <row r="3057">
      <c r="B3057" s="44"/>
      <c r="C3057" s="44"/>
      <c r="D3057" s="38" t="s">
        <v>11337</v>
      </c>
      <c r="E3057" s="38" t="s">
        <v>1294</v>
      </c>
      <c r="F3057" s="38" t="s">
        <v>10803</v>
      </c>
    </row>
    <row r="3058">
      <c r="B3058" s="38"/>
      <c r="C3058" s="44"/>
      <c r="D3058" s="478" t="s">
        <v>11338</v>
      </c>
      <c r="E3058" s="38" t="s">
        <v>1294</v>
      </c>
      <c r="F3058" s="38" t="s">
        <v>10736</v>
      </c>
    </row>
    <row r="3059">
      <c r="E3059" s="1" t="s">
        <v>4744</v>
      </c>
      <c r="F3059" s="1" t="s">
        <v>11339</v>
      </c>
    </row>
    <row r="3060">
      <c r="B3060" s="44"/>
      <c r="C3060" s="44"/>
      <c r="D3060" s="38" t="s">
        <v>11340</v>
      </c>
      <c r="E3060" s="38" t="s">
        <v>11341</v>
      </c>
      <c r="F3060" s="44"/>
    </row>
    <row r="3061">
      <c r="B3061" s="44"/>
      <c r="C3061" s="44"/>
      <c r="D3061" s="44"/>
      <c r="E3061" s="38" t="s">
        <v>11342</v>
      </c>
      <c r="F3061" s="38" t="s">
        <v>11343</v>
      </c>
    </row>
    <row r="3062">
      <c r="B3062" s="38" t="s">
        <v>271</v>
      </c>
      <c r="C3062" s="38">
        <v>4.0</v>
      </c>
      <c r="D3062" s="38" t="s">
        <v>1109</v>
      </c>
      <c r="E3062" s="38" t="s">
        <v>11344</v>
      </c>
      <c r="F3062" s="38" t="s">
        <v>10729</v>
      </c>
    </row>
    <row r="3063">
      <c r="B3063" s="38" t="s">
        <v>52</v>
      </c>
      <c r="C3063" s="38">
        <v>4.0</v>
      </c>
      <c r="D3063" s="38" t="s">
        <v>11345</v>
      </c>
      <c r="E3063" s="38" t="s">
        <v>9765</v>
      </c>
      <c r="F3063" s="38" t="s">
        <v>11346</v>
      </c>
    </row>
    <row r="3064">
      <c r="B3064" s="38" t="s">
        <v>3725</v>
      </c>
      <c r="C3064" s="38">
        <v>4.0</v>
      </c>
      <c r="D3064" s="38" t="s">
        <v>11347</v>
      </c>
      <c r="E3064" s="38" t="s">
        <v>5061</v>
      </c>
      <c r="F3064" s="38" t="s">
        <v>11348</v>
      </c>
    </row>
    <row r="3065">
      <c r="A3065" s="38" t="s">
        <v>11349</v>
      </c>
      <c r="B3065" s="38" t="s">
        <v>11350</v>
      </c>
      <c r="C3065" s="44"/>
      <c r="D3065" s="38" t="s">
        <v>11351</v>
      </c>
      <c r="E3065" s="38" t="s">
        <v>4893</v>
      </c>
      <c r="F3065" s="38" t="s">
        <v>11352</v>
      </c>
      <c r="G3065" s="38" t="s">
        <v>11353</v>
      </c>
    </row>
    <row r="3066">
      <c r="A3066" s="65">
        <v>44686.0</v>
      </c>
      <c r="B3066" s="222" t="s">
        <v>11354</v>
      </c>
      <c r="C3066" s="305"/>
      <c r="D3066" s="305" t="s">
        <v>11355</v>
      </c>
      <c r="E3066" s="38" t="s">
        <v>4893</v>
      </c>
      <c r="F3066" s="305" t="s">
        <v>11356</v>
      </c>
      <c r="G3066" s="38" t="s">
        <v>11353</v>
      </c>
    </row>
    <row r="3067">
      <c r="A3067" s="65"/>
      <c r="B3067" s="222" t="s">
        <v>647</v>
      </c>
      <c r="C3067" s="305" t="s">
        <v>4246</v>
      </c>
      <c r="D3067" s="305" t="s">
        <v>11357</v>
      </c>
      <c r="E3067" s="38" t="s">
        <v>4893</v>
      </c>
      <c r="F3067" s="305" t="s">
        <v>11358</v>
      </c>
      <c r="G3067" s="38" t="s">
        <v>11353</v>
      </c>
    </row>
    <row r="3068">
      <c r="A3068" s="65"/>
      <c r="B3068" s="38" t="s">
        <v>11359</v>
      </c>
      <c r="C3068" s="305"/>
      <c r="D3068" s="305" t="s">
        <v>11360</v>
      </c>
      <c r="E3068" s="38" t="s">
        <v>4893</v>
      </c>
      <c r="F3068" s="47" t="s">
        <v>896</v>
      </c>
      <c r="G3068" s="38" t="s">
        <v>11353</v>
      </c>
    </row>
    <row r="3069">
      <c r="B3069" s="44"/>
      <c r="C3069" s="38" t="s">
        <v>11361</v>
      </c>
      <c r="D3069" s="305" t="s">
        <v>11362</v>
      </c>
      <c r="E3069" s="38" t="s">
        <v>11363</v>
      </c>
      <c r="F3069" s="38" t="s">
        <v>8170</v>
      </c>
      <c r="G3069" s="38" t="s">
        <v>11364</v>
      </c>
    </row>
    <row r="3070">
      <c r="B3070" s="44"/>
      <c r="C3070" s="44"/>
      <c r="D3070" s="305" t="s">
        <v>11365</v>
      </c>
      <c r="E3070" s="38" t="s">
        <v>11363</v>
      </c>
      <c r="F3070" s="38" t="s">
        <v>11366</v>
      </c>
      <c r="G3070" s="38" t="s">
        <v>11364</v>
      </c>
    </row>
    <row r="3071">
      <c r="B3071" s="38" t="s">
        <v>11367</v>
      </c>
      <c r="C3071" s="353" t="s">
        <v>11368</v>
      </c>
      <c r="D3071" s="38" t="s">
        <v>11369</v>
      </c>
      <c r="E3071" s="38" t="s">
        <v>11370</v>
      </c>
      <c r="F3071" s="38" t="s">
        <v>11371</v>
      </c>
      <c r="G3071" s="38" t="s">
        <v>11372</v>
      </c>
    </row>
    <row r="3072">
      <c r="B3072" s="38" t="s">
        <v>4791</v>
      </c>
      <c r="C3072" s="38">
        <v>2.0</v>
      </c>
      <c r="D3072" s="38" t="s">
        <v>11373</v>
      </c>
      <c r="E3072" s="274" t="s">
        <v>11374</v>
      </c>
      <c r="F3072" s="38" t="s">
        <v>11375</v>
      </c>
    </row>
    <row r="3073">
      <c r="B3073" s="38" t="s">
        <v>81</v>
      </c>
      <c r="C3073" s="38">
        <v>1.0</v>
      </c>
      <c r="D3073" s="38" t="s">
        <v>11376</v>
      </c>
      <c r="E3073" s="38" t="s">
        <v>11377</v>
      </c>
      <c r="F3073" s="38" t="s">
        <v>11378</v>
      </c>
    </row>
    <row r="3074">
      <c r="B3074" s="38" t="s">
        <v>22</v>
      </c>
      <c r="C3074" s="38">
        <v>4.0</v>
      </c>
      <c r="D3074" s="38" t="s">
        <v>232</v>
      </c>
      <c r="E3074" s="38" t="s">
        <v>11379</v>
      </c>
      <c r="F3074" s="38" t="s">
        <v>11380</v>
      </c>
    </row>
    <row r="3075">
      <c r="B3075" s="38" t="s">
        <v>205</v>
      </c>
      <c r="C3075" s="38">
        <v>4.0</v>
      </c>
      <c r="D3075" s="38" t="s">
        <v>3937</v>
      </c>
      <c r="E3075" s="38" t="s">
        <v>4811</v>
      </c>
      <c r="F3075" s="38" t="s">
        <v>11381</v>
      </c>
    </row>
    <row r="3076">
      <c r="B3076" s="4" t="s">
        <v>11382</v>
      </c>
      <c r="C3076" s="4" t="s">
        <v>11383</v>
      </c>
      <c r="D3076" s="4" t="s">
        <v>11384</v>
      </c>
      <c r="E3076" s="4" t="s">
        <v>11385</v>
      </c>
      <c r="F3076" s="4" t="s">
        <v>11386</v>
      </c>
    </row>
    <row r="3077">
      <c r="D3077" s="4" t="s">
        <v>11387</v>
      </c>
      <c r="E3077" s="4" t="s">
        <v>11385</v>
      </c>
      <c r="F3077" s="4" t="s">
        <v>11388</v>
      </c>
    </row>
    <row r="3078">
      <c r="B3078" s="4" t="s">
        <v>789</v>
      </c>
      <c r="C3078" s="4">
        <v>4.0</v>
      </c>
      <c r="D3078" s="4" t="s">
        <v>11389</v>
      </c>
      <c r="E3078" s="4" t="s">
        <v>11385</v>
      </c>
      <c r="F3078" s="4" t="s">
        <v>175</v>
      </c>
    </row>
    <row r="3079">
      <c r="B3079" s="4"/>
      <c r="C3079" s="4">
        <v>4.0</v>
      </c>
      <c r="D3079" s="4" t="s">
        <v>11390</v>
      </c>
      <c r="E3079" s="4" t="s">
        <v>11385</v>
      </c>
      <c r="F3079" s="4" t="s">
        <v>11391</v>
      </c>
    </row>
    <row r="3080">
      <c r="B3080" s="38" t="s">
        <v>11392</v>
      </c>
      <c r="C3080" s="38" t="s">
        <v>11393</v>
      </c>
      <c r="D3080" s="38" t="s">
        <v>11394</v>
      </c>
      <c r="E3080" s="38" t="s">
        <v>11395</v>
      </c>
      <c r="F3080" s="44"/>
      <c r="G3080" s="38" t="s">
        <v>144</v>
      </c>
    </row>
    <row r="3081">
      <c r="B3081" s="38"/>
      <c r="C3081" s="38"/>
      <c r="D3081" s="38"/>
      <c r="E3081" s="38" t="s">
        <v>5188</v>
      </c>
      <c r="F3081" s="38" t="s">
        <v>11396</v>
      </c>
      <c r="G3081" s="38" t="s">
        <v>144</v>
      </c>
    </row>
    <row r="3082">
      <c r="B3082" s="44"/>
      <c r="C3082" s="44"/>
      <c r="D3082" s="479" t="s">
        <v>11397</v>
      </c>
      <c r="E3082" s="38" t="s">
        <v>6915</v>
      </c>
      <c r="F3082" s="44"/>
      <c r="G3082" s="38" t="s">
        <v>144</v>
      </c>
    </row>
    <row r="3083">
      <c r="B3083" s="44"/>
      <c r="C3083" s="44"/>
      <c r="D3083" s="479"/>
      <c r="E3083" s="38" t="s">
        <v>6915</v>
      </c>
      <c r="F3083" s="38" t="s">
        <v>11398</v>
      </c>
      <c r="G3083" s="38" t="s">
        <v>144</v>
      </c>
    </row>
    <row r="3084">
      <c r="B3084" s="44"/>
      <c r="C3084" s="44"/>
      <c r="D3084" s="479"/>
      <c r="E3084" s="38" t="s">
        <v>6915</v>
      </c>
      <c r="F3084" s="38" t="s">
        <v>11399</v>
      </c>
      <c r="G3084" s="38" t="s">
        <v>144</v>
      </c>
    </row>
    <row r="3085">
      <c r="B3085" s="38" t="s">
        <v>4756</v>
      </c>
      <c r="C3085" s="38">
        <v>2.0</v>
      </c>
      <c r="D3085" s="38" t="s">
        <v>123</v>
      </c>
      <c r="E3085" s="38" t="s">
        <v>11400</v>
      </c>
      <c r="F3085" s="38" t="s">
        <v>11401</v>
      </c>
    </row>
    <row r="3086">
      <c r="B3086" s="38" t="s">
        <v>210</v>
      </c>
      <c r="C3086" s="38">
        <v>4.0</v>
      </c>
      <c r="D3086" s="38" t="s">
        <v>11402</v>
      </c>
      <c r="E3086" s="38" t="s">
        <v>11403</v>
      </c>
      <c r="F3086" s="38" t="s">
        <v>11404</v>
      </c>
    </row>
    <row r="3087">
      <c r="B3087" s="38" t="s">
        <v>205</v>
      </c>
      <c r="C3087" s="38">
        <v>2.0</v>
      </c>
      <c r="D3087" s="38" t="s">
        <v>123</v>
      </c>
      <c r="E3087" s="373" t="s">
        <v>11405</v>
      </c>
      <c r="F3087" s="38" t="s">
        <v>11406</v>
      </c>
    </row>
    <row r="3088">
      <c r="B3088" s="38" t="s">
        <v>876</v>
      </c>
      <c r="C3088" s="38">
        <v>2.0</v>
      </c>
      <c r="D3088" s="38" t="s">
        <v>11407</v>
      </c>
      <c r="E3088" s="38" t="s">
        <v>1260</v>
      </c>
      <c r="F3088" s="38" t="s">
        <v>11408</v>
      </c>
    </row>
    <row r="3089">
      <c r="B3089" s="38" t="s">
        <v>22</v>
      </c>
      <c r="C3089" s="38">
        <v>2.0</v>
      </c>
      <c r="D3089" s="38" t="s">
        <v>11409</v>
      </c>
      <c r="E3089" s="38" t="s">
        <v>11410</v>
      </c>
      <c r="F3089" s="44"/>
    </row>
    <row r="3090">
      <c r="B3090" s="38">
        <v>8.698476E8</v>
      </c>
      <c r="C3090" s="38" t="s">
        <v>11411</v>
      </c>
      <c r="D3090" s="480" t="s">
        <v>11412</v>
      </c>
      <c r="E3090" s="44"/>
      <c r="F3090" s="38" t="s">
        <v>11413</v>
      </c>
    </row>
    <row r="3091">
      <c r="B3091" s="47" t="s">
        <v>25</v>
      </c>
      <c r="C3091" s="38">
        <v>2.0</v>
      </c>
      <c r="D3091" s="38" t="s">
        <v>232</v>
      </c>
      <c r="E3091" s="38" t="s">
        <v>11414</v>
      </c>
      <c r="F3091" s="38" t="s">
        <v>11415</v>
      </c>
    </row>
    <row r="3092">
      <c r="B3092" s="38" t="s">
        <v>11416</v>
      </c>
      <c r="C3092" s="38" t="s">
        <v>11417</v>
      </c>
      <c r="D3092" s="38" t="s">
        <v>11418</v>
      </c>
      <c r="E3092" s="38" t="s">
        <v>2971</v>
      </c>
      <c r="F3092" s="38" t="s">
        <v>11419</v>
      </c>
    </row>
    <row r="3093">
      <c r="B3093" s="38" t="s">
        <v>11420</v>
      </c>
      <c r="C3093" s="38" t="s">
        <v>11421</v>
      </c>
      <c r="D3093" s="38" t="s">
        <v>11422</v>
      </c>
      <c r="E3093" s="38" t="s">
        <v>7028</v>
      </c>
      <c r="F3093" s="38" t="s">
        <v>11423</v>
      </c>
      <c r="G3093" s="38" t="s">
        <v>11424</v>
      </c>
    </row>
    <row r="3094">
      <c r="B3094" s="456" t="s">
        <v>11425</v>
      </c>
      <c r="C3094" s="38"/>
      <c r="D3094" s="440" t="s">
        <v>11426</v>
      </c>
      <c r="E3094" s="38" t="s">
        <v>7028</v>
      </c>
      <c r="F3094" s="38" t="s">
        <v>724</v>
      </c>
      <c r="G3094" s="38" t="s">
        <v>11424</v>
      </c>
    </row>
    <row r="3095">
      <c r="B3095" s="457"/>
      <c r="C3095" s="44"/>
      <c r="D3095" s="59" t="s">
        <v>11427</v>
      </c>
      <c r="E3095" s="38" t="s">
        <v>1309</v>
      </c>
      <c r="F3095" s="38" t="s">
        <v>11428</v>
      </c>
    </row>
    <row r="3096">
      <c r="A3096" s="1" t="s">
        <v>11429</v>
      </c>
      <c r="B3096" s="481" t="s">
        <v>11430</v>
      </c>
      <c r="C3096" s="1" t="s">
        <v>11431</v>
      </c>
      <c r="D3096" s="149" t="s">
        <v>11432</v>
      </c>
      <c r="E3096" s="1" t="s">
        <v>1309</v>
      </c>
      <c r="F3096" s="1" t="s">
        <v>11433</v>
      </c>
    </row>
    <row r="3097">
      <c r="A3097" s="1"/>
      <c r="C3097" s="1"/>
      <c r="D3097" s="481" t="s">
        <v>11434</v>
      </c>
      <c r="E3097" s="1" t="s">
        <v>1309</v>
      </c>
    </row>
    <row r="3098">
      <c r="A3098" s="1"/>
      <c r="B3098" s="38" t="s">
        <v>11435</v>
      </c>
      <c r="C3098" s="38" t="s">
        <v>11436</v>
      </c>
      <c r="D3098" s="59" t="s">
        <v>1475</v>
      </c>
      <c r="E3098" s="38" t="s">
        <v>1309</v>
      </c>
      <c r="F3098" s="38" t="s">
        <v>11428</v>
      </c>
    </row>
    <row r="3099">
      <c r="A3099" s="1"/>
      <c r="B3099" s="481"/>
      <c r="C3099" s="1" t="s">
        <v>11437</v>
      </c>
      <c r="D3099" s="149" t="s">
        <v>11438</v>
      </c>
      <c r="E3099" s="1" t="s">
        <v>1309</v>
      </c>
      <c r="F3099" s="1"/>
    </row>
    <row r="3100">
      <c r="A3100" s="1"/>
      <c r="C3100" s="1" t="s">
        <v>11439</v>
      </c>
      <c r="D3100" s="1" t="s">
        <v>11440</v>
      </c>
      <c r="E3100" s="1" t="s">
        <v>1309</v>
      </c>
    </row>
    <row r="3101">
      <c r="A3101" s="1"/>
      <c r="B3101" s="475"/>
      <c r="C3101" s="38"/>
      <c r="D3101" s="475" t="s">
        <v>11441</v>
      </c>
      <c r="E3101" s="38" t="s">
        <v>1309</v>
      </c>
      <c r="F3101" s="38" t="s">
        <v>11428</v>
      </c>
    </row>
    <row r="3102">
      <c r="A3102" s="1"/>
      <c r="B3102" s="481"/>
      <c r="C3102" s="1"/>
      <c r="D3102" s="38" t="s">
        <v>11442</v>
      </c>
      <c r="E3102" s="38" t="s">
        <v>1309</v>
      </c>
      <c r="F3102" s="38" t="s">
        <v>11428</v>
      </c>
    </row>
    <row r="3103">
      <c r="A3103" s="1"/>
      <c r="B3103" s="481"/>
      <c r="C3103" s="1" t="s">
        <v>11443</v>
      </c>
      <c r="D3103" s="149"/>
      <c r="E3103" s="1" t="s">
        <v>1309</v>
      </c>
      <c r="F3103" s="1" t="s">
        <v>11444</v>
      </c>
    </row>
    <row r="3104">
      <c r="A3104" s="1"/>
      <c r="B3104" s="475" t="s">
        <v>11445</v>
      </c>
      <c r="C3104" s="38" t="s">
        <v>11446</v>
      </c>
      <c r="D3104" s="59"/>
      <c r="E3104" s="38" t="s">
        <v>1309</v>
      </c>
      <c r="F3104" s="38" t="s">
        <v>11428</v>
      </c>
    </row>
    <row r="3105">
      <c r="B3105" s="38" t="s">
        <v>1285</v>
      </c>
      <c r="C3105" s="38">
        <v>2.0</v>
      </c>
      <c r="D3105" s="59" t="s">
        <v>8705</v>
      </c>
      <c r="E3105" s="38" t="s">
        <v>11447</v>
      </c>
      <c r="F3105" s="38" t="s">
        <v>11448</v>
      </c>
    </row>
    <row r="3106">
      <c r="B3106" s="38" t="s">
        <v>718</v>
      </c>
      <c r="C3106" s="38">
        <v>2.0</v>
      </c>
      <c r="D3106" s="38" t="s">
        <v>11449</v>
      </c>
      <c r="E3106" s="38" t="s">
        <v>11447</v>
      </c>
      <c r="F3106" s="38" t="s">
        <v>11448</v>
      </c>
    </row>
    <row r="3107">
      <c r="B3107" s="38" t="s">
        <v>5800</v>
      </c>
      <c r="C3107" s="38">
        <v>2.0</v>
      </c>
      <c r="D3107" s="38" t="s">
        <v>86</v>
      </c>
      <c r="E3107" s="38" t="s">
        <v>11447</v>
      </c>
      <c r="F3107" s="38" t="s">
        <v>11448</v>
      </c>
    </row>
    <row r="3108">
      <c r="B3108" s="38" t="s">
        <v>789</v>
      </c>
      <c r="C3108" s="38">
        <v>2.0</v>
      </c>
      <c r="D3108" s="38" t="s">
        <v>11450</v>
      </c>
      <c r="E3108" s="38" t="s">
        <v>11447</v>
      </c>
      <c r="F3108" s="38" t="s">
        <v>11448</v>
      </c>
    </row>
    <row r="3109">
      <c r="B3109" s="38" t="s">
        <v>875</v>
      </c>
      <c r="C3109" s="38">
        <v>1.0</v>
      </c>
      <c r="D3109" s="38" t="s">
        <v>881</v>
      </c>
      <c r="E3109" s="38" t="s">
        <v>1141</v>
      </c>
      <c r="F3109" s="38" t="s">
        <v>11451</v>
      </c>
    </row>
    <row r="3110">
      <c r="B3110" s="38" t="s">
        <v>283</v>
      </c>
      <c r="C3110" s="38">
        <v>2.0</v>
      </c>
      <c r="D3110" s="38" t="s">
        <v>3988</v>
      </c>
      <c r="E3110" s="38" t="s">
        <v>230</v>
      </c>
      <c r="F3110" s="38" t="s">
        <v>11452</v>
      </c>
    </row>
    <row r="3111">
      <c r="B3111" s="38" t="s">
        <v>25</v>
      </c>
      <c r="C3111" s="38">
        <v>1.0</v>
      </c>
      <c r="D3111" s="38" t="s">
        <v>289</v>
      </c>
      <c r="E3111" s="38" t="s">
        <v>7216</v>
      </c>
      <c r="F3111" s="44"/>
    </row>
    <row r="3112">
      <c r="B3112" s="38" t="s">
        <v>25</v>
      </c>
      <c r="C3112" s="38">
        <v>4.0</v>
      </c>
      <c r="D3112" s="38" t="s">
        <v>9336</v>
      </c>
      <c r="E3112" s="38" t="s">
        <v>6781</v>
      </c>
      <c r="F3112" s="38" t="s">
        <v>11453</v>
      </c>
    </row>
    <row r="3113">
      <c r="B3113" s="38" t="s">
        <v>1159</v>
      </c>
      <c r="C3113" s="38">
        <v>1.0</v>
      </c>
      <c r="D3113" s="38" t="s">
        <v>992</v>
      </c>
      <c r="E3113" s="38" t="s">
        <v>11454</v>
      </c>
      <c r="F3113" s="38" t="s">
        <v>11455</v>
      </c>
    </row>
    <row r="3114">
      <c r="B3114" s="38" t="s">
        <v>77</v>
      </c>
      <c r="C3114" s="38">
        <v>2.0</v>
      </c>
      <c r="D3114" s="38" t="s">
        <v>289</v>
      </c>
      <c r="E3114" s="38" t="s">
        <v>11456</v>
      </c>
      <c r="F3114" s="38" t="s">
        <v>10729</v>
      </c>
    </row>
    <row r="3115">
      <c r="B3115" s="38" t="s">
        <v>11457</v>
      </c>
      <c r="C3115" s="38" t="s">
        <v>11458</v>
      </c>
      <c r="D3115" s="38" t="s">
        <v>11459</v>
      </c>
      <c r="E3115" s="38" t="s">
        <v>2414</v>
      </c>
      <c r="F3115" s="38" t="s">
        <v>11460</v>
      </c>
      <c r="G3115" s="44"/>
    </row>
    <row r="3116">
      <c r="B3116" s="38" t="s">
        <v>11461</v>
      </c>
      <c r="C3116" s="44"/>
      <c r="D3116" s="38" t="s">
        <v>11462</v>
      </c>
      <c r="E3116" s="38" t="s">
        <v>2414</v>
      </c>
      <c r="F3116" s="38" t="s">
        <v>11463</v>
      </c>
      <c r="G3116" s="38" t="s">
        <v>11464</v>
      </c>
    </row>
    <row r="3117">
      <c r="B3117" s="44"/>
      <c r="C3117" s="38">
        <v>4.0</v>
      </c>
      <c r="D3117" s="47" t="s">
        <v>11465</v>
      </c>
      <c r="E3117" s="38" t="s">
        <v>1580</v>
      </c>
      <c r="F3117" s="38" t="s">
        <v>11466</v>
      </c>
      <c r="G3117" s="38" t="s">
        <v>11467</v>
      </c>
    </row>
    <row r="3118">
      <c r="B3118" s="38" t="s">
        <v>85</v>
      </c>
      <c r="C3118" s="38">
        <v>4.0</v>
      </c>
      <c r="D3118" s="38" t="s">
        <v>11468</v>
      </c>
      <c r="E3118" s="38" t="s">
        <v>1580</v>
      </c>
      <c r="F3118" s="38" t="s">
        <v>11469</v>
      </c>
      <c r="G3118" s="38" t="s">
        <v>11467</v>
      </c>
    </row>
    <row r="3119">
      <c r="B3119" s="38" t="s">
        <v>11470</v>
      </c>
      <c r="C3119" s="38" t="s">
        <v>11471</v>
      </c>
      <c r="D3119" s="38" t="s">
        <v>11472</v>
      </c>
      <c r="E3119" s="38" t="s">
        <v>9397</v>
      </c>
      <c r="F3119" s="38" t="s">
        <v>1775</v>
      </c>
      <c r="G3119" s="38" t="s">
        <v>144</v>
      </c>
    </row>
    <row r="3120">
      <c r="B3120" s="38" t="s">
        <v>11473</v>
      </c>
      <c r="C3120" s="38" t="s">
        <v>11474</v>
      </c>
      <c r="D3120" s="38" t="s">
        <v>11475</v>
      </c>
      <c r="E3120" s="38" t="s">
        <v>9397</v>
      </c>
      <c r="F3120" s="38" t="s">
        <v>2520</v>
      </c>
      <c r="G3120" s="38" t="s">
        <v>144</v>
      </c>
    </row>
    <row r="3121">
      <c r="B3121" s="1" t="s">
        <v>11476</v>
      </c>
      <c r="C3121" s="1" t="s">
        <v>11477</v>
      </c>
      <c r="D3121" s="1" t="s">
        <v>5828</v>
      </c>
      <c r="E3121" s="1" t="s">
        <v>221</v>
      </c>
    </row>
    <row r="3122">
      <c r="B3122" s="38" t="s">
        <v>271</v>
      </c>
      <c r="C3122" s="38">
        <v>4.0</v>
      </c>
      <c r="D3122" s="38" t="s">
        <v>1109</v>
      </c>
      <c r="E3122" s="38" t="s">
        <v>11478</v>
      </c>
      <c r="F3122" s="38" t="s">
        <v>11479</v>
      </c>
    </row>
    <row r="3123">
      <c r="B3123" s="38" t="s">
        <v>11480</v>
      </c>
      <c r="C3123" s="38" t="s">
        <v>11481</v>
      </c>
      <c r="D3123" s="38" t="s">
        <v>3055</v>
      </c>
      <c r="E3123" s="38" t="s">
        <v>1294</v>
      </c>
      <c r="F3123" s="38" t="s">
        <v>10803</v>
      </c>
    </row>
    <row r="3124">
      <c r="B3124" s="44"/>
      <c r="C3124" s="44"/>
      <c r="D3124" s="382" t="s">
        <v>11482</v>
      </c>
      <c r="E3124" s="38" t="s">
        <v>1017</v>
      </c>
      <c r="F3124" s="38" t="s">
        <v>11483</v>
      </c>
    </row>
    <row r="3125">
      <c r="B3125" s="38" t="s">
        <v>183</v>
      </c>
      <c r="C3125" s="38">
        <v>4.0</v>
      </c>
      <c r="D3125" s="321" t="s">
        <v>232</v>
      </c>
      <c r="E3125" s="281" t="s">
        <v>11484</v>
      </c>
      <c r="F3125" s="38" t="s">
        <v>11485</v>
      </c>
    </row>
    <row r="3126">
      <c r="B3126" s="38"/>
      <c r="C3126" s="38"/>
      <c r="D3126" s="321" t="s">
        <v>11486</v>
      </c>
      <c r="E3126" s="281" t="s">
        <v>11484</v>
      </c>
      <c r="F3126" s="38"/>
    </row>
    <row r="3127">
      <c r="B3127" s="38" t="s">
        <v>11487</v>
      </c>
      <c r="C3127" s="44"/>
      <c r="D3127" s="38" t="s">
        <v>11488</v>
      </c>
      <c r="E3127" s="38" t="s">
        <v>2801</v>
      </c>
      <c r="F3127" s="38" t="s">
        <v>11489</v>
      </c>
    </row>
    <row r="3128">
      <c r="B3128" s="38" t="s">
        <v>261</v>
      </c>
      <c r="C3128" s="38">
        <v>4.0</v>
      </c>
      <c r="D3128" s="38" t="s">
        <v>11490</v>
      </c>
      <c r="E3128" s="38" t="s">
        <v>4478</v>
      </c>
      <c r="F3128" s="38" t="s">
        <v>11491</v>
      </c>
    </row>
    <row r="3129">
      <c r="B3129" s="38" t="s">
        <v>11492</v>
      </c>
      <c r="C3129" s="38" t="s">
        <v>11493</v>
      </c>
      <c r="D3129" s="44"/>
      <c r="E3129" s="38" t="s">
        <v>2290</v>
      </c>
      <c r="F3129" s="44"/>
    </row>
    <row r="3130">
      <c r="B3130" s="38" t="s">
        <v>11494</v>
      </c>
      <c r="C3130" s="44"/>
      <c r="D3130" s="44"/>
      <c r="E3130" s="38" t="s">
        <v>11495</v>
      </c>
      <c r="F3130" s="38" t="s">
        <v>11496</v>
      </c>
    </row>
    <row r="3131">
      <c r="B3131" s="38" t="s">
        <v>43</v>
      </c>
      <c r="C3131" s="38">
        <v>2.0</v>
      </c>
      <c r="D3131" s="38" t="s">
        <v>553</v>
      </c>
      <c r="E3131" s="38" t="s">
        <v>4741</v>
      </c>
      <c r="F3131" s="38" t="s">
        <v>11322</v>
      </c>
    </row>
    <row r="3132">
      <c r="B3132" s="47" t="s">
        <v>11497</v>
      </c>
      <c r="C3132" s="47" t="s">
        <v>11498</v>
      </c>
      <c r="D3132" s="44"/>
      <c r="E3132" s="38" t="s">
        <v>1017</v>
      </c>
      <c r="F3132" s="38" t="s">
        <v>10803</v>
      </c>
    </row>
    <row r="3133">
      <c r="B3133" s="38" t="s">
        <v>11499</v>
      </c>
      <c r="C3133" s="38" t="s">
        <v>11500</v>
      </c>
      <c r="D3133" s="38" t="s">
        <v>11501</v>
      </c>
      <c r="E3133" s="38" t="s">
        <v>1017</v>
      </c>
      <c r="F3133" s="38" t="s">
        <v>10803</v>
      </c>
    </row>
    <row r="3134">
      <c r="B3134" s="38" t="s">
        <v>11502</v>
      </c>
      <c r="C3134" s="38" t="s">
        <v>11503</v>
      </c>
      <c r="D3134" s="44"/>
      <c r="E3134" s="38" t="s">
        <v>1017</v>
      </c>
      <c r="F3134" s="38" t="s">
        <v>11504</v>
      </c>
    </row>
    <row r="3135">
      <c r="B3135" s="59" t="s">
        <v>11505</v>
      </c>
      <c r="C3135" s="38"/>
      <c r="D3135" s="44"/>
      <c r="E3135" s="38" t="s">
        <v>1017</v>
      </c>
      <c r="F3135" s="38" t="s">
        <v>11504</v>
      </c>
    </row>
    <row r="3136">
      <c r="B3136" s="38" t="s">
        <v>183</v>
      </c>
      <c r="C3136" s="38">
        <v>2.0</v>
      </c>
      <c r="D3136" s="38" t="s">
        <v>11506</v>
      </c>
      <c r="E3136" s="38" t="s">
        <v>1017</v>
      </c>
      <c r="F3136" s="38" t="s">
        <v>11507</v>
      </c>
    </row>
    <row r="3137">
      <c r="B3137" s="38" t="s">
        <v>219</v>
      </c>
      <c r="C3137" s="38">
        <v>4.0</v>
      </c>
      <c r="D3137" s="38" t="s">
        <v>1359</v>
      </c>
      <c r="E3137" s="38" t="s">
        <v>2546</v>
      </c>
      <c r="F3137" s="38" t="s">
        <v>11508</v>
      </c>
    </row>
    <row r="3138">
      <c r="B3138" s="38" t="s">
        <v>199</v>
      </c>
      <c r="C3138" s="38">
        <v>2.0</v>
      </c>
      <c r="D3138" s="38" t="s">
        <v>11509</v>
      </c>
      <c r="E3138" s="38" t="s">
        <v>11510</v>
      </c>
      <c r="F3138" s="38" t="s">
        <v>11511</v>
      </c>
    </row>
    <row r="3139">
      <c r="B3139" s="38" t="s">
        <v>1183</v>
      </c>
      <c r="C3139" s="38">
        <v>2.0</v>
      </c>
      <c r="D3139" s="38" t="s">
        <v>7155</v>
      </c>
      <c r="E3139" s="38" t="s">
        <v>3330</v>
      </c>
      <c r="F3139" s="38" t="s">
        <v>11512</v>
      </c>
    </row>
    <row r="3140">
      <c r="B3140" s="38" t="s">
        <v>1296</v>
      </c>
      <c r="C3140" s="38">
        <v>2.0</v>
      </c>
      <c r="D3140" s="38" t="s">
        <v>7155</v>
      </c>
      <c r="E3140" s="38" t="s">
        <v>3330</v>
      </c>
      <c r="F3140" s="38" t="s">
        <v>11512</v>
      </c>
    </row>
    <row r="3141">
      <c r="B3141" s="38" t="s">
        <v>94</v>
      </c>
      <c r="C3141" s="38">
        <v>2.0</v>
      </c>
      <c r="D3141" s="38" t="s">
        <v>545</v>
      </c>
      <c r="E3141" s="38" t="s">
        <v>1098</v>
      </c>
      <c r="F3141" s="38" t="s">
        <v>11513</v>
      </c>
      <c r="G3141" s="1" t="s">
        <v>11514</v>
      </c>
    </row>
    <row r="3142">
      <c r="A3142" s="38" t="s">
        <v>11515</v>
      </c>
      <c r="B3142" s="38" t="s">
        <v>91</v>
      </c>
      <c r="C3142" s="38">
        <v>2.0</v>
      </c>
      <c r="D3142" s="38" t="s">
        <v>545</v>
      </c>
      <c r="E3142" s="38" t="s">
        <v>1098</v>
      </c>
      <c r="F3142" s="38" t="s">
        <v>11516</v>
      </c>
      <c r="G3142" s="38" t="s">
        <v>11517</v>
      </c>
    </row>
    <row r="3143">
      <c r="B3143" s="38" t="s">
        <v>1010</v>
      </c>
      <c r="C3143" s="38">
        <v>2.0</v>
      </c>
      <c r="D3143" s="38" t="s">
        <v>134</v>
      </c>
      <c r="E3143" s="38" t="s">
        <v>1309</v>
      </c>
      <c r="F3143" s="38" t="s">
        <v>11518</v>
      </c>
    </row>
    <row r="3144">
      <c r="B3144" s="38" t="s">
        <v>2013</v>
      </c>
      <c r="C3144" s="38">
        <v>2.0</v>
      </c>
      <c r="D3144" s="38" t="s">
        <v>134</v>
      </c>
      <c r="E3144" s="38" t="s">
        <v>1309</v>
      </c>
      <c r="F3144" s="38" t="s">
        <v>11428</v>
      </c>
    </row>
    <row r="3145">
      <c r="B3145" s="38" t="s">
        <v>11519</v>
      </c>
      <c r="C3145" s="44"/>
      <c r="D3145" s="44"/>
      <c r="E3145" s="38" t="s">
        <v>11520</v>
      </c>
      <c r="F3145" s="38" t="s">
        <v>10274</v>
      </c>
    </row>
    <row r="3146">
      <c r="B3146" s="44"/>
      <c r="C3146" s="44"/>
      <c r="D3146" s="38" t="s">
        <v>11521</v>
      </c>
      <c r="E3146" s="38" t="s">
        <v>11522</v>
      </c>
      <c r="F3146" s="44"/>
    </row>
    <row r="3147">
      <c r="B3147" s="38" t="s">
        <v>25</v>
      </c>
      <c r="C3147" s="38">
        <v>4.0</v>
      </c>
      <c r="D3147" s="38" t="s">
        <v>11523</v>
      </c>
      <c r="E3147" s="38" t="s">
        <v>6781</v>
      </c>
      <c r="F3147" s="38" t="s">
        <v>11524</v>
      </c>
    </row>
    <row r="3148">
      <c r="B3148" s="44"/>
      <c r="C3148" s="44"/>
      <c r="D3148" s="44"/>
      <c r="E3148" s="38" t="s">
        <v>5158</v>
      </c>
      <c r="F3148" s="38" t="s">
        <v>11525</v>
      </c>
      <c r="G3148" s="1" t="s">
        <v>144</v>
      </c>
    </row>
    <row r="3149">
      <c r="B3149" s="38" t="s">
        <v>11526</v>
      </c>
      <c r="C3149" s="44"/>
      <c r="D3149" s="38" t="s">
        <v>11527</v>
      </c>
      <c r="E3149" s="38" t="s">
        <v>11042</v>
      </c>
      <c r="F3149" s="44"/>
      <c r="G3149" s="38" t="s">
        <v>144</v>
      </c>
    </row>
    <row r="3150">
      <c r="B3150" s="38"/>
      <c r="C3150" s="44"/>
      <c r="D3150" s="38"/>
      <c r="E3150" s="38" t="s">
        <v>5188</v>
      </c>
      <c r="F3150" s="38" t="s">
        <v>11528</v>
      </c>
      <c r="G3150" s="38" t="s">
        <v>144</v>
      </c>
    </row>
    <row r="3151">
      <c r="B3151" s="38" t="s">
        <v>11529</v>
      </c>
      <c r="C3151" s="38" t="s">
        <v>11530</v>
      </c>
      <c r="D3151" s="38" t="s">
        <v>11531</v>
      </c>
      <c r="E3151" s="38" t="s">
        <v>2290</v>
      </c>
      <c r="F3151" s="38" t="s">
        <v>11532</v>
      </c>
      <c r="G3151" s="38" t="s">
        <v>11533</v>
      </c>
    </row>
    <row r="3152">
      <c r="B3152" s="38" t="s">
        <v>11534</v>
      </c>
      <c r="C3152" s="44"/>
      <c r="D3152" s="44"/>
      <c r="E3152" s="38" t="s">
        <v>11266</v>
      </c>
      <c r="F3152" s="38" t="s">
        <v>11535</v>
      </c>
    </row>
    <row r="3153">
      <c r="B3153" s="38" t="s">
        <v>11536</v>
      </c>
      <c r="C3153" s="44"/>
      <c r="D3153" s="44"/>
      <c r="E3153" s="38" t="s">
        <v>11266</v>
      </c>
      <c r="F3153" s="38" t="s">
        <v>11537</v>
      </c>
    </row>
    <row r="3154">
      <c r="B3154" s="38" t="s">
        <v>25</v>
      </c>
      <c r="C3154" s="38">
        <v>2.0</v>
      </c>
      <c r="D3154" s="38" t="s">
        <v>11538</v>
      </c>
      <c r="E3154" s="38" t="s">
        <v>337</v>
      </c>
      <c r="F3154" s="38" t="s">
        <v>11539</v>
      </c>
    </row>
    <row r="3155">
      <c r="B3155" s="38" t="s">
        <v>11540</v>
      </c>
      <c r="C3155" s="38">
        <v>2.0</v>
      </c>
      <c r="D3155" s="38" t="s">
        <v>11541</v>
      </c>
      <c r="E3155" s="38" t="s">
        <v>337</v>
      </c>
      <c r="F3155" s="38" t="s">
        <v>11539</v>
      </c>
    </row>
    <row r="3156">
      <c r="B3156" s="38" t="s">
        <v>2573</v>
      </c>
      <c r="C3156" s="38">
        <v>2.0</v>
      </c>
      <c r="D3156" s="38" t="s">
        <v>11542</v>
      </c>
      <c r="E3156" s="38" t="s">
        <v>974</v>
      </c>
      <c r="F3156" s="38" t="s">
        <v>11543</v>
      </c>
    </row>
    <row r="3157">
      <c r="B3157" s="38"/>
      <c r="C3157" s="38"/>
      <c r="D3157" s="38" t="s">
        <v>11544</v>
      </c>
      <c r="E3157" s="38" t="s">
        <v>974</v>
      </c>
      <c r="F3157" s="38" t="s">
        <v>11545</v>
      </c>
      <c r="G3157" s="38" t="s">
        <v>4421</v>
      </c>
    </row>
    <row r="3158">
      <c r="B3158" s="38" t="s">
        <v>11546</v>
      </c>
      <c r="C3158" s="38" t="s">
        <v>535</v>
      </c>
      <c r="D3158" s="44"/>
      <c r="E3158" s="38" t="s">
        <v>9759</v>
      </c>
      <c r="F3158" s="44"/>
      <c r="G3158" s="38" t="s">
        <v>11547</v>
      </c>
    </row>
    <row r="3159">
      <c r="B3159" s="38" t="s">
        <v>11548</v>
      </c>
      <c r="C3159" s="38" t="s">
        <v>11549</v>
      </c>
      <c r="D3159" s="38" t="s">
        <v>11550</v>
      </c>
      <c r="E3159" s="47" t="s">
        <v>9759</v>
      </c>
      <c r="F3159" s="38" t="s">
        <v>11551</v>
      </c>
      <c r="G3159" s="38" t="s">
        <v>11547</v>
      </c>
    </row>
    <row r="3160">
      <c r="B3160" s="44"/>
      <c r="C3160" s="44"/>
      <c r="D3160" s="38" t="s">
        <v>11552</v>
      </c>
      <c r="E3160" s="47" t="s">
        <v>11553</v>
      </c>
      <c r="F3160" s="38" t="s">
        <v>11554</v>
      </c>
    </row>
    <row r="3161">
      <c r="B3161" s="38" t="s">
        <v>2573</v>
      </c>
      <c r="C3161" s="38">
        <v>4.0</v>
      </c>
      <c r="D3161" s="38" t="s">
        <v>2097</v>
      </c>
      <c r="E3161" s="47" t="s">
        <v>11553</v>
      </c>
      <c r="F3161" s="38"/>
    </row>
    <row r="3162">
      <c r="B3162" s="38" t="s">
        <v>11555</v>
      </c>
      <c r="C3162" s="38" t="s">
        <v>11556</v>
      </c>
      <c r="D3162" s="44"/>
      <c r="E3162" s="47" t="s">
        <v>10866</v>
      </c>
      <c r="F3162" s="38" t="s">
        <v>11557</v>
      </c>
      <c r="G3162" s="38" t="s">
        <v>10671</v>
      </c>
    </row>
    <row r="3163">
      <c r="B3163" s="44"/>
      <c r="C3163" s="44"/>
      <c r="D3163" s="44"/>
      <c r="E3163" s="47" t="s">
        <v>10866</v>
      </c>
      <c r="F3163" s="38" t="s">
        <v>11558</v>
      </c>
      <c r="G3163" s="38" t="s">
        <v>10671</v>
      </c>
    </row>
    <row r="3164">
      <c r="A3164" s="465"/>
      <c r="B3164" s="38" t="s">
        <v>333</v>
      </c>
      <c r="C3164" s="38">
        <v>4.0</v>
      </c>
      <c r="D3164" s="38" t="s">
        <v>2423</v>
      </c>
      <c r="E3164" s="38" t="s">
        <v>1098</v>
      </c>
      <c r="F3164" s="38" t="s">
        <v>11559</v>
      </c>
      <c r="G3164" s="1" t="s">
        <v>11560</v>
      </c>
    </row>
    <row r="3165">
      <c r="B3165" s="38" t="s">
        <v>170</v>
      </c>
      <c r="C3165" s="38">
        <v>2.0</v>
      </c>
      <c r="D3165" s="38" t="s">
        <v>408</v>
      </c>
      <c r="E3165" s="38" t="s">
        <v>1098</v>
      </c>
      <c r="F3165" s="38" t="s">
        <v>11561</v>
      </c>
      <c r="G3165" s="38" t="s">
        <v>11562</v>
      </c>
    </row>
    <row r="3166">
      <c r="B3166" s="38" t="s">
        <v>166</v>
      </c>
      <c r="C3166" s="38">
        <v>2.0</v>
      </c>
      <c r="D3166" s="38" t="s">
        <v>408</v>
      </c>
      <c r="E3166" s="38" t="s">
        <v>1098</v>
      </c>
      <c r="F3166" s="38" t="s">
        <v>11563</v>
      </c>
      <c r="G3166" s="44"/>
    </row>
    <row r="3167">
      <c r="B3167" s="38" t="s">
        <v>853</v>
      </c>
      <c r="C3167" s="38">
        <v>1.0</v>
      </c>
      <c r="D3167" s="38" t="s">
        <v>11564</v>
      </c>
      <c r="E3167" s="38" t="s">
        <v>11565</v>
      </c>
      <c r="F3167" s="38" t="s">
        <v>1517</v>
      </c>
    </row>
    <row r="3168">
      <c r="B3168" s="38" t="s">
        <v>1100</v>
      </c>
      <c r="C3168" s="38">
        <v>1.0</v>
      </c>
      <c r="D3168" s="38" t="s">
        <v>11564</v>
      </c>
      <c r="E3168" s="38" t="s">
        <v>11565</v>
      </c>
      <c r="F3168" s="38" t="s">
        <v>11566</v>
      </c>
    </row>
    <row r="3169">
      <c r="B3169" s="38" t="s">
        <v>97</v>
      </c>
      <c r="C3169" s="38">
        <v>4.0</v>
      </c>
      <c r="D3169" s="38" t="s">
        <v>11567</v>
      </c>
      <c r="E3169" s="38" t="s">
        <v>873</v>
      </c>
      <c r="F3169" s="38" t="s">
        <v>11568</v>
      </c>
      <c r="G3169" s="38" t="s">
        <v>11569</v>
      </c>
    </row>
    <row r="3170">
      <c r="B3170" s="44"/>
      <c r="C3170" s="38">
        <v>4.0</v>
      </c>
      <c r="D3170" s="38" t="s">
        <v>11570</v>
      </c>
      <c r="E3170" s="38" t="s">
        <v>873</v>
      </c>
      <c r="F3170" s="38" t="s">
        <v>11571</v>
      </c>
      <c r="G3170" s="38" t="s">
        <v>11569</v>
      </c>
    </row>
    <row r="3171">
      <c r="B3171" s="44"/>
      <c r="C3171" s="38"/>
      <c r="D3171" s="44"/>
      <c r="E3171" s="38" t="s">
        <v>873</v>
      </c>
      <c r="F3171" s="38" t="s">
        <v>11471</v>
      </c>
      <c r="G3171" s="38" t="s">
        <v>11569</v>
      </c>
    </row>
    <row r="3172">
      <c r="B3172" s="38" t="s">
        <v>85</v>
      </c>
      <c r="C3172" s="38">
        <v>4.0</v>
      </c>
      <c r="D3172" s="38" t="s">
        <v>11572</v>
      </c>
      <c r="E3172" s="38" t="s">
        <v>1098</v>
      </c>
      <c r="F3172" s="38" t="s">
        <v>11573</v>
      </c>
      <c r="G3172" s="38" t="s">
        <v>11574</v>
      </c>
    </row>
    <row r="3173">
      <c r="B3173" s="38" t="s">
        <v>97</v>
      </c>
      <c r="C3173" s="38">
        <v>4.0</v>
      </c>
      <c r="D3173" s="38" t="s">
        <v>11575</v>
      </c>
      <c r="E3173" s="38" t="s">
        <v>4741</v>
      </c>
      <c r="F3173" s="38" t="s">
        <v>11576</v>
      </c>
    </row>
    <row r="3174">
      <c r="B3174" s="38" t="s">
        <v>308</v>
      </c>
      <c r="C3174" s="38">
        <v>4.0</v>
      </c>
      <c r="D3174" s="38" t="s">
        <v>9737</v>
      </c>
      <c r="E3174" s="47" t="s">
        <v>11577</v>
      </c>
      <c r="F3174" s="38" t="s">
        <v>11578</v>
      </c>
    </row>
    <row r="3175">
      <c r="B3175" s="38" t="s">
        <v>1575</v>
      </c>
      <c r="C3175" s="38">
        <v>4.0</v>
      </c>
      <c r="D3175" s="38" t="s">
        <v>4807</v>
      </c>
      <c r="E3175" s="38" t="s">
        <v>11579</v>
      </c>
      <c r="F3175" s="38" t="s">
        <v>11580</v>
      </c>
    </row>
    <row r="3176">
      <c r="B3176" s="38" t="s">
        <v>85</v>
      </c>
      <c r="C3176" s="38">
        <v>2.0</v>
      </c>
      <c r="D3176" s="38" t="s">
        <v>2097</v>
      </c>
      <c r="E3176" s="38" t="s">
        <v>11579</v>
      </c>
      <c r="F3176" s="38" t="s">
        <v>11580</v>
      </c>
    </row>
    <row r="3177">
      <c r="B3177" s="38" t="s">
        <v>3958</v>
      </c>
      <c r="C3177" s="38">
        <v>1.0</v>
      </c>
      <c r="D3177" s="38" t="s">
        <v>11376</v>
      </c>
      <c r="E3177" s="38" t="s">
        <v>11581</v>
      </c>
      <c r="F3177" s="38" t="s">
        <v>11582</v>
      </c>
    </row>
    <row r="3178">
      <c r="B3178" s="38" t="s">
        <v>11583</v>
      </c>
      <c r="C3178" s="38" t="s">
        <v>11584</v>
      </c>
      <c r="D3178" s="38" t="s">
        <v>11585</v>
      </c>
      <c r="E3178" s="38" t="s">
        <v>11586</v>
      </c>
      <c r="F3178" s="38" t="s">
        <v>11587</v>
      </c>
      <c r="G3178" s="44"/>
      <c r="H3178" s="44"/>
    </row>
    <row r="3179">
      <c r="B3179" s="47" t="s">
        <v>11588</v>
      </c>
      <c r="C3179" s="47" t="s">
        <v>11589</v>
      </c>
      <c r="D3179" s="38" t="s">
        <v>11590</v>
      </c>
      <c r="E3179" s="38" t="s">
        <v>11586</v>
      </c>
      <c r="F3179" s="44"/>
      <c r="G3179" s="44"/>
      <c r="H3179" s="44"/>
    </row>
    <row r="3180">
      <c r="B3180" s="38" t="s">
        <v>11591</v>
      </c>
      <c r="C3180" s="38" t="s">
        <v>11592</v>
      </c>
      <c r="D3180" s="38" t="s">
        <v>11593</v>
      </c>
      <c r="E3180" s="38" t="s">
        <v>11586</v>
      </c>
      <c r="F3180" s="44"/>
      <c r="G3180" s="44"/>
      <c r="H3180" s="44"/>
    </row>
    <row r="3181">
      <c r="B3181" s="38" t="s">
        <v>11594</v>
      </c>
      <c r="C3181" s="85" t="s">
        <v>11595</v>
      </c>
      <c r="D3181" s="38" t="s">
        <v>11596</v>
      </c>
      <c r="E3181" s="38" t="s">
        <v>11586</v>
      </c>
      <c r="F3181" s="38" t="s">
        <v>11597</v>
      </c>
      <c r="G3181" s="44"/>
      <c r="H3181" s="44"/>
    </row>
    <row r="3182">
      <c r="B3182" s="38"/>
      <c r="C3182" s="85"/>
      <c r="D3182" s="38"/>
      <c r="E3182" s="38" t="s">
        <v>11586</v>
      </c>
      <c r="F3182" s="38" t="s">
        <v>11598</v>
      </c>
      <c r="G3182" s="44"/>
      <c r="H3182" s="44"/>
    </row>
    <row r="3183">
      <c r="B3183" s="38"/>
      <c r="C3183" s="85"/>
      <c r="D3183" s="38"/>
      <c r="E3183" s="38" t="s">
        <v>11586</v>
      </c>
      <c r="F3183" s="38" t="s">
        <v>11599</v>
      </c>
      <c r="G3183" s="38" t="s">
        <v>11600</v>
      </c>
      <c r="H3183" s="38" t="s">
        <v>11601</v>
      </c>
    </row>
    <row r="3184">
      <c r="B3184" s="38"/>
      <c r="C3184" s="85"/>
      <c r="D3184" s="38" t="s">
        <v>11602</v>
      </c>
      <c r="E3184" s="38" t="s">
        <v>11586</v>
      </c>
      <c r="F3184" s="38" t="s">
        <v>11603</v>
      </c>
      <c r="G3184" s="38" t="s">
        <v>11604</v>
      </c>
      <c r="H3184" s="38" t="s">
        <v>11605</v>
      </c>
    </row>
    <row r="3185">
      <c r="B3185" s="38" t="s">
        <v>718</v>
      </c>
      <c r="C3185" s="38">
        <v>4.0</v>
      </c>
      <c r="D3185" s="38" t="s">
        <v>123</v>
      </c>
      <c r="E3185" s="38" t="s">
        <v>11606</v>
      </c>
      <c r="F3185" s="38" t="s">
        <v>11607</v>
      </c>
    </row>
    <row r="3186">
      <c r="B3186" s="44"/>
      <c r="C3186" s="44"/>
      <c r="D3186" s="38" t="s">
        <v>11608</v>
      </c>
      <c r="E3186" s="38" t="s">
        <v>974</v>
      </c>
      <c r="F3186" s="44"/>
      <c r="G3186" s="38" t="s">
        <v>4421</v>
      </c>
    </row>
    <row r="3187">
      <c r="B3187" s="38" t="s">
        <v>11609</v>
      </c>
      <c r="C3187" s="44"/>
      <c r="D3187" s="38" t="s">
        <v>11610</v>
      </c>
      <c r="E3187" s="38" t="s">
        <v>974</v>
      </c>
      <c r="F3187" s="38" t="s">
        <v>11611</v>
      </c>
      <c r="G3187" s="38" t="s">
        <v>4421</v>
      </c>
    </row>
    <row r="3188">
      <c r="B3188" s="38" t="s">
        <v>11612</v>
      </c>
      <c r="C3188" s="38" t="s">
        <v>11613</v>
      </c>
      <c r="D3188" s="440" t="s">
        <v>11614</v>
      </c>
      <c r="E3188" s="47" t="s">
        <v>11484</v>
      </c>
      <c r="F3188" s="38" t="s">
        <v>11615</v>
      </c>
    </row>
    <row r="3189">
      <c r="B3189" s="44"/>
      <c r="C3189" s="44"/>
      <c r="D3189" s="44"/>
      <c r="E3189" s="38" t="s">
        <v>11616</v>
      </c>
      <c r="F3189" s="38" t="s">
        <v>11617</v>
      </c>
      <c r="G3189" s="38" t="s">
        <v>11618</v>
      </c>
    </row>
    <row r="3190">
      <c r="B3190" s="85" t="s">
        <v>11619</v>
      </c>
      <c r="C3190" s="38" t="s">
        <v>11620</v>
      </c>
      <c r="D3190" s="38" t="s">
        <v>11621</v>
      </c>
      <c r="E3190" s="38" t="s">
        <v>11622</v>
      </c>
      <c r="F3190" s="38" t="s">
        <v>11623</v>
      </c>
    </row>
    <row r="3191">
      <c r="B3191" s="44"/>
      <c r="C3191" s="44"/>
      <c r="D3191" s="38" t="s">
        <v>11624</v>
      </c>
      <c r="E3191" s="38" t="s">
        <v>11625</v>
      </c>
      <c r="F3191" s="38" t="s">
        <v>11626</v>
      </c>
    </row>
    <row r="3192">
      <c r="B3192" s="38" t="s">
        <v>1513</v>
      </c>
      <c r="C3192" s="38">
        <v>4.0</v>
      </c>
      <c r="D3192" s="38" t="s">
        <v>11627</v>
      </c>
      <c r="E3192" s="38" t="s">
        <v>11628</v>
      </c>
      <c r="F3192" s="38" t="s">
        <v>11629</v>
      </c>
    </row>
    <row r="3193">
      <c r="B3193" s="38" t="s">
        <v>11630</v>
      </c>
      <c r="C3193" s="38" t="s">
        <v>11631</v>
      </c>
      <c r="D3193" s="38" t="s">
        <v>3573</v>
      </c>
      <c r="E3193" s="38" t="s">
        <v>5158</v>
      </c>
      <c r="F3193" s="38" t="s">
        <v>144</v>
      </c>
    </row>
    <row r="3194">
      <c r="B3194" s="38" t="s">
        <v>982</v>
      </c>
      <c r="C3194" s="38">
        <v>1.0</v>
      </c>
      <c r="D3194" s="38" t="s">
        <v>11632</v>
      </c>
      <c r="E3194" s="38" t="s">
        <v>11633</v>
      </c>
      <c r="F3194" s="38" t="s">
        <v>11634</v>
      </c>
    </row>
    <row r="3195">
      <c r="B3195" s="38" t="s">
        <v>11635</v>
      </c>
      <c r="C3195" s="38" t="s">
        <v>535</v>
      </c>
      <c r="D3195" s="38" t="s">
        <v>11636</v>
      </c>
      <c r="E3195" s="38" t="s">
        <v>11637</v>
      </c>
      <c r="F3195" s="38" t="s">
        <v>11638</v>
      </c>
      <c r="G3195" s="38" t="s">
        <v>11639</v>
      </c>
    </row>
    <row r="3196">
      <c r="B3196" s="38" t="s">
        <v>11640</v>
      </c>
      <c r="C3196" s="38" t="s">
        <v>11641</v>
      </c>
      <c r="D3196" s="38" t="s">
        <v>11642</v>
      </c>
      <c r="E3196" s="38" t="s">
        <v>11643</v>
      </c>
      <c r="F3196" s="38" t="s">
        <v>11644</v>
      </c>
    </row>
    <row r="3197">
      <c r="B3197" s="44"/>
      <c r="C3197" s="44"/>
      <c r="D3197" s="38" t="s">
        <v>11645</v>
      </c>
      <c r="E3197" s="38" t="s">
        <v>11643</v>
      </c>
      <c r="F3197" s="44"/>
    </row>
    <row r="3198">
      <c r="B3198" s="38" t="s">
        <v>25</v>
      </c>
      <c r="C3198" s="38">
        <v>4.0</v>
      </c>
      <c r="D3198" s="38" t="s">
        <v>229</v>
      </c>
      <c r="E3198" s="38" t="s">
        <v>11643</v>
      </c>
      <c r="F3198" s="38" t="s">
        <v>11646</v>
      </c>
    </row>
    <row r="3199">
      <c r="B3199" s="38" t="s">
        <v>11647</v>
      </c>
      <c r="C3199" s="38" t="s">
        <v>11648</v>
      </c>
      <c r="D3199" s="38" t="s">
        <v>535</v>
      </c>
      <c r="E3199" s="38" t="s">
        <v>1206</v>
      </c>
      <c r="F3199" s="44"/>
    </row>
    <row r="3200">
      <c r="B3200" s="38" t="s">
        <v>982</v>
      </c>
      <c r="C3200" s="38">
        <v>4.0</v>
      </c>
      <c r="D3200" s="38" t="s">
        <v>11649</v>
      </c>
      <c r="E3200" s="38" t="s">
        <v>11650</v>
      </c>
      <c r="F3200" s="38" t="s">
        <v>11651</v>
      </c>
    </row>
    <row r="3201">
      <c r="B3201" s="38" t="s">
        <v>789</v>
      </c>
      <c r="C3201" s="38">
        <v>2.0</v>
      </c>
      <c r="D3201" s="38" t="s">
        <v>11652</v>
      </c>
      <c r="E3201" s="38" t="s">
        <v>11653</v>
      </c>
      <c r="F3201" s="38" t="s">
        <v>11654</v>
      </c>
    </row>
    <row r="3202">
      <c r="B3202" s="38" t="s">
        <v>2329</v>
      </c>
      <c r="C3202" s="38">
        <v>4.0</v>
      </c>
      <c r="D3202" s="38" t="s">
        <v>11655</v>
      </c>
      <c r="E3202" s="38" t="s">
        <v>6921</v>
      </c>
      <c r="F3202" s="38" t="s">
        <v>11656</v>
      </c>
    </row>
    <row r="3203">
      <c r="A3203" s="38" t="s">
        <v>9431</v>
      </c>
      <c r="B3203" s="44"/>
      <c r="C3203" s="331" t="s">
        <v>11657</v>
      </c>
      <c r="D3203" s="334" t="s">
        <v>9433</v>
      </c>
      <c r="E3203" s="38" t="s">
        <v>2438</v>
      </c>
      <c r="F3203" s="334" t="s">
        <v>11658</v>
      </c>
      <c r="G3203" s="38" t="s">
        <v>144</v>
      </c>
    </row>
    <row r="3204">
      <c r="A3204" s="482">
        <v>44713.0</v>
      </c>
      <c r="B3204" s="65"/>
      <c r="C3204" s="483"/>
      <c r="D3204" s="38" t="s">
        <v>11659</v>
      </c>
      <c r="E3204" s="38" t="s">
        <v>2438</v>
      </c>
      <c r="F3204" s="47" t="s">
        <v>11660</v>
      </c>
      <c r="G3204" s="38" t="s">
        <v>144</v>
      </c>
    </row>
    <row r="3205">
      <c r="A3205" s="44"/>
      <c r="B3205" s="44"/>
      <c r="C3205" s="334"/>
      <c r="D3205" s="38" t="s">
        <v>11661</v>
      </c>
      <c r="E3205" s="38" t="s">
        <v>2438</v>
      </c>
      <c r="F3205" s="44"/>
      <c r="G3205" s="38" t="s">
        <v>144</v>
      </c>
    </row>
    <row r="3206">
      <c r="B3206" s="44"/>
      <c r="C3206" s="305" t="s">
        <v>11662</v>
      </c>
      <c r="D3206" s="44"/>
      <c r="E3206" s="38" t="s">
        <v>974</v>
      </c>
      <c r="F3206" s="38" t="s">
        <v>4421</v>
      </c>
    </row>
    <row r="3207">
      <c r="B3207" s="38" t="s">
        <v>11663</v>
      </c>
      <c r="C3207" s="44"/>
      <c r="D3207" s="44"/>
      <c r="E3207" s="38" t="s">
        <v>4210</v>
      </c>
      <c r="F3207" s="38" t="s">
        <v>11664</v>
      </c>
    </row>
    <row r="3208">
      <c r="B3208" s="38" t="s">
        <v>122</v>
      </c>
      <c r="C3208" s="38">
        <v>2.0</v>
      </c>
      <c r="D3208" s="38" t="s">
        <v>11665</v>
      </c>
      <c r="E3208" s="38" t="s">
        <v>6440</v>
      </c>
      <c r="F3208" s="38" t="s">
        <v>11666</v>
      </c>
    </row>
    <row r="3209">
      <c r="B3209" s="38" t="s">
        <v>357</v>
      </c>
      <c r="C3209" s="38">
        <v>2.0</v>
      </c>
      <c r="D3209" s="38" t="s">
        <v>11667</v>
      </c>
      <c r="E3209" s="38" t="s">
        <v>11668</v>
      </c>
      <c r="F3209" s="38" t="s">
        <v>11669</v>
      </c>
    </row>
    <row r="3210">
      <c r="B3210" s="38" t="s">
        <v>2698</v>
      </c>
      <c r="C3210" s="38">
        <v>2.0</v>
      </c>
      <c r="D3210" s="38" t="s">
        <v>11670</v>
      </c>
      <c r="E3210" s="38" t="s">
        <v>11671</v>
      </c>
      <c r="F3210" s="38" t="s">
        <v>11672</v>
      </c>
    </row>
    <row r="3211">
      <c r="B3211" s="38" t="s">
        <v>25</v>
      </c>
      <c r="C3211" s="38">
        <v>2.0</v>
      </c>
      <c r="D3211" s="38" t="s">
        <v>289</v>
      </c>
      <c r="E3211" s="38" t="s">
        <v>11673</v>
      </c>
      <c r="F3211" s="38" t="s">
        <v>11674</v>
      </c>
    </row>
    <row r="3212">
      <c r="B3212" s="38" t="s">
        <v>25</v>
      </c>
      <c r="C3212" s="38">
        <v>4.0</v>
      </c>
      <c r="D3212" s="38" t="s">
        <v>433</v>
      </c>
      <c r="E3212" s="38" t="s">
        <v>11522</v>
      </c>
      <c r="F3212" s="38" t="s">
        <v>11675</v>
      </c>
    </row>
    <row r="3213">
      <c r="B3213" s="44"/>
      <c r="C3213" s="44"/>
      <c r="D3213" s="38" t="s">
        <v>11676</v>
      </c>
      <c r="E3213" s="38" t="s">
        <v>974</v>
      </c>
      <c r="F3213" s="38" t="s">
        <v>868</v>
      </c>
      <c r="G3213" s="38" t="s">
        <v>4421</v>
      </c>
    </row>
    <row r="3214">
      <c r="B3214" s="44"/>
      <c r="C3214" s="44"/>
      <c r="D3214" s="44"/>
      <c r="E3214" s="38" t="s">
        <v>11677</v>
      </c>
      <c r="F3214" s="38" t="s">
        <v>11678</v>
      </c>
      <c r="G3214" s="38" t="s">
        <v>4421</v>
      </c>
    </row>
    <row r="3215">
      <c r="B3215" s="44"/>
      <c r="C3215" s="44"/>
      <c r="D3215" s="44"/>
      <c r="E3215" s="38" t="s">
        <v>11677</v>
      </c>
      <c r="F3215" s="38" t="s">
        <v>11679</v>
      </c>
      <c r="G3215" s="38" t="s">
        <v>4421</v>
      </c>
    </row>
    <row r="3216">
      <c r="B3216" s="44"/>
      <c r="C3216" s="44"/>
      <c r="D3216" s="44"/>
      <c r="E3216" s="353" t="s">
        <v>6915</v>
      </c>
      <c r="F3216" s="38" t="s">
        <v>11680</v>
      </c>
      <c r="G3216" s="38" t="s">
        <v>4421</v>
      </c>
    </row>
    <row r="3217">
      <c r="B3217" s="44"/>
      <c r="C3217" s="44"/>
      <c r="D3217" s="44"/>
      <c r="E3217" s="353" t="s">
        <v>6915</v>
      </c>
      <c r="F3217" s="38" t="s">
        <v>11681</v>
      </c>
      <c r="G3217" s="38" t="s">
        <v>4421</v>
      </c>
    </row>
    <row r="3218">
      <c r="B3218" s="44"/>
      <c r="C3218" s="44"/>
      <c r="D3218" s="44"/>
      <c r="E3218" s="353" t="s">
        <v>6915</v>
      </c>
      <c r="F3218" s="38" t="s">
        <v>11682</v>
      </c>
      <c r="G3218" s="38" t="s">
        <v>4421</v>
      </c>
    </row>
    <row r="3219">
      <c r="B3219" s="44"/>
      <c r="C3219" s="44"/>
      <c r="D3219" s="44"/>
      <c r="E3219" s="353" t="s">
        <v>6915</v>
      </c>
      <c r="F3219" s="38" t="s">
        <v>11683</v>
      </c>
      <c r="G3219" s="38" t="s">
        <v>4421</v>
      </c>
    </row>
    <row r="3220">
      <c r="B3220" s="44"/>
      <c r="C3220" s="44"/>
      <c r="D3220" s="44"/>
      <c r="E3220" s="353" t="s">
        <v>6915</v>
      </c>
      <c r="F3220" s="38" t="s">
        <v>11684</v>
      </c>
      <c r="G3220" s="38" t="s">
        <v>4421</v>
      </c>
    </row>
    <row r="3221">
      <c r="B3221" s="38" t="s">
        <v>411</v>
      </c>
      <c r="C3221" s="38">
        <v>4.0</v>
      </c>
      <c r="D3221" s="38" t="s">
        <v>2389</v>
      </c>
      <c r="E3221" s="38" t="s">
        <v>1141</v>
      </c>
      <c r="F3221" s="38" t="s">
        <v>11685</v>
      </c>
    </row>
    <row r="3222">
      <c r="B3222" s="38" t="s">
        <v>718</v>
      </c>
      <c r="C3222" s="38">
        <v>2.0</v>
      </c>
      <c r="D3222" s="38" t="s">
        <v>123</v>
      </c>
      <c r="E3222" s="38" t="s">
        <v>5158</v>
      </c>
      <c r="F3222" s="38" t="s">
        <v>175</v>
      </c>
      <c r="G3222" s="1" t="s">
        <v>144</v>
      </c>
    </row>
    <row r="3223">
      <c r="B3223" s="44"/>
      <c r="C3223" s="44"/>
      <c r="D3223" s="44"/>
      <c r="E3223" s="38" t="s">
        <v>5158</v>
      </c>
      <c r="F3223" s="38" t="s">
        <v>11686</v>
      </c>
      <c r="G3223" s="1" t="s">
        <v>144</v>
      </c>
    </row>
    <row r="3224">
      <c r="B3224" s="44"/>
      <c r="C3224" s="44"/>
      <c r="D3224" s="38" t="s">
        <v>11687</v>
      </c>
      <c r="E3224" s="38" t="s">
        <v>11688</v>
      </c>
      <c r="F3224" s="38" t="s">
        <v>11689</v>
      </c>
      <c r="G3224" s="1" t="s">
        <v>144</v>
      </c>
    </row>
    <row r="3225">
      <c r="B3225" s="38" t="s">
        <v>246</v>
      </c>
      <c r="C3225" s="38">
        <v>4.0</v>
      </c>
      <c r="D3225" s="38" t="s">
        <v>1359</v>
      </c>
      <c r="E3225" s="38" t="s">
        <v>221</v>
      </c>
      <c r="F3225" s="38" t="s">
        <v>11690</v>
      </c>
      <c r="G3225" s="1" t="s">
        <v>175</v>
      </c>
    </row>
    <row r="3226">
      <c r="D3226" s="1" t="s">
        <v>11691</v>
      </c>
      <c r="E3226" s="1" t="s">
        <v>4851</v>
      </c>
      <c r="F3226" s="1" t="s">
        <v>11692</v>
      </c>
    </row>
    <row r="3227">
      <c r="B3227" s="38" t="s">
        <v>11693</v>
      </c>
      <c r="C3227" s="352" t="s">
        <v>11694</v>
      </c>
      <c r="D3227" s="38" t="s">
        <v>11695</v>
      </c>
      <c r="E3227" s="38" t="s">
        <v>11696</v>
      </c>
      <c r="F3227" s="38" t="s">
        <v>11697</v>
      </c>
    </row>
    <row r="3228">
      <c r="B3228" s="38"/>
      <c r="C3228" s="38" t="s">
        <v>701</v>
      </c>
      <c r="D3228" s="38" t="s">
        <v>11698</v>
      </c>
      <c r="E3228" s="38" t="s">
        <v>11696</v>
      </c>
      <c r="F3228" s="44"/>
    </row>
    <row r="3229">
      <c r="B3229" s="38"/>
      <c r="C3229" s="44"/>
      <c r="D3229" s="44"/>
      <c r="E3229" s="38" t="s">
        <v>11696</v>
      </c>
      <c r="F3229" s="44"/>
      <c r="G3229" s="22" t="s">
        <v>11699</v>
      </c>
    </row>
    <row r="3230">
      <c r="B3230" s="38" t="s">
        <v>77</v>
      </c>
      <c r="C3230" s="38">
        <v>4.0</v>
      </c>
      <c r="D3230" s="38" t="s">
        <v>289</v>
      </c>
      <c r="E3230" s="38" t="s">
        <v>11700</v>
      </c>
      <c r="F3230" s="38" t="s">
        <v>11701</v>
      </c>
    </row>
    <row r="3231">
      <c r="B3231" s="38" t="s">
        <v>177</v>
      </c>
      <c r="C3231" s="38">
        <v>4.0</v>
      </c>
      <c r="D3231" s="38" t="s">
        <v>6913</v>
      </c>
      <c r="E3231" s="38" t="s">
        <v>11702</v>
      </c>
      <c r="F3231" s="38" t="s">
        <v>11703</v>
      </c>
    </row>
    <row r="3232">
      <c r="B3232" s="38" t="s">
        <v>77</v>
      </c>
      <c r="C3232" s="38">
        <v>4.0</v>
      </c>
      <c r="D3232" s="38" t="s">
        <v>289</v>
      </c>
      <c r="E3232" s="38" t="s">
        <v>355</v>
      </c>
      <c r="F3232" s="38" t="s">
        <v>11704</v>
      </c>
    </row>
    <row r="3233">
      <c r="B3233" s="38" t="s">
        <v>11705</v>
      </c>
      <c r="C3233" s="38">
        <v>2.0</v>
      </c>
      <c r="D3233" s="38" t="s">
        <v>2792</v>
      </c>
      <c r="E3233" s="38" t="s">
        <v>6575</v>
      </c>
      <c r="F3233" s="38" t="s">
        <v>11706</v>
      </c>
    </row>
    <row r="3234">
      <c r="B3234" s="38" t="s">
        <v>11707</v>
      </c>
      <c r="C3234" s="38" t="s">
        <v>11708</v>
      </c>
      <c r="D3234" s="47" t="s">
        <v>11709</v>
      </c>
      <c r="E3234" s="38" t="s">
        <v>2801</v>
      </c>
      <c r="F3234" s="38" t="s">
        <v>11710</v>
      </c>
    </row>
    <row r="3235">
      <c r="B3235" s="38"/>
      <c r="C3235" s="47" t="s">
        <v>11711</v>
      </c>
      <c r="D3235" s="38" t="s">
        <v>11712</v>
      </c>
      <c r="E3235" s="38" t="s">
        <v>2801</v>
      </c>
      <c r="F3235" s="44"/>
    </row>
    <row r="3236">
      <c r="B3236" s="390" t="s">
        <v>11713</v>
      </c>
      <c r="C3236" s="38" t="s">
        <v>11714</v>
      </c>
      <c r="D3236" s="38" t="s">
        <v>11715</v>
      </c>
      <c r="E3236" s="38" t="s">
        <v>2801</v>
      </c>
      <c r="F3236" s="38"/>
    </row>
    <row r="3237">
      <c r="B3237" s="390"/>
      <c r="C3237" s="38" t="s">
        <v>11716</v>
      </c>
      <c r="D3237" s="38" t="s">
        <v>11717</v>
      </c>
      <c r="E3237" s="38" t="s">
        <v>2801</v>
      </c>
      <c r="F3237" s="38" t="s">
        <v>11718</v>
      </c>
    </row>
    <row r="3238">
      <c r="B3238" s="390"/>
      <c r="C3238" s="38"/>
      <c r="D3238" s="38" t="s">
        <v>11719</v>
      </c>
      <c r="E3238" s="38" t="s">
        <v>2801</v>
      </c>
      <c r="F3238" s="38"/>
    </row>
    <row r="3239">
      <c r="B3239" s="38" t="s">
        <v>11720</v>
      </c>
      <c r="C3239" s="38" t="s">
        <v>11721</v>
      </c>
      <c r="D3239" s="99" t="s">
        <v>6246</v>
      </c>
      <c r="E3239" s="38" t="s">
        <v>10668</v>
      </c>
      <c r="F3239" s="44"/>
    </row>
    <row r="3240">
      <c r="B3240" s="38" t="s">
        <v>1795</v>
      </c>
      <c r="C3240" s="38">
        <v>1.0</v>
      </c>
      <c r="D3240" s="38" t="s">
        <v>11722</v>
      </c>
      <c r="E3240" s="38" t="s">
        <v>11723</v>
      </c>
      <c r="F3240" s="38" t="s">
        <v>11724</v>
      </c>
    </row>
    <row r="3241">
      <c r="B3241" s="38" t="s">
        <v>1798</v>
      </c>
      <c r="C3241" s="38">
        <v>1.0</v>
      </c>
      <c r="D3241" s="38" t="s">
        <v>11722</v>
      </c>
      <c r="E3241" s="38" t="s">
        <v>11723</v>
      </c>
      <c r="F3241" s="38" t="s">
        <v>11724</v>
      </c>
    </row>
    <row r="3242">
      <c r="B3242" s="38" t="s">
        <v>11725</v>
      </c>
      <c r="C3242" s="484" t="s">
        <v>11726</v>
      </c>
      <c r="D3242" s="38" t="s">
        <v>11727</v>
      </c>
      <c r="E3242" s="38" t="s">
        <v>11728</v>
      </c>
      <c r="F3242" s="38" t="s">
        <v>11729</v>
      </c>
      <c r="G3242" s="38" t="s">
        <v>11730</v>
      </c>
    </row>
    <row r="3243">
      <c r="B3243" s="38" t="s">
        <v>11731</v>
      </c>
      <c r="C3243" s="38" t="s">
        <v>11732</v>
      </c>
      <c r="D3243" s="38" t="s">
        <v>11733</v>
      </c>
      <c r="E3243" s="38" t="s">
        <v>11728</v>
      </c>
      <c r="F3243" s="38" t="s">
        <v>11734</v>
      </c>
      <c r="G3243" s="38" t="s">
        <v>11730</v>
      </c>
    </row>
    <row r="3244">
      <c r="B3244" s="38" t="s">
        <v>25</v>
      </c>
      <c r="C3244" s="38">
        <v>4.0</v>
      </c>
      <c r="D3244" s="38" t="s">
        <v>4326</v>
      </c>
      <c r="E3244" s="281" t="s">
        <v>6999</v>
      </c>
      <c r="F3244" s="38" t="s">
        <v>11735</v>
      </c>
    </row>
    <row r="3245">
      <c r="B3245" s="38" t="s">
        <v>416</v>
      </c>
      <c r="C3245" s="38">
        <v>2.0</v>
      </c>
      <c r="D3245" s="38" t="s">
        <v>964</v>
      </c>
      <c r="E3245" s="38" t="s">
        <v>11736</v>
      </c>
      <c r="F3245" s="38" t="s">
        <v>11737</v>
      </c>
    </row>
    <row r="3246">
      <c r="B3246" s="38" t="s">
        <v>11738</v>
      </c>
      <c r="C3246" s="38" t="s">
        <v>11739</v>
      </c>
      <c r="D3246" s="38" t="s">
        <v>11740</v>
      </c>
      <c r="E3246" s="38" t="s">
        <v>2971</v>
      </c>
      <c r="F3246" s="38" t="s">
        <v>11741</v>
      </c>
    </row>
    <row r="3247">
      <c r="B3247" s="44"/>
      <c r="C3247" s="38" t="s">
        <v>1540</v>
      </c>
      <c r="D3247" s="38" t="s">
        <v>9786</v>
      </c>
      <c r="E3247" s="38" t="s">
        <v>11742</v>
      </c>
      <c r="F3247" s="44"/>
      <c r="G3247" s="38" t="s">
        <v>11743</v>
      </c>
    </row>
    <row r="3248">
      <c r="B3248" s="38" t="s">
        <v>11744</v>
      </c>
      <c r="C3248" s="44"/>
      <c r="D3248" s="44"/>
      <c r="E3248" s="38" t="s">
        <v>11742</v>
      </c>
      <c r="F3248" s="44"/>
      <c r="G3248" s="38" t="s">
        <v>11743</v>
      </c>
    </row>
    <row r="3249">
      <c r="A3249" s="1"/>
      <c r="B3249" s="38" t="s">
        <v>11745</v>
      </c>
      <c r="C3249" s="44"/>
      <c r="D3249" s="44"/>
      <c r="E3249" s="38" t="s">
        <v>11742</v>
      </c>
      <c r="F3249" s="44"/>
      <c r="G3249" s="38" t="s">
        <v>11743</v>
      </c>
    </row>
    <row r="3250">
      <c r="A3250" s="1"/>
      <c r="B3250" s="38" t="s">
        <v>11746</v>
      </c>
      <c r="C3250" s="44"/>
      <c r="D3250" s="38" t="s">
        <v>10631</v>
      </c>
      <c r="E3250" s="38" t="s">
        <v>11742</v>
      </c>
      <c r="F3250" s="44"/>
      <c r="G3250" s="38" t="s">
        <v>11743</v>
      </c>
    </row>
    <row r="3251">
      <c r="B3251" s="352" t="s">
        <v>11747</v>
      </c>
      <c r="C3251" s="38" t="s">
        <v>11748</v>
      </c>
      <c r="D3251" s="38" t="s">
        <v>11749</v>
      </c>
      <c r="E3251" s="38" t="s">
        <v>11750</v>
      </c>
      <c r="F3251" s="38" t="s">
        <v>11751</v>
      </c>
      <c r="G3251" s="44"/>
      <c r="H3251" s="1" t="s">
        <v>4421</v>
      </c>
    </row>
    <row r="3252">
      <c r="B3252" s="38" t="s">
        <v>1347</v>
      </c>
      <c r="C3252" s="38" t="s">
        <v>11752</v>
      </c>
      <c r="D3252" s="38" t="s">
        <v>11753</v>
      </c>
      <c r="E3252" s="38" t="s">
        <v>11750</v>
      </c>
      <c r="F3252" s="38" t="s">
        <v>11754</v>
      </c>
      <c r="G3252" s="44"/>
      <c r="H3252" s="1" t="s">
        <v>4421</v>
      </c>
    </row>
    <row r="3253">
      <c r="B3253" s="38" t="s">
        <v>11755</v>
      </c>
      <c r="C3253" s="390" t="s">
        <v>11756</v>
      </c>
      <c r="D3253" s="38" t="s">
        <v>11757</v>
      </c>
      <c r="E3253" s="38" t="s">
        <v>11750</v>
      </c>
      <c r="F3253" s="38" t="s">
        <v>11758</v>
      </c>
      <c r="G3253" s="44"/>
      <c r="H3253" s="1" t="s">
        <v>4421</v>
      </c>
    </row>
    <row r="3254">
      <c r="B3254" s="38" t="s">
        <v>11759</v>
      </c>
      <c r="C3254" s="390"/>
      <c r="D3254" s="38" t="s">
        <v>11760</v>
      </c>
      <c r="E3254" s="38" t="s">
        <v>11750</v>
      </c>
      <c r="F3254" s="38" t="s">
        <v>11761</v>
      </c>
      <c r="G3254" s="44"/>
      <c r="H3254" s="1" t="s">
        <v>4421</v>
      </c>
    </row>
    <row r="3255">
      <c r="B3255" s="38" t="s">
        <v>195</v>
      </c>
      <c r="C3255" s="38">
        <v>2.0</v>
      </c>
      <c r="D3255" s="38" t="s">
        <v>11762</v>
      </c>
      <c r="E3255" s="38" t="s">
        <v>11763</v>
      </c>
      <c r="F3255" s="38" t="s">
        <v>11764</v>
      </c>
    </row>
    <row r="3256">
      <c r="B3256" s="44"/>
      <c r="C3256" s="44"/>
      <c r="D3256" s="38" t="s">
        <v>11765</v>
      </c>
      <c r="E3256" s="38" t="s">
        <v>1736</v>
      </c>
      <c r="F3256" s="38" t="s">
        <v>11766</v>
      </c>
      <c r="G3256" s="38" t="s">
        <v>11767</v>
      </c>
    </row>
    <row r="3257">
      <c r="B3257" s="38" t="s">
        <v>789</v>
      </c>
      <c r="C3257" s="38">
        <v>4.0</v>
      </c>
      <c r="D3257" s="38" t="s">
        <v>123</v>
      </c>
      <c r="E3257" s="38" t="s">
        <v>1017</v>
      </c>
      <c r="F3257" s="38" t="s">
        <v>11768</v>
      </c>
    </row>
    <row r="3258">
      <c r="B3258" s="44"/>
      <c r="C3258" s="44"/>
      <c r="D3258" s="38" t="s">
        <v>1698</v>
      </c>
      <c r="E3258" s="38" t="s">
        <v>1017</v>
      </c>
      <c r="F3258" s="38" t="s">
        <v>11768</v>
      </c>
    </row>
    <row r="3259">
      <c r="B3259" s="38" t="s">
        <v>22</v>
      </c>
      <c r="C3259" s="38">
        <v>2.0</v>
      </c>
      <c r="D3259" s="38" t="s">
        <v>513</v>
      </c>
      <c r="E3259" s="38" t="s">
        <v>11769</v>
      </c>
      <c r="F3259" s="44"/>
    </row>
    <row r="3260">
      <c r="B3260" s="44"/>
      <c r="C3260" s="44"/>
      <c r="D3260" s="38" t="s">
        <v>11770</v>
      </c>
      <c r="E3260" s="38" t="s">
        <v>11771</v>
      </c>
      <c r="F3260" s="38" t="s">
        <v>11772</v>
      </c>
    </row>
    <row r="3261">
      <c r="B3261" s="44"/>
      <c r="C3261" s="44"/>
      <c r="D3261" s="44"/>
      <c r="E3261" s="38" t="s">
        <v>1141</v>
      </c>
      <c r="F3261" s="38" t="s">
        <v>11773</v>
      </c>
      <c r="G3261" s="38" t="s">
        <v>11774</v>
      </c>
    </row>
    <row r="3262">
      <c r="B3262" s="38" t="s">
        <v>1006</v>
      </c>
      <c r="C3262" s="38">
        <v>4.0</v>
      </c>
      <c r="D3262" s="38" t="s">
        <v>402</v>
      </c>
      <c r="E3262" s="38" t="s">
        <v>11775</v>
      </c>
      <c r="F3262" s="38" t="s">
        <v>11776</v>
      </c>
    </row>
    <row r="3263">
      <c r="B3263" s="38" t="s">
        <v>11777</v>
      </c>
      <c r="C3263" s="38" t="s">
        <v>11778</v>
      </c>
      <c r="D3263" s="38" t="s">
        <v>11779</v>
      </c>
      <c r="E3263" s="38" t="s">
        <v>1619</v>
      </c>
      <c r="F3263" s="38" t="s">
        <v>3262</v>
      </c>
      <c r="G3263" s="38" t="s">
        <v>11780</v>
      </c>
    </row>
    <row r="3264">
      <c r="A3264" s="19">
        <v>44768.0</v>
      </c>
      <c r="B3264" s="38" t="s">
        <v>11781</v>
      </c>
      <c r="C3264" s="44"/>
      <c r="D3264" s="44"/>
      <c r="E3264" s="38" t="s">
        <v>1619</v>
      </c>
      <c r="F3264" s="38" t="s">
        <v>1475</v>
      </c>
      <c r="G3264" s="44"/>
    </row>
    <row r="3265">
      <c r="B3265" s="38" t="s">
        <v>11782</v>
      </c>
      <c r="C3265" s="38" t="s">
        <v>11783</v>
      </c>
      <c r="D3265" s="485" t="s">
        <v>11784</v>
      </c>
      <c r="E3265" s="47" t="s">
        <v>9266</v>
      </c>
      <c r="F3265" s="47"/>
      <c r="G3265" s="44"/>
    </row>
    <row r="3266">
      <c r="B3266" s="38" t="s">
        <v>11785</v>
      </c>
      <c r="C3266" s="38" t="s">
        <v>11786</v>
      </c>
      <c r="D3266" s="38" t="s">
        <v>11787</v>
      </c>
      <c r="E3266" s="47" t="s">
        <v>9266</v>
      </c>
      <c r="F3266" s="44"/>
      <c r="G3266" s="44"/>
    </row>
    <row r="3267">
      <c r="B3267" s="38" t="s">
        <v>2576</v>
      </c>
      <c r="C3267" s="38">
        <v>2.0</v>
      </c>
      <c r="D3267" s="38" t="s">
        <v>11788</v>
      </c>
      <c r="E3267" s="38" t="s">
        <v>325</v>
      </c>
      <c r="F3267" s="38">
        <v>960.0</v>
      </c>
      <c r="G3267" s="38" t="s">
        <v>11574</v>
      </c>
    </row>
    <row r="3268">
      <c r="B3268" s="38" t="s">
        <v>11789</v>
      </c>
      <c r="C3268" s="38" t="s">
        <v>11790</v>
      </c>
      <c r="D3268" s="38" t="s">
        <v>11791</v>
      </c>
      <c r="E3268" s="38" t="s">
        <v>11792</v>
      </c>
      <c r="F3268" s="44"/>
    </row>
    <row r="3269">
      <c r="B3269" s="38" t="s">
        <v>11793</v>
      </c>
      <c r="C3269" s="44"/>
      <c r="D3269" s="38" t="s">
        <v>11794</v>
      </c>
      <c r="E3269" s="38" t="s">
        <v>11792</v>
      </c>
      <c r="F3269" s="38" t="s">
        <v>11795</v>
      </c>
    </row>
    <row r="3270">
      <c r="B3270" s="38" t="s">
        <v>11796</v>
      </c>
      <c r="C3270" s="44"/>
      <c r="D3270" s="44"/>
      <c r="E3270" s="38" t="s">
        <v>5158</v>
      </c>
      <c r="F3270" s="38" t="s">
        <v>144</v>
      </c>
    </row>
    <row r="3271">
      <c r="B3271" s="38" t="s">
        <v>11797</v>
      </c>
      <c r="C3271" s="38" t="s">
        <v>11798</v>
      </c>
      <c r="D3271" s="38" t="s">
        <v>11799</v>
      </c>
      <c r="E3271" s="38" t="s">
        <v>9397</v>
      </c>
      <c r="F3271" s="38" t="s">
        <v>11800</v>
      </c>
      <c r="G3271" s="38" t="s">
        <v>11801</v>
      </c>
      <c r="H3271" s="38" t="s">
        <v>4421</v>
      </c>
    </row>
    <row r="3272">
      <c r="B3272" s="38"/>
      <c r="C3272" s="38"/>
      <c r="D3272" s="38" t="s">
        <v>11802</v>
      </c>
      <c r="E3272" s="38" t="s">
        <v>9397</v>
      </c>
      <c r="F3272" s="38" t="s">
        <v>11803</v>
      </c>
      <c r="G3272" s="44"/>
      <c r="H3272" s="38" t="s">
        <v>4421</v>
      </c>
    </row>
    <row r="3273">
      <c r="B3273" s="38" t="s">
        <v>1322</v>
      </c>
      <c r="C3273" s="38">
        <v>2.0</v>
      </c>
      <c r="D3273" s="38" t="s">
        <v>11804</v>
      </c>
      <c r="E3273" s="38" t="s">
        <v>11805</v>
      </c>
      <c r="F3273" s="38" t="s">
        <v>11806</v>
      </c>
    </row>
    <row r="3274">
      <c r="B3274" s="38" t="s">
        <v>11807</v>
      </c>
      <c r="C3274" s="38" t="s">
        <v>11808</v>
      </c>
      <c r="D3274" s="38" t="s">
        <v>11809</v>
      </c>
      <c r="E3274" s="38" t="s">
        <v>11810</v>
      </c>
      <c r="F3274" s="38" t="s">
        <v>11811</v>
      </c>
      <c r="G3274" s="38" t="s">
        <v>11812</v>
      </c>
    </row>
    <row r="3275">
      <c r="A3275" s="65">
        <v>44769.0</v>
      </c>
      <c r="B3275" s="38" t="s">
        <v>11813</v>
      </c>
      <c r="C3275" s="38" t="s">
        <v>11814</v>
      </c>
      <c r="D3275" s="353" t="s">
        <v>11815</v>
      </c>
      <c r="E3275" s="38" t="s">
        <v>1199</v>
      </c>
      <c r="F3275" s="44"/>
    </row>
    <row r="3276">
      <c r="A3276" s="38" t="s">
        <v>11816</v>
      </c>
      <c r="B3276" s="38" t="s">
        <v>11817</v>
      </c>
      <c r="C3276" s="38" t="s">
        <v>11818</v>
      </c>
      <c r="D3276" s="38" t="s">
        <v>11819</v>
      </c>
      <c r="E3276" s="38" t="s">
        <v>1199</v>
      </c>
      <c r="F3276" s="44"/>
    </row>
    <row r="3277">
      <c r="B3277" s="38" t="s">
        <v>94</v>
      </c>
      <c r="C3277" s="38">
        <v>2.0</v>
      </c>
      <c r="D3277" s="38" t="s">
        <v>3135</v>
      </c>
      <c r="E3277" s="38" t="s">
        <v>325</v>
      </c>
      <c r="F3277" s="38">
        <v>320.0</v>
      </c>
      <c r="G3277" s="38" t="s">
        <v>11820</v>
      </c>
    </row>
    <row r="3278">
      <c r="B3278" s="38" t="s">
        <v>91</v>
      </c>
      <c r="C3278" s="38">
        <v>2.0</v>
      </c>
      <c r="D3278" s="38" t="s">
        <v>3135</v>
      </c>
      <c r="E3278" s="38" t="s">
        <v>325</v>
      </c>
      <c r="F3278" s="38" t="s">
        <v>11821</v>
      </c>
      <c r="G3278" s="38" t="s">
        <v>11820</v>
      </c>
    </row>
    <row r="3279">
      <c r="B3279" s="38" t="s">
        <v>4552</v>
      </c>
      <c r="C3279" s="38">
        <v>1.0</v>
      </c>
      <c r="D3279" s="38" t="s">
        <v>11822</v>
      </c>
      <c r="E3279" s="38" t="s">
        <v>6587</v>
      </c>
      <c r="F3279" s="38" t="s">
        <v>11823</v>
      </c>
    </row>
    <row r="3280">
      <c r="B3280" s="38" t="s">
        <v>11824</v>
      </c>
      <c r="C3280" s="38">
        <v>1.0</v>
      </c>
      <c r="D3280" s="38" t="s">
        <v>11822</v>
      </c>
      <c r="E3280" s="38" t="s">
        <v>6587</v>
      </c>
      <c r="F3280" s="38" t="s">
        <v>11823</v>
      </c>
    </row>
    <row r="3281">
      <c r="B3281" s="38" t="s">
        <v>11825</v>
      </c>
      <c r="C3281" s="38" t="s">
        <v>11826</v>
      </c>
      <c r="D3281" s="44"/>
      <c r="E3281" s="38" t="s">
        <v>11827</v>
      </c>
      <c r="F3281" s="44"/>
    </row>
    <row r="3282">
      <c r="A3282" s="38" t="s">
        <v>11828</v>
      </c>
      <c r="B3282" s="38" t="s">
        <v>11829</v>
      </c>
      <c r="C3282" s="38" t="s">
        <v>11830</v>
      </c>
      <c r="D3282" s="38" t="s">
        <v>10582</v>
      </c>
      <c r="E3282" s="38" t="s">
        <v>11831</v>
      </c>
      <c r="F3282" s="38" t="s">
        <v>11832</v>
      </c>
      <c r="G3282" s="38" t="s">
        <v>11504</v>
      </c>
    </row>
    <row r="3283">
      <c r="B3283" s="38" t="s">
        <v>25</v>
      </c>
      <c r="C3283" s="38">
        <v>4.0</v>
      </c>
      <c r="D3283" s="38" t="s">
        <v>291</v>
      </c>
      <c r="E3283" s="38" t="s">
        <v>11151</v>
      </c>
      <c r="F3283" s="38" t="s">
        <v>11833</v>
      </c>
    </row>
    <row r="3284">
      <c r="B3284" s="38" t="s">
        <v>1468</v>
      </c>
      <c r="C3284" s="38">
        <v>4.0</v>
      </c>
      <c r="D3284" s="38" t="s">
        <v>11834</v>
      </c>
      <c r="E3284" s="38" t="s">
        <v>11835</v>
      </c>
      <c r="F3284" s="44"/>
    </row>
    <row r="3285">
      <c r="B3285" s="38" t="s">
        <v>25</v>
      </c>
      <c r="C3285" s="38">
        <v>2.0</v>
      </c>
      <c r="D3285" s="38" t="s">
        <v>232</v>
      </c>
      <c r="E3285" s="38" t="s">
        <v>7216</v>
      </c>
      <c r="F3285" s="44"/>
    </row>
    <row r="3286">
      <c r="B3286" s="38" t="s">
        <v>342</v>
      </c>
      <c r="C3286" s="38">
        <v>4.0</v>
      </c>
      <c r="D3286" s="38" t="s">
        <v>10885</v>
      </c>
      <c r="E3286" s="38" t="s">
        <v>1098</v>
      </c>
      <c r="F3286" s="38" t="s">
        <v>11836</v>
      </c>
    </row>
    <row r="3287">
      <c r="A3287" s="38" t="s">
        <v>11837</v>
      </c>
      <c r="B3287" s="38" t="s">
        <v>11838</v>
      </c>
      <c r="C3287" s="44"/>
      <c r="D3287" s="38" t="s">
        <v>11839</v>
      </c>
      <c r="E3287" s="38" t="s">
        <v>5158</v>
      </c>
      <c r="F3287" s="44"/>
      <c r="G3287" s="1" t="s">
        <v>144</v>
      </c>
    </row>
    <row r="3288">
      <c r="A3288" s="38" t="s">
        <v>11840</v>
      </c>
      <c r="B3288" s="44"/>
      <c r="C3288" s="44"/>
      <c r="D3288" s="44"/>
      <c r="E3288" s="38" t="s">
        <v>5158</v>
      </c>
      <c r="F3288" s="44"/>
      <c r="G3288" s="1" t="s">
        <v>144</v>
      </c>
    </row>
    <row r="3289">
      <c r="A3289" s="44"/>
      <c r="B3289" s="38" t="s">
        <v>11841</v>
      </c>
      <c r="C3289" s="44"/>
      <c r="D3289" s="44"/>
      <c r="E3289" s="38" t="s">
        <v>5158</v>
      </c>
      <c r="F3289" s="44"/>
      <c r="G3289" s="1" t="s">
        <v>144</v>
      </c>
    </row>
    <row r="3290">
      <c r="A3290" s="44"/>
      <c r="B3290" s="38" t="s">
        <v>11842</v>
      </c>
      <c r="C3290" s="44"/>
      <c r="D3290" s="44"/>
      <c r="E3290" s="38" t="s">
        <v>5158</v>
      </c>
      <c r="F3290" s="44"/>
      <c r="G3290" s="1" t="s">
        <v>144</v>
      </c>
    </row>
    <row r="3291">
      <c r="A3291" s="44"/>
      <c r="B3291" s="38" t="s">
        <v>11843</v>
      </c>
      <c r="C3291" s="38" t="s">
        <v>11844</v>
      </c>
      <c r="D3291" s="38" t="s">
        <v>11845</v>
      </c>
      <c r="E3291" s="38" t="s">
        <v>5158</v>
      </c>
      <c r="F3291" s="38" t="s">
        <v>11846</v>
      </c>
      <c r="G3291" s="1" t="s">
        <v>144</v>
      </c>
    </row>
    <row r="3292">
      <c r="A3292" s="44"/>
      <c r="B3292" s="38"/>
      <c r="C3292" s="38"/>
      <c r="D3292" s="38" t="s">
        <v>11847</v>
      </c>
      <c r="E3292" s="38" t="s">
        <v>5158</v>
      </c>
      <c r="F3292" s="38"/>
      <c r="G3292" s="1" t="s">
        <v>144</v>
      </c>
    </row>
    <row r="3293">
      <c r="A3293" s="44"/>
      <c r="B3293" s="38" t="s">
        <v>188</v>
      </c>
      <c r="C3293" s="38">
        <v>2.0</v>
      </c>
      <c r="D3293" s="38" t="s">
        <v>2423</v>
      </c>
      <c r="E3293" s="38" t="s">
        <v>11848</v>
      </c>
      <c r="F3293" s="38" t="s">
        <v>11849</v>
      </c>
    </row>
    <row r="3294">
      <c r="A3294" s="38" t="s">
        <v>11850</v>
      </c>
      <c r="B3294" s="38" t="s">
        <v>2883</v>
      </c>
      <c r="C3294" s="38">
        <v>2.0</v>
      </c>
      <c r="D3294" s="38" t="s">
        <v>11851</v>
      </c>
      <c r="E3294" s="38" t="s">
        <v>1098</v>
      </c>
      <c r="F3294" s="38" t="s">
        <v>11849</v>
      </c>
    </row>
    <row r="3295">
      <c r="A3295" s="38" t="s">
        <v>11850</v>
      </c>
      <c r="B3295" s="38" t="s">
        <v>122</v>
      </c>
      <c r="C3295" s="38">
        <v>4.0</v>
      </c>
      <c r="D3295" s="38" t="s">
        <v>6125</v>
      </c>
      <c r="E3295" s="38" t="s">
        <v>3415</v>
      </c>
      <c r="F3295" s="38" t="s">
        <v>11852</v>
      </c>
    </row>
    <row r="3296">
      <c r="A3296" s="38" t="s">
        <v>11850</v>
      </c>
      <c r="B3296" s="38" t="s">
        <v>183</v>
      </c>
      <c r="C3296" s="38">
        <v>4.0</v>
      </c>
      <c r="D3296" s="38" t="s">
        <v>4543</v>
      </c>
      <c r="E3296" s="38" t="s">
        <v>4478</v>
      </c>
      <c r="F3296" s="38" t="s">
        <v>7032</v>
      </c>
      <c r="G3296" s="38" t="s">
        <v>11853</v>
      </c>
    </row>
    <row r="3297">
      <c r="A3297" s="38" t="s">
        <v>11850</v>
      </c>
      <c r="B3297" s="38" t="s">
        <v>205</v>
      </c>
      <c r="C3297" s="38">
        <v>2.0</v>
      </c>
      <c r="D3297" s="486" t="s">
        <v>11854</v>
      </c>
      <c r="E3297" s="38" t="s">
        <v>6332</v>
      </c>
      <c r="F3297" s="38" t="s">
        <v>11855</v>
      </c>
      <c r="G3297" s="38" t="s">
        <v>11856</v>
      </c>
    </row>
    <row r="3298">
      <c r="A3298" s="38" t="s">
        <v>11850</v>
      </c>
      <c r="B3298" s="38" t="s">
        <v>91</v>
      </c>
      <c r="C3298" s="38">
        <v>4.0</v>
      </c>
      <c r="D3298" s="38" t="s">
        <v>11857</v>
      </c>
      <c r="E3298" s="38" t="s">
        <v>6899</v>
      </c>
      <c r="F3298" s="38" t="s">
        <v>11858</v>
      </c>
    </row>
    <row r="3299">
      <c r="A3299" s="38" t="s">
        <v>11850</v>
      </c>
      <c r="B3299" s="38" t="s">
        <v>4563</v>
      </c>
      <c r="C3299" s="38">
        <v>4.0</v>
      </c>
      <c r="D3299" s="38" t="s">
        <v>11859</v>
      </c>
      <c r="E3299" s="487" t="s">
        <v>11860</v>
      </c>
      <c r="F3299" s="38" t="s">
        <v>11861</v>
      </c>
    </row>
    <row r="3300">
      <c r="A3300" s="38" t="s">
        <v>11850</v>
      </c>
      <c r="B3300" s="38" t="s">
        <v>58</v>
      </c>
      <c r="C3300" s="38">
        <v>4.0</v>
      </c>
      <c r="D3300" s="38" t="s">
        <v>6125</v>
      </c>
      <c r="E3300" s="38" t="s">
        <v>1017</v>
      </c>
      <c r="F3300" s="38" t="s">
        <v>11862</v>
      </c>
      <c r="G3300" s="38" t="s">
        <v>11863</v>
      </c>
    </row>
    <row r="3301">
      <c r="A3301" s="38" t="s">
        <v>11850</v>
      </c>
      <c r="B3301" s="38" t="s">
        <v>58</v>
      </c>
      <c r="C3301" s="38">
        <v>4.0</v>
      </c>
      <c r="D3301" s="38" t="s">
        <v>6125</v>
      </c>
      <c r="E3301" s="38" t="s">
        <v>1017</v>
      </c>
      <c r="F3301" s="38" t="s">
        <v>11862</v>
      </c>
      <c r="G3301" s="38" t="s">
        <v>11863</v>
      </c>
    </row>
    <row r="3302">
      <c r="A3302" s="38" t="s">
        <v>11850</v>
      </c>
      <c r="B3302" s="38" t="s">
        <v>183</v>
      </c>
      <c r="C3302" s="38">
        <v>4.0</v>
      </c>
      <c r="D3302" s="38" t="s">
        <v>11864</v>
      </c>
      <c r="E3302" s="38" t="s">
        <v>11865</v>
      </c>
      <c r="F3302" s="38" t="s">
        <v>3869</v>
      </c>
      <c r="G3302" s="38" t="s">
        <v>11866</v>
      </c>
    </row>
    <row r="3303">
      <c r="A3303" s="38" t="s">
        <v>11850</v>
      </c>
      <c r="B3303" s="38" t="s">
        <v>3523</v>
      </c>
      <c r="C3303" s="38">
        <v>2.0</v>
      </c>
      <c r="D3303" s="38" t="s">
        <v>11867</v>
      </c>
      <c r="E3303" s="38" t="s">
        <v>9113</v>
      </c>
      <c r="F3303" s="38" t="s">
        <v>11868</v>
      </c>
      <c r="G3303" s="38" t="s">
        <v>11868</v>
      </c>
    </row>
    <row r="3304">
      <c r="A3304" s="38"/>
      <c r="B3304" s="38" t="s">
        <v>4501</v>
      </c>
      <c r="C3304" s="38">
        <v>2.0</v>
      </c>
      <c r="D3304" s="38" t="s">
        <v>11867</v>
      </c>
      <c r="E3304" s="38" t="s">
        <v>9113</v>
      </c>
      <c r="F3304" s="38" t="s">
        <v>11868</v>
      </c>
      <c r="G3304" s="38" t="s">
        <v>11868</v>
      </c>
    </row>
    <row r="3305">
      <c r="A3305" s="38" t="s">
        <v>11850</v>
      </c>
      <c r="B3305" s="38" t="s">
        <v>1349</v>
      </c>
      <c r="C3305" s="38">
        <v>4.0</v>
      </c>
      <c r="D3305" s="38" t="s">
        <v>11869</v>
      </c>
      <c r="E3305" s="38" t="s">
        <v>11510</v>
      </c>
      <c r="F3305" s="38" t="s">
        <v>11870</v>
      </c>
    </row>
    <row r="3306">
      <c r="A3306" s="38"/>
      <c r="B3306" s="38" t="s">
        <v>140</v>
      </c>
      <c r="C3306" s="38">
        <v>4.0</v>
      </c>
      <c r="D3306" s="38" t="s">
        <v>408</v>
      </c>
      <c r="E3306" s="38" t="s">
        <v>11871</v>
      </c>
      <c r="F3306" s="38" t="s">
        <v>11872</v>
      </c>
    </row>
    <row r="3307">
      <c r="A3307" s="5"/>
      <c r="B3307" s="38" t="s">
        <v>31</v>
      </c>
      <c r="C3307" s="38">
        <v>4.0</v>
      </c>
      <c r="D3307" s="38" t="s">
        <v>684</v>
      </c>
      <c r="E3307" s="38" t="s">
        <v>11873</v>
      </c>
      <c r="F3307" s="38" t="s">
        <v>11874</v>
      </c>
      <c r="G3307" s="488" t="s">
        <v>11875</v>
      </c>
    </row>
    <row r="3308">
      <c r="A3308" s="38" t="s">
        <v>11850</v>
      </c>
      <c r="B3308" s="38" t="s">
        <v>183</v>
      </c>
      <c r="C3308" s="38">
        <v>4.0</v>
      </c>
      <c r="D3308" s="38" t="s">
        <v>6125</v>
      </c>
      <c r="E3308" s="38" t="s">
        <v>11876</v>
      </c>
      <c r="F3308" s="38" t="s">
        <v>11877</v>
      </c>
    </row>
    <row r="3309">
      <c r="A3309" s="8"/>
      <c r="B3309" s="38" t="s">
        <v>271</v>
      </c>
      <c r="C3309" s="38">
        <v>4.0</v>
      </c>
      <c r="D3309" s="38" t="s">
        <v>11878</v>
      </c>
      <c r="E3309" s="38" t="s">
        <v>11879</v>
      </c>
      <c r="F3309" s="38" t="s">
        <v>11880</v>
      </c>
      <c r="G3309" s="38" t="s">
        <v>11881</v>
      </c>
    </row>
    <row r="3310">
      <c r="A3310" s="44"/>
      <c r="B3310" s="38" t="s">
        <v>354</v>
      </c>
      <c r="C3310" s="38">
        <v>4.0</v>
      </c>
      <c r="D3310" s="38" t="s">
        <v>6773</v>
      </c>
      <c r="E3310" s="91" t="s">
        <v>445</v>
      </c>
      <c r="F3310" s="38" t="s">
        <v>11882</v>
      </c>
    </row>
    <row r="3311">
      <c r="A3311" s="5"/>
      <c r="B3311" s="38" t="s">
        <v>875</v>
      </c>
      <c r="C3311" s="38">
        <v>2.0</v>
      </c>
      <c r="D3311" s="38" t="s">
        <v>684</v>
      </c>
      <c r="E3311" s="38" t="s">
        <v>974</v>
      </c>
      <c r="F3311" s="38" t="s">
        <v>11883</v>
      </c>
      <c r="G3311" s="38" t="s">
        <v>11884</v>
      </c>
      <c r="H3311" s="1" t="s">
        <v>11885</v>
      </c>
    </row>
    <row r="3312">
      <c r="A3312" s="5"/>
      <c r="B3312" s="38" t="s">
        <v>1327</v>
      </c>
      <c r="C3312" s="38">
        <v>2.0</v>
      </c>
      <c r="D3312" s="38" t="s">
        <v>684</v>
      </c>
      <c r="E3312" s="38" t="s">
        <v>974</v>
      </c>
      <c r="F3312" s="38" t="s">
        <v>11886</v>
      </c>
      <c r="G3312" s="38" t="s">
        <v>11884</v>
      </c>
      <c r="H3312" s="109" t="s">
        <v>11887</v>
      </c>
    </row>
    <row r="3313">
      <c r="A3313" s="5"/>
      <c r="B3313" s="38" t="s">
        <v>2728</v>
      </c>
      <c r="C3313" s="38">
        <v>4.0</v>
      </c>
      <c r="D3313" s="38" t="s">
        <v>6824</v>
      </c>
      <c r="E3313" s="38" t="s">
        <v>11888</v>
      </c>
      <c r="F3313" s="38" t="s">
        <v>11889</v>
      </c>
      <c r="G3313" s="4" t="s">
        <v>11890</v>
      </c>
    </row>
    <row r="3314">
      <c r="A3314" s="8"/>
      <c r="B3314" s="38" t="s">
        <v>205</v>
      </c>
      <c r="C3314" s="38">
        <v>4.0</v>
      </c>
      <c r="D3314" s="38" t="s">
        <v>684</v>
      </c>
      <c r="E3314" s="38" t="s">
        <v>6899</v>
      </c>
      <c r="F3314" s="38" t="s">
        <v>11891</v>
      </c>
      <c r="G3314" s="4" t="s">
        <v>11892</v>
      </c>
    </row>
    <row r="3315">
      <c r="A3315" s="5"/>
      <c r="B3315" s="38" t="s">
        <v>416</v>
      </c>
      <c r="C3315" s="38">
        <v>4.0</v>
      </c>
      <c r="D3315" s="38" t="s">
        <v>684</v>
      </c>
      <c r="E3315" s="38" t="s">
        <v>11893</v>
      </c>
      <c r="F3315" s="38" t="s">
        <v>11894</v>
      </c>
      <c r="G3315" s="4" t="s">
        <v>11895</v>
      </c>
    </row>
    <row r="3316">
      <c r="A3316" s="5"/>
      <c r="B3316" s="38" t="s">
        <v>58</v>
      </c>
      <c r="C3316" s="38">
        <v>4.0</v>
      </c>
      <c r="D3316" s="38" t="s">
        <v>1084</v>
      </c>
      <c r="E3316" s="38" t="s">
        <v>4851</v>
      </c>
      <c r="F3316" s="38" t="s">
        <v>11896</v>
      </c>
      <c r="G3316" s="4" t="s">
        <v>11897</v>
      </c>
    </row>
    <row r="3317">
      <c r="A3317" s="5"/>
      <c r="B3317" s="38"/>
      <c r="C3317" s="38">
        <v>4.0</v>
      </c>
      <c r="D3317" s="38" t="s">
        <v>11898</v>
      </c>
      <c r="E3317" s="38" t="s">
        <v>4851</v>
      </c>
      <c r="F3317" s="38" t="s">
        <v>11896</v>
      </c>
    </row>
    <row r="3318">
      <c r="A3318" s="5"/>
      <c r="B3318" s="131" t="s">
        <v>733</v>
      </c>
      <c r="C3318" s="131">
        <v>2.0</v>
      </c>
      <c r="D3318" s="131" t="s">
        <v>6571</v>
      </c>
      <c r="E3318" s="131" t="s">
        <v>11899</v>
      </c>
      <c r="F3318" s="131" t="s">
        <v>11900</v>
      </c>
    </row>
    <row r="3319">
      <c r="A3319" s="5"/>
      <c r="B3319" s="38" t="s">
        <v>4666</v>
      </c>
      <c r="C3319" s="38">
        <v>2.0</v>
      </c>
      <c r="D3319" s="38" t="s">
        <v>11901</v>
      </c>
      <c r="E3319" s="38" t="s">
        <v>6199</v>
      </c>
      <c r="F3319" s="38" t="s">
        <v>11902</v>
      </c>
    </row>
    <row r="3320">
      <c r="A3320" s="5"/>
      <c r="B3320" s="38" t="s">
        <v>183</v>
      </c>
      <c r="C3320" s="38">
        <v>4.0</v>
      </c>
      <c r="D3320" s="38" t="s">
        <v>291</v>
      </c>
      <c r="E3320" s="38" t="s">
        <v>11903</v>
      </c>
      <c r="F3320" s="38" t="s">
        <v>11856</v>
      </c>
    </row>
    <row r="3321">
      <c r="A3321" s="5"/>
      <c r="B3321" s="38" t="s">
        <v>22</v>
      </c>
      <c r="C3321" s="38">
        <v>4.0</v>
      </c>
      <c r="D3321" s="38" t="s">
        <v>10502</v>
      </c>
      <c r="E3321" s="38" t="s">
        <v>11904</v>
      </c>
      <c r="F3321" s="38" t="s">
        <v>11856</v>
      </c>
    </row>
    <row r="3322">
      <c r="A3322" s="5"/>
      <c r="B3322" s="38" t="s">
        <v>205</v>
      </c>
      <c r="C3322" s="38">
        <v>2.0</v>
      </c>
      <c r="D3322" s="38" t="s">
        <v>6192</v>
      </c>
      <c r="E3322" s="38" t="s">
        <v>11905</v>
      </c>
      <c r="F3322" s="38" t="s">
        <v>11902</v>
      </c>
      <c r="G3322" s="38" t="s">
        <v>11906</v>
      </c>
    </row>
    <row r="3323">
      <c r="A3323" s="5"/>
      <c r="B3323" s="38" t="s">
        <v>25</v>
      </c>
      <c r="C3323" s="38">
        <v>1.0</v>
      </c>
      <c r="D3323" s="38" t="s">
        <v>1964</v>
      </c>
      <c r="E3323" s="38" t="s">
        <v>11907</v>
      </c>
      <c r="F3323" s="38" t="s">
        <v>11908</v>
      </c>
    </row>
    <row r="3324">
      <c r="A3324" s="5"/>
      <c r="B3324" s="38" t="s">
        <v>9822</v>
      </c>
      <c r="C3324" s="38">
        <v>4.0</v>
      </c>
      <c r="D3324" s="38" t="s">
        <v>6571</v>
      </c>
      <c r="E3324" s="40" t="s">
        <v>11909</v>
      </c>
      <c r="F3324" s="38" t="s">
        <v>11910</v>
      </c>
      <c r="G3324" s="4" t="s">
        <v>11911</v>
      </c>
    </row>
    <row r="3325">
      <c r="A3325" s="5"/>
      <c r="B3325" s="38" t="s">
        <v>31</v>
      </c>
      <c r="C3325" s="38">
        <v>2.0</v>
      </c>
      <c r="D3325" s="38" t="s">
        <v>289</v>
      </c>
      <c r="E3325" s="40" t="s">
        <v>9384</v>
      </c>
      <c r="F3325" s="38" t="s">
        <v>11908</v>
      </c>
    </row>
    <row r="3326">
      <c r="A3326" s="5"/>
      <c r="B3326" s="38" t="s">
        <v>271</v>
      </c>
      <c r="C3326" s="38">
        <v>2.0</v>
      </c>
      <c r="D3326" s="38" t="s">
        <v>1084</v>
      </c>
      <c r="E3326" s="38" t="s">
        <v>6184</v>
      </c>
      <c r="F3326" s="38" t="s">
        <v>11912</v>
      </c>
    </row>
    <row r="3327">
      <c r="A3327" s="5"/>
      <c r="B3327" s="38" t="s">
        <v>128</v>
      </c>
      <c r="C3327" s="38">
        <v>4.0</v>
      </c>
      <c r="D3327" s="38" t="s">
        <v>684</v>
      </c>
      <c r="E3327" s="40" t="s">
        <v>11913</v>
      </c>
      <c r="F3327" s="40" t="s">
        <v>11914</v>
      </c>
      <c r="G3327" s="489" t="s">
        <v>11915</v>
      </c>
    </row>
    <row r="3328">
      <c r="A3328" s="5"/>
      <c r="B3328" s="38" t="s">
        <v>28</v>
      </c>
      <c r="C3328" s="38">
        <v>2.0</v>
      </c>
      <c r="D3328" s="38" t="s">
        <v>6192</v>
      </c>
      <c r="E3328" s="40" t="s">
        <v>5725</v>
      </c>
      <c r="F3328" s="38" t="s">
        <v>11916</v>
      </c>
    </row>
    <row r="3329">
      <c r="A3329" s="4"/>
      <c r="B3329" s="38" t="s">
        <v>81</v>
      </c>
      <c r="C3329" s="38">
        <v>4.0</v>
      </c>
      <c r="D3329" s="38" t="s">
        <v>545</v>
      </c>
      <c r="E3329" s="40" t="s">
        <v>11917</v>
      </c>
      <c r="F3329" s="38" t="s">
        <v>11918</v>
      </c>
      <c r="G3329" s="109" t="s">
        <v>11919</v>
      </c>
    </row>
    <row r="3330">
      <c r="A3330" s="5"/>
      <c r="B3330" s="38" t="s">
        <v>77</v>
      </c>
      <c r="C3330" s="38">
        <v>4.0</v>
      </c>
      <c r="D3330" s="38" t="s">
        <v>4386</v>
      </c>
      <c r="E3330" s="353" t="s">
        <v>11920</v>
      </c>
      <c r="F3330" s="38" t="s">
        <v>11921</v>
      </c>
      <c r="G3330" s="109" t="s">
        <v>11922</v>
      </c>
    </row>
    <row r="3331">
      <c r="A3331" s="5"/>
      <c r="B3331" s="38" t="s">
        <v>77</v>
      </c>
      <c r="C3331" s="38">
        <v>2.0</v>
      </c>
      <c r="D3331" s="38" t="s">
        <v>289</v>
      </c>
      <c r="E3331" s="38" t="s">
        <v>5968</v>
      </c>
      <c r="F3331" s="38" t="s">
        <v>11918</v>
      </c>
    </row>
    <row r="3332">
      <c r="A3332" s="5"/>
      <c r="B3332" s="38" t="s">
        <v>77</v>
      </c>
      <c r="C3332" s="38">
        <v>4.0</v>
      </c>
      <c r="D3332" s="38" t="s">
        <v>545</v>
      </c>
      <c r="E3332" s="57" t="s">
        <v>11923</v>
      </c>
      <c r="F3332" s="38" t="s">
        <v>11924</v>
      </c>
      <c r="G3332" s="490" t="s">
        <v>11925</v>
      </c>
    </row>
    <row r="3333">
      <c r="A3333" s="5"/>
      <c r="B3333" s="38" t="s">
        <v>77</v>
      </c>
      <c r="C3333" s="38">
        <v>4.0</v>
      </c>
      <c r="D3333" s="38" t="s">
        <v>684</v>
      </c>
      <c r="E3333" s="57" t="s">
        <v>11926</v>
      </c>
      <c r="F3333" s="38" t="s">
        <v>11927</v>
      </c>
      <c r="G3333" s="489" t="s">
        <v>11928</v>
      </c>
    </row>
    <row r="3334">
      <c r="A3334" s="4"/>
      <c r="B3334" s="38" t="s">
        <v>271</v>
      </c>
      <c r="C3334" s="38">
        <v>4.0</v>
      </c>
      <c r="D3334" s="38" t="s">
        <v>545</v>
      </c>
      <c r="E3334" s="289" t="s">
        <v>6178</v>
      </c>
      <c r="F3334" s="38" t="s">
        <v>11916</v>
      </c>
      <c r="G3334" s="109" t="s">
        <v>11929</v>
      </c>
    </row>
    <row r="3335">
      <c r="A3335" s="5"/>
      <c r="B3335" s="38" t="s">
        <v>261</v>
      </c>
      <c r="C3335" s="38">
        <v>4.0</v>
      </c>
      <c r="D3335" s="38" t="s">
        <v>545</v>
      </c>
      <c r="E3335" s="58" t="s">
        <v>6189</v>
      </c>
      <c r="F3335" s="38" t="s">
        <v>11930</v>
      </c>
      <c r="G3335" s="4" t="s">
        <v>11931</v>
      </c>
    </row>
    <row r="3336">
      <c r="A3336" s="5"/>
      <c r="B3336" s="38" t="s">
        <v>876</v>
      </c>
      <c r="C3336" s="38">
        <v>2.0</v>
      </c>
      <c r="D3336" s="38" t="s">
        <v>289</v>
      </c>
      <c r="E3336" s="356" t="s">
        <v>6170</v>
      </c>
      <c r="F3336" s="38" t="s">
        <v>11916</v>
      </c>
    </row>
    <row r="3337">
      <c r="A3337" s="5"/>
      <c r="B3337" s="38" t="s">
        <v>271</v>
      </c>
      <c r="C3337" s="38">
        <v>2.0</v>
      </c>
      <c r="D3337" s="38" t="s">
        <v>289</v>
      </c>
      <c r="E3337" s="57" t="s">
        <v>6176</v>
      </c>
      <c r="F3337" s="38" t="s">
        <v>11914</v>
      </c>
    </row>
    <row r="3338">
      <c r="A3338" s="5"/>
      <c r="B3338" s="38" t="s">
        <v>416</v>
      </c>
      <c r="C3338" s="38">
        <v>4.0</v>
      </c>
      <c r="D3338" s="38" t="s">
        <v>1084</v>
      </c>
      <c r="E3338" s="38" t="s">
        <v>11932</v>
      </c>
      <c r="F3338" s="38" t="s">
        <v>11933</v>
      </c>
    </row>
    <row r="3339">
      <c r="A3339" s="5"/>
      <c r="B3339" s="38" t="s">
        <v>271</v>
      </c>
      <c r="C3339" s="38">
        <v>4.0</v>
      </c>
      <c r="D3339" s="38" t="s">
        <v>433</v>
      </c>
      <c r="E3339" s="38" t="s">
        <v>11934</v>
      </c>
      <c r="F3339" s="38" t="s">
        <v>6475</v>
      </c>
    </row>
    <row r="3340">
      <c r="A3340" s="5"/>
      <c r="B3340" s="38" t="s">
        <v>85</v>
      </c>
      <c r="C3340" s="38">
        <v>4.0</v>
      </c>
      <c r="D3340" s="38" t="s">
        <v>291</v>
      </c>
      <c r="E3340" s="38" t="s">
        <v>1056</v>
      </c>
      <c r="F3340" s="44"/>
    </row>
    <row r="3341">
      <c r="A3341" s="5"/>
      <c r="B3341" s="38" t="s">
        <v>58</v>
      </c>
      <c r="C3341" s="38">
        <v>4.0</v>
      </c>
      <c r="D3341" s="38" t="s">
        <v>684</v>
      </c>
      <c r="E3341" s="38" t="s">
        <v>11935</v>
      </c>
      <c r="F3341" s="38" t="s">
        <v>11936</v>
      </c>
    </row>
    <row r="3342">
      <c r="A3342" s="5"/>
      <c r="B3342" s="38"/>
      <c r="C3342" s="38"/>
      <c r="D3342" s="38"/>
      <c r="E3342" s="38" t="s">
        <v>11935</v>
      </c>
      <c r="F3342" s="38" t="s">
        <v>11937</v>
      </c>
    </row>
    <row r="3343">
      <c r="B3343" s="38" t="s">
        <v>25</v>
      </c>
      <c r="C3343" s="38">
        <v>4.0</v>
      </c>
      <c r="D3343" s="38" t="s">
        <v>11938</v>
      </c>
      <c r="E3343" s="38">
        <v>8.61843753E8</v>
      </c>
    </row>
    <row r="3344">
      <c r="B3344" s="38" t="s">
        <v>3820</v>
      </c>
      <c r="C3344" s="38">
        <v>2.0</v>
      </c>
      <c r="D3344" s="38" t="s">
        <v>1133</v>
      </c>
      <c r="E3344" s="38" t="s">
        <v>974</v>
      </c>
      <c r="F3344" s="38" t="s">
        <v>11939</v>
      </c>
    </row>
    <row r="3345">
      <c r="B3345" s="38" t="s">
        <v>38</v>
      </c>
      <c r="C3345" s="38">
        <v>2.0</v>
      </c>
      <c r="D3345" s="38" t="s">
        <v>1133</v>
      </c>
      <c r="E3345" s="38" t="s">
        <v>974</v>
      </c>
      <c r="F3345" s="38" t="s">
        <v>11939</v>
      </c>
    </row>
    <row r="3346">
      <c r="B3346" s="38" t="s">
        <v>31</v>
      </c>
      <c r="C3346" s="38">
        <v>1.0</v>
      </c>
      <c r="D3346" s="38" t="s">
        <v>1109</v>
      </c>
      <c r="E3346" s="38" t="s">
        <v>873</v>
      </c>
      <c r="F3346" s="38" t="s">
        <v>11940</v>
      </c>
    </row>
    <row r="3347">
      <c r="B3347" s="38" t="s">
        <v>2333</v>
      </c>
      <c r="C3347" s="38">
        <v>4.0</v>
      </c>
      <c r="D3347" s="38" t="s">
        <v>11941</v>
      </c>
      <c r="E3347" s="38" t="s">
        <v>11942</v>
      </c>
      <c r="F3347" s="38" t="s">
        <v>6356</v>
      </c>
    </row>
    <row r="3348">
      <c r="B3348" s="38" t="s">
        <v>205</v>
      </c>
      <c r="C3348" s="38">
        <v>2.0</v>
      </c>
      <c r="D3348" s="38" t="s">
        <v>11938</v>
      </c>
      <c r="E3348" s="38" t="s">
        <v>6107</v>
      </c>
      <c r="F3348" s="38" t="s">
        <v>11943</v>
      </c>
    </row>
    <row r="3349">
      <c r="B3349" s="38" t="s">
        <v>11944</v>
      </c>
      <c r="C3349" s="38">
        <v>1.0</v>
      </c>
      <c r="D3349" s="38" t="s">
        <v>11945</v>
      </c>
      <c r="E3349" s="38" t="s">
        <v>1072</v>
      </c>
      <c r="F3349" s="38" t="s">
        <v>11946</v>
      </c>
    </row>
    <row r="3350">
      <c r="B3350" s="38" t="s">
        <v>85</v>
      </c>
      <c r="C3350" s="38">
        <v>4.0</v>
      </c>
      <c r="D3350" s="38" t="s">
        <v>684</v>
      </c>
      <c r="E3350" s="112" t="s">
        <v>11947</v>
      </c>
      <c r="F3350" s="38" t="s">
        <v>11948</v>
      </c>
      <c r="G3350" s="489" t="s">
        <v>11949</v>
      </c>
    </row>
    <row r="3351">
      <c r="B3351" s="38" t="s">
        <v>214</v>
      </c>
      <c r="C3351" s="38">
        <v>2.0</v>
      </c>
      <c r="D3351" s="38" t="s">
        <v>3135</v>
      </c>
      <c r="E3351" s="38" t="s">
        <v>1098</v>
      </c>
      <c r="F3351" s="38" t="s">
        <v>11950</v>
      </c>
      <c r="G3351" s="1" t="s">
        <v>11951</v>
      </c>
    </row>
    <row r="3352">
      <c r="B3352" s="38" t="s">
        <v>210</v>
      </c>
      <c r="C3352" s="38">
        <v>2.0</v>
      </c>
      <c r="D3352" s="38" t="s">
        <v>3135</v>
      </c>
      <c r="E3352" s="38" t="s">
        <v>1098</v>
      </c>
      <c r="F3352" s="38" t="s">
        <v>11952</v>
      </c>
    </row>
    <row r="3353">
      <c r="B3353" s="38" t="s">
        <v>22</v>
      </c>
      <c r="C3353" s="38">
        <v>1.0</v>
      </c>
      <c r="D3353" s="38" t="s">
        <v>289</v>
      </c>
      <c r="E3353" s="38" t="s">
        <v>11953</v>
      </c>
      <c r="F3353" s="38" t="s">
        <v>11954</v>
      </c>
    </row>
    <row r="3354">
      <c r="B3354" s="38" t="s">
        <v>25</v>
      </c>
      <c r="C3354" s="38">
        <v>4.0</v>
      </c>
      <c r="D3354" s="38" t="s">
        <v>289</v>
      </c>
      <c r="E3354" s="38" t="s">
        <v>10237</v>
      </c>
      <c r="F3354" s="38" t="s">
        <v>11955</v>
      </c>
    </row>
    <row r="3355">
      <c r="B3355" s="44"/>
      <c r="C3355" s="44"/>
      <c r="D3355" s="38" t="s">
        <v>11770</v>
      </c>
      <c r="E3355" s="38" t="s">
        <v>11771</v>
      </c>
      <c r="F3355" s="38" t="s">
        <v>11956</v>
      </c>
    </row>
    <row r="3356">
      <c r="B3356" s="38" t="s">
        <v>261</v>
      </c>
      <c r="C3356" s="38">
        <v>4.0</v>
      </c>
      <c r="D3356" s="38" t="s">
        <v>11938</v>
      </c>
      <c r="E3356" s="38" t="s">
        <v>11771</v>
      </c>
      <c r="F3356" s="44"/>
    </row>
    <row r="3357">
      <c r="B3357" s="44"/>
      <c r="C3357" s="38" t="s">
        <v>11957</v>
      </c>
      <c r="D3357" s="38" t="s">
        <v>11958</v>
      </c>
      <c r="E3357" s="38" t="s">
        <v>1098</v>
      </c>
      <c r="F3357" s="38" t="s">
        <v>144</v>
      </c>
    </row>
    <row r="3358">
      <c r="B3358" s="38" t="s">
        <v>11959</v>
      </c>
      <c r="C3358" s="38">
        <v>4.0</v>
      </c>
      <c r="D3358" s="38" t="s">
        <v>11960</v>
      </c>
      <c r="E3358" s="38" t="s">
        <v>11650</v>
      </c>
      <c r="F3358" s="38" t="s">
        <v>11961</v>
      </c>
    </row>
    <row r="3359">
      <c r="B3359" s="38" t="s">
        <v>47</v>
      </c>
      <c r="C3359" s="38">
        <v>1.0</v>
      </c>
      <c r="D3359" s="38" t="s">
        <v>4786</v>
      </c>
      <c r="E3359" s="38" t="s">
        <v>974</v>
      </c>
      <c r="F3359" s="38" t="s">
        <v>11962</v>
      </c>
    </row>
    <row r="3360">
      <c r="B3360" s="38"/>
      <c r="C3360" s="38"/>
      <c r="D3360" s="38"/>
      <c r="E3360" s="38" t="s">
        <v>974</v>
      </c>
      <c r="F3360" s="47" t="s">
        <v>11963</v>
      </c>
      <c r="G3360" s="38" t="s">
        <v>144</v>
      </c>
    </row>
    <row r="3361">
      <c r="B3361" s="38" t="s">
        <v>85</v>
      </c>
      <c r="C3361" s="38">
        <v>1.0</v>
      </c>
      <c r="D3361" s="38" t="s">
        <v>11964</v>
      </c>
      <c r="E3361" s="38" t="s">
        <v>11965</v>
      </c>
      <c r="F3361" s="38" t="s">
        <v>11966</v>
      </c>
    </row>
    <row r="3362">
      <c r="B3362" s="38" t="s">
        <v>333</v>
      </c>
      <c r="C3362" s="38">
        <v>4.0</v>
      </c>
      <c r="D3362" s="38" t="s">
        <v>11967</v>
      </c>
      <c r="E3362" s="38" t="s">
        <v>1098</v>
      </c>
      <c r="F3362" s="38" t="s">
        <v>11968</v>
      </c>
    </row>
    <row r="3363">
      <c r="B3363" s="38" t="s">
        <v>128</v>
      </c>
      <c r="C3363" s="38">
        <v>4.0</v>
      </c>
      <c r="D3363" s="38" t="s">
        <v>1382</v>
      </c>
      <c r="E3363" s="38" t="s">
        <v>1755</v>
      </c>
      <c r="F3363" s="38" t="s">
        <v>11969</v>
      </c>
    </row>
    <row r="3364">
      <c r="B3364" s="38" t="s">
        <v>25</v>
      </c>
      <c r="C3364" s="38">
        <v>4.0</v>
      </c>
      <c r="D3364" s="38" t="s">
        <v>433</v>
      </c>
      <c r="E3364" s="38" t="s">
        <v>11970</v>
      </c>
      <c r="F3364" s="38" t="s">
        <v>11971</v>
      </c>
    </row>
    <row r="3365">
      <c r="B3365" s="38" t="s">
        <v>11972</v>
      </c>
      <c r="C3365" s="38">
        <v>2.0</v>
      </c>
      <c r="D3365" s="38" t="s">
        <v>2473</v>
      </c>
      <c r="E3365" s="38" t="s">
        <v>11973</v>
      </c>
      <c r="F3365" s="38" t="s">
        <v>11974</v>
      </c>
    </row>
    <row r="3366">
      <c r="B3366" s="38" t="s">
        <v>128</v>
      </c>
      <c r="C3366" s="38">
        <v>4.0</v>
      </c>
      <c r="D3366" s="38" t="s">
        <v>2061</v>
      </c>
      <c r="E3366" s="38" t="s">
        <v>11975</v>
      </c>
      <c r="F3366" s="38" t="s">
        <v>11976</v>
      </c>
    </row>
    <row r="3367">
      <c r="A3367" s="65">
        <v>44795.0</v>
      </c>
      <c r="B3367" s="38" t="s">
        <v>11977</v>
      </c>
      <c r="C3367" s="38" t="s">
        <v>11978</v>
      </c>
      <c r="D3367" s="352" t="s">
        <v>11979</v>
      </c>
      <c r="E3367" s="38" t="s">
        <v>11980</v>
      </c>
      <c r="F3367" s="44"/>
      <c r="G3367" s="491" t="s">
        <v>11981</v>
      </c>
    </row>
    <row r="3368">
      <c r="A3368" s="38" t="s">
        <v>11982</v>
      </c>
      <c r="B3368" s="38" t="s">
        <v>11983</v>
      </c>
      <c r="C3368" s="38" t="s">
        <v>11984</v>
      </c>
      <c r="D3368" s="44"/>
      <c r="E3368" s="38" t="s">
        <v>11985</v>
      </c>
      <c r="F3368" s="44"/>
      <c r="G3368" s="44"/>
    </row>
    <row r="3369">
      <c r="B3369" s="38" t="s">
        <v>25</v>
      </c>
      <c r="C3369" s="38">
        <v>4.0</v>
      </c>
      <c r="D3369" s="38" t="s">
        <v>8057</v>
      </c>
      <c r="E3369" s="38" t="s">
        <v>11986</v>
      </c>
      <c r="F3369" s="38" t="s">
        <v>11987</v>
      </c>
    </row>
    <row r="3370">
      <c r="B3370" s="38" t="s">
        <v>25</v>
      </c>
      <c r="C3370" s="38">
        <v>4.0</v>
      </c>
      <c r="D3370" s="38" t="s">
        <v>545</v>
      </c>
      <c r="E3370" s="38" t="s">
        <v>10117</v>
      </c>
      <c r="F3370" s="44"/>
    </row>
    <row r="3371">
      <c r="B3371" s="38" t="s">
        <v>1296</v>
      </c>
      <c r="C3371" s="38">
        <v>2.0</v>
      </c>
      <c r="D3371" s="38" t="s">
        <v>11988</v>
      </c>
      <c r="E3371" s="38" t="s">
        <v>138</v>
      </c>
      <c r="F3371" s="38" t="s">
        <v>11989</v>
      </c>
      <c r="G3371" s="38" t="s">
        <v>11990</v>
      </c>
    </row>
    <row r="3372">
      <c r="B3372" s="38" t="s">
        <v>853</v>
      </c>
      <c r="C3372" s="38">
        <v>1.0</v>
      </c>
      <c r="D3372" s="38" t="s">
        <v>11991</v>
      </c>
      <c r="E3372" s="132" t="s">
        <v>11992</v>
      </c>
      <c r="F3372" s="38" t="s">
        <v>11993</v>
      </c>
    </row>
    <row r="3373">
      <c r="B3373" s="38" t="s">
        <v>1100</v>
      </c>
      <c r="C3373" s="38">
        <v>1.0</v>
      </c>
      <c r="D3373" s="38" t="s">
        <v>11991</v>
      </c>
      <c r="E3373" s="132" t="s">
        <v>11992</v>
      </c>
      <c r="F3373" s="38" t="s">
        <v>11993</v>
      </c>
    </row>
    <row r="3374">
      <c r="B3374" s="460" t="s">
        <v>11994</v>
      </c>
      <c r="C3374" s="352" t="s">
        <v>11995</v>
      </c>
      <c r="D3374" s="352" t="s">
        <v>11996</v>
      </c>
      <c r="E3374" s="132" t="s">
        <v>7047</v>
      </c>
      <c r="F3374" s="38" t="s">
        <v>11997</v>
      </c>
      <c r="G3374" s="38" t="s">
        <v>144</v>
      </c>
    </row>
    <row r="3375">
      <c r="B3375" s="38"/>
      <c r="C3375" s="38" t="s">
        <v>11998</v>
      </c>
      <c r="D3375" s="38" t="s">
        <v>11999</v>
      </c>
      <c r="E3375" s="132" t="s">
        <v>7047</v>
      </c>
      <c r="F3375" s="38" t="s">
        <v>5828</v>
      </c>
      <c r="G3375" s="38" t="s">
        <v>144</v>
      </c>
    </row>
    <row r="3376">
      <c r="B3376" s="38"/>
      <c r="C3376" s="38"/>
      <c r="D3376" s="38" t="s">
        <v>12000</v>
      </c>
      <c r="E3376" s="132" t="s">
        <v>12001</v>
      </c>
      <c r="F3376" s="38" t="s">
        <v>12002</v>
      </c>
    </row>
    <row r="3377">
      <c r="B3377" s="38"/>
      <c r="C3377" s="44"/>
      <c r="D3377" s="38" t="s">
        <v>12003</v>
      </c>
      <c r="E3377" s="38" t="s">
        <v>5405</v>
      </c>
      <c r="F3377" s="38" t="s">
        <v>12004</v>
      </c>
      <c r="G3377" s="38" t="s">
        <v>6549</v>
      </c>
    </row>
    <row r="3378">
      <c r="B3378" s="38"/>
      <c r="C3378" s="294" t="s">
        <v>12005</v>
      </c>
      <c r="D3378" s="353" t="s">
        <v>12006</v>
      </c>
      <c r="E3378" s="38" t="s">
        <v>5405</v>
      </c>
      <c r="F3378" s="38"/>
      <c r="G3378" s="44"/>
    </row>
    <row r="3379">
      <c r="B3379" s="38" t="s">
        <v>166</v>
      </c>
      <c r="C3379" s="38">
        <v>2.0</v>
      </c>
      <c r="D3379" s="38" t="s">
        <v>12007</v>
      </c>
      <c r="E3379" s="132" t="s">
        <v>974</v>
      </c>
      <c r="F3379" s="38" t="s">
        <v>11962</v>
      </c>
    </row>
    <row r="3380">
      <c r="B3380" s="38" t="s">
        <v>2035</v>
      </c>
      <c r="C3380" s="38">
        <v>4.0</v>
      </c>
      <c r="D3380" s="38" t="s">
        <v>12008</v>
      </c>
      <c r="E3380" s="132" t="s">
        <v>1098</v>
      </c>
      <c r="F3380" s="38" t="s">
        <v>12009</v>
      </c>
      <c r="G3380" s="1" t="s">
        <v>12010</v>
      </c>
    </row>
    <row r="3381">
      <c r="B3381" s="38" t="s">
        <v>2035</v>
      </c>
      <c r="C3381" s="38">
        <v>4.0</v>
      </c>
      <c r="D3381" s="38" t="s">
        <v>12008</v>
      </c>
      <c r="E3381" s="132" t="s">
        <v>1098</v>
      </c>
      <c r="F3381" s="38" t="s">
        <v>12011</v>
      </c>
    </row>
    <row r="3382">
      <c r="B3382" s="38"/>
      <c r="C3382" s="38"/>
      <c r="D3382" s="38" t="s">
        <v>12012</v>
      </c>
      <c r="E3382" s="132" t="s">
        <v>12013</v>
      </c>
      <c r="F3382" s="38" t="s">
        <v>12014</v>
      </c>
      <c r="G3382" s="1" t="s">
        <v>12015</v>
      </c>
    </row>
    <row r="3383">
      <c r="B3383" s="38" t="s">
        <v>25</v>
      </c>
      <c r="C3383" s="38">
        <v>4.0</v>
      </c>
      <c r="D3383" s="38" t="s">
        <v>289</v>
      </c>
      <c r="E3383" s="132" t="s">
        <v>12016</v>
      </c>
      <c r="F3383" s="38" t="s">
        <v>1743</v>
      </c>
    </row>
    <row r="3384">
      <c r="B3384" s="38" t="s">
        <v>308</v>
      </c>
      <c r="C3384" s="38">
        <v>4.0</v>
      </c>
      <c r="D3384" s="38" t="s">
        <v>2121</v>
      </c>
      <c r="E3384" s="38" t="s">
        <v>2504</v>
      </c>
      <c r="F3384" s="38" t="s">
        <v>12017</v>
      </c>
    </row>
    <row r="3385">
      <c r="B3385" s="38" t="s">
        <v>81</v>
      </c>
      <c r="C3385" s="38">
        <v>4.0</v>
      </c>
      <c r="D3385" s="38" t="s">
        <v>433</v>
      </c>
      <c r="E3385" s="38" t="s">
        <v>12018</v>
      </c>
      <c r="F3385" s="38" t="s">
        <v>12019</v>
      </c>
    </row>
    <row r="3386">
      <c r="B3386" s="38" t="s">
        <v>12020</v>
      </c>
      <c r="C3386" s="38" t="s">
        <v>12021</v>
      </c>
      <c r="D3386" s="38" t="s">
        <v>12022</v>
      </c>
      <c r="E3386" s="132" t="s">
        <v>12023</v>
      </c>
      <c r="F3386" s="38" t="s">
        <v>12024</v>
      </c>
    </row>
    <row r="3387">
      <c r="B3387" s="38" t="s">
        <v>12025</v>
      </c>
      <c r="C3387" s="38" t="s">
        <v>12026</v>
      </c>
      <c r="D3387" s="5"/>
      <c r="E3387" s="132" t="s">
        <v>12023</v>
      </c>
      <c r="F3387" s="38" t="s">
        <v>12027</v>
      </c>
    </row>
    <row r="3388">
      <c r="B3388" s="38" t="s">
        <v>205</v>
      </c>
      <c r="C3388" s="38">
        <v>2.0</v>
      </c>
      <c r="D3388" s="38" t="s">
        <v>433</v>
      </c>
      <c r="E3388" s="132" t="s">
        <v>1017</v>
      </c>
      <c r="F3388" s="38" t="s">
        <v>12028</v>
      </c>
    </row>
    <row r="3389">
      <c r="B3389" s="5" t="s">
        <v>12029</v>
      </c>
      <c r="C3389" s="5" t="s">
        <v>12030</v>
      </c>
      <c r="D3389" s="1" t="s">
        <v>12031</v>
      </c>
      <c r="E3389" s="1" t="s">
        <v>9526</v>
      </c>
      <c r="F3389" s="5" t="s">
        <v>12032</v>
      </c>
    </row>
    <row r="3390">
      <c r="A3390" s="8"/>
      <c r="B3390" s="38" t="s">
        <v>12033</v>
      </c>
      <c r="C3390" s="38" t="s">
        <v>12034</v>
      </c>
      <c r="D3390" s="38" t="s">
        <v>12035</v>
      </c>
      <c r="E3390" s="38" t="s">
        <v>12036</v>
      </c>
      <c r="F3390" s="38" t="s">
        <v>12037</v>
      </c>
      <c r="G3390" s="38" t="s">
        <v>12038</v>
      </c>
    </row>
    <row r="3391">
      <c r="A3391" s="8"/>
      <c r="B3391" s="38" t="s">
        <v>12039</v>
      </c>
      <c r="C3391" s="38" t="s">
        <v>12040</v>
      </c>
      <c r="D3391" s="38" t="s">
        <v>12041</v>
      </c>
      <c r="E3391" s="38" t="s">
        <v>12036</v>
      </c>
      <c r="F3391" s="38" t="s">
        <v>12042</v>
      </c>
      <c r="G3391" s="38" t="s">
        <v>12038</v>
      </c>
    </row>
    <row r="3392">
      <c r="A3392" s="8"/>
      <c r="B3392" s="38"/>
      <c r="C3392" s="38"/>
      <c r="D3392" s="38"/>
      <c r="E3392" s="38" t="s">
        <v>12043</v>
      </c>
      <c r="F3392" s="38" t="s">
        <v>12044</v>
      </c>
      <c r="G3392" s="38" t="s">
        <v>12038</v>
      </c>
    </row>
    <row r="3393">
      <c r="A3393" s="8"/>
      <c r="B3393" s="47" t="s">
        <v>12045</v>
      </c>
      <c r="C3393" s="492" t="s">
        <v>12046</v>
      </c>
      <c r="D3393" s="38" t="s">
        <v>12047</v>
      </c>
      <c r="E3393" s="47" t="s">
        <v>1742</v>
      </c>
      <c r="F3393" s="99" t="s">
        <v>12048</v>
      </c>
      <c r="G3393" s="1" t="s">
        <v>4421</v>
      </c>
    </row>
    <row r="3394">
      <c r="A3394" s="8"/>
      <c r="B3394" s="47" t="s">
        <v>5811</v>
      </c>
      <c r="C3394" s="38" t="s">
        <v>12049</v>
      </c>
      <c r="D3394" s="38" t="s">
        <v>12050</v>
      </c>
      <c r="E3394" s="47" t="s">
        <v>5188</v>
      </c>
      <c r="F3394" s="38" t="s">
        <v>12051</v>
      </c>
      <c r="G3394" s="1" t="s">
        <v>4421</v>
      </c>
    </row>
    <row r="3395">
      <c r="B3395" s="38" t="s">
        <v>12052</v>
      </c>
      <c r="C3395" s="38" t="s">
        <v>12053</v>
      </c>
      <c r="D3395" s="38"/>
      <c r="E3395" s="132" t="s">
        <v>5188</v>
      </c>
      <c r="F3395" s="38" t="s">
        <v>12054</v>
      </c>
      <c r="G3395" s="1" t="s">
        <v>4421</v>
      </c>
    </row>
    <row r="3396">
      <c r="A3396" s="65">
        <v>44809.0</v>
      </c>
      <c r="B3396" s="38" t="s">
        <v>12055</v>
      </c>
      <c r="C3396" s="38" t="s">
        <v>12056</v>
      </c>
      <c r="D3396" s="38" t="s">
        <v>12057</v>
      </c>
      <c r="E3396" s="47" t="s">
        <v>1199</v>
      </c>
      <c r="F3396" s="38"/>
    </row>
    <row r="3397">
      <c r="A3397" s="38" t="s">
        <v>12058</v>
      </c>
      <c r="B3397" s="38" t="s">
        <v>12059</v>
      </c>
      <c r="C3397" s="38" t="s">
        <v>11384</v>
      </c>
      <c r="D3397" s="38"/>
      <c r="E3397" s="47" t="s">
        <v>1199</v>
      </c>
      <c r="F3397" s="38"/>
    </row>
    <row r="3398">
      <c r="B3398" s="38" t="s">
        <v>25</v>
      </c>
      <c r="C3398" s="38">
        <v>4.0</v>
      </c>
      <c r="D3398" s="38" t="s">
        <v>6192</v>
      </c>
      <c r="E3398" s="47" t="s">
        <v>4478</v>
      </c>
      <c r="F3398" s="38">
        <v>336.0</v>
      </c>
    </row>
    <row r="3399">
      <c r="B3399" s="38" t="s">
        <v>12060</v>
      </c>
      <c r="C3399" s="38"/>
      <c r="D3399" s="38" t="s">
        <v>12061</v>
      </c>
      <c r="E3399" s="493" t="s">
        <v>12062</v>
      </c>
      <c r="F3399" s="38" t="s">
        <v>8256</v>
      </c>
    </row>
    <row r="3400">
      <c r="A3400" s="38" t="s">
        <v>12063</v>
      </c>
      <c r="B3400" s="38" t="s">
        <v>12064</v>
      </c>
      <c r="C3400" s="38" t="s">
        <v>12065</v>
      </c>
      <c r="D3400" s="38" t="s">
        <v>12066</v>
      </c>
      <c r="E3400" s="132" t="s">
        <v>12013</v>
      </c>
      <c r="F3400" s="38" t="s">
        <v>12067</v>
      </c>
      <c r="G3400" s="38" t="s">
        <v>12015</v>
      </c>
    </row>
    <row r="3401">
      <c r="A3401" s="65">
        <v>44816.0</v>
      </c>
      <c r="B3401" s="38" t="s">
        <v>12068</v>
      </c>
      <c r="C3401" s="38" t="s">
        <v>12069</v>
      </c>
      <c r="D3401" s="38" t="s">
        <v>12070</v>
      </c>
      <c r="E3401" s="132" t="s">
        <v>12013</v>
      </c>
      <c r="F3401" s="38" t="s">
        <v>12071</v>
      </c>
      <c r="G3401" s="38" t="s">
        <v>12015</v>
      </c>
    </row>
    <row r="3402">
      <c r="A3402" s="44"/>
      <c r="B3402" s="38" t="s">
        <v>12072</v>
      </c>
      <c r="C3402" s="471" t="s">
        <v>12073</v>
      </c>
      <c r="D3402" s="38" t="s">
        <v>12074</v>
      </c>
      <c r="E3402" s="132" t="s">
        <v>12013</v>
      </c>
      <c r="F3402" s="38" t="s">
        <v>12075</v>
      </c>
      <c r="G3402" s="38" t="s">
        <v>12015</v>
      </c>
    </row>
    <row r="3403">
      <c r="A3403" s="44"/>
      <c r="B3403" s="38"/>
      <c r="C3403" s="471" t="s">
        <v>12076</v>
      </c>
      <c r="D3403" s="38" t="s">
        <v>12077</v>
      </c>
      <c r="E3403" s="132" t="s">
        <v>12013</v>
      </c>
      <c r="F3403" s="38" t="s">
        <v>12078</v>
      </c>
      <c r="G3403" s="38" t="s">
        <v>12015</v>
      </c>
    </row>
    <row r="3404">
      <c r="B3404" s="38" t="s">
        <v>12079</v>
      </c>
      <c r="C3404" s="38" t="s">
        <v>11298</v>
      </c>
      <c r="D3404" s="38" t="s">
        <v>12080</v>
      </c>
      <c r="E3404" s="132" t="s">
        <v>1017</v>
      </c>
      <c r="F3404" s="38" t="s">
        <v>12081</v>
      </c>
      <c r="G3404" s="38" t="s">
        <v>12082</v>
      </c>
    </row>
    <row r="3405">
      <c r="B3405" s="38"/>
      <c r="C3405" s="38"/>
      <c r="D3405" s="38" t="s">
        <v>12083</v>
      </c>
      <c r="E3405" s="132" t="s">
        <v>1612</v>
      </c>
      <c r="F3405" s="38" t="s">
        <v>12084</v>
      </c>
      <c r="G3405" s="1" t="s">
        <v>144</v>
      </c>
    </row>
    <row r="3406">
      <c r="A3406" s="44"/>
      <c r="B3406" s="352" t="s">
        <v>12085</v>
      </c>
      <c r="C3406" s="352" t="s">
        <v>12086</v>
      </c>
      <c r="D3406" s="305" t="s">
        <v>12087</v>
      </c>
      <c r="E3406" s="38" t="s">
        <v>9550</v>
      </c>
      <c r="F3406" s="305" t="s">
        <v>12088</v>
      </c>
      <c r="G3406" s="44"/>
    </row>
    <row r="3407">
      <c r="A3407" s="494" t="s">
        <v>12089</v>
      </c>
      <c r="B3407" s="38" t="s">
        <v>12090</v>
      </c>
      <c r="C3407" s="38" t="s">
        <v>12091</v>
      </c>
      <c r="D3407" s="38" t="s">
        <v>12092</v>
      </c>
      <c r="E3407" s="38" t="s">
        <v>9550</v>
      </c>
      <c r="F3407" s="38" t="s">
        <v>12093</v>
      </c>
      <c r="G3407" s="38" t="s">
        <v>12094</v>
      </c>
    </row>
    <row r="3408">
      <c r="A3408" s="495"/>
      <c r="B3408" s="294" t="s">
        <v>12095</v>
      </c>
      <c r="C3408" s="38" t="s">
        <v>5809</v>
      </c>
      <c r="D3408" s="294" t="s">
        <v>1347</v>
      </c>
      <c r="E3408" s="38" t="s">
        <v>3310</v>
      </c>
      <c r="G3408" s="38" t="s">
        <v>12096</v>
      </c>
      <c r="H3408" s="8"/>
      <c r="I3408" s="8"/>
      <c r="J3408" s="8"/>
    </row>
    <row r="3409">
      <c r="A3409" s="8"/>
      <c r="B3409" s="294" t="s">
        <v>5811</v>
      </c>
      <c r="C3409" s="294" t="s">
        <v>12097</v>
      </c>
      <c r="D3409" s="38"/>
      <c r="E3409" s="38" t="s">
        <v>3310</v>
      </c>
      <c r="F3409" s="38" t="s">
        <v>3309</v>
      </c>
      <c r="G3409" s="38" t="s">
        <v>12096</v>
      </c>
    </row>
    <row r="3410">
      <c r="B3410" s="38"/>
      <c r="C3410" s="38" t="s">
        <v>12098</v>
      </c>
      <c r="D3410" s="38"/>
      <c r="E3410" s="132" t="s">
        <v>5141</v>
      </c>
      <c r="F3410" s="38" t="s">
        <v>12099</v>
      </c>
      <c r="G3410" s="38" t="s">
        <v>144</v>
      </c>
    </row>
    <row r="3411">
      <c r="B3411" s="38" t="s">
        <v>12100</v>
      </c>
      <c r="C3411" s="38" t="s">
        <v>12101</v>
      </c>
      <c r="D3411" s="222" t="s">
        <v>12102</v>
      </c>
      <c r="E3411" s="132" t="s">
        <v>12103</v>
      </c>
      <c r="F3411" s="38"/>
    </row>
    <row r="3412">
      <c r="B3412" s="305" t="s">
        <v>12104</v>
      </c>
      <c r="C3412" s="38"/>
      <c r="D3412" s="222" t="s">
        <v>12105</v>
      </c>
      <c r="E3412" s="132" t="s">
        <v>12103</v>
      </c>
      <c r="F3412" s="38" t="s">
        <v>12106</v>
      </c>
    </row>
    <row r="3413">
      <c r="B3413" s="38" t="s">
        <v>12107</v>
      </c>
      <c r="C3413" s="38" t="s">
        <v>12108</v>
      </c>
      <c r="D3413" s="305" t="s">
        <v>12109</v>
      </c>
      <c r="E3413" s="132" t="s">
        <v>12110</v>
      </c>
      <c r="F3413" s="38" t="s">
        <v>12111</v>
      </c>
    </row>
    <row r="3414">
      <c r="B3414" s="38" t="s">
        <v>12112</v>
      </c>
      <c r="C3414" s="38"/>
      <c r="D3414" s="38" t="s">
        <v>12113</v>
      </c>
      <c r="E3414" s="132" t="s">
        <v>12110</v>
      </c>
      <c r="F3414" s="38" t="s">
        <v>12114</v>
      </c>
    </row>
    <row r="3415">
      <c r="A3415" s="44"/>
      <c r="B3415" s="38" t="s">
        <v>420</v>
      </c>
      <c r="C3415" s="38" t="s">
        <v>421</v>
      </c>
      <c r="D3415" s="44"/>
      <c r="E3415" s="38" t="s">
        <v>423</v>
      </c>
      <c r="F3415" s="38" t="s">
        <v>4421</v>
      </c>
    </row>
    <row r="3416">
      <c r="A3416" s="38" t="s">
        <v>12115</v>
      </c>
      <c r="B3416" s="38" t="s">
        <v>12116</v>
      </c>
      <c r="C3416" s="38" t="s">
        <v>425</v>
      </c>
      <c r="D3416" s="38" t="s">
        <v>4299</v>
      </c>
      <c r="E3416" s="38" t="s">
        <v>423</v>
      </c>
      <c r="F3416" s="38" t="s">
        <v>4421</v>
      </c>
    </row>
    <row r="3417">
      <c r="B3417" s="38" t="s">
        <v>949</v>
      </c>
      <c r="C3417" s="38">
        <v>4.0</v>
      </c>
      <c r="D3417" s="38" t="s">
        <v>684</v>
      </c>
      <c r="E3417" s="132" t="s">
        <v>12117</v>
      </c>
      <c r="F3417" s="38" t="s">
        <v>12118</v>
      </c>
    </row>
    <row r="3418">
      <c r="B3418" s="38"/>
      <c r="C3418" s="38"/>
      <c r="D3418" s="471" t="s">
        <v>12119</v>
      </c>
      <c r="E3418" s="132" t="s">
        <v>10668</v>
      </c>
      <c r="F3418" s="38"/>
    </row>
    <row r="3419">
      <c r="B3419" s="390" t="s">
        <v>12120</v>
      </c>
      <c r="C3419" s="38" t="s">
        <v>12121</v>
      </c>
      <c r="D3419" s="38" t="s">
        <v>12122</v>
      </c>
      <c r="E3419" s="132" t="s">
        <v>392</v>
      </c>
      <c r="F3419" s="38"/>
      <c r="G3419" s="38" t="s">
        <v>12123</v>
      </c>
    </row>
    <row r="3420">
      <c r="B3420" s="38" t="s">
        <v>10797</v>
      </c>
      <c r="C3420" s="38" t="s">
        <v>10798</v>
      </c>
      <c r="D3420" s="38"/>
      <c r="E3420" s="132" t="s">
        <v>392</v>
      </c>
      <c r="F3420" s="38" t="s">
        <v>12124</v>
      </c>
      <c r="G3420" s="38" t="s">
        <v>12123</v>
      </c>
    </row>
    <row r="3421">
      <c r="B3421" s="38" t="s">
        <v>22</v>
      </c>
      <c r="C3421" s="38">
        <v>4.0</v>
      </c>
      <c r="D3421" s="38" t="s">
        <v>11901</v>
      </c>
      <c r="E3421" s="132" t="s">
        <v>1017</v>
      </c>
      <c r="F3421" s="38" t="s">
        <v>12082</v>
      </c>
    </row>
    <row r="3422">
      <c r="B3422" s="38"/>
      <c r="C3422" s="38"/>
      <c r="D3422" s="38" t="s">
        <v>12125</v>
      </c>
      <c r="E3422" s="132" t="s">
        <v>12126</v>
      </c>
      <c r="F3422" s="38" t="s">
        <v>12127</v>
      </c>
    </row>
    <row r="3423">
      <c r="B3423" s="38" t="s">
        <v>9957</v>
      </c>
      <c r="C3423" s="38" t="s">
        <v>12128</v>
      </c>
      <c r="D3423" s="38" t="s">
        <v>12129</v>
      </c>
      <c r="E3423" s="38" t="s">
        <v>5744</v>
      </c>
      <c r="F3423" s="38" t="s">
        <v>12130</v>
      </c>
      <c r="G3423" s="38" t="s">
        <v>12131</v>
      </c>
    </row>
    <row r="3424">
      <c r="A3424" s="19">
        <v>44820.0</v>
      </c>
      <c r="B3424" s="38" t="s">
        <v>5747</v>
      </c>
      <c r="C3424" s="44"/>
      <c r="D3424" s="38" t="s">
        <v>12132</v>
      </c>
      <c r="E3424" s="38" t="s">
        <v>5744</v>
      </c>
      <c r="F3424" s="38" t="s">
        <v>12133</v>
      </c>
      <c r="G3424" s="38" t="s">
        <v>12131</v>
      </c>
    </row>
    <row r="3425">
      <c r="A3425" s="1" t="s">
        <v>12134</v>
      </c>
      <c r="B3425" s="38"/>
      <c r="C3425" s="44"/>
      <c r="D3425" s="38" t="s">
        <v>9961</v>
      </c>
      <c r="E3425" s="38" t="s">
        <v>5744</v>
      </c>
      <c r="F3425" s="38"/>
      <c r="G3425" s="38" t="s">
        <v>12131</v>
      </c>
    </row>
    <row r="3426">
      <c r="B3426" s="38" t="s">
        <v>205</v>
      </c>
      <c r="C3426" s="38">
        <v>4.0</v>
      </c>
      <c r="D3426" s="38" t="s">
        <v>433</v>
      </c>
      <c r="E3426" s="132" t="s">
        <v>1098</v>
      </c>
      <c r="F3426" s="38" t="s">
        <v>12135</v>
      </c>
    </row>
    <row r="3427">
      <c r="A3427" s="44"/>
      <c r="B3427" s="38" t="s">
        <v>12136</v>
      </c>
      <c r="C3427" s="38" t="s">
        <v>12137</v>
      </c>
      <c r="D3427" s="38"/>
      <c r="E3427" s="132" t="s">
        <v>4210</v>
      </c>
      <c r="F3427" s="38" t="s">
        <v>12138</v>
      </c>
      <c r="G3427" s="38" t="s">
        <v>12139</v>
      </c>
    </row>
    <row r="3428">
      <c r="A3428" s="38"/>
      <c r="B3428" s="38" t="s">
        <v>12140</v>
      </c>
      <c r="C3428" s="38"/>
      <c r="D3428" s="38" t="s">
        <v>12141</v>
      </c>
      <c r="E3428" s="132" t="s">
        <v>4210</v>
      </c>
      <c r="F3428" s="38"/>
      <c r="G3428" s="38" t="s">
        <v>12139</v>
      </c>
    </row>
    <row r="3429">
      <c r="B3429" s="101" t="s">
        <v>12142</v>
      </c>
      <c r="C3429" s="101" t="s">
        <v>12143</v>
      </c>
      <c r="D3429" s="38" t="s">
        <v>12144</v>
      </c>
      <c r="E3429" s="132" t="s">
        <v>1940</v>
      </c>
      <c r="F3429" s="38" t="s">
        <v>12145</v>
      </c>
      <c r="G3429" s="38" t="s">
        <v>12038</v>
      </c>
    </row>
    <row r="3430">
      <c r="B3430" s="38" t="s">
        <v>12146</v>
      </c>
      <c r="C3430" s="38"/>
      <c r="D3430" s="38" t="s">
        <v>12147</v>
      </c>
      <c r="E3430" s="132" t="s">
        <v>9035</v>
      </c>
      <c r="F3430" s="38" t="s">
        <v>12148</v>
      </c>
    </row>
    <row r="3431">
      <c r="B3431" s="38" t="s">
        <v>12149</v>
      </c>
      <c r="C3431" s="38" t="s">
        <v>12150</v>
      </c>
      <c r="D3431" s="38"/>
      <c r="E3431" s="132" t="s">
        <v>720</v>
      </c>
      <c r="F3431" s="38" t="s">
        <v>12151</v>
      </c>
    </row>
    <row r="3432">
      <c r="B3432" s="38"/>
      <c r="C3432" s="59" t="s">
        <v>12152</v>
      </c>
      <c r="D3432" s="38" t="s">
        <v>12153</v>
      </c>
      <c r="E3432" s="39" t="s">
        <v>12154</v>
      </c>
      <c r="F3432" s="38"/>
    </row>
    <row r="3433">
      <c r="A3433" s="5"/>
      <c r="B3433" s="38" t="s">
        <v>261</v>
      </c>
      <c r="C3433" s="38">
        <v>2.0</v>
      </c>
      <c r="D3433" s="38" t="s">
        <v>12155</v>
      </c>
      <c r="E3433" s="38" t="s">
        <v>12156</v>
      </c>
      <c r="F3433" s="38" t="s">
        <v>9494</v>
      </c>
      <c r="G3433" s="38" t="s">
        <v>12157</v>
      </c>
    </row>
    <row r="3434">
      <c r="B3434" s="38"/>
      <c r="C3434" s="38"/>
      <c r="D3434" s="38" t="s">
        <v>12158</v>
      </c>
      <c r="E3434" s="132" t="s">
        <v>12159</v>
      </c>
      <c r="F3434" s="38" t="s">
        <v>11730</v>
      </c>
    </row>
    <row r="3435">
      <c r="B3435" s="38" t="s">
        <v>25</v>
      </c>
      <c r="C3435" s="38">
        <v>4.0</v>
      </c>
      <c r="D3435" s="38" t="s">
        <v>2473</v>
      </c>
      <c r="E3435" s="132" t="s">
        <v>12160</v>
      </c>
      <c r="F3435" s="38" t="s">
        <v>12161</v>
      </c>
    </row>
    <row r="3436">
      <c r="B3436" s="38" t="s">
        <v>271</v>
      </c>
      <c r="C3436" s="38">
        <v>4.0</v>
      </c>
      <c r="D3436" s="38" t="s">
        <v>1084</v>
      </c>
      <c r="E3436" s="39" t="s">
        <v>12162</v>
      </c>
      <c r="F3436" s="38" t="s">
        <v>12163</v>
      </c>
    </row>
    <row r="3437">
      <c r="A3437" s="4"/>
      <c r="B3437" s="38" t="s">
        <v>81</v>
      </c>
      <c r="C3437" s="38">
        <v>4.0</v>
      </c>
      <c r="D3437" s="38" t="s">
        <v>2061</v>
      </c>
      <c r="E3437" s="132" t="s">
        <v>12164</v>
      </c>
      <c r="F3437" s="38" t="s">
        <v>12165</v>
      </c>
    </row>
    <row r="3438">
      <c r="A3438" s="4"/>
      <c r="B3438" s="38"/>
      <c r="C3438" s="38">
        <v>4.0</v>
      </c>
      <c r="D3438" s="38" t="s">
        <v>12166</v>
      </c>
      <c r="E3438" s="132" t="s">
        <v>12164</v>
      </c>
      <c r="F3438" s="38" t="s">
        <v>12167</v>
      </c>
    </row>
    <row r="3439">
      <c r="A3439" s="4"/>
      <c r="B3439" s="38" t="s">
        <v>12168</v>
      </c>
      <c r="C3439" s="38">
        <v>4.0</v>
      </c>
      <c r="D3439" s="38" t="s">
        <v>9349</v>
      </c>
      <c r="E3439" s="132" t="s">
        <v>12164</v>
      </c>
      <c r="F3439" s="38" t="s">
        <v>5794</v>
      </c>
    </row>
    <row r="3440">
      <c r="B3440" s="38"/>
      <c r="C3440" s="38">
        <v>4.0</v>
      </c>
      <c r="D3440" s="38" t="s">
        <v>12169</v>
      </c>
      <c r="E3440" s="132" t="s">
        <v>12164</v>
      </c>
      <c r="F3440" s="38"/>
    </row>
    <row r="3441">
      <c r="B3441" s="38"/>
      <c r="C3441" s="38" t="s">
        <v>12170</v>
      </c>
      <c r="D3441" s="38" t="s">
        <v>12171</v>
      </c>
      <c r="E3441" s="132" t="s">
        <v>1294</v>
      </c>
      <c r="F3441" s="38" t="s">
        <v>12172</v>
      </c>
      <c r="G3441" s="38" t="s">
        <v>12173</v>
      </c>
    </row>
    <row r="3442">
      <c r="B3442" s="38"/>
      <c r="C3442" s="38"/>
      <c r="D3442" s="38"/>
      <c r="E3442" s="132" t="s">
        <v>1294</v>
      </c>
      <c r="F3442" s="38" t="s">
        <v>12174</v>
      </c>
      <c r="G3442" s="38" t="s">
        <v>12175</v>
      </c>
    </row>
    <row r="3443">
      <c r="B3443" s="38"/>
      <c r="C3443" s="38" t="s">
        <v>12176</v>
      </c>
      <c r="D3443" s="38" t="s">
        <v>12177</v>
      </c>
      <c r="E3443" s="132" t="s">
        <v>12178</v>
      </c>
      <c r="F3443" s="38" t="s">
        <v>1542</v>
      </c>
      <c r="G3443" s="38" t="s">
        <v>12139</v>
      </c>
    </row>
    <row r="3444">
      <c r="B3444" s="38"/>
      <c r="C3444" s="38" t="s">
        <v>12179</v>
      </c>
      <c r="D3444" s="38"/>
      <c r="E3444" s="132" t="s">
        <v>12178</v>
      </c>
      <c r="F3444" s="38" t="s">
        <v>12180</v>
      </c>
      <c r="G3444" s="38" t="s">
        <v>12139</v>
      </c>
    </row>
    <row r="3445">
      <c r="B3445" s="38" t="s">
        <v>919</v>
      </c>
      <c r="C3445" s="38">
        <v>4.0</v>
      </c>
      <c r="D3445" s="38" t="s">
        <v>12181</v>
      </c>
      <c r="E3445" s="39" t="s">
        <v>12182</v>
      </c>
      <c r="F3445" s="38" t="s">
        <v>12183</v>
      </c>
    </row>
    <row r="3446">
      <c r="B3446" s="38" t="s">
        <v>22</v>
      </c>
      <c r="C3446" s="38">
        <v>2.0</v>
      </c>
      <c r="D3446" s="38" t="s">
        <v>4326</v>
      </c>
      <c r="E3446" s="39" t="s">
        <v>12182</v>
      </c>
      <c r="F3446" s="38" t="s">
        <v>12183</v>
      </c>
    </row>
    <row r="3447">
      <c r="B3447" s="38" t="s">
        <v>1513</v>
      </c>
      <c r="C3447" s="38">
        <v>4.0</v>
      </c>
      <c r="D3447" s="38" t="s">
        <v>10222</v>
      </c>
      <c r="E3447" s="132" t="s">
        <v>1017</v>
      </c>
      <c r="F3447" s="38" t="s">
        <v>11863</v>
      </c>
    </row>
    <row r="3448">
      <c r="B3448" s="38"/>
      <c r="C3448" s="38"/>
      <c r="D3448" s="38"/>
      <c r="E3448" s="132" t="s">
        <v>873</v>
      </c>
      <c r="F3448" s="38" t="s">
        <v>12184</v>
      </c>
      <c r="G3448" s="38" t="s">
        <v>12185</v>
      </c>
    </row>
    <row r="3449">
      <c r="B3449" s="38" t="s">
        <v>2035</v>
      </c>
      <c r="C3449" s="38">
        <v>4.0</v>
      </c>
      <c r="D3449" s="38" t="s">
        <v>12186</v>
      </c>
      <c r="E3449" s="47" t="s">
        <v>4255</v>
      </c>
      <c r="F3449" s="38" t="s">
        <v>12187</v>
      </c>
    </row>
    <row r="3450">
      <c r="B3450" s="38" t="s">
        <v>339</v>
      </c>
      <c r="C3450" s="38">
        <v>4.0</v>
      </c>
      <c r="D3450" s="38" t="s">
        <v>6571</v>
      </c>
      <c r="E3450" s="38" t="s">
        <v>12188</v>
      </c>
      <c r="F3450" s="38" t="s">
        <v>11912</v>
      </c>
      <c r="G3450" s="109" t="s">
        <v>12189</v>
      </c>
    </row>
    <row r="3451">
      <c r="B3451" s="38"/>
      <c r="C3451" s="38"/>
      <c r="D3451" s="38" t="s">
        <v>12190</v>
      </c>
      <c r="E3451" s="132" t="s">
        <v>12191</v>
      </c>
      <c r="F3451" s="38" t="s">
        <v>11730</v>
      </c>
    </row>
    <row r="3452">
      <c r="B3452" s="38"/>
      <c r="C3452" s="38" t="s">
        <v>12145</v>
      </c>
      <c r="D3452" s="38" t="s">
        <v>12192</v>
      </c>
      <c r="E3452" s="132" t="s">
        <v>12191</v>
      </c>
      <c r="F3452" s="38" t="s">
        <v>11730</v>
      </c>
    </row>
    <row r="3453">
      <c r="B3453" s="38"/>
      <c r="C3453" s="38"/>
      <c r="D3453" s="38"/>
      <c r="E3453" s="132" t="s">
        <v>12193</v>
      </c>
      <c r="F3453" s="38" t="s">
        <v>12194</v>
      </c>
    </row>
    <row r="3454">
      <c r="B3454" s="38" t="s">
        <v>271</v>
      </c>
      <c r="C3454" s="38">
        <v>4.0</v>
      </c>
      <c r="D3454" s="38" t="s">
        <v>684</v>
      </c>
      <c r="E3454" s="91" t="s">
        <v>9658</v>
      </c>
      <c r="F3454" s="38" t="s">
        <v>12195</v>
      </c>
    </row>
    <row r="3455">
      <c r="B3455" s="38" t="s">
        <v>982</v>
      </c>
      <c r="C3455" s="38">
        <v>4.0</v>
      </c>
      <c r="D3455" s="38" t="s">
        <v>630</v>
      </c>
      <c r="E3455" s="91" t="s">
        <v>9658</v>
      </c>
      <c r="F3455" s="38" t="s">
        <v>12195</v>
      </c>
    </row>
    <row r="3456">
      <c r="B3456" s="38" t="s">
        <v>28</v>
      </c>
      <c r="C3456" s="38">
        <v>156.0</v>
      </c>
      <c r="D3456" s="38" t="s">
        <v>7236</v>
      </c>
      <c r="E3456" s="132" t="s">
        <v>8431</v>
      </c>
      <c r="F3456" s="38" t="s">
        <v>12196</v>
      </c>
    </row>
    <row r="3457">
      <c r="B3457" s="38" t="s">
        <v>430</v>
      </c>
      <c r="C3457" s="38">
        <v>4.0</v>
      </c>
      <c r="D3457" s="38" t="s">
        <v>6571</v>
      </c>
      <c r="E3457" s="496" t="s">
        <v>12197</v>
      </c>
      <c r="F3457" s="38" t="s">
        <v>12123</v>
      </c>
    </row>
    <row r="3458">
      <c r="B3458" s="38" t="s">
        <v>22</v>
      </c>
      <c r="C3458" s="38">
        <v>1.0</v>
      </c>
      <c r="D3458" s="38" t="s">
        <v>12198</v>
      </c>
      <c r="E3458" s="38" t="s">
        <v>12199</v>
      </c>
      <c r="F3458" s="38" t="s">
        <v>12200</v>
      </c>
    </row>
    <row r="3459">
      <c r="B3459" s="38" t="s">
        <v>38</v>
      </c>
      <c r="C3459" s="38">
        <v>4.0</v>
      </c>
      <c r="D3459" s="38" t="s">
        <v>2931</v>
      </c>
      <c r="E3459" s="47" t="s">
        <v>12201</v>
      </c>
      <c r="F3459" s="38" t="s">
        <v>8157</v>
      </c>
      <c r="G3459" s="497"/>
    </row>
    <row r="3460">
      <c r="A3460" s="5"/>
      <c r="B3460" s="38" t="s">
        <v>6162</v>
      </c>
      <c r="C3460" s="38">
        <v>4.0</v>
      </c>
      <c r="D3460" s="38" t="s">
        <v>9369</v>
      </c>
      <c r="E3460" s="478" t="s">
        <v>12202</v>
      </c>
      <c r="F3460" s="38" t="s">
        <v>12203</v>
      </c>
      <c r="G3460" s="109" t="s">
        <v>12204</v>
      </c>
    </row>
    <row r="3461">
      <c r="A3461" s="44"/>
      <c r="B3461" s="38" t="s">
        <v>261</v>
      </c>
      <c r="C3461" s="38">
        <v>4.0</v>
      </c>
      <c r="D3461" s="38" t="s">
        <v>2061</v>
      </c>
      <c r="E3461" s="39" t="s">
        <v>1260</v>
      </c>
      <c r="F3461" s="38" t="s">
        <v>208</v>
      </c>
    </row>
    <row r="3462">
      <c r="B3462" s="38" t="s">
        <v>357</v>
      </c>
      <c r="C3462" s="38">
        <v>2.0</v>
      </c>
      <c r="D3462" s="38" t="s">
        <v>6878</v>
      </c>
      <c r="E3462" s="39" t="s">
        <v>11932</v>
      </c>
      <c r="F3462" s="38" t="s">
        <v>12205</v>
      </c>
    </row>
    <row r="3463">
      <c r="B3463" s="38"/>
      <c r="C3463" s="38"/>
      <c r="D3463" s="38" t="s">
        <v>12206</v>
      </c>
      <c r="E3463" s="132" t="s">
        <v>12207</v>
      </c>
      <c r="F3463" s="38" t="s">
        <v>12208</v>
      </c>
    </row>
    <row r="3464">
      <c r="B3464" s="38" t="s">
        <v>271</v>
      </c>
      <c r="C3464" s="38">
        <v>4.0</v>
      </c>
      <c r="D3464" s="38" t="s">
        <v>1084</v>
      </c>
      <c r="E3464" s="38" t="s">
        <v>12209</v>
      </c>
      <c r="F3464" s="38" t="s">
        <v>12210</v>
      </c>
    </row>
    <row r="3465">
      <c r="B3465" s="38" t="s">
        <v>733</v>
      </c>
      <c r="C3465" s="38">
        <v>4.0</v>
      </c>
      <c r="D3465" s="38" t="s">
        <v>6571</v>
      </c>
      <c r="E3465" s="132" t="s">
        <v>6520</v>
      </c>
      <c r="F3465" s="38" t="s">
        <v>12211</v>
      </c>
    </row>
    <row r="3466">
      <c r="B3466" s="38" t="s">
        <v>354</v>
      </c>
      <c r="C3466" s="38">
        <v>4.0</v>
      </c>
      <c r="D3466" s="38" t="s">
        <v>684</v>
      </c>
      <c r="E3466" s="132" t="s">
        <v>6520</v>
      </c>
      <c r="F3466" s="38" t="s">
        <v>12211</v>
      </c>
    </row>
    <row r="3467">
      <c r="A3467" s="5"/>
      <c r="B3467" s="38" t="s">
        <v>733</v>
      </c>
      <c r="C3467" s="38">
        <v>4.0</v>
      </c>
      <c r="D3467" s="38" t="s">
        <v>10530</v>
      </c>
      <c r="E3467" s="132" t="s">
        <v>4624</v>
      </c>
      <c r="F3467" s="38" t="s">
        <v>12212</v>
      </c>
      <c r="G3467" s="38" t="s">
        <v>12213</v>
      </c>
      <c r="H3467" s="109" t="s">
        <v>12214</v>
      </c>
    </row>
    <row r="3468">
      <c r="B3468" s="38" t="s">
        <v>205</v>
      </c>
      <c r="C3468" s="38">
        <v>1.0</v>
      </c>
      <c r="D3468" s="38" t="s">
        <v>3937</v>
      </c>
      <c r="E3468" s="132" t="s">
        <v>5131</v>
      </c>
      <c r="F3468" s="38"/>
    </row>
    <row r="3469">
      <c r="B3469" s="38" t="s">
        <v>58</v>
      </c>
      <c r="C3469" s="38">
        <v>4.0</v>
      </c>
      <c r="D3469" s="38" t="s">
        <v>12215</v>
      </c>
      <c r="E3469" s="39" t="s">
        <v>12216</v>
      </c>
      <c r="F3469" s="38" t="s">
        <v>12217</v>
      </c>
    </row>
    <row r="3470">
      <c r="B3470" s="38" t="s">
        <v>430</v>
      </c>
      <c r="C3470" s="38">
        <v>4.0</v>
      </c>
      <c r="D3470" s="38" t="s">
        <v>6156</v>
      </c>
      <c r="E3470" s="39" t="s">
        <v>12216</v>
      </c>
      <c r="F3470" s="38" t="s">
        <v>12217</v>
      </c>
    </row>
    <row r="3471">
      <c r="B3471" s="38" t="s">
        <v>271</v>
      </c>
      <c r="C3471" s="38">
        <v>4.0</v>
      </c>
      <c r="D3471" s="38" t="s">
        <v>1084</v>
      </c>
      <c r="E3471" s="132" t="s">
        <v>5869</v>
      </c>
      <c r="F3471" s="38" t="s">
        <v>773</v>
      </c>
    </row>
    <row r="3472">
      <c r="A3472" s="1" t="s">
        <v>12218</v>
      </c>
      <c r="B3472" s="38" t="s">
        <v>333</v>
      </c>
      <c r="C3472" s="38">
        <v>4.0</v>
      </c>
      <c r="D3472" s="38" t="s">
        <v>6571</v>
      </c>
      <c r="E3472" s="132" t="s">
        <v>2546</v>
      </c>
      <c r="F3472" s="38" t="s">
        <v>12219</v>
      </c>
      <c r="G3472" s="109" t="s">
        <v>12220</v>
      </c>
    </row>
    <row r="3473">
      <c r="B3473" s="38" t="s">
        <v>876</v>
      </c>
      <c r="C3473" s="38">
        <v>1.0</v>
      </c>
      <c r="D3473" s="38" t="s">
        <v>12221</v>
      </c>
      <c r="E3473" s="132" t="s">
        <v>4939</v>
      </c>
      <c r="F3473" s="38" t="s">
        <v>12222</v>
      </c>
    </row>
    <row r="3474">
      <c r="B3474" s="38" t="s">
        <v>166</v>
      </c>
      <c r="C3474" s="38">
        <v>2.0</v>
      </c>
      <c r="D3474" s="38" t="s">
        <v>408</v>
      </c>
      <c r="E3474" s="39" t="s">
        <v>12223</v>
      </c>
      <c r="F3474" s="38" t="s">
        <v>12224</v>
      </c>
    </row>
    <row r="3475">
      <c r="B3475" s="38" t="s">
        <v>170</v>
      </c>
      <c r="C3475" s="38">
        <v>2.0</v>
      </c>
      <c r="D3475" s="38" t="s">
        <v>408</v>
      </c>
      <c r="E3475" s="498" t="s">
        <v>12225</v>
      </c>
      <c r="F3475" s="38" t="s">
        <v>12226</v>
      </c>
    </row>
    <row r="3476">
      <c r="A3476" s="4"/>
      <c r="B3476" s="38" t="s">
        <v>876</v>
      </c>
      <c r="C3476" s="38">
        <v>4.0</v>
      </c>
      <c r="D3476" s="38" t="s">
        <v>684</v>
      </c>
      <c r="E3476" s="91" t="s">
        <v>12227</v>
      </c>
      <c r="F3476" s="38" t="s">
        <v>4430</v>
      </c>
    </row>
    <row r="3477">
      <c r="B3477" s="38" t="s">
        <v>25</v>
      </c>
      <c r="C3477" s="38">
        <v>2.0</v>
      </c>
      <c r="D3477" s="38" t="s">
        <v>433</v>
      </c>
      <c r="E3477" s="132" t="s">
        <v>413</v>
      </c>
      <c r="F3477" s="38" t="s">
        <v>12228</v>
      </c>
    </row>
    <row r="3478">
      <c r="B3478" s="38" t="s">
        <v>28</v>
      </c>
      <c r="C3478" s="38">
        <v>4.0</v>
      </c>
      <c r="D3478" s="38" t="s">
        <v>12229</v>
      </c>
      <c r="E3478" s="132" t="s">
        <v>2382</v>
      </c>
      <c r="F3478" s="38" t="s">
        <v>12230</v>
      </c>
      <c r="G3478" s="38" t="s">
        <v>12231</v>
      </c>
    </row>
    <row r="3479">
      <c r="B3479" s="38"/>
      <c r="C3479" s="38" t="s">
        <v>12232</v>
      </c>
      <c r="D3479" s="38" t="s">
        <v>12233</v>
      </c>
      <c r="E3479" s="132" t="s">
        <v>2382</v>
      </c>
      <c r="F3479" s="38" t="s">
        <v>12231</v>
      </c>
      <c r="G3479" s="38"/>
    </row>
    <row r="3480">
      <c r="B3480" s="38" t="s">
        <v>357</v>
      </c>
      <c r="C3480" s="38">
        <v>4.0</v>
      </c>
      <c r="D3480" s="38" t="s">
        <v>1084</v>
      </c>
      <c r="E3480" s="487" t="s">
        <v>12234</v>
      </c>
      <c r="F3480" s="38" t="s">
        <v>12235</v>
      </c>
    </row>
    <row r="3481">
      <c r="A3481" s="8"/>
      <c r="B3481" s="38" t="s">
        <v>271</v>
      </c>
      <c r="C3481" s="38">
        <v>4.0</v>
      </c>
      <c r="D3481" s="38" t="s">
        <v>684</v>
      </c>
      <c r="E3481" s="39" t="s">
        <v>12236</v>
      </c>
      <c r="F3481" s="38" t="s">
        <v>12237</v>
      </c>
    </row>
    <row r="3482">
      <c r="A3482" s="44"/>
      <c r="B3482" s="38" t="s">
        <v>12238</v>
      </c>
      <c r="C3482" s="38"/>
      <c r="D3482" s="38" t="s">
        <v>12239</v>
      </c>
      <c r="E3482" s="132" t="s">
        <v>12240</v>
      </c>
      <c r="F3482" s="38" t="s">
        <v>12241</v>
      </c>
      <c r="G3482" s="38" t="s">
        <v>144</v>
      </c>
      <c r="H3482" s="44"/>
      <c r="I3482" s="44"/>
    </row>
    <row r="3483">
      <c r="A3483" s="44"/>
      <c r="B3483" s="38"/>
      <c r="C3483" s="38"/>
      <c r="D3483" s="38" t="s">
        <v>12242</v>
      </c>
      <c r="E3483" s="132" t="s">
        <v>12243</v>
      </c>
      <c r="F3483" s="38" t="s">
        <v>12244</v>
      </c>
      <c r="G3483" s="38" t="s">
        <v>144</v>
      </c>
      <c r="H3483" s="44"/>
      <c r="I3483" s="44"/>
    </row>
    <row r="3484">
      <c r="A3484" s="38" t="s">
        <v>12245</v>
      </c>
      <c r="B3484" s="38" t="s">
        <v>210</v>
      </c>
      <c r="C3484" s="38">
        <v>4.0</v>
      </c>
      <c r="D3484" s="38" t="s">
        <v>684</v>
      </c>
      <c r="E3484" s="132" t="s">
        <v>12243</v>
      </c>
      <c r="F3484" s="38" t="s">
        <v>12246</v>
      </c>
      <c r="G3484" s="44"/>
      <c r="H3484" s="44"/>
      <c r="I3484" s="44"/>
    </row>
    <row r="3485">
      <c r="A3485" s="44"/>
      <c r="B3485" s="38" t="s">
        <v>12247</v>
      </c>
      <c r="C3485" s="38" t="s">
        <v>12248</v>
      </c>
      <c r="D3485" s="44"/>
      <c r="E3485" s="132" t="s">
        <v>974</v>
      </c>
      <c r="F3485" s="38" t="s">
        <v>12249</v>
      </c>
      <c r="G3485" s="38" t="s">
        <v>12250</v>
      </c>
      <c r="H3485" s="499" t="s">
        <v>12251</v>
      </c>
      <c r="I3485" s="38" t="s">
        <v>144</v>
      </c>
    </row>
    <row r="3486">
      <c r="A3486" s="8"/>
      <c r="B3486" s="38" t="s">
        <v>271</v>
      </c>
      <c r="C3486" s="38">
        <v>4.0</v>
      </c>
      <c r="D3486" s="38" t="s">
        <v>9369</v>
      </c>
      <c r="E3486" s="132" t="s">
        <v>6520</v>
      </c>
      <c r="F3486" s="38" t="s">
        <v>12252</v>
      </c>
    </row>
    <row r="3487">
      <c r="A3487" s="8"/>
      <c r="B3487" s="38" t="s">
        <v>1159</v>
      </c>
      <c r="C3487" s="38">
        <v>4.0</v>
      </c>
      <c r="D3487" s="38" t="s">
        <v>2423</v>
      </c>
      <c r="E3487" s="132" t="s">
        <v>6520</v>
      </c>
      <c r="F3487" s="38" t="s">
        <v>12252</v>
      </c>
    </row>
    <row r="3488">
      <c r="B3488" s="38"/>
      <c r="C3488" s="38" t="s">
        <v>12253</v>
      </c>
      <c r="D3488" s="38" t="s">
        <v>12254</v>
      </c>
      <c r="E3488" s="132" t="s">
        <v>12255</v>
      </c>
      <c r="F3488" s="38" t="s">
        <v>12256</v>
      </c>
      <c r="G3488" s="38" t="s">
        <v>12257</v>
      </c>
      <c r="H3488" s="38" t="s">
        <v>11896</v>
      </c>
    </row>
    <row r="3489">
      <c r="B3489" s="38" t="s">
        <v>199</v>
      </c>
      <c r="C3489" s="38">
        <v>2.0</v>
      </c>
      <c r="D3489" s="38" t="s">
        <v>2506</v>
      </c>
      <c r="E3489" s="91" t="s">
        <v>12258</v>
      </c>
      <c r="F3489" s="38" t="s">
        <v>12259</v>
      </c>
    </row>
    <row r="3490">
      <c r="B3490" s="38" t="s">
        <v>195</v>
      </c>
      <c r="C3490" s="38">
        <v>2.0</v>
      </c>
      <c r="D3490" s="38" t="s">
        <v>2506</v>
      </c>
      <c r="E3490" s="91" t="s">
        <v>12258</v>
      </c>
      <c r="F3490" s="38" t="s">
        <v>12259</v>
      </c>
    </row>
    <row r="3491">
      <c r="B3491" s="38" t="s">
        <v>25</v>
      </c>
      <c r="C3491" s="38">
        <v>2.0</v>
      </c>
      <c r="D3491" s="38" t="s">
        <v>12260</v>
      </c>
      <c r="E3491" s="132" t="s">
        <v>12261</v>
      </c>
      <c r="F3491" s="38" t="s">
        <v>7032</v>
      </c>
      <c r="G3491" s="38" t="s">
        <v>12262</v>
      </c>
    </row>
    <row r="3492">
      <c r="B3492" s="38"/>
      <c r="C3492" s="38">
        <v>2.0</v>
      </c>
      <c r="D3492" s="38" t="s">
        <v>12263</v>
      </c>
      <c r="E3492" s="132" t="s">
        <v>12261</v>
      </c>
      <c r="F3492" s="38" t="s">
        <v>12264</v>
      </c>
      <c r="G3492" s="38" t="s">
        <v>12262</v>
      </c>
    </row>
    <row r="3493">
      <c r="B3493" s="38" t="s">
        <v>85</v>
      </c>
      <c r="C3493" s="38">
        <v>2.0</v>
      </c>
      <c r="D3493" s="38" t="s">
        <v>10222</v>
      </c>
      <c r="E3493" s="91" t="s">
        <v>12265</v>
      </c>
      <c r="F3493" s="38" t="s">
        <v>12266</v>
      </c>
    </row>
    <row r="3494">
      <c r="B3494" s="38" t="s">
        <v>1575</v>
      </c>
      <c r="C3494" s="38">
        <v>2.0</v>
      </c>
      <c r="D3494" s="38" t="s">
        <v>10222</v>
      </c>
      <c r="E3494" s="91" t="s">
        <v>12265</v>
      </c>
      <c r="F3494" s="38"/>
    </row>
    <row r="3495">
      <c r="A3495" s="8"/>
      <c r="B3495" s="38"/>
      <c r="C3495" s="38">
        <v>4.0</v>
      </c>
      <c r="D3495" s="38" t="s">
        <v>12267</v>
      </c>
      <c r="E3495" s="132" t="s">
        <v>4741</v>
      </c>
      <c r="F3495" s="38" t="s">
        <v>12268</v>
      </c>
      <c r="G3495" s="38" t="s">
        <v>12269</v>
      </c>
    </row>
    <row r="3496">
      <c r="A3496" s="8"/>
      <c r="B3496" s="38" t="s">
        <v>266</v>
      </c>
      <c r="C3496" s="38">
        <v>4.0</v>
      </c>
      <c r="D3496" s="38" t="s">
        <v>6571</v>
      </c>
      <c r="E3496" s="132" t="s">
        <v>4741</v>
      </c>
      <c r="F3496" s="38" t="s">
        <v>12270</v>
      </c>
      <c r="G3496" s="38" t="s">
        <v>12269</v>
      </c>
    </row>
    <row r="3497">
      <c r="A3497" s="8"/>
      <c r="B3497" s="38" t="s">
        <v>460</v>
      </c>
      <c r="C3497" s="38">
        <v>2.0</v>
      </c>
      <c r="D3497" s="38" t="s">
        <v>12271</v>
      </c>
      <c r="E3497" s="132" t="s">
        <v>1098</v>
      </c>
      <c r="F3497" s="38" t="s">
        <v>12272</v>
      </c>
      <c r="G3497" s="38" t="s">
        <v>12273</v>
      </c>
    </row>
    <row r="3498">
      <c r="A3498" s="8"/>
      <c r="B3498" s="38" t="s">
        <v>464</v>
      </c>
      <c r="C3498" s="38">
        <v>2.0</v>
      </c>
      <c r="D3498" s="38" t="s">
        <v>12271</v>
      </c>
      <c r="E3498" s="132" t="s">
        <v>1098</v>
      </c>
      <c r="F3498" s="38"/>
      <c r="G3498" s="38" t="s">
        <v>12273</v>
      </c>
    </row>
    <row r="3499">
      <c r="B3499" s="38" t="s">
        <v>416</v>
      </c>
      <c r="C3499" s="38">
        <v>4.0</v>
      </c>
      <c r="D3499" s="38" t="s">
        <v>684</v>
      </c>
      <c r="E3499" s="132" t="s">
        <v>6921</v>
      </c>
      <c r="F3499" s="38" t="s">
        <v>12274</v>
      </c>
      <c r="G3499" s="500" t="s">
        <v>12275</v>
      </c>
    </row>
    <row r="3500">
      <c r="B3500" s="38" t="s">
        <v>58</v>
      </c>
      <c r="C3500" s="38">
        <v>4.0</v>
      </c>
      <c r="D3500" s="38" t="s">
        <v>408</v>
      </c>
      <c r="E3500" s="132" t="s">
        <v>6520</v>
      </c>
      <c r="F3500" s="38" t="s">
        <v>12252</v>
      </c>
    </row>
    <row r="3501">
      <c r="B3501" s="38" t="s">
        <v>261</v>
      </c>
      <c r="C3501" s="38">
        <v>4.0</v>
      </c>
      <c r="D3501" s="38" t="s">
        <v>12276</v>
      </c>
      <c r="E3501" s="132" t="s">
        <v>12277</v>
      </c>
      <c r="F3501" s="38" t="s">
        <v>12278</v>
      </c>
    </row>
    <row r="3502">
      <c r="B3502" s="38" t="s">
        <v>177</v>
      </c>
      <c r="C3502" s="38">
        <v>4.0</v>
      </c>
      <c r="D3502" s="38" t="s">
        <v>3135</v>
      </c>
      <c r="E3502" s="132" t="s">
        <v>6520</v>
      </c>
      <c r="F3502" s="38" t="s">
        <v>12252</v>
      </c>
    </row>
    <row r="3503">
      <c r="B3503" s="38" t="s">
        <v>4739</v>
      </c>
      <c r="C3503" s="38">
        <v>4.0</v>
      </c>
      <c r="D3503" s="38" t="s">
        <v>3135</v>
      </c>
      <c r="E3503" s="132" t="s">
        <v>6520</v>
      </c>
      <c r="F3503" s="38" t="s">
        <v>12252</v>
      </c>
    </row>
    <row r="3504">
      <c r="B3504" s="38" t="s">
        <v>12279</v>
      </c>
      <c r="C3504" s="38">
        <v>4.0</v>
      </c>
      <c r="D3504" s="38" t="s">
        <v>6871</v>
      </c>
      <c r="E3504" s="132" t="s">
        <v>1098</v>
      </c>
      <c r="F3504" s="38" t="s">
        <v>12273</v>
      </c>
    </row>
    <row r="3505">
      <c r="B3505" s="38" t="s">
        <v>128</v>
      </c>
      <c r="C3505" s="38">
        <v>4.0</v>
      </c>
      <c r="D3505" s="38" t="s">
        <v>545</v>
      </c>
      <c r="E3505" s="132" t="s">
        <v>1098</v>
      </c>
      <c r="F3505" s="38" t="s">
        <v>12273</v>
      </c>
    </row>
    <row r="3506">
      <c r="A3506" s="8"/>
      <c r="B3506" s="38" t="s">
        <v>2798</v>
      </c>
      <c r="C3506" s="38">
        <v>4.0</v>
      </c>
      <c r="D3506" s="38" t="s">
        <v>630</v>
      </c>
      <c r="E3506" s="132" t="s">
        <v>1098</v>
      </c>
      <c r="F3506" s="38" t="s">
        <v>12273</v>
      </c>
    </row>
    <row r="3507">
      <c r="B3507" s="38" t="s">
        <v>28</v>
      </c>
      <c r="C3507" s="38">
        <v>4.0</v>
      </c>
      <c r="D3507" s="38" t="s">
        <v>8526</v>
      </c>
      <c r="E3507" s="132" t="s">
        <v>1098</v>
      </c>
      <c r="F3507" s="38" t="s">
        <v>12273</v>
      </c>
    </row>
    <row r="3508">
      <c r="A3508" s="38" t="s">
        <v>12280</v>
      </c>
      <c r="B3508" s="38" t="s">
        <v>949</v>
      </c>
      <c r="C3508" s="38">
        <v>4.0</v>
      </c>
      <c r="D3508" s="38" t="s">
        <v>8060</v>
      </c>
      <c r="E3508" s="132" t="s">
        <v>12281</v>
      </c>
      <c r="F3508" s="38" t="s">
        <v>12282</v>
      </c>
    </row>
    <row r="3509">
      <c r="B3509" s="38" t="s">
        <v>495</v>
      </c>
      <c r="C3509" s="38">
        <v>4.0</v>
      </c>
      <c r="D3509" s="38" t="s">
        <v>12283</v>
      </c>
      <c r="E3509" s="132" t="s">
        <v>12284</v>
      </c>
      <c r="F3509" s="38" t="s">
        <v>12285</v>
      </c>
    </row>
    <row r="3510">
      <c r="B3510" s="38" t="s">
        <v>81</v>
      </c>
      <c r="C3510" s="38">
        <v>2.0</v>
      </c>
      <c r="D3510" s="38" t="s">
        <v>12286</v>
      </c>
      <c r="E3510" s="132" t="s">
        <v>10237</v>
      </c>
      <c r="F3510" s="38" t="s">
        <v>12287</v>
      </c>
    </row>
    <row r="3511">
      <c r="B3511" s="38" t="s">
        <v>308</v>
      </c>
      <c r="C3511" s="38">
        <v>8.0</v>
      </c>
      <c r="D3511" s="38" t="s">
        <v>7236</v>
      </c>
      <c r="E3511" s="132" t="s">
        <v>1017</v>
      </c>
      <c r="F3511" s="38" t="s">
        <v>11863</v>
      </c>
    </row>
    <row r="3512">
      <c r="B3512" s="38"/>
      <c r="C3512" s="38"/>
      <c r="D3512" s="38" t="s">
        <v>12288</v>
      </c>
      <c r="E3512" s="132" t="s">
        <v>4893</v>
      </c>
      <c r="F3512" s="38" t="s">
        <v>12289</v>
      </c>
    </row>
    <row r="3513">
      <c r="B3513" s="38"/>
      <c r="C3513" s="38">
        <v>4.0</v>
      </c>
      <c r="D3513" s="38" t="s">
        <v>3872</v>
      </c>
      <c r="E3513" s="38" t="s">
        <v>396</v>
      </c>
      <c r="F3513" s="38" t="s">
        <v>12290</v>
      </c>
      <c r="G3513" s="38" t="s">
        <v>12291</v>
      </c>
    </row>
    <row r="3514">
      <c r="B3514" s="38"/>
      <c r="C3514" s="38"/>
      <c r="D3514" s="38" t="s">
        <v>12292</v>
      </c>
      <c r="E3514" s="38" t="s">
        <v>396</v>
      </c>
      <c r="F3514" s="38"/>
      <c r="G3514" s="38" t="s">
        <v>12291</v>
      </c>
    </row>
    <row r="3515">
      <c r="B3515" s="38">
        <v>2.2484149E8</v>
      </c>
      <c r="C3515" s="38" t="s">
        <v>12293</v>
      </c>
      <c r="D3515" s="38" t="s">
        <v>12294</v>
      </c>
      <c r="E3515" s="38" t="s">
        <v>11970</v>
      </c>
      <c r="F3515" s="38" t="s">
        <v>12295</v>
      </c>
      <c r="G3515" s="38" t="s">
        <v>12296</v>
      </c>
    </row>
    <row r="3516">
      <c r="B3516" s="38" t="s">
        <v>12297</v>
      </c>
      <c r="C3516" s="38" t="s">
        <v>372</v>
      </c>
      <c r="D3516" s="38" t="s">
        <v>12298</v>
      </c>
      <c r="E3516" s="132" t="s">
        <v>1199</v>
      </c>
      <c r="F3516" s="38"/>
    </row>
    <row r="3517">
      <c r="B3517" s="38" t="s">
        <v>12297</v>
      </c>
      <c r="C3517" s="38" t="s">
        <v>12299</v>
      </c>
      <c r="D3517" s="38" t="s">
        <v>12300</v>
      </c>
      <c r="E3517" s="132" t="s">
        <v>1199</v>
      </c>
      <c r="F3517" s="38" t="s">
        <v>12301</v>
      </c>
    </row>
    <row r="3518">
      <c r="B3518" s="38" t="s">
        <v>12302</v>
      </c>
      <c r="C3518" s="38"/>
      <c r="D3518" s="38"/>
      <c r="E3518" s="132" t="s">
        <v>1199</v>
      </c>
      <c r="F3518" s="44"/>
    </row>
    <row r="3519">
      <c r="B3519" s="47" t="s">
        <v>261</v>
      </c>
      <c r="C3519" s="47">
        <v>4.0</v>
      </c>
      <c r="D3519" s="47" t="s">
        <v>2583</v>
      </c>
      <c r="E3519" s="47" t="s">
        <v>5978</v>
      </c>
      <c r="F3519" s="47" t="s">
        <v>12303</v>
      </c>
    </row>
    <row r="3520">
      <c r="B3520" s="47" t="s">
        <v>12304</v>
      </c>
      <c r="C3520" s="47" t="s">
        <v>12305</v>
      </c>
      <c r="D3520" s="47" t="s">
        <v>12306</v>
      </c>
      <c r="E3520" s="47" t="s">
        <v>12307</v>
      </c>
      <c r="F3520" s="47" t="s">
        <v>12308</v>
      </c>
      <c r="G3520" s="38" t="s">
        <v>11863</v>
      </c>
    </row>
    <row r="3521">
      <c r="B3521" s="38" t="s">
        <v>12309</v>
      </c>
      <c r="C3521" s="47"/>
      <c r="D3521" s="47" t="s">
        <v>1439</v>
      </c>
      <c r="E3521" s="47" t="s">
        <v>12307</v>
      </c>
      <c r="F3521" s="38" t="s">
        <v>12310</v>
      </c>
      <c r="G3521" s="38" t="s">
        <v>11863</v>
      </c>
    </row>
    <row r="3522">
      <c r="B3522" s="47" t="s">
        <v>853</v>
      </c>
      <c r="C3522" s="47">
        <v>1.0</v>
      </c>
      <c r="D3522" s="47" t="s">
        <v>12311</v>
      </c>
      <c r="E3522" s="47" t="s">
        <v>974</v>
      </c>
      <c r="F3522" s="47" t="s">
        <v>12312</v>
      </c>
      <c r="G3522" s="38" t="s">
        <v>11884</v>
      </c>
    </row>
    <row r="3523">
      <c r="B3523" s="47" t="s">
        <v>12313</v>
      </c>
      <c r="C3523" s="47">
        <v>1.0</v>
      </c>
      <c r="D3523" s="47" t="s">
        <v>12311</v>
      </c>
      <c r="E3523" s="47" t="s">
        <v>974</v>
      </c>
      <c r="F3523" s="47"/>
      <c r="G3523" s="38" t="s">
        <v>11884</v>
      </c>
    </row>
    <row r="3524">
      <c r="A3524" s="4"/>
      <c r="B3524" s="47" t="s">
        <v>81</v>
      </c>
      <c r="C3524" s="47">
        <v>4.0</v>
      </c>
      <c r="D3524" s="47" t="s">
        <v>545</v>
      </c>
      <c r="E3524" s="47" t="s">
        <v>12314</v>
      </c>
      <c r="F3524" s="38" t="s">
        <v>11918</v>
      </c>
      <c r="G3524" s="109" t="s">
        <v>12315</v>
      </c>
    </row>
    <row r="3525">
      <c r="B3525" s="47" t="s">
        <v>31</v>
      </c>
      <c r="C3525" s="47">
        <v>2.0</v>
      </c>
      <c r="D3525" s="47" t="s">
        <v>2021</v>
      </c>
      <c r="E3525" s="47" t="s">
        <v>12316</v>
      </c>
      <c r="F3525" s="38" t="s">
        <v>12317</v>
      </c>
    </row>
    <row r="3526">
      <c r="B3526" s="47" t="s">
        <v>2548</v>
      </c>
      <c r="C3526" s="47">
        <v>4.0</v>
      </c>
      <c r="D3526" s="47" t="s">
        <v>12318</v>
      </c>
      <c r="E3526" s="47" t="s">
        <v>12319</v>
      </c>
      <c r="F3526" s="38" t="s">
        <v>12320</v>
      </c>
      <c r="G3526" s="38" t="s">
        <v>11618</v>
      </c>
    </row>
    <row r="3527">
      <c r="B3527" s="47"/>
      <c r="C3527" s="47"/>
      <c r="D3527" s="47"/>
      <c r="E3527" s="47" t="s">
        <v>12319</v>
      </c>
      <c r="F3527" s="38" t="s">
        <v>12321</v>
      </c>
      <c r="G3527" s="38" t="s">
        <v>12322</v>
      </c>
      <c r="H3527" s="38" t="s">
        <v>11618</v>
      </c>
    </row>
    <row r="3528">
      <c r="B3528" s="47" t="s">
        <v>12323</v>
      </c>
      <c r="C3528" s="47" t="s">
        <v>12324</v>
      </c>
      <c r="D3528" s="47" t="s">
        <v>12325</v>
      </c>
      <c r="E3528" s="47" t="s">
        <v>12307</v>
      </c>
      <c r="F3528" s="38" t="s">
        <v>12326</v>
      </c>
      <c r="G3528" s="38" t="s">
        <v>11863</v>
      </c>
    </row>
    <row r="3529">
      <c r="B3529" s="47"/>
      <c r="C3529" s="47"/>
      <c r="D3529" s="47"/>
      <c r="E3529" s="38" t="s">
        <v>12327</v>
      </c>
      <c r="F3529" s="47" t="s">
        <v>12328</v>
      </c>
      <c r="G3529" s="38" t="s">
        <v>11863</v>
      </c>
    </row>
    <row r="3530">
      <c r="B3530" s="47"/>
      <c r="C3530" s="47"/>
      <c r="D3530" s="38" t="s">
        <v>12329</v>
      </c>
      <c r="E3530" s="38" t="s">
        <v>12330</v>
      </c>
      <c r="F3530" s="47" t="s">
        <v>12310</v>
      </c>
      <c r="G3530" s="38" t="s">
        <v>11863</v>
      </c>
    </row>
    <row r="3531">
      <c r="B3531" s="47"/>
      <c r="C3531" s="47"/>
      <c r="D3531" s="47"/>
      <c r="E3531" s="38" t="s">
        <v>12331</v>
      </c>
      <c r="F3531" s="47" t="s">
        <v>12332</v>
      </c>
      <c r="G3531" s="38" t="s">
        <v>12333</v>
      </c>
    </row>
    <row r="3532">
      <c r="B3532" s="47"/>
      <c r="C3532" s="47"/>
      <c r="D3532" s="47"/>
      <c r="E3532" s="38" t="s">
        <v>12334</v>
      </c>
      <c r="F3532" s="38" t="s">
        <v>11863</v>
      </c>
    </row>
    <row r="3533">
      <c r="B3533" s="47"/>
      <c r="C3533" s="47" t="s">
        <v>12335</v>
      </c>
      <c r="D3533" s="47" t="s">
        <v>12336</v>
      </c>
      <c r="E3533" s="47" t="s">
        <v>12337</v>
      </c>
      <c r="F3533" s="47"/>
    </row>
    <row r="3534">
      <c r="B3534" s="47" t="s">
        <v>1761</v>
      </c>
      <c r="C3534" s="47">
        <v>4.0</v>
      </c>
      <c r="D3534" s="47" t="s">
        <v>3135</v>
      </c>
      <c r="E3534" s="47" t="s">
        <v>4478</v>
      </c>
      <c r="F3534" s="38" t="s">
        <v>12338</v>
      </c>
    </row>
    <row r="3535">
      <c r="B3535" s="47" t="s">
        <v>12339</v>
      </c>
      <c r="C3535" s="47" t="s">
        <v>12340</v>
      </c>
      <c r="D3535" s="38" t="s">
        <v>12341</v>
      </c>
      <c r="E3535" s="47" t="s">
        <v>4893</v>
      </c>
      <c r="F3535" s="47"/>
      <c r="G3535" s="38" t="s">
        <v>12289</v>
      </c>
    </row>
    <row r="3536">
      <c r="B3536" s="47" t="s">
        <v>12342</v>
      </c>
      <c r="C3536" s="44"/>
      <c r="D3536" s="47" t="s">
        <v>12343</v>
      </c>
      <c r="E3536" s="47" t="s">
        <v>4893</v>
      </c>
      <c r="F3536" s="47" t="s">
        <v>12344</v>
      </c>
      <c r="G3536" s="38" t="s">
        <v>12289</v>
      </c>
    </row>
    <row r="3537">
      <c r="B3537" s="38" t="s">
        <v>12345</v>
      </c>
      <c r="C3537" s="44"/>
      <c r="D3537" s="47"/>
      <c r="E3537" s="47" t="s">
        <v>4893</v>
      </c>
      <c r="F3537" s="47"/>
      <c r="G3537" s="38" t="s">
        <v>12289</v>
      </c>
    </row>
    <row r="3538">
      <c r="B3538" s="47" t="s">
        <v>271</v>
      </c>
      <c r="C3538" s="47">
        <v>4.0</v>
      </c>
      <c r="D3538" s="47" t="s">
        <v>684</v>
      </c>
      <c r="E3538" s="47" t="s">
        <v>418</v>
      </c>
      <c r="F3538" s="38" t="s">
        <v>12346</v>
      </c>
    </row>
    <row r="3539">
      <c r="B3539" s="47" t="s">
        <v>271</v>
      </c>
      <c r="C3539" s="47">
        <v>4.0</v>
      </c>
      <c r="D3539" s="47" t="s">
        <v>684</v>
      </c>
      <c r="E3539" s="47" t="s">
        <v>6587</v>
      </c>
      <c r="F3539" s="38" t="s">
        <v>12347</v>
      </c>
      <c r="G3539" s="1" t="s">
        <v>12348</v>
      </c>
    </row>
    <row r="3540">
      <c r="B3540" s="47" t="s">
        <v>31</v>
      </c>
      <c r="C3540" s="47">
        <v>4.0</v>
      </c>
      <c r="D3540" s="47" t="s">
        <v>684</v>
      </c>
      <c r="E3540" s="47" t="s">
        <v>5869</v>
      </c>
      <c r="F3540" s="47" t="s">
        <v>12349</v>
      </c>
    </row>
    <row r="3541">
      <c r="B3541" s="47" t="s">
        <v>91</v>
      </c>
      <c r="C3541" s="47">
        <v>2.0</v>
      </c>
      <c r="D3541" s="47" t="s">
        <v>684</v>
      </c>
      <c r="E3541" s="47" t="s">
        <v>418</v>
      </c>
      <c r="F3541" s="38" t="s">
        <v>12346</v>
      </c>
      <c r="G3541" s="489" t="s">
        <v>12350</v>
      </c>
    </row>
    <row r="3542">
      <c r="B3542" s="47" t="s">
        <v>1296</v>
      </c>
      <c r="C3542" s="47">
        <v>2.0</v>
      </c>
      <c r="D3542" s="47" t="s">
        <v>684</v>
      </c>
      <c r="E3542" s="47" t="s">
        <v>418</v>
      </c>
      <c r="F3542" s="38" t="s">
        <v>12346</v>
      </c>
      <c r="G3542" s="489" t="s">
        <v>12350</v>
      </c>
    </row>
    <row r="3543">
      <c r="B3543" s="38" t="s">
        <v>354</v>
      </c>
      <c r="C3543" s="38">
        <v>4.0</v>
      </c>
      <c r="D3543" s="47" t="s">
        <v>684</v>
      </c>
      <c r="E3543" s="47" t="s">
        <v>418</v>
      </c>
      <c r="F3543" s="38" t="s">
        <v>12346</v>
      </c>
    </row>
    <row r="3544">
      <c r="B3544" s="38" t="s">
        <v>205</v>
      </c>
      <c r="C3544" s="38">
        <v>4.0</v>
      </c>
      <c r="D3544" s="47" t="s">
        <v>684</v>
      </c>
      <c r="E3544" s="47" t="s">
        <v>418</v>
      </c>
      <c r="F3544" s="38" t="s">
        <v>12346</v>
      </c>
    </row>
    <row r="3545">
      <c r="B3545" s="38" t="s">
        <v>210</v>
      </c>
      <c r="C3545" s="38">
        <v>4.0</v>
      </c>
      <c r="D3545" s="47" t="s">
        <v>684</v>
      </c>
      <c r="E3545" s="47" t="s">
        <v>418</v>
      </c>
      <c r="F3545" s="38" t="s">
        <v>12351</v>
      </c>
    </row>
    <row r="3546">
      <c r="B3546" s="38" t="s">
        <v>183</v>
      </c>
      <c r="C3546" s="47">
        <v>4.0</v>
      </c>
      <c r="D3546" s="38" t="s">
        <v>27</v>
      </c>
      <c r="E3546" s="38" t="s">
        <v>12352</v>
      </c>
      <c r="F3546" s="38" t="s">
        <v>12353</v>
      </c>
    </row>
    <row r="3547">
      <c r="B3547" s="47" t="s">
        <v>58</v>
      </c>
      <c r="C3547" s="47">
        <v>4.0</v>
      </c>
      <c r="D3547" s="47" t="s">
        <v>12354</v>
      </c>
      <c r="E3547" s="38" t="s">
        <v>12355</v>
      </c>
      <c r="F3547" s="38" t="s">
        <v>12356</v>
      </c>
    </row>
    <row r="3548">
      <c r="B3548" s="47"/>
      <c r="C3548" s="47"/>
      <c r="D3548" s="47"/>
      <c r="E3548" s="38" t="s">
        <v>12355</v>
      </c>
      <c r="F3548" s="38" t="s">
        <v>12357</v>
      </c>
      <c r="G3548" s="38" t="s">
        <v>12358</v>
      </c>
    </row>
    <row r="3549">
      <c r="B3549" s="47" t="s">
        <v>9708</v>
      </c>
      <c r="C3549" s="47">
        <v>4.0</v>
      </c>
      <c r="D3549" s="47" t="s">
        <v>1979</v>
      </c>
      <c r="E3549" s="47" t="s">
        <v>7128</v>
      </c>
      <c r="F3549" s="38" t="s">
        <v>12359</v>
      </c>
    </row>
    <row r="3550">
      <c r="B3550" s="47" t="s">
        <v>718</v>
      </c>
      <c r="C3550" s="47">
        <v>2.0</v>
      </c>
      <c r="D3550" s="47" t="s">
        <v>12360</v>
      </c>
      <c r="E3550" s="47" t="s">
        <v>12361</v>
      </c>
      <c r="F3550" s="38" t="s">
        <v>12362</v>
      </c>
    </row>
    <row r="3551">
      <c r="B3551" s="47"/>
      <c r="C3551" s="47"/>
      <c r="D3551" s="38" t="s">
        <v>12363</v>
      </c>
      <c r="E3551" s="47" t="s">
        <v>8850</v>
      </c>
      <c r="F3551" s="47" t="s">
        <v>1112</v>
      </c>
      <c r="G3551" s="38" t="s">
        <v>12364</v>
      </c>
    </row>
    <row r="3552">
      <c r="B3552" s="47"/>
      <c r="C3552" s="47"/>
      <c r="D3552" s="38"/>
      <c r="E3552" s="47" t="s">
        <v>8850</v>
      </c>
      <c r="F3552" s="38" t="s">
        <v>12365</v>
      </c>
      <c r="G3552" s="38" t="s">
        <v>12364</v>
      </c>
    </row>
    <row r="3553">
      <c r="B3553" s="38" t="s">
        <v>170</v>
      </c>
      <c r="C3553" s="38">
        <v>4.0</v>
      </c>
      <c r="D3553" s="38" t="s">
        <v>6705</v>
      </c>
      <c r="E3553" s="132" t="s">
        <v>12366</v>
      </c>
      <c r="F3553" s="38" t="s">
        <v>3064</v>
      </c>
      <c r="G3553" s="38" t="s">
        <v>12367</v>
      </c>
    </row>
    <row r="3554">
      <c r="B3554" s="5" t="s">
        <v>718</v>
      </c>
      <c r="C3554" s="5">
        <v>4.0</v>
      </c>
      <c r="D3554" s="501" t="s">
        <v>12368</v>
      </c>
      <c r="E3554" s="150" t="s">
        <v>1309</v>
      </c>
      <c r="F3554" s="5" t="s">
        <v>7215</v>
      </c>
    </row>
    <row r="3555">
      <c r="B3555" s="38" t="s">
        <v>357</v>
      </c>
      <c r="C3555" s="38">
        <v>4.0</v>
      </c>
      <c r="D3555" s="38" t="s">
        <v>4326</v>
      </c>
      <c r="E3555" s="132" t="s">
        <v>12369</v>
      </c>
      <c r="F3555" s="38" t="s">
        <v>12370</v>
      </c>
    </row>
    <row r="3556">
      <c r="B3556" s="38" t="s">
        <v>411</v>
      </c>
      <c r="C3556" s="38">
        <v>4.0</v>
      </c>
      <c r="D3556" s="38" t="s">
        <v>684</v>
      </c>
      <c r="E3556" s="132" t="s">
        <v>12371</v>
      </c>
      <c r="F3556" s="38" t="s">
        <v>12372</v>
      </c>
      <c r="G3556" s="38" t="s">
        <v>12373</v>
      </c>
    </row>
    <row r="3557">
      <c r="B3557" s="38"/>
      <c r="C3557" s="38" t="s">
        <v>12374</v>
      </c>
      <c r="D3557" s="61" t="s">
        <v>12375</v>
      </c>
      <c r="E3557" s="132" t="s">
        <v>12371</v>
      </c>
      <c r="F3557" s="38" t="s">
        <v>12376</v>
      </c>
      <c r="G3557" s="38" t="s">
        <v>12373</v>
      </c>
    </row>
    <row r="3558">
      <c r="B3558" s="38"/>
      <c r="C3558" s="38"/>
      <c r="D3558" s="38"/>
      <c r="E3558" s="132" t="s">
        <v>12377</v>
      </c>
      <c r="F3558" s="38" t="s">
        <v>12378</v>
      </c>
      <c r="G3558" s="38" t="s">
        <v>12373</v>
      </c>
    </row>
    <row r="3559">
      <c r="B3559" s="38"/>
      <c r="C3559" s="38">
        <v>4.0</v>
      </c>
      <c r="D3559" s="38" t="s">
        <v>12379</v>
      </c>
      <c r="E3559" s="502" t="s">
        <v>12380</v>
      </c>
      <c r="F3559" s="38" t="s">
        <v>12381</v>
      </c>
    </row>
    <row r="3560">
      <c r="B3560" s="38" t="s">
        <v>876</v>
      </c>
      <c r="C3560" s="38">
        <v>4.0</v>
      </c>
      <c r="D3560" s="38" t="s">
        <v>684</v>
      </c>
      <c r="E3560" s="502" t="s">
        <v>12380</v>
      </c>
      <c r="F3560" s="38" t="s">
        <v>4430</v>
      </c>
    </row>
    <row r="3561">
      <c r="B3561" s="38" t="s">
        <v>12382</v>
      </c>
      <c r="C3561" s="38" t="s">
        <v>12383</v>
      </c>
      <c r="D3561" s="38" t="s">
        <v>12384</v>
      </c>
      <c r="E3561" s="132" t="s">
        <v>12013</v>
      </c>
      <c r="F3561" s="38" t="s">
        <v>12385</v>
      </c>
      <c r="G3561" s="38" t="s">
        <v>12015</v>
      </c>
    </row>
    <row r="3562">
      <c r="B3562" s="38"/>
      <c r="C3562" s="38"/>
      <c r="D3562" s="38"/>
      <c r="E3562" s="132" t="s">
        <v>12013</v>
      </c>
      <c r="F3562" s="38" t="s">
        <v>12386</v>
      </c>
      <c r="G3562" s="38" t="s">
        <v>12015</v>
      </c>
    </row>
    <row r="3563">
      <c r="B3563" s="38" t="s">
        <v>12387</v>
      </c>
      <c r="C3563" s="38" t="s">
        <v>12388</v>
      </c>
      <c r="D3563" s="503" t="s">
        <v>12389</v>
      </c>
      <c r="E3563" s="132" t="s">
        <v>974</v>
      </c>
      <c r="F3563" s="38"/>
      <c r="G3563" s="38" t="s">
        <v>144</v>
      </c>
    </row>
    <row r="3564">
      <c r="B3564" s="38" t="s">
        <v>12390</v>
      </c>
      <c r="C3564" s="47"/>
      <c r="D3564" s="44"/>
      <c r="E3564" s="132" t="s">
        <v>974</v>
      </c>
      <c r="F3564" s="38"/>
      <c r="G3564" s="38" t="s">
        <v>144</v>
      </c>
    </row>
    <row r="3565">
      <c r="A3565" s="38" t="s">
        <v>12391</v>
      </c>
      <c r="B3565" s="38" t="s">
        <v>81</v>
      </c>
      <c r="C3565" s="38">
        <v>4.0</v>
      </c>
      <c r="D3565" s="38" t="s">
        <v>684</v>
      </c>
      <c r="E3565" s="132" t="s">
        <v>12392</v>
      </c>
      <c r="F3565" s="38" t="s">
        <v>175</v>
      </c>
    </row>
    <row r="3566">
      <c r="B3566" s="38" t="s">
        <v>12393</v>
      </c>
      <c r="C3566" s="38" t="s">
        <v>12394</v>
      </c>
      <c r="D3566" s="38" t="s">
        <v>12395</v>
      </c>
      <c r="E3566" s="132" t="s">
        <v>873</v>
      </c>
      <c r="F3566" s="38" t="s">
        <v>12396</v>
      </c>
    </row>
    <row r="3567">
      <c r="B3567" s="38" t="s">
        <v>183</v>
      </c>
      <c r="C3567" s="38">
        <v>4.0</v>
      </c>
      <c r="D3567" s="38" t="s">
        <v>1084</v>
      </c>
      <c r="E3567" s="39" t="s">
        <v>12397</v>
      </c>
      <c r="F3567" s="38" t="s">
        <v>12398</v>
      </c>
      <c r="G3567" s="489" t="s">
        <v>12399</v>
      </c>
    </row>
    <row r="3568">
      <c r="B3568" s="38" t="s">
        <v>210</v>
      </c>
      <c r="C3568" s="38">
        <v>4.0</v>
      </c>
      <c r="D3568" s="38" t="s">
        <v>6571</v>
      </c>
      <c r="E3568" s="132" t="s">
        <v>11606</v>
      </c>
      <c r="F3568" s="38" t="s">
        <v>12400</v>
      </c>
      <c r="G3568" s="109" t="s">
        <v>12401</v>
      </c>
    </row>
    <row r="3569">
      <c r="B3569" s="38" t="s">
        <v>2385</v>
      </c>
      <c r="C3569" s="38">
        <v>4.0</v>
      </c>
      <c r="D3569" s="38" t="s">
        <v>12402</v>
      </c>
      <c r="E3569" s="132" t="s">
        <v>8651</v>
      </c>
      <c r="F3569" s="38" t="s">
        <v>12403</v>
      </c>
      <c r="G3569" s="38" t="s">
        <v>12404</v>
      </c>
    </row>
    <row r="3570">
      <c r="A3570" s="38" t="s">
        <v>12405</v>
      </c>
      <c r="B3570" s="305" t="s">
        <v>12406</v>
      </c>
      <c r="C3570" s="38" t="s">
        <v>12407</v>
      </c>
      <c r="D3570" s="352" t="s">
        <v>9473</v>
      </c>
      <c r="E3570" s="38" t="s">
        <v>2290</v>
      </c>
      <c r="F3570" s="38" t="s">
        <v>12408</v>
      </c>
      <c r="G3570" s="38" t="s">
        <v>12409</v>
      </c>
    </row>
    <row r="3571">
      <c r="A3571" s="44"/>
      <c r="B3571" s="305"/>
      <c r="C3571" s="38"/>
      <c r="D3571" s="38" t="s">
        <v>647</v>
      </c>
      <c r="E3571" s="38" t="s">
        <v>2290</v>
      </c>
      <c r="F3571" s="44"/>
      <c r="G3571" s="38" t="s">
        <v>12409</v>
      </c>
    </row>
    <row r="3572">
      <c r="B3572" s="38" t="s">
        <v>97</v>
      </c>
      <c r="C3572" s="38">
        <v>4.0</v>
      </c>
      <c r="D3572" s="38" t="s">
        <v>753</v>
      </c>
      <c r="E3572" s="496" t="s">
        <v>12410</v>
      </c>
      <c r="F3572" s="38" t="s">
        <v>11902</v>
      </c>
    </row>
    <row r="3573">
      <c r="B3573" s="38" t="s">
        <v>416</v>
      </c>
      <c r="C3573" s="38">
        <v>4.0</v>
      </c>
      <c r="D3573" s="38" t="s">
        <v>433</v>
      </c>
      <c r="E3573" s="496" t="s">
        <v>12411</v>
      </c>
      <c r="F3573" s="38" t="s">
        <v>12412</v>
      </c>
    </row>
    <row r="3574">
      <c r="A3574" s="8"/>
      <c r="B3574" s="38" t="s">
        <v>2035</v>
      </c>
      <c r="C3574" s="38">
        <v>4.0</v>
      </c>
      <c r="D3574" s="38" t="s">
        <v>2421</v>
      </c>
      <c r="E3574" s="132" t="s">
        <v>325</v>
      </c>
      <c r="F3574" s="59" t="s">
        <v>12413</v>
      </c>
      <c r="G3574" s="5"/>
    </row>
    <row r="3575">
      <c r="B3575" s="38" t="s">
        <v>342</v>
      </c>
      <c r="C3575" s="38">
        <v>4.0</v>
      </c>
      <c r="D3575" s="38" t="s">
        <v>2421</v>
      </c>
      <c r="E3575" s="132" t="s">
        <v>325</v>
      </c>
      <c r="F3575" s="38" t="s">
        <v>12414</v>
      </c>
    </row>
    <row r="3576">
      <c r="B3576" s="38" t="s">
        <v>28</v>
      </c>
      <c r="C3576" s="38">
        <v>4.0</v>
      </c>
      <c r="D3576" s="38" t="s">
        <v>12415</v>
      </c>
      <c r="E3576" s="132" t="s">
        <v>325</v>
      </c>
      <c r="F3576" s="38" t="s">
        <v>11517</v>
      </c>
    </row>
    <row r="3577">
      <c r="B3577" s="38" t="s">
        <v>354</v>
      </c>
      <c r="C3577" s="38">
        <v>2.0</v>
      </c>
      <c r="D3577" s="38" t="s">
        <v>684</v>
      </c>
      <c r="E3577" s="132" t="s">
        <v>325</v>
      </c>
      <c r="F3577" s="38" t="s">
        <v>11517</v>
      </c>
      <c r="G3577" s="488"/>
    </row>
    <row r="3578">
      <c r="B3578" s="38" t="s">
        <v>479</v>
      </c>
      <c r="C3578" s="38">
        <v>2.0</v>
      </c>
      <c r="D3578" s="38" t="s">
        <v>684</v>
      </c>
      <c r="E3578" s="132" t="s">
        <v>325</v>
      </c>
      <c r="F3578" s="38" t="s">
        <v>11517</v>
      </c>
    </row>
    <row r="3579">
      <c r="B3579" s="38" t="s">
        <v>58</v>
      </c>
      <c r="C3579" s="38">
        <v>4.0</v>
      </c>
      <c r="D3579" s="38" t="s">
        <v>12416</v>
      </c>
      <c r="E3579" s="132" t="s">
        <v>325</v>
      </c>
      <c r="F3579" s="59" t="s">
        <v>12417</v>
      </c>
    </row>
    <row r="3580">
      <c r="A3580" s="38" t="s">
        <v>12391</v>
      </c>
      <c r="B3580" s="38" t="s">
        <v>7695</v>
      </c>
      <c r="C3580" s="38">
        <v>4.0</v>
      </c>
      <c r="D3580" s="38" t="s">
        <v>1084</v>
      </c>
      <c r="E3580" s="91" t="s">
        <v>12418</v>
      </c>
      <c r="F3580" s="38" t="s">
        <v>4430</v>
      </c>
      <c r="G3580" s="44"/>
      <c r="H3580" s="44"/>
    </row>
    <row r="3581">
      <c r="A3581" s="44"/>
      <c r="B3581" s="38" t="s">
        <v>25</v>
      </c>
      <c r="C3581" s="38">
        <v>2.0</v>
      </c>
      <c r="D3581" s="38" t="s">
        <v>2021</v>
      </c>
      <c r="E3581" s="132" t="s">
        <v>12419</v>
      </c>
      <c r="F3581" s="38" t="s">
        <v>12420</v>
      </c>
      <c r="G3581" s="44"/>
      <c r="H3581" s="44"/>
    </row>
    <row r="3582">
      <c r="A3582" s="44"/>
      <c r="B3582" s="38"/>
      <c r="C3582" s="38"/>
      <c r="D3582" s="38"/>
      <c r="E3582" s="132" t="s">
        <v>12419</v>
      </c>
      <c r="F3582" s="38" t="s">
        <v>12420</v>
      </c>
      <c r="G3582" s="44"/>
      <c r="H3582" s="44"/>
    </row>
    <row r="3583">
      <c r="A3583" s="44"/>
      <c r="B3583" s="38" t="s">
        <v>8384</v>
      </c>
      <c r="C3583" s="38">
        <v>4.0</v>
      </c>
      <c r="D3583" s="38" t="s">
        <v>9994</v>
      </c>
      <c r="E3583" s="496" t="s">
        <v>1758</v>
      </c>
      <c r="F3583" s="38" t="s">
        <v>12421</v>
      </c>
      <c r="G3583" s="44"/>
      <c r="H3583" s="44"/>
    </row>
    <row r="3584">
      <c r="A3584" s="44"/>
      <c r="B3584" s="38" t="s">
        <v>25</v>
      </c>
      <c r="C3584" s="38">
        <v>4.0</v>
      </c>
      <c r="D3584" s="38" t="s">
        <v>1084</v>
      </c>
      <c r="E3584" s="496" t="s">
        <v>9871</v>
      </c>
      <c r="F3584" s="38" t="s">
        <v>404</v>
      </c>
      <c r="G3584" s="504" t="s">
        <v>12422</v>
      </c>
      <c r="H3584" s="44"/>
    </row>
    <row r="3585">
      <c r="A3585" s="44"/>
      <c r="B3585" s="38" t="s">
        <v>876</v>
      </c>
      <c r="C3585" s="38">
        <v>4.0</v>
      </c>
      <c r="D3585" s="38" t="s">
        <v>684</v>
      </c>
      <c r="E3585" s="496" t="s">
        <v>5104</v>
      </c>
      <c r="F3585" s="38" t="s">
        <v>12423</v>
      </c>
      <c r="G3585" s="38" t="s">
        <v>12424</v>
      </c>
      <c r="H3585" s="44"/>
    </row>
    <row r="3586">
      <c r="A3586" s="44"/>
      <c r="B3586" s="38" t="s">
        <v>1162</v>
      </c>
      <c r="C3586" s="38">
        <v>4.0</v>
      </c>
      <c r="D3586" s="38" t="s">
        <v>9735</v>
      </c>
      <c r="E3586" s="101" t="s">
        <v>12425</v>
      </c>
      <c r="F3586" s="38" t="s">
        <v>12426</v>
      </c>
      <c r="G3586" s="44"/>
      <c r="H3586" s="44"/>
    </row>
    <row r="3587">
      <c r="A3587" s="38" t="s">
        <v>12427</v>
      </c>
      <c r="B3587" s="38" t="s">
        <v>214</v>
      </c>
      <c r="C3587" s="38">
        <v>2.0</v>
      </c>
      <c r="D3587" s="38" t="s">
        <v>545</v>
      </c>
      <c r="E3587" s="496" t="s">
        <v>1098</v>
      </c>
      <c r="F3587" s="38" t="s">
        <v>12428</v>
      </c>
      <c r="G3587" s="38" t="s">
        <v>12414</v>
      </c>
      <c r="H3587" s="44"/>
    </row>
    <row r="3588">
      <c r="A3588" s="38" t="s">
        <v>12427</v>
      </c>
      <c r="B3588" s="38" t="s">
        <v>210</v>
      </c>
      <c r="C3588" s="38">
        <v>2.0</v>
      </c>
      <c r="D3588" s="38" t="s">
        <v>545</v>
      </c>
      <c r="E3588" s="496" t="s">
        <v>1098</v>
      </c>
      <c r="F3588" s="38"/>
      <c r="G3588" s="38" t="s">
        <v>12414</v>
      </c>
      <c r="H3588" s="44"/>
    </row>
    <row r="3589">
      <c r="A3589" s="44"/>
      <c r="B3589" s="38" t="s">
        <v>12429</v>
      </c>
      <c r="C3589" s="47" t="s">
        <v>12430</v>
      </c>
      <c r="D3589" s="47" t="s">
        <v>12431</v>
      </c>
      <c r="E3589" s="47" t="s">
        <v>974</v>
      </c>
      <c r="F3589" s="47" t="s">
        <v>12432</v>
      </c>
      <c r="G3589" s="44"/>
      <c r="H3589" s="38" t="s">
        <v>144</v>
      </c>
    </row>
    <row r="3590">
      <c r="A3590" s="44"/>
      <c r="B3590" s="47"/>
      <c r="C3590" s="38" t="s">
        <v>12433</v>
      </c>
      <c r="D3590" s="47"/>
      <c r="E3590" s="47" t="s">
        <v>974</v>
      </c>
      <c r="F3590" s="38" t="s">
        <v>12434</v>
      </c>
      <c r="G3590" s="38" t="s">
        <v>12435</v>
      </c>
      <c r="H3590" s="38" t="s">
        <v>144</v>
      </c>
    </row>
    <row r="3591">
      <c r="A3591" s="5"/>
      <c r="B3591" s="38" t="s">
        <v>1010</v>
      </c>
      <c r="C3591" s="38">
        <v>4.0</v>
      </c>
      <c r="D3591" s="38" t="s">
        <v>684</v>
      </c>
      <c r="E3591" s="101" t="s">
        <v>1011</v>
      </c>
      <c r="F3591" s="38" t="s">
        <v>12436</v>
      </c>
      <c r="G3591" s="109" t="s">
        <v>12437</v>
      </c>
    </row>
    <row r="3592">
      <c r="B3592" s="38" t="s">
        <v>25</v>
      </c>
      <c r="C3592" s="38">
        <v>4.0</v>
      </c>
      <c r="D3592" s="38" t="s">
        <v>1964</v>
      </c>
      <c r="E3592" s="496" t="s">
        <v>4741</v>
      </c>
      <c r="F3592" s="38" t="s">
        <v>12269</v>
      </c>
      <c r="G3592" s="489" t="s">
        <v>12438</v>
      </c>
    </row>
    <row r="3593">
      <c r="B3593" s="38" t="s">
        <v>271</v>
      </c>
      <c r="C3593" s="38">
        <v>4.0</v>
      </c>
      <c r="D3593" s="38" t="s">
        <v>433</v>
      </c>
      <c r="E3593" s="39" t="s">
        <v>10417</v>
      </c>
      <c r="F3593" s="38" t="s">
        <v>12439</v>
      </c>
    </row>
    <row r="3594">
      <c r="B3594" s="38" t="s">
        <v>439</v>
      </c>
      <c r="C3594" s="38">
        <v>2.0</v>
      </c>
      <c r="D3594" s="38" t="s">
        <v>408</v>
      </c>
      <c r="E3594" s="132" t="s">
        <v>12440</v>
      </c>
      <c r="F3594" s="38" t="s">
        <v>12441</v>
      </c>
    </row>
    <row r="3595">
      <c r="B3595" s="38" t="s">
        <v>972</v>
      </c>
      <c r="C3595" s="38">
        <v>2.0</v>
      </c>
      <c r="D3595" s="38" t="s">
        <v>408</v>
      </c>
      <c r="E3595" s="132" t="s">
        <v>1122</v>
      </c>
      <c r="F3595" s="38" t="s">
        <v>12441</v>
      </c>
    </row>
    <row r="3596">
      <c r="B3596" s="38" t="s">
        <v>205</v>
      </c>
      <c r="C3596" s="38">
        <v>4.0</v>
      </c>
      <c r="D3596" s="38" t="s">
        <v>433</v>
      </c>
      <c r="E3596" s="132" t="s">
        <v>12442</v>
      </c>
      <c r="F3596" s="38" t="s">
        <v>12443</v>
      </c>
    </row>
    <row r="3597">
      <c r="B3597" s="38"/>
      <c r="C3597" s="38"/>
      <c r="D3597" s="38"/>
      <c r="E3597" s="132" t="s">
        <v>12444</v>
      </c>
      <c r="F3597" s="38" t="s">
        <v>12291</v>
      </c>
    </row>
    <row r="3598">
      <c r="B3598" s="38"/>
      <c r="C3598" s="38"/>
      <c r="D3598" s="38" t="s">
        <v>12445</v>
      </c>
      <c r="E3598" s="132" t="s">
        <v>4077</v>
      </c>
      <c r="F3598" s="38" t="s">
        <v>12123</v>
      </c>
    </row>
    <row r="3599">
      <c r="B3599" s="38"/>
      <c r="C3599" s="38"/>
      <c r="D3599" s="304" t="s">
        <v>12446</v>
      </c>
      <c r="E3599" s="132" t="s">
        <v>4077</v>
      </c>
      <c r="F3599" s="38" t="s">
        <v>12123</v>
      </c>
    </row>
    <row r="3600">
      <c r="B3600" s="38" t="s">
        <v>52</v>
      </c>
      <c r="C3600" s="38">
        <v>2.0</v>
      </c>
      <c r="D3600" s="38" t="s">
        <v>12447</v>
      </c>
      <c r="E3600" s="496" t="s">
        <v>1098</v>
      </c>
      <c r="F3600" s="38" t="s">
        <v>12448</v>
      </c>
    </row>
    <row r="3601">
      <c r="B3601" s="38" t="s">
        <v>405</v>
      </c>
      <c r="C3601" s="38">
        <v>2.0</v>
      </c>
      <c r="D3601" s="38" t="s">
        <v>12447</v>
      </c>
      <c r="E3601" s="496" t="s">
        <v>1098</v>
      </c>
      <c r="F3601" s="59" t="s">
        <v>12448</v>
      </c>
    </row>
    <row r="3602">
      <c r="B3602" s="38" t="s">
        <v>25</v>
      </c>
      <c r="C3602" s="38">
        <v>4.0</v>
      </c>
      <c r="D3602" s="38" t="s">
        <v>2473</v>
      </c>
      <c r="E3602" s="496" t="s">
        <v>12449</v>
      </c>
      <c r="F3602" s="38" t="s">
        <v>175</v>
      </c>
    </row>
    <row r="3603">
      <c r="B3603" s="38" t="s">
        <v>3682</v>
      </c>
      <c r="C3603" s="38">
        <v>2.0</v>
      </c>
      <c r="D3603" s="38" t="s">
        <v>12450</v>
      </c>
      <c r="E3603" s="496" t="s">
        <v>337</v>
      </c>
      <c r="F3603" s="38" t="s">
        <v>4232</v>
      </c>
    </row>
    <row r="3604">
      <c r="B3604" s="38" t="s">
        <v>205</v>
      </c>
      <c r="C3604" s="38">
        <v>4.0</v>
      </c>
      <c r="D3604" s="38" t="s">
        <v>2021</v>
      </c>
      <c r="E3604" s="496" t="s">
        <v>11579</v>
      </c>
      <c r="F3604" s="38" t="s">
        <v>12451</v>
      </c>
    </row>
    <row r="3605">
      <c r="B3605" s="38" t="s">
        <v>122</v>
      </c>
      <c r="C3605" s="38">
        <v>4.0</v>
      </c>
      <c r="D3605" s="38" t="s">
        <v>2021</v>
      </c>
      <c r="E3605" s="496" t="s">
        <v>11579</v>
      </c>
      <c r="F3605" s="38" t="s">
        <v>12451</v>
      </c>
    </row>
    <row r="3606">
      <c r="B3606" s="38" t="s">
        <v>354</v>
      </c>
      <c r="C3606" s="38">
        <v>4.0</v>
      </c>
      <c r="D3606" s="38" t="s">
        <v>6571</v>
      </c>
      <c r="E3606" s="496" t="s">
        <v>9977</v>
      </c>
      <c r="F3606" s="38" t="s">
        <v>12452</v>
      </c>
    </row>
    <row r="3607">
      <c r="B3607" s="38" t="s">
        <v>10839</v>
      </c>
      <c r="C3607" s="38">
        <v>4.0</v>
      </c>
      <c r="D3607" s="38" t="s">
        <v>2492</v>
      </c>
      <c r="E3607" s="39" t="s">
        <v>12453</v>
      </c>
      <c r="F3607" s="38" t="s">
        <v>12454</v>
      </c>
    </row>
    <row r="3608">
      <c r="A3608" s="4" t="s">
        <v>12427</v>
      </c>
      <c r="B3608" s="5" t="s">
        <v>25</v>
      </c>
      <c r="C3608" s="5">
        <v>4.0</v>
      </c>
      <c r="D3608" s="5" t="s">
        <v>12455</v>
      </c>
      <c r="E3608" s="505" t="s">
        <v>2914</v>
      </c>
      <c r="F3608" s="5"/>
    </row>
    <row r="3609">
      <c r="B3609" s="38" t="s">
        <v>12456</v>
      </c>
      <c r="C3609" s="38"/>
      <c r="D3609" s="38"/>
      <c r="E3609" s="496" t="s">
        <v>2174</v>
      </c>
      <c r="F3609" s="38" t="s">
        <v>12457</v>
      </c>
    </row>
    <row r="3610">
      <c r="B3610" s="38"/>
      <c r="C3610" s="38"/>
      <c r="D3610" s="38"/>
      <c r="E3610" s="132" t="s">
        <v>12458</v>
      </c>
      <c r="F3610" s="38" t="s">
        <v>12459</v>
      </c>
    </row>
    <row r="3611">
      <c r="B3611" s="38"/>
      <c r="C3611" s="38"/>
      <c r="D3611" s="494" t="s">
        <v>12460</v>
      </c>
      <c r="E3611" s="353" t="s">
        <v>12461</v>
      </c>
      <c r="F3611" s="38" t="s">
        <v>12462</v>
      </c>
    </row>
    <row r="3612">
      <c r="A3612" s="4" t="s">
        <v>12427</v>
      </c>
      <c r="B3612" s="38" t="s">
        <v>85</v>
      </c>
      <c r="C3612" s="38">
        <v>4.0</v>
      </c>
      <c r="D3612" s="494" t="s">
        <v>545</v>
      </c>
      <c r="E3612" s="353" t="s">
        <v>12461</v>
      </c>
      <c r="F3612" s="38"/>
    </row>
    <row r="3613">
      <c r="B3613" s="38" t="s">
        <v>25</v>
      </c>
      <c r="C3613" s="38">
        <v>4.0</v>
      </c>
      <c r="D3613" s="47" t="s">
        <v>6192</v>
      </c>
      <c r="E3613" s="38" t="s">
        <v>12463</v>
      </c>
      <c r="F3613" s="38" t="s">
        <v>12464</v>
      </c>
    </row>
    <row r="3614">
      <c r="B3614" s="352" t="s">
        <v>12465</v>
      </c>
      <c r="C3614" s="38" t="s">
        <v>4938</v>
      </c>
      <c r="D3614" s="38" t="s">
        <v>12466</v>
      </c>
      <c r="E3614" s="132" t="s">
        <v>1199</v>
      </c>
      <c r="F3614" s="38" t="s">
        <v>12467</v>
      </c>
    </row>
    <row r="3615">
      <c r="A3615" s="4" t="s">
        <v>12427</v>
      </c>
      <c r="B3615" s="38" t="s">
        <v>1327</v>
      </c>
      <c r="C3615" s="38">
        <v>4.0</v>
      </c>
      <c r="D3615" s="38" t="s">
        <v>684</v>
      </c>
      <c r="E3615" s="496" t="s">
        <v>12468</v>
      </c>
      <c r="F3615" s="38" t="s">
        <v>12469</v>
      </c>
    </row>
    <row r="3616">
      <c r="B3616" s="38" t="s">
        <v>271</v>
      </c>
      <c r="C3616" s="38">
        <v>4.0</v>
      </c>
      <c r="D3616" s="38" t="s">
        <v>433</v>
      </c>
      <c r="E3616" s="39" t="s">
        <v>12470</v>
      </c>
      <c r="F3616" s="38" t="s">
        <v>12471</v>
      </c>
    </row>
    <row r="3617">
      <c r="B3617" s="38" t="s">
        <v>733</v>
      </c>
      <c r="C3617" s="38">
        <v>2.0</v>
      </c>
      <c r="D3617" s="38" t="s">
        <v>6571</v>
      </c>
      <c r="E3617" s="61" t="s">
        <v>12472</v>
      </c>
      <c r="F3617" s="38" t="s">
        <v>12473</v>
      </c>
      <c r="G3617" s="1" t="s">
        <v>12474</v>
      </c>
    </row>
    <row r="3618">
      <c r="B3618" s="47" t="s">
        <v>128</v>
      </c>
      <c r="C3618" s="47">
        <v>4.0</v>
      </c>
      <c r="D3618" s="47" t="s">
        <v>211</v>
      </c>
      <c r="E3618" s="38" t="s">
        <v>12475</v>
      </c>
      <c r="F3618" s="38" t="s">
        <v>12476</v>
      </c>
      <c r="G3618" s="109" t="s">
        <v>12477</v>
      </c>
    </row>
    <row r="3619">
      <c r="B3619" s="47"/>
      <c r="C3619" s="47"/>
      <c r="D3619" s="47"/>
      <c r="E3619" s="38" t="s">
        <v>12475</v>
      </c>
      <c r="F3619" s="38" t="s">
        <v>12478</v>
      </c>
      <c r="G3619" s="38" t="s">
        <v>12476</v>
      </c>
    </row>
    <row r="3620">
      <c r="B3620" s="38" t="s">
        <v>1296</v>
      </c>
      <c r="C3620" s="38">
        <v>4.0</v>
      </c>
      <c r="D3620" s="38" t="s">
        <v>2389</v>
      </c>
      <c r="E3620" s="38" t="s">
        <v>12479</v>
      </c>
      <c r="F3620" s="38" t="s">
        <v>12358</v>
      </c>
    </row>
    <row r="3621">
      <c r="B3621" s="38" t="s">
        <v>25</v>
      </c>
      <c r="C3621" s="38">
        <v>4.0</v>
      </c>
      <c r="D3621" s="38" t="s">
        <v>433</v>
      </c>
      <c r="E3621" s="39" t="s">
        <v>6999</v>
      </c>
      <c r="F3621" s="38"/>
    </row>
    <row r="3622">
      <c r="B3622" s="38" t="s">
        <v>58</v>
      </c>
      <c r="C3622" s="38">
        <v>4.0</v>
      </c>
      <c r="D3622" s="38" t="s">
        <v>461</v>
      </c>
      <c r="E3622" s="132" t="s">
        <v>1098</v>
      </c>
      <c r="F3622" s="38" t="s">
        <v>12480</v>
      </c>
    </row>
    <row r="3623">
      <c r="B3623" s="38" t="s">
        <v>28</v>
      </c>
      <c r="C3623" s="38">
        <v>4.0</v>
      </c>
      <c r="D3623" s="38" t="s">
        <v>12481</v>
      </c>
      <c r="E3623" s="39" t="s">
        <v>12482</v>
      </c>
      <c r="F3623" s="38" t="s">
        <v>7215</v>
      </c>
    </row>
    <row r="3624">
      <c r="B3624" s="38" t="s">
        <v>2013</v>
      </c>
      <c r="C3624" s="38">
        <v>2.0</v>
      </c>
      <c r="D3624" s="38" t="s">
        <v>12483</v>
      </c>
      <c r="E3624" s="132" t="s">
        <v>4865</v>
      </c>
      <c r="F3624" s="38" t="s">
        <v>12484</v>
      </c>
    </row>
    <row r="3625">
      <c r="B3625" s="38" t="s">
        <v>1010</v>
      </c>
      <c r="C3625" s="38">
        <v>2.0</v>
      </c>
      <c r="D3625" s="38" t="s">
        <v>12483</v>
      </c>
      <c r="E3625" s="132" t="s">
        <v>4865</v>
      </c>
      <c r="F3625" s="38" t="s">
        <v>12484</v>
      </c>
    </row>
    <row r="3626">
      <c r="B3626" s="38" t="s">
        <v>214</v>
      </c>
      <c r="C3626" s="38">
        <v>2.0</v>
      </c>
      <c r="D3626" s="38" t="s">
        <v>3135</v>
      </c>
      <c r="E3626" s="132" t="s">
        <v>4865</v>
      </c>
      <c r="F3626" s="38" t="s">
        <v>12485</v>
      </c>
      <c r="G3626" s="38" t="s">
        <v>12486</v>
      </c>
    </row>
    <row r="3627">
      <c r="B3627" s="38" t="s">
        <v>210</v>
      </c>
      <c r="C3627" s="38">
        <v>2.0</v>
      </c>
      <c r="D3627" s="38" t="s">
        <v>3135</v>
      </c>
      <c r="E3627" s="132" t="s">
        <v>4865</v>
      </c>
      <c r="F3627" s="38" t="s">
        <v>12487</v>
      </c>
      <c r="G3627" s="38" t="s">
        <v>12486</v>
      </c>
    </row>
    <row r="3628">
      <c r="B3628" s="38" t="s">
        <v>25</v>
      </c>
      <c r="C3628" s="38">
        <v>2.0</v>
      </c>
      <c r="D3628" s="38" t="s">
        <v>2492</v>
      </c>
      <c r="E3628" s="39" t="s">
        <v>12488</v>
      </c>
      <c r="F3628" s="38" t="s">
        <v>10695</v>
      </c>
    </row>
    <row r="3629">
      <c r="B3629" s="38" t="s">
        <v>2035</v>
      </c>
      <c r="C3629" s="38">
        <v>4.0</v>
      </c>
      <c r="D3629" s="38" t="s">
        <v>3135</v>
      </c>
      <c r="E3629" s="132" t="s">
        <v>12489</v>
      </c>
      <c r="F3629" s="38" t="s">
        <v>12490</v>
      </c>
    </row>
    <row r="3630">
      <c r="B3630" s="38" t="s">
        <v>88</v>
      </c>
      <c r="C3630" s="38">
        <v>2.0</v>
      </c>
      <c r="D3630" s="38" t="s">
        <v>2827</v>
      </c>
      <c r="E3630" s="498" t="s">
        <v>12491</v>
      </c>
      <c r="F3630" s="38" t="s">
        <v>12492</v>
      </c>
    </row>
    <row r="3631">
      <c r="B3631" s="38"/>
      <c r="C3631" s="38" t="s">
        <v>12493</v>
      </c>
      <c r="D3631" s="38"/>
      <c r="E3631" s="496" t="s">
        <v>12494</v>
      </c>
      <c r="F3631" s="65">
        <v>44860.0</v>
      </c>
    </row>
    <row r="3632">
      <c r="B3632" s="38" t="s">
        <v>77</v>
      </c>
      <c r="C3632" s="38">
        <v>1.0</v>
      </c>
      <c r="D3632" s="38" t="s">
        <v>545</v>
      </c>
      <c r="E3632" s="496" t="s">
        <v>6113</v>
      </c>
      <c r="F3632" s="38" t="s">
        <v>12495</v>
      </c>
    </row>
    <row r="3633">
      <c r="B3633" s="38" t="s">
        <v>283</v>
      </c>
      <c r="C3633" s="38">
        <v>2.0</v>
      </c>
      <c r="D3633" s="38" t="s">
        <v>408</v>
      </c>
      <c r="E3633" s="496" t="s">
        <v>12496</v>
      </c>
      <c r="F3633" s="59" t="s">
        <v>12497</v>
      </c>
    </row>
    <row r="3634">
      <c r="B3634" s="38" t="s">
        <v>3958</v>
      </c>
      <c r="C3634" s="38">
        <v>2.0</v>
      </c>
      <c r="D3634" s="38" t="s">
        <v>408</v>
      </c>
      <c r="E3634" s="496" t="s">
        <v>413</v>
      </c>
      <c r="F3634" s="38" t="s">
        <v>12497</v>
      </c>
    </row>
    <row r="3635">
      <c r="B3635" s="38" t="s">
        <v>876</v>
      </c>
      <c r="C3635" s="38">
        <v>4.0</v>
      </c>
      <c r="D3635" s="38" t="s">
        <v>433</v>
      </c>
      <c r="E3635" s="496" t="s">
        <v>1141</v>
      </c>
      <c r="F3635" s="38" t="s">
        <v>12498</v>
      </c>
      <c r="G3635" s="38" t="s">
        <v>11774</v>
      </c>
    </row>
    <row r="3636">
      <c r="B3636" s="38" t="s">
        <v>22</v>
      </c>
      <c r="C3636" s="38">
        <v>2.0</v>
      </c>
      <c r="D3636" s="38" t="s">
        <v>2121</v>
      </c>
      <c r="E3636" s="506" t="s">
        <v>12499</v>
      </c>
      <c r="F3636" s="38" t="s">
        <v>12500</v>
      </c>
    </row>
    <row r="3637">
      <c r="B3637" s="38" t="s">
        <v>25</v>
      </c>
      <c r="C3637" s="38">
        <v>4.0</v>
      </c>
      <c r="D3637" s="38" t="s">
        <v>433</v>
      </c>
      <c r="E3637" s="506" t="s">
        <v>12499</v>
      </c>
      <c r="F3637" s="38" t="s">
        <v>12500</v>
      </c>
    </row>
    <row r="3638">
      <c r="A3638" s="4" t="s">
        <v>12427</v>
      </c>
      <c r="B3638" s="38" t="s">
        <v>339</v>
      </c>
      <c r="C3638" s="38">
        <v>4.0</v>
      </c>
      <c r="D3638" s="38" t="s">
        <v>545</v>
      </c>
      <c r="E3638" s="506" t="s">
        <v>12499</v>
      </c>
      <c r="F3638" s="38" t="s">
        <v>12500</v>
      </c>
    </row>
    <row r="3639">
      <c r="A3639" s="4"/>
      <c r="B3639" s="38" t="s">
        <v>81</v>
      </c>
      <c r="C3639" s="38">
        <v>4.0</v>
      </c>
      <c r="D3639" s="38" t="s">
        <v>545</v>
      </c>
      <c r="E3639" s="496" t="s">
        <v>12501</v>
      </c>
      <c r="F3639" s="38" t="s">
        <v>12502</v>
      </c>
      <c r="G3639" s="489" t="s">
        <v>12503</v>
      </c>
    </row>
    <row r="3640">
      <c r="A3640" s="4" t="s">
        <v>12245</v>
      </c>
      <c r="B3640" s="38" t="s">
        <v>122</v>
      </c>
      <c r="C3640" s="38">
        <v>4.0</v>
      </c>
      <c r="D3640" s="38" t="s">
        <v>1084</v>
      </c>
      <c r="E3640" s="91" t="s">
        <v>12504</v>
      </c>
      <c r="F3640" s="38" t="s">
        <v>12505</v>
      </c>
    </row>
    <row r="3641">
      <c r="B3641" s="38" t="s">
        <v>81</v>
      </c>
      <c r="C3641" s="38">
        <v>4.0</v>
      </c>
      <c r="D3641" s="38" t="s">
        <v>12483</v>
      </c>
      <c r="E3641" s="496" t="s">
        <v>12506</v>
      </c>
      <c r="F3641" s="38" t="s">
        <v>12507</v>
      </c>
    </row>
    <row r="3642">
      <c r="B3642" s="38" t="s">
        <v>246</v>
      </c>
      <c r="C3642" s="38">
        <v>4.0</v>
      </c>
      <c r="D3642" s="38" t="s">
        <v>27</v>
      </c>
      <c r="E3642" s="496" t="s">
        <v>12508</v>
      </c>
      <c r="F3642" s="38" t="s">
        <v>12507</v>
      </c>
    </row>
    <row r="3643">
      <c r="B3643" s="38" t="s">
        <v>2798</v>
      </c>
      <c r="C3643" s="38">
        <v>2.0</v>
      </c>
      <c r="D3643" s="38" t="s">
        <v>12509</v>
      </c>
      <c r="E3643" s="496" t="s">
        <v>12510</v>
      </c>
      <c r="F3643" s="38" t="s">
        <v>12511</v>
      </c>
    </row>
    <row r="3644">
      <c r="B3644" s="38" t="s">
        <v>308</v>
      </c>
      <c r="C3644" s="38">
        <v>4.0</v>
      </c>
      <c r="D3644" s="38" t="s">
        <v>11901</v>
      </c>
      <c r="E3644" s="496" t="s">
        <v>4478</v>
      </c>
      <c r="F3644" s="38" t="s">
        <v>12338</v>
      </c>
    </row>
    <row r="3645">
      <c r="B3645" s="38" t="s">
        <v>2159</v>
      </c>
      <c r="C3645" s="38">
        <v>4.0</v>
      </c>
      <c r="D3645" s="38" t="s">
        <v>12512</v>
      </c>
      <c r="E3645" s="496" t="s">
        <v>12513</v>
      </c>
      <c r="F3645" s="38" t="s">
        <v>12514</v>
      </c>
    </row>
    <row r="3646">
      <c r="B3646" s="38" t="s">
        <v>58</v>
      </c>
      <c r="C3646" s="38">
        <v>4.0</v>
      </c>
      <c r="D3646" s="38" t="s">
        <v>1084</v>
      </c>
      <c r="E3646" s="91" t="s">
        <v>12515</v>
      </c>
      <c r="F3646" s="38" t="s">
        <v>12516</v>
      </c>
    </row>
    <row r="3647">
      <c r="A3647" s="4" t="s">
        <v>12245</v>
      </c>
      <c r="B3647" s="38" t="s">
        <v>755</v>
      </c>
      <c r="C3647" s="38">
        <v>2.0</v>
      </c>
      <c r="D3647" s="38" t="s">
        <v>684</v>
      </c>
      <c r="E3647" s="496" t="s">
        <v>1758</v>
      </c>
      <c r="F3647" s="38" t="s">
        <v>12517</v>
      </c>
      <c r="G3647" s="507" t="s">
        <v>12518</v>
      </c>
    </row>
    <row r="3648">
      <c r="B3648" s="38" t="s">
        <v>199</v>
      </c>
      <c r="C3648" s="38">
        <v>2.0</v>
      </c>
      <c r="D3648" s="38" t="s">
        <v>684</v>
      </c>
      <c r="E3648" s="496" t="s">
        <v>1758</v>
      </c>
      <c r="F3648" s="38" t="s">
        <v>12519</v>
      </c>
    </row>
    <row r="3649">
      <c r="B3649" s="38" t="s">
        <v>205</v>
      </c>
      <c r="C3649" s="38">
        <v>4.0</v>
      </c>
      <c r="D3649" s="38" t="s">
        <v>433</v>
      </c>
      <c r="E3649" s="496" t="s">
        <v>434</v>
      </c>
      <c r="F3649" s="38" t="s">
        <v>12520</v>
      </c>
    </row>
    <row r="3650">
      <c r="B3650" s="38" t="s">
        <v>25</v>
      </c>
      <c r="C3650" s="38">
        <v>4.0</v>
      </c>
      <c r="D3650" s="38" t="s">
        <v>433</v>
      </c>
      <c r="E3650" s="39" t="s">
        <v>6999</v>
      </c>
      <c r="F3650" s="38" t="s">
        <v>12521</v>
      </c>
    </row>
    <row r="3651">
      <c r="A3651" s="4"/>
      <c r="B3651" s="38" t="s">
        <v>9822</v>
      </c>
      <c r="C3651" s="38">
        <v>4.0</v>
      </c>
      <c r="D3651" s="38" t="s">
        <v>417</v>
      </c>
      <c r="E3651" s="91" t="s">
        <v>12522</v>
      </c>
      <c r="F3651" s="38" t="s">
        <v>4232</v>
      </c>
      <c r="G3651" s="149" t="s">
        <v>12523</v>
      </c>
    </row>
    <row r="3652">
      <c r="B3652" s="38" t="s">
        <v>416</v>
      </c>
      <c r="C3652" s="38">
        <v>4.0</v>
      </c>
      <c r="D3652" s="38" t="s">
        <v>10136</v>
      </c>
      <c r="E3652" s="496" t="s">
        <v>413</v>
      </c>
      <c r="F3652" s="38" t="s">
        <v>12524</v>
      </c>
      <c r="G3652" s="508" t="s">
        <v>12525</v>
      </c>
    </row>
    <row r="3653">
      <c r="B3653" s="38" t="s">
        <v>3725</v>
      </c>
      <c r="C3653" s="38">
        <v>2.0</v>
      </c>
      <c r="D3653" s="38" t="s">
        <v>12512</v>
      </c>
      <c r="E3653" s="496" t="s">
        <v>202</v>
      </c>
      <c r="F3653" s="38" t="s">
        <v>12526</v>
      </c>
      <c r="G3653" s="38" t="s">
        <v>12527</v>
      </c>
    </row>
    <row r="3654">
      <c r="B3654" s="38" t="s">
        <v>8686</v>
      </c>
      <c r="C3654" s="38">
        <v>2.0</v>
      </c>
      <c r="D3654" s="38" t="s">
        <v>12528</v>
      </c>
      <c r="E3654" s="39" t="s">
        <v>10007</v>
      </c>
      <c r="F3654" s="38" t="s">
        <v>6361</v>
      </c>
      <c r="G3654" s="38" t="s">
        <v>12527</v>
      </c>
    </row>
    <row r="3655">
      <c r="B3655" s="38" t="s">
        <v>219</v>
      </c>
      <c r="C3655" s="38">
        <v>4.0</v>
      </c>
      <c r="D3655" s="38" t="s">
        <v>2296</v>
      </c>
      <c r="E3655" s="85" t="s">
        <v>12529</v>
      </c>
      <c r="F3655" s="38" t="s">
        <v>12530</v>
      </c>
    </row>
    <row r="3656">
      <c r="A3656" s="4" t="s">
        <v>12427</v>
      </c>
      <c r="B3656" s="38" t="s">
        <v>205</v>
      </c>
      <c r="C3656" s="38">
        <v>4.0</v>
      </c>
      <c r="D3656" s="38" t="s">
        <v>684</v>
      </c>
      <c r="E3656" s="496" t="s">
        <v>12531</v>
      </c>
      <c r="F3656" s="38" t="s">
        <v>6110</v>
      </c>
    </row>
    <row r="3657">
      <c r="B3657" s="38" t="s">
        <v>978</v>
      </c>
      <c r="C3657" s="38">
        <v>2.0</v>
      </c>
      <c r="D3657" s="38" t="s">
        <v>3135</v>
      </c>
      <c r="E3657" s="496" t="s">
        <v>1758</v>
      </c>
      <c r="F3657" s="38" t="s">
        <v>12532</v>
      </c>
    </row>
    <row r="3658">
      <c r="B3658" s="38" t="s">
        <v>3523</v>
      </c>
      <c r="C3658" s="38">
        <v>2.0</v>
      </c>
      <c r="D3658" s="38" t="s">
        <v>3135</v>
      </c>
      <c r="E3658" s="496" t="s">
        <v>1758</v>
      </c>
      <c r="F3658" s="38" t="s">
        <v>12533</v>
      </c>
    </row>
    <row r="3659">
      <c r="B3659" s="38" t="s">
        <v>85</v>
      </c>
      <c r="C3659" s="38">
        <v>2.0</v>
      </c>
      <c r="D3659" s="38" t="s">
        <v>2423</v>
      </c>
      <c r="E3659" s="38" t="s">
        <v>11736</v>
      </c>
      <c r="F3659" s="38" t="s">
        <v>12534</v>
      </c>
    </row>
    <row r="3660">
      <c r="A3660" s="8"/>
      <c r="B3660" s="38" t="s">
        <v>1575</v>
      </c>
      <c r="C3660" s="38">
        <v>2.0</v>
      </c>
      <c r="D3660" s="38" t="s">
        <v>2423</v>
      </c>
      <c r="E3660" s="38" t="s">
        <v>9113</v>
      </c>
      <c r="F3660" s="38" t="s">
        <v>12534</v>
      </c>
    </row>
    <row r="3661">
      <c r="A3661" s="8"/>
      <c r="B3661" s="38" t="s">
        <v>195</v>
      </c>
      <c r="C3661" s="38">
        <v>2.0</v>
      </c>
      <c r="D3661" s="38" t="s">
        <v>408</v>
      </c>
      <c r="E3661" s="39" t="s">
        <v>12535</v>
      </c>
      <c r="F3661" s="38" t="s">
        <v>12536</v>
      </c>
      <c r="G3661" s="38" t="s">
        <v>12537</v>
      </c>
    </row>
    <row r="3662">
      <c r="A3662" s="8"/>
      <c r="B3662" s="38" t="s">
        <v>199</v>
      </c>
      <c r="C3662" s="38">
        <v>2.0</v>
      </c>
      <c r="D3662" s="38" t="s">
        <v>408</v>
      </c>
      <c r="E3662" s="39" t="s">
        <v>12535</v>
      </c>
      <c r="F3662" s="38" t="s">
        <v>4759</v>
      </c>
      <c r="G3662" s="38" t="s">
        <v>12537</v>
      </c>
    </row>
    <row r="3663">
      <c r="A3663" s="8"/>
      <c r="B3663" s="38" t="s">
        <v>170</v>
      </c>
      <c r="C3663" s="38">
        <v>4.0</v>
      </c>
      <c r="D3663" s="38" t="s">
        <v>408</v>
      </c>
      <c r="E3663" s="39" t="s">
        <v>12538</v>
      </c>
      <c r="F3663" s="38" t="s">
        <v>12539</v>
      </c>
    </row>
    <row r="3664">
      <c r="B3664" s="38"/>
      <c r="C3664" s="38"/>
      <c r="D3664" s="38" t="s">
        <v>12540</v>
      </c>
      <c r="E3664" s="39" t="s">
        <v>12541</v>
      </c>
      <c r="F3664" s="38" t="s">
        <v>12542</v>
      </c>
    </row>
    <row r="3665">
      <c r="B3665" s="38" t="s">
        <v>876</v>
      </c>
      <c r="C3665" s="38">
        <v>4.0</v>
      </c>
      <c r="D3665" s="38" t="s">
        <v>6705</v>
      </c>
      <c r="E3665" s="47" t="s">
        <v>12543</v>
      </c>
      <c r="F3665" s="38" t="s">
        <v>4211</v>
      </c>
    </row>
    <row r="3666">
      <c r="B3666" s="38" t="s">
        <v>308</v>
      </c>
      <c r="C3666" s="47">
        <v>4.0</v>
      </c>
      <c r="D3666" s="47" t="s">
        <v>4543</v>
      </c>
      <c r="E3666" s="47" t="s">
        <v>12544</v>
      </c>
      <c r="F3666" s="38" t="s">
        <v>12545</v>
      </c>
    </row>
    <row r="3667">
      <c r="A3667" s="5"/>
      <c r="B3667" s="38" t="s">
        <v>25</v>
      </c>
      <c r="C3667" s="47">
        <v>4.0</v>
      </c>
      <c r="D3667" s="47" t="s">
        <v>2021</v>
      </c>
      <c r="E3667" s="47" t="s">
        <v>1401</v>
      </c>
      <c r="F3667" s="38" t="s">
        <v>12545</v>
      </c>
    </row>
    <row r="3668">
      <c r="A3668" s="5"/>
      <c r="B3668" s="38" t="s">
        <v>183</v>
      </c>
      <c r="C3668" s="47">
        <v>4.0</v>
      </c>
      <c r="D3668" s="47" t="s">
        <v>289</v>
      </c>
      <c r="E3668" s="47" t="s">
        <v>1401</v>
      </c>
      <c r="F3668" s="38" t="s">
        <v>12545</v>
      </c>
    </row>
    <row r="3669">
      <c r="B3669" s="38" t="s">
        <v>549</v>
      </c>
      <c r="C3669" s="47">
        <v>4.0</v>
      </c>
      <c r="D3669" s="47" t="s">
        <v>9994</v>
      </c>
      <c r="E3669" s="47" t="s">
        <v>1401</v>
      </c>
      <c r="F3669" s="38" t="s">
        <v>12546</v>
      </c>
    </row>
    <row r="3670">
      <c r="A3670" s="5"/>
      <c r="B3670" s="38" t="s">
        <v>28</v>
      </c>
      <c r="C3670" s="47">
        <v>4.0</v>
      </c>
      <c r="D3670" s="47" t="s">
        <v>12547</v>
      </c>
      <c r="E3670" s="47" t="s">
        <v>1401</v>
      </c>
      <c r="F3670" s="38" t="s">
        <v>12546</v>
      </c>
    </row>
    <row r="3671">
      <c r="B3671" s="47" t="s">
        <v>2774</v>
      </c>
      <c r="C3671" s="47">
        <v>4.0</v>
      </c>
      <c r="D3671" s="47" t="s">
        <v>12548</v>
      </c>
      <c r="E3671" s="47" t="s">
        <v>1401</v>
      </c>
      <c r="F3671" s="38" t="s">
        <v>12549</v>
      </c>
    </row>
    <row r="3672">
      <c r="B3672" s="47" t="s">
        <v>12550</v>
      </c>
      <c r="C3672" s="47">
        <v>4.0</v>
      </c>
      <c r="D3672" s="47" t="s">
        <v>12551</v>
      </c>
      <c r="E3672" s="47" t="s">
        <v>1401</v>
      </c>
      <c r="F3672" s="38" t="s">
        <v>12549</v>
      </c>
    </row>
    <row r="3673">
      <c r="B3673" s="38" t="s">
        <v>2329</v>
      </c>
      <c r="C3673" s="47">
        <v>4.0</v>
      </c>
      <c r="D3673" s="47" t="s">
        <v>12552</v>
      </c>
      <c r="E3673" s="47" t="s">
        <v>1401</v>
      </c>
      <c r="F3673" s="38" t="s">
        <v>12549</v>
      </c>
    </row>
    <row r="3674">
      <c r="A3674" s="8"/>
      <c r="B3674" s="38" t="s">
        <v>919</v>
      </c>
      <c r="C3674" s="47">
        <v>4.0</v>
      </c>
      <c r="D3674" s="47" t="s">
        <v>12553</v>
      </c>
      <c r="E3674" s="47" t="s">
        <v>1401</v>
      </c>
      <c r="F3674" s="38" t="s">
        <v>12549</v>
      </c>
    </row>
    <row r="3675">
      <c r="B3675" s="38" t="s">
        <v>357</v>
      </c>
      <c r="C3675" s="47">
        <v>4.0</v>
      </c>
      <c r="D3675" s="47" t="s">
        <v>12554</v>
      </c>
      <c r="E3675" s="47" t="s">
        <v>1401</v>
      </c>
      <c r="F3675" s="38" t="s">
        <v>12549</v>
      </c>
    </row>
    <row r="3676">
      <c r="B3676" s="38" t="s">
        <v>266</v>
      </c>
      <c r="C3676" s="47">
        <v>4.0</v>
      </c>
      <c r="D3676" s="47" t="s">
        <v>9994</v>
      </c>
      <c r="E3676" s="47" t="s">
        <v>1401</v>
      </c>
      <c r="F3676" s="509" t="s">
        <v>12555</v>
      </c>
      <c r="G3676" s="38" t="s">
        <v>12556</v>
      </c>
      <c r="H3676" s="38" t="s">
        <v>12557</v>
      </c>
    </row>
    <row r="3677">
      <c r="B3677" s="38" t="s">
        <v>2329</v>
      </c>
      <c r="C3677" s="47">
        <v>2.0</v>
      </c>
      <c r="D3677" s="47" t="s">
        <v>12558</v>
      </c>
      <c r="E3677" s="47" t="s">
        <v>1401</v>
      </c>
      <c r="F3677" s="509" t="s">
        <v>12555</v>
      </c>
      <c r="G3677" s="38" t="s">
        <v>10695</v>
      </c>
      <c r="H3677" s="38" t="s">
        <v>12557</v>
      </c>
    </row>
    <row r="3678">
      <c r="A3678" s="5"/>
      <c r="B3678" s="38" t="s">
        <v>22</v>
      </c>
      <c r="C3678" s="47">
        <v>8.0</v>
      </c>
      <c r="D3678" s="47" t="s">
        <v>2121</v>
      </c>
      <c r="E3678" s="47" t="s">
        <v>1401</v>
      </c>
      <c r="F3678" s="509" t="s">
        <v>12555</v>
      </c>
      <c r="G3678" s="38" t="s">
        <v>7278</v>
      </c>
      <c r="H3678" s="38" t="s">
        <v>12557</v>
      </c>
    </row>
    <row r="3679">
      <c r="B3679" s="38" t="s">
        <v>549</v>
      </c>
      <c r="C3679" s="38">
        <v>4.0</v>
      </c>
      <c r="D3679" s="38" t="s">
        <v>9994</v>
      </c>
      <c r="E3679" s="47" t="s">
        <v>1401</v>
      </c>
      <c r="F3679" s="509" t="s">
        <v>12555</v>
      </c>
      <c r="G3679" s="38" t="s">
        <v>4430</v>
      </c>
      <c r="H3679" s="38" t="s">
        <v>12557</v>
      </c>
    </row>
    <row r="3680">
      <c r="B3680" s="38"/>
      <c r="C3680" s="38"/>
      <c r="D3680" s="38"/>
      <c r="E3680" s="496" t="s">
        <v>12559</v>
      </c>
      <c r="F3680" s="38" t="s">
        <v>12560</v>
      </c>
      <c r="G3680" s="65">
        <v>44866.0</v>
      </c>
      <c r="H3680" s="38" t="s">
        <v>12561</v>
      </c>
    </row>
    <row r="3681">
      <c r="B3681" s="38"/>
      <c r="C3681" s="38"/>
      <c r="D3681" s="38"/>
      <c r="E3681" s="496" t="s">
        <v>12559</v>
      </c>
      <c r="F3681" s="38" t="s">
        <v>12560</v>
      </c>
      <c r="G3681" s="65">
        <v>45044.0</v>
      </c>
      <c r="H3681" s="38" t="s">
        <v>12561</v>
      </c>
    </row>
    <row r="3682">
      <c r="A3682" s="4"/>
      <c r="B3682" s="38" t="s">
        <v>183</v>
      </c>
      <c r="C3682" s="38">
        <v>4.0</v>
      </c>
      <c r="D3682" s="38" t="s">
        <v>684</v>
      </c>
      <c r="E3682" s="496" t="s">
        <v>12562</v>
      </c>
      <c r="F3682" s="38" t="s">
        <v>12563</v>
      </c>
    </row>
    <row r="3683">
      <c r="B3683" s="38" t="s">
        <v>10839</v>
      </c>
      <c r="C3683" s="38">
        <v>4.0</v>
      </c>
      <c r="D3683" s="38" t="s">
        <v>8950</v>
      </c>
      <c r="E3683" s="496" t="s">
        <v>1017</v>
      </c>
      <c r="F3683" s="38" t="s">
        <v>12564</v>
      </c>
    </row>
    <row r="3684">
      <c r="B3684" s="38" t="s">
        <v>25</v>
      </c>
      <c r="C3684" s="38">
        <v>4.0</v>
      </c>
      <c r="D3684" s="38" t="s">
        <v>2021</v>
      </c>
      <c r="E3684" s="496" t="s">
        <v>1017</v>
      </c>
      <c r="F3684" s="38" t="s">
        <v>12564</v>
      </c>
    </row>
    <row r="3685">
      <c r="A3685" s="8"/>
      <c r="B3685" s="38" t="s">
        <v>339</v>
      </c>
      <c r="C3685" s="38">
        <v>4.0</v>
      </c>
      <c r="D3685" s="47" t="s">
        <v>12565</v>
      </c>
      <c r="E3685" s="496" t="s">
        <v>6128</v>
      </c>
      <c r="F3685" s="38" t="s">
        <v>922</v>
      </c>
    </row>
    <row r="3686">
      <c r="B3686" s="38"/>
      <c r="C3686" s="38"/>
      <c r="D3686" s="38"/>
      <c r="E3686" s="496" t="s">
        <v>12566</v>
      </c>
      <c r="F3686" s="38" t="s">
        <v>12567</v>
      </c>
      <c r="G3686" s="38" t="s">
        <v>6730</v>
      </c>
    </row>
    <row r="3687">
      <c r="B3687" s="38"/>
      <c r="C3687" s="38"/>
      <c r="D3687" s="38"/>
      <c r="E3687" s="496" t="s">
        <v>12566</v>
      </c>
      <c r="F3687" s="38" t="s">
        <v>12568</v>
      </c>
      <c r="G3687" s="38" t="s">
        <v>6730</v>
      </c>
    </row>
    <row r="3688">
      <c r="A3688" s="33" t="s">
        <v>12245</v>
      </c>
      <c r="B3688" s="38" t="s">
        <v>411</v>
      </c>
      <c r="C3688" s="38">
        <v>4.0</v>
      </c>
      <c r="D3688" s="38" t="s">
        <v>2017</v>
      </c>
      <c r="E3688" s="132" t="s">
        <v>6440</v>
      </c>
      <c r="F3688" s="38" t="s">
        <v>12569</v>
      </c>
    </row>
    <row r="3689">
      <c r="B3689" s="38" t="s">
        <v>58</v>
      </c>
      <c r="C3689" s="38">
        <v>4.0</v>
      </c>
      <c r="D3689" s="38" t="s">
        <v>1084</v>
      </c>
      <c r="E3689" s="132" t="s">
        <v>12570</v>
      </c>
      <c r="F3689" s="38" t="s">
        <v>12571</v>
      </c>
    </row>
    <row r="3690">
      <c r="B3690" s="38" t="s">
        <v>58</v>
      </c>
      <c r="C3690" s="38">
        <v>4.0</v>
      </c>
      <c r="D3690" s="38" t="s">
        <v>1084</v>
      </c>
      <c r="E3690" s="132" t="s">
        <v>12319</v>
      </c>
      <c r="F3690" s="38" t="s">
        <v>175</v>
      </c>
      <c r="G3690" s="38" t="s">
        <v>12572</v>
      </c>
      <c r="H3690" s="489" t="s">
        <v>12573</v>
      </c>
    </row>
    <row r="3691">
      <c r="B3691" s="38"/>
      <c r="C3691" s="38">
        <v>4.0</v>
      </c>
      <c r="D3691" s="47" t="s">
        <v>12574</v>
      </c>
      <c r="E3691" s="132" t="s">
        <v>12319</v>
      </c>
      <c r="F3691" s="38" t="s">
        <v>12575</v>
      </c>
      <c r="G3691" s="38" t="s">
        <v>12572</v>
      </c>
    </row>
    <row r="3692">
      <c r="A3692" s="5"/>
      <c r="B3692" s="5" t="s">
        <v>11181</v>
      </c>
      <c r="C3692" s="5">
        <v>6.0</v>
      </c>
      <c r="D3692" s="5"/>
      <c r="E3692" s="5" t="s">
        <v>514</v>
      </c>
      <c r="F3692" s="5" t="s">
        <v>6034</v>
      </c>
      <c r="G3692" s="1" t="s">
        <v>12576</v>
      </c>
    </row>
    <row r="3693">
      <c r="B3693" s="510" t="s">
        <v>12577</v>
      </c>
      <c r="C3693" s="5"/>
      <c r="D3693" s="511" t="s">
        <v>12578</v>
      </c>
      <c r="E3693" s="1" t="s">
        <v>5158</v>
      </c>
      <c r="F3693" s="5"/>
    </row>
    <row r="3694">
      <c r="B3694" s="510" t="s">
        <v>12579</v>
      </c>
      <c r="C3694" s="5"/>
      <c r="D3694" s="507" t="s">
        <v>12580</v>
      </c>
      <c r="E3694" s="1" t="s">
        <v>5158</v>
      </c>
      <c r="F3694" s="5"/>
    </row>
    <row r="3695">
      <c r="B3695" s="38" t="s">
        <v>28</v>
      </c>
      <c r="C3695" s="38">
        <v>4.0</v>
      </c>
      <c r="D3695" s="38" t="s">
        <v>289</v>
      </c>
      <c r="E3695" s="39" t="s">
        <v>12581</v>
      </c>
      <c r="F3695" s="38" t="s">
        <v>12582</v>
      </c>
      <c r="G3695" s="38" t="s">
        <v>12583</v>
      </c>
    </row>
    <row r="3696">
      <c r="B3696" s="38" t="s">
        <v>25</v>
      </c>
      <c r="C3696" s="38">
        <v>4.0</v>
      </c>
      <c r="D3696" s="38" t="s">
        <v>289</v>
      </c>
      <c r="E3696" s="39" t="s">
        <v>12581</v>
      </c>
      <c r="F3696" s="38" t="s">
        <v>12584</v>
      </c>
      <c r="G3696" s="38" t="s">
        <v>12583</v>
      </c>
    </row>
    <row r="3697">
      <c r="B3697" s="38" t="s">
        <v>2329</v>
      </c>
      <c r="C3697" s="38">
        <v>4.0</v>
      </c>
      <c r="D3697" s="38" t="s">
        <v>6733</v>
      </c>
      <c r="E3697" s="39" t="s">
        <v>12581</v>
      </c>
      <c r="F3697" s="38" t="s">
        <v>12584</v>
      </c>
      <c r="G3697" s="38" t="s">
        <v>12583</v>
      </c>
    </row>
    <row r="3698">
      <c r="B3698" s="38" t="s">
        <v>261</v>
      </c>
      <c r="C3698" s="38">
        <v>2.0</v>
      </c>
      <c r="D3698" s="38" t="s">
        <v>12585</v>
      </c>
      <c r="E3698" s="132" t="s">
        <v>12586</v>
      </c>
      <c r="F3698" s="38" t="s">
        <v>12587</v>
      </c>
    </row>
    <row r="3699">
      <c r="B3699" s="38" t="s">
        <v>271</v>
      </c>
      <c r="C3699" s="38">
        <v>4.0</v>
      </c>
      <c r="D3699" s="38" t="s">
        <v>433</v>
      </c>
      <c r="E3699" s="132" t="s">
        <v>1156</v>
      </c>
      <c r="F3699" s="38" t="s">
        <v>6475</v>
      </c>
    </row>
    <row r="3700">
      <c r="A3700" s="33" t="s">
        <v>12427</v>
      </c>
      <c r="B3700" s="38" t="s">
        <v>91</v>
      </c>
      <c r="C3700" s="38">
        <v>4.0</v>
      </c>
      <c r="D3700" s="38" t="s">
        <v>684</v>
      </c>
      <c r="E3700" s="132" t="s">
        <v>12588</v>
      </c>
      <c r="F3700" s="38" t="s">
        <v>12589</v>
      </c>
    </row>
    <row r="3701">
      <c r="A3701" s="33" t="s">
        <v>12245</v>
      </c>
      <c r="B3701" s="38" t="s">
        <v>430</v>
      </c>
      <c r="C3701" s="38">
        <v>4.0</v>
      </c>
      <c r="D3701" s="38" t="s">
        <v>545</v>
      </c>
      <c r="E3701" s="512" t="s">
        <v>12590</v>
      </c>
      <c r="F3701" s="38" t="s">
        <v>12591</v>
      </c>
    </row>
    <row r="3702">
      <c r="B3702" s="38" t="s">
        <v>22</v>
      </c>
      <c r="C3702" s="38">
        <v>4.0</v>
      </c>
      <c r="D3702" s="38" t="s">
        <v>2121</v>
      </c>
      <c r="E3702" s="132" t="s">
        <v>2971</v>
      </c>
      <c r="F3702" s="38" t="s">
        <v>12592</v>
      </c>
    </row>
    <row r="3703">
      <c r="B3703" s="38"/>
      <c r="C3703" s="38"/>
      <c r="D3703" s="38"/>
      <c r="E3703" s="132" t="s">
        <v>2551</v>
      </c>
      <c r="F3703" s="38" t="s">
        <v>12593</v>
      </c>
      <c r="G3703" s="38" t="s">
        <v>12594</v>
      </c>
    </row>
    <row r="3704">
      <c r="B3704" s="5" t="s">
        <v>2028</v>
      </c>
      <c r="C3704" s="5">
        <v>2.0</v>
      </c>
      <c r="D3704" s="5" t="s">
        <v>6871</v>
      </c>
      <c r="E3704" s="150" t="s">
        <v>514</v>
      </c>
      <c r="F3704" s="5" t="s">
        <v>12595</v>
      </c>
      <c r="G3704" s="1" t="s">
        <v>6669</v>
      </c>
    </row>
    <row r="3705">
      <c r="B3705" s="38" t="s">
        <v>28</v>
      </c>
      <c r="C3705" s="38">
        <v>4.0</v>
      </c>
      <c r="D3705" s="38" t="s">
        <v>7236</v>
      </c>
      <c r="E3705" s="132" t="s">
        <v>12596</v>
      </c>
      <c r="F3705" s="38" t="s">
        <v>12597</v>
      </c>
    </row>
    <row r="3706">
      <c r="A3706" s="5"/>
      <c r="B3706" s="38" t="s">
        <v>416</v>
      </c>
      <c r="C3706" s="38">
        <v>4.0</v>
      </c>
      <c r="D3706" s="38" t="s">
        <v>684</v>
      </c>
      <c r="E3706" s="39" t="s">
        <v>1401</v>
      </c>
      <c r="F3706" s="38" t="s">
        <v>12598</v>
      </c>
      <c r="G3706" s="489" t="s">
        <v>12599</v>
      </c>
    </row>
    <row r="3707">
      <c r="B3707" s="38" t="s">
        <v>22</v>
      </c>
      <c r="C3707" s="38">
        <v>4.0</v>
      </c>
      <c r="D3707" s="38" t="s">
        <v>12600</v>
      </c>
      <c r="E3707" s="132" t="s">
        <v>12570</v>
      </c>
      <c r="F3707" s="38" t="s">
        <v>12601</v>
      </c>
    </row>
    <row r="3708">
      <c r="B3708" s="38" t="s">
        <v>12602</v>
      </c>
      <c r="C3708" s="38">
        <v>2.0</v>
      </c>
      <c r="D3708" s="38" t="s">
        <v>1305</v>
      </c>
      <c r="E3708" s="132" t="s">
        <v>1015</v>
      </c>
      <c r="F3708" s="38" t="s">
        <v>12603</v>
      </c>
    </row>
    <row r="3709">
      <c r="B3709" s="38" t="s">
        <v>982</v>
      </c>
      <c r="C3709" s="38">
        <v>8.0</v>
      </c>
      <c r="D3709" s="38" t="s">
        <v>412</v>
      </c>
      <c r="E3709" s="39" t="s">
        <v>12604</v>
      </c>
      <c r="F3709" s="38" t="s">
        <v>12605</v>
      </c>
    </row>
    <row r="3710">
      <c r="B3710" s="38" t="s">
        <v>308</v>
      </c>
      <c r="C3710" s="38">
        <v>4.0</v>
      </c>
      <c r="D3710" s="38" t="s">
        <v>2121</v>
      </c>
      <c r="E3710" s="39" t="s">
        <v>12604</v>
      </c>
      <c r="F3710" s="38" t="s">
        <v>12605</v>
      </c>
    </row>
    <row r="3711">
      <c r="B3711" s="38" t="s">
        <v>5381</v>
      </c>
      <c r="C3711" s="38">
        <v>2.0</v>
      </c>
      <c r="D3711" s="38" t="s">
        <v>12606</v>
      </c>
      <c r="E3711" s="39" t="s">
        <v>12604</v>
      </c>
      <c r="F3711" s="38" t="s">
        <v>12605</v>
      </c>
    </row>
    <row r="3712">
      <c r="B3712" s="38" t="s">
        <v>28</v>
      </c>
      <c r="C3712" s="38">
        <v>4.0</v>
      </c>
      <c r="D3712" s="38" t="s">
        <v>433</v>
      </c>
      <c r="E3712" s="39" t="s">
        <v>12604</v>
      </c>
      <c r="F3712" s="38" t="s">
        <v>12605</v>
      </c>
    </row>
    <row r="3713">
      <c r="B3713" s="38" t="s">
        <v>276</v>
      </c>
      <c r="C3713" s="38">
        <v>4.0</v>
      </c>
      <c r="D3713" s="38" t="s">
        <v>9735</v>
      </c>
      <c r="E3713" s="132" t="s">
        <v>12607</v>
      </c>
      <c r="F3713" s="38" t="s">
        <v>12608</v>
      </c>
    </row>
    <row r="3714">
      <c r="B3714" s="38" t="s">
        <v>339</v>
      </c>
      <c r="C3714" s="38">
        <v>4.0</v>
      </c>
      <c r="D3714" s="38" t="s">
        <v>1389</v>
      </c>
      <c r="E3714" s="132" t="s">
        <v>138</v>
      </c>
      <c r="F3714" s="38" t="s">
        <v>12609</v>
      </c>
    </row>
    <row r="3715">
      <c r="B3715" s="38"/>
      <c r="C3715" s="38"/>
      <c r="D3715" s="38" t="s">
        <v>12610</v>
      </c>
      <c r="E3715" s="132" t="s">
        <v>138</v>
      </c>
      <c r="F3715" s="38" t="s">
        <v>12609</v>
      </c>
    </row>
    <row r="3716">
      <c r="B3716" s="38" t="s">
        <v>1513</v>
      </c>
      <c r="C3716" s="38">
        <v>2.0</v>
      </c>
      <c r="D3716" s="38" t="s">
        <v>6289</v>
      </c>
      <c r="E3716" s="132" t="s">
        <v>138</v>
      </c>
      <c r="F3716" s="38" t="s">
        <v>12609</v>
      </c>
    </row>
    <row r="3717">
      <c r="A3717" s="33" t="s">
        <v>12427</v>
      </c>
      <c r="B3717" s="38" t="s">
        <v>339</v>
      </c>
      <c r="C3717" s="38">
        <v>4.0</v>
      </c>
      <c r="D3717" s="38" t="s">
        <v>6571</v>
      </c>
      <c r="E3717" s="38" t="s">
        <v>12611</v>
      </c>
      <c r="F3717" s="38" t="s">
        <v>12612</v>
      </c>
      <c r="G3717" s="353" t="s">
        <v>12613</v>
      </c>
    </row>
    <row r="3718">
      <c r="B3718" s="375"/>
      <c r="C3718" s="38"/>
      <c r="D3718" s="38" t="s">
        <v>12614</v>
      </c>
      <c r="E3718" s="132" t="s">
        <v>12284</v>
      </c>
      <c r="F3718" s="38" t="s">
        <v>12615</v>
      </c>
    </row>
    <row r="3719">
      <c r="B3719" s="375"/>
      <c r="C3719" s="38"/>
      <c r="D3719" s="38" t="s">
        <v>12616</v>
      </c>
      <c r="E3719" s="132" t="s">
        <v>12284</v>
      </c>
      <c r="F3719" s="38" t="s">
        <v>12615</v>
      </c>
    </row>
    <row r="3720">
      <c r="A3720" s="1"/>
      <c r="B3720" s="375" t="s">
        <v>88</v>
      </c>
      <c r="C3720" s="38">
        <v>4.0</v>
      </c>
      <c r="D3720" s="38" t="s">
        <v>2017</v>
      </c>
      <c r="E3720" s="38" t="s">
        <v>12617</v>
      </c>
      <c r="F3720" s="38" t="s">
        <v>12618</v>
      </c>
      <c r="G3720" s="1" t="s">
        <v>12619</v>
      </c>
    </row>
    <row r="3721">
      <c r="B3721" s="375"/>
      <c r="C3721" s="38"/>
      <c r="D3721" s="38"/>
      <c r="E3721" s="132" t="s">
        <v>12620</v>
      </c>
      <c r="F3721" s="38" t="s">
        <v>12621</v>
      </c>
    </row>
    <row r="3722">
      <c r="B3722" s="38" t="s">
        <v>394</v>
      </c>
      <c r="C3722" s="38">
        <v>4.0</v>
      </c>
      <c r="D3722" s="38" t="s">
        <v>6878</v>
      </c>
      <c r="E3722" s="91" t="s">
        <v>4478</v>
      </c>
      <c r="F3722" s="38" t="s">
        <v>12622</v>
      </c>
    </row>
    <row r="3723">
      <c r="B3723" s="38" t="s">
        <v>219</v>
      </c>
      <c r="C3723" s="38">
        <v>4.0</v>
      </c>
      <c r="D3723" s="38" t="s">
        <v>12623</v>
      </c>
      <c r="E3723" s="132" t="s">
        <v>12624</v>
      </c>
      <c r="F3723" s="38" t="s">
        <v>12625</v>
      </c>
    </row>
    <row r="3724">
      <c r="A3724" s="33" t="s">
        <v>12626</v>
      </c>
      <c r="B3724" s="38" t="s">
        <v>58</v>
      </c>
      <c r="C3724" s="38">
        <v>4.0</v>
      </c>
      <c r="D3724" s="38" t="s">
        <v>12627</v>
      </c>
      <c r="E3724" s="132" t="s">
        <v>337</v>
      </c>
      <c r="F3724" s="38" t="s">
        <v>12628</v>
      </c>
      <c r="G3724" s="149" t="s">
        <v>12629</v>
      </c>
    </row>
    <row r="3725">
      <c r="B3725" s="38" t="s">
        <v>22</v>
      </c>
      <c r="C3725" s="38">
        <v>4.0</v>
      </c>
      <c r="D3725" s="38" t="s">
        <v>433</v>
      </c>
      <c r="E3725" s="38" t="s">
        <v>7306</v>
      </c>
      <c r="F3725" s="38" t="s">
        <v>6669</v>
      </c>
    </row>
    <row r="3726">
      <c r="B3726" s="38" t="s">
        <v>31</v>
      </c>
      <c r="C3726" s="38">
        <v>4.0</v>
      </c>
      <c r="D3726" s="38" t="s">
        <v>433</v>
      </c>
      <c r="E3726" s="39" t="s">
        <v>12630</v>
      </c>
      <c r="F3726" s="38" t="s">
        <v>12631</v>
      </c>
    </row>
    <row r="3727">
      <c r="B3727" s="38" t="s">
        <v>982</v>
      </c>
      <c r="C3727" s="38">
        <v>4.0</v>
      </c>
      <c r="D3727" s="38" t="s">
        <v>12632</v>
      </c>
      <c r="E3727" s="132" t="s">
        <v>1098</v>
      </c>
      <c r="F3727" s="38" t="s">
        <v>5373</v>
      </c>
      <c r="G3727" s="38" t="s">
        <v>12633</v>
      </c>
    </row>
    <row r="3728">
      <c r="B3728" s="38" t="s">
        <v>333</v>
      </c>
      <c r="C3728" s="38">
        <v>4.0</v>
      </c>
      <c r="D3728" s="38" t="s">
        <v>12634</v>
      </c>
      <c r="E3728" s="132" t="s">
        <v>1098</v>
      </c>
      <c r="F3728" s="38" t="s">
        <v>10889</v>
      </c>
      <c r="G3728" s="38" t="s">
        <v>12635</v>
      </c>
    </row>
    <row r="3729">
      <c r="B3729" s="38" t="s">
        <v>1761</v>
      </c>
      <c r="C3729" s="38">
        <v>2.0</v>
      </c>
      <c r="D3729" s="38" t="s">
        <v>12636</v>
      </c>
      <c r="E3729" s="132" t="s">
        <v>974</v>
      </c>
      <c r="F3729" s="38" t="s">
        <v>12637</v>
      </c>
    </row>
    <row r="3730">
      <c r="B3730" s="38" t="s">
        <v>170</v>
      </c>
      <c r="C3730" s="38">
        <v>2.0</v>
      </c>
      <c r="D3730" s="38" t="s">
        <v>12638</v>
      </c>
      <c r="E3730" s="39" t="s">
        <v>1319</v>
      </c>
      <c r="F3730" s="38" t="s">
        <v>12396</v>
      </c>
    </row>
    <row r="3731">
      <c r="B3731" s="38" t="s">
        <v>12639</v>
      </c>
      <c r="C3731" s="38"/>
      <c r="D3731" s="38" t="s">
        <v>12640</v>
      </c>
      <c r="E3731" s="39" t="s">
        <v>1319</v>
      </c>
      <c r="F3731" s="38" t="s">
        <v>12396</v>
      </c>
    </row>
    <row r="3732">
      <c r="A3732" s="4"/>
      <c r="B3732" s="38" t="s">
        <v>81</v>
      </c>
      <c r="C3732" s="38">
        <v>4.0</v>
      </c>
      <c r="D3732" s="38" t="s">
        <v>6571</v>
      </c>
      <c r="E3732" s="132" t="s">
        <v>9229</v>
      </c>
      <c r="F3732" s="38" t="s">
        <v>12641</v>
      </c>
      <c r="G3732" s="1" t="s">
        <v>12642</v>
      </c>
    </row>
    <row r="3733">
      <c r="B3733" s="38" t="s">
        <v>58</v>
      </c>
      <c r="C3733" s="38">
        <v>4.0</v>
      </c>
      <c r="D3733" s="38" t="s">
        <v>12643</v>
      </c>
      <c r="E3733" s="132" t="s">
        <v>12644</v>
      </c>
      <c r="F3733" s="38" t="s">
        <v>2218</v>
      </c>
    </row>
    <row r="3734">
      <c r="B3734" s="38" t="s">
        <v>25</v>
      </c>
      <c r="C3734" s="38">
        <v>2.0</v>
      </c>
      <c r="D3734" s="38" t="s">
        <v>289</v>
      </c>
      <c r="E3734" s="38" t="s">
        <v>12645</v>
      </c>
      <c r="F3734" s="38" t="s">
        <v>12646</v>
      </c>
      <c r="G3734" s="38" t="s">
        <v>12647</v>
      </c>
    </row>
    <row r="3735">
      <c r="B3735" s="38" t="s">
        <v>25</v>
      </c>
      <c r="C3735" s="38">
        <v>2.0</v>
      </c>
      <c r="D3735" s="38" t="s">
        <v>1084</v>
      </c>
      <c r="E3735" s="132" t="s">
        <v>12648</v>
      </c>
      <c r="F3735" s="38" t="s">
        <v>12649</v>
      </c>
    </row>
    <row r="3736">
      <c r="A3736" s="33" t="s">
        <v>12427</v>
      </c>
      <c r="B3736" s="38" t="s">
        <v>416</v>
      </c>
      <c r="C3736" s="38">
        <v>4.0</v>
      </c>
      <c r="D3736" s="38" t="s">
        <v>6519</v>
      </c>
      <c r="E3736" s="61" t="s">
        <v>12650</v>
      </c>
      <c r="F3736" s="38" t="s">
        <v>12651</v>
      </c>
    </row>
    <row r="3737">
      <c r="A3737" s="33" t="s">
        <v>12245</v>
      </c>
      <c r="B3737" s="38" t="s">
        <v>219</v>
      </c>
      <c r="C3737" s="38">
        <v>4.0</v>
      </c>
      <c r="D3737" s="38" t="s">
        <v>6571</v>
      </c>
      <c r="E3737" s="513" t="s">
        <v>12652</v>
      </c>
      <c r="F3737" s="38" t="s">
        <v>12653</v>
      </c>
    </row>
    <row r="3738">
      <c r="B3738" s="38"/>
      <c r="C3738" s="38"/>
      <c r="D3738" s="38"/>
      <c r="E3738" s="132" t="s">
        <v>12654</v>
      </c>
      <c r="F3738" s="38" t="s">
        <v>12655</v>
      </c>
      <c r="G3738" s="38" t="s">
        <v>12656</v>
      </c>
    </row>
    <row r="3739">
      <c r="B3739" s="38" t="s">
        <v>28</v>
      </c>
      <c r="C3739" s="38">
        <v>2.0</v>
      </c>
      <c r="D3739" s="38" t="s">
        <v>2061</v>
      </c>
      <c r="E3739" s="132" t="s">
        <v>12657</v>
      </c>
      <c r="F3739" s="38" t="s">
        <v>925</v>
      </c>
      <c r="G3739" s="38" t="s">
        <v>12658</v>
      </c>
    </row>
    <row r="3740">
      <c r="B3740" s="38" t="s">
        <v>4563</v>
      </c>
      <c r="C3740" s="38">
        <v>4.0</v>
      </c>
      <c r="D3740" s="38" t="s">
        <v>2061</v>
      </c>
      <c r="E3740" s="132" t="s">
        <v>12657</v>
      </c>
      <c r="F3740" s="38" t="s">
        <v>6134</v>
      </c>
      <c r="G3740" s="38" t="s">
        <v>12658</v>
      </c>
    </row>
    <row r="3741">
      <c r="B3741" s="38" t="s">
        <v>153</v>
      </c>
      <c r="C3741" s="38">
        <v>2.0</v>
      </c>
      <c r="D3741" s="38" t="s">
        <v>408</v>
      </c>
      <c r="E3741" s="132" t="s">
        <v>3562</v>
      </c>
      <c r="F3741" s="38" t="s">
        <v>12659</v>
      </c>
    </row>
    <row r="3742">
      <c r="B3742" s="38" t="s">
        <v>3822</v>
      </c>
      <c r="C3742" s="38">
        <v>2.0</v>
      </c>
      <c r="D3742" s="38" t="s">
        <v>408</v>
      </c>
      <c r="E3742" s="132" t="s">
        <v>3562</v>
      </c>
      <c r="F3742" s="353" t="s">
        <v>12660</v>
      </c>
    </row>
    <row r="3743">
      <c r="B3743" s="38"/>
      <c r="C3743" s="38"/>
      <c r="D3743" s="38"/>
      <c r="E3743" s="132" t="s">
        <v>3562</v>
      </c>
      <c r="F3743" s="353" t="s">
        <v>12661</v>
      </c>
    </row>
    <row r="3744">
      <c r="A3744" s="5"/>
      <c r="B3744" s="38" t="s">
        <v>283</v>
      </c>
      <c r="C3744" s="38">
        <v>4.0</v>
      </c>
      <c r="D3744" s="38" t="s">
        <v>684</v>
      </c>
      <c r="E3744" s="132" t="s">
        <v>886</v>
      </c>
      <c r="F3744" s="38" t="s">
        <v>12662</v>
      </c>
      <c r="G3744" s="1" t="s">
        <v>12663</v>
      </c>
    </row>
    <row r="3745">
      <c r="B3745" s="38" t="s">
        <v>205</v>
      </c>
      <c r="C3745" s="38">
        <v>4.0</v>
      </c>
      <c r="D3745" s="38" t="s">
        <v>9336</v>
      </c>
      <c r="E3745" s="132" t="s">
        <v>12664</v>
      </c>
      <c r="F3745" s="38" t="s">
        <v>1470</v>
      </c>
    </row>
    <row r="3746">
      <c r="A3746" s="5"/>
      <c r="B3746" s="38" t="s">
        <v>177</v>
      </c>
      <c r="C3746" s="38">
        <v>4.0</v>
      </c>
      <c r="D3746" s="38" t="s">
        <v>684</v>
      </c>
      <c r="E3746" s="132" t="s">
        <v>396</v>
      </c>
      <c r="F3746" s="38" t="s">
        <v>12291</v>
      </c>
      <c r="G3746" s="1" t="s">
        <v>12665</v>
      </c>
    </row>
    <row r="3747">
      <c r="B3747" s="38"/>
      <c r="C3747" s="38"/>
      <c r="D3747" s="38"/>
      <c r="E3747" s="132" t="s">
        <v>227</v>
      </c>
      <c r="F3747" s="38" t="s">
        <v>12666</v>
      </c>
      <c r="G3747" s="44"/>
      <c r="H3747" s="38" t="s">
        <v>10488</v>
      </c>
    </row>
    <row r="3748">
      <c r="B3748" s="38"/>
      <c r="C3748" s="38"/>
      <c r="D3748" s="38"/>
      <c r="E3748" s="132" t="s">
        <v>227</v>
      </c>
      <c r="F3748" s="38" t="s">
        <v>12667</v>
      </c>
      <c r="G3748" s="38" t="s">
        <v>10488</v>
      </c>
    </row>
    <row r="3749">
      <c r="B3749" s="38"/>
      <c r="C3749" s="38"/>
      <c r="D3749" s="38"/>
      <c r="E3749" s="132" t="s">
        <v>227</v>
      </c>
      <c r="F3749" s="38" t="s">
        <v>12667</v>
      </c>
      <c r="G3749" s="38" t="s">
        <v>10488</v>
      </c>
    </row>
    <row r="3750">
      <c r="B3750" s="38" t="s">
        <v>63</v>
      </c>
      <c r="C3750" s="38">
        <v>10.0</v>
      </c>
      <c r="D3750" s="38" t="s">
        <v>6653</v>
      </c>
      <c r="E3750" s="132" t="s">
        <v>11606</v>
      </c>
      <c r="F3750" s="38"/>
      <c r="G3750" s="38" t="s">
        <v>12668</v>
      </c>
    </row>
    <row r="3751">
      <c r="B3751" s="38"/>
      <c r="C3751" s="38"/>
      <c r="D3751" s="38"/>
      <c r="E3751" s="132" t="s">
        <v>11606</v>
      </c>
      <c r="F3751" s="38" t="s">
        <v>12669</v>
      </c>
      <c r="G3751" s="38" t="s">
        <v>12668</v>
      </c>
    </row>
    <row r="3752">
      <c r="B3752" s="38"/>
      <c r="C3752" s="38"/>
      <c r="D3752" s="38"/>
      <c r="E3752" s="132" t="s">
        <v>11606</v>
      </c>
      <c r="F3752" s="38" t="s">
        <v>12670</v>
      </c>
      <c r="G3752" s="38" t="s">
        <v>12668</v>
      </c>
    </row>
    <row r="3753">
      <c r="B3753" s="38"/>
      <c r="C3753" s="38"/>
      <c r="D3753" s="38"/>
      <c r="E3753" s="132" t="s">
        <v>11606</v>
      </c>
      <c r="F3753" s="38" t="s">
        <v>12671</v>
      </c>
      <c r="G3753" s="38" t="s">
        <v>12668</v>
      </c>
    </row>
    <row r="3754">
      <c r="B3754" s="38" t="s">
        <v>1006</v>
      </c>
      <c r="C3754" s="38">
        <v>4.0</v>
      </c>
      <c r="D3754" s="38" t="s">
        <v>1084</v>
      </c>
      <c r="E3754" s="132" t="s">
        <v>12672</v>
      </c>
      <c r="F3754" s="38" t="s">
        <v>12673</v>
      </c>
      <c r="G3754" s="514" t="s">
        <v>12674</v>
      </c>
    </row>
    <row r="3755">
      <c r="B3755" s="38" t="s">
        <v>430</v>
      </c>
      <c r="C3755" s="38">
        <v>4.0</v>
      </c>
      <c r="D3755" s="38" t="s">
        <v>545</v>
      </c>
      <c r="E3755" s="132" t="s">
        <v>418</v>
      </c>
      <c r="F3755" s="38" t="s">
        <v>12675</v>
      </c>
    </row>
    <row r="3756">
      <c r="B3756" s="38" t="s">
        <v>1409</v>
      </c>
      <c r="C3756" s="38">
        <v>2.0</v>
      </c>
      <c r="D3756" s="38" t="s">
        <v>2927</v>
      </c>
      <c r="E3756" s="132" t="s">
        <v>12676</v>
      </c>
      <c r="F3756" s="38" t="s">
        <v>12677</v>
      </c>
      <c r="G3756" s="38" t="s">
        <v>12678</v>
      </c>
    </row>
    <row r="3757">
      <c r="B3757" s="38" t="s">
        <v>1454</v>
      </c>
      <c r="C3757" s="38">
        <v>2.0</v>
      </c>
      <c r="D3757" s="38" t="s">
        <v>2927</v>
      </c>
      <c r="E3757" s="132" t="s">
        <v>12676</v>
      </c>
      <c r="F3757" s="38"/>
      <c r="G3757" s="38" t="s">
        <v>12678</v>
      </c>
    </row>
    <row r="3758">
      <c r="B3758" s="38" t="s">
        <v>25</v>
      </c>
      <c r="C3758" s="38">
        <v>4.0</v>
      </c>
      <c r="D3758" s="38" t="s">
        <v>2021</v>
      </c>
      <c r="E3758" s="132" t="s">
        <v>1017</v>
      </c>
      <c r="F3758" s="38" t="s">
        <v>12679</v>
      </c>
      <c r="G3758" s="44"/>
    </row>
    <row r="3759">
      <c r="B3759" s="38" t="s">
        <v>22</v>
      </c>
      <c r="C3759" s="38">
        <v>2.0</v>
      </c>
      <c r="D3759" s="38" t="s">
        <v>11901</v>
      </c>
      <c r="E3759" s="132" t="s">
        <v>1017</v>
      </c>
      <c r="F3759" s="38" t="s">
        <v>1808</v>
      </c>
      <c r="G3759" s="38" t="s">
        <v>12564</v>
      </c>
    </row>
    <row r="3760">
      <c r="B3760" s="38" t="s">
        <v>47</v>
      </c>
      <c r="C3760" s="38">
        <v>1.0</v>
      </c>
      <c r="D3760" s="38" t="s">
        <v>12680</v>
      </c>
      <c r="E3760" s="132" t="s">
        <v>1758</v>
      </c>
      <c r="F3760" s="38" t="s">
        <v>12681</v>
      </c>
    </row>
    <row r="3761">
      <c r="B3761" s="38" t="s">
        <v>43</v>
      </c>
      <c r="C3761" s="38">
        <v>1.0</v>
      </c>
      <c r="D3761" s="38" t="s">
        <v>12680</v>
      </c>
      <c r="E3761" s="132" t="s">
        <v>1758</v>
      </c>
      <c r="F3761" s="38" t="s">
        <v>12681</v>
      </c>
    </row>
    <row r="3762">
      <c r="B3762" s="38" t="s">
        <v>147</v>
      </c>
      <c r="C3762" s="38">
        <v>4.0</v>
      </c>
      <c r="D3762" s="38" t="s">
        <v>433</v>
      </c>
      <c r="E3762" s="132" t="s">
        <v>5629</v>
      </c>
      <c r="F3762" s="38" t="s">
        <v>12682</v>
      </c>
    </row>
    <row r="3763">
      <c r="B3763" s="38" t="s">
        <v>205</v>
      </c>
      <c r="C3763" s="38">
        <v>4.0</v>
      </c>
      <c r="D3763" s="38" t="s">
        <v>2021</v>
      </c>
      <c r="E3763" s="39" t="s">
        <v>12683</v>
      </c>
      <c r="F3763" s="38" t="s">
        <v>6740</v>
      </c>
    </row>
    <row r="3764">
      <c r="B3764" s="38" t="s">
        <v>394</v>
      </c>
      <c r="C3764" s="38">
        <v>4.0</v>
      </c>
      <c r="D3764" s="38" t="s">
        <v>684</v>
      </c>
      <c r="E3764" s="39" t="s">
        <v>12684</v>
      </c>
      <c r="F3764" s="38" t="s">
        <v>12685</v>
      </c>
    </row>
    <row r="3765">
      <c r="A3765" s="5"/>
      <c r="B3765" s="38" t="s">
        <v>25</v>
      </c>
      <c r="C3765" s="38">
        <v>4.0</v>
      </c>
      <c r="D3765" s="38" t="s">
        <v>545</v>
      </c>
      <c r="E3765" s="38" t="s">
        <v>12686</v>
      </c>
      <c r="F3765" s="38" t="s">
        <v>12687</v>
      </c>
      <c r="G3765" s="488" t="s">
        <v>12688</v>
      </c>
    </row>
    <row r="3766">
      <c r="B3766" s="5" t="s">
        <v>25</v>
      </c>
      <c r="C3766" s="5">
        <v>4.0</v>
      </c>
      <c r="D3766" s="5" t="s">
        <v>433</v>
      </c>
      <c r="E3766" s="488" t="s">
        <v>12689</v>
      </c>
      <c r="F3766" s="5" t="s">
        <v>12690</v>
      </c>
      <c r="G3766" s="1" t="s">
        <v>12691</v>
      </c>
    </row>
    <row r="3767">
      <c r="B3767" s="38" t="s">
        <v>357</v>
      </c>
      <c r="C3767" s="38">
        <v>4.0</v>
      </c>
      <c r="D3767" s="38" t="s">
        <v>6192</v>
      </c>
      <c r="E3767" s="38" t="s">
        <v>12692</v>
      </c>
      <c r="F3767" s="38" t="s">
        <v>12693</v>
      </c>
    </row>
    <row r="3768">
      <c r="B3768" s="38" t="s">
        <v>58</v>
      </c>
      <c r="C3768" s="38">
        <v>4.0</v>
      </c>
      <c r="D3768" s="38" t="s">
        <v>408</v>
      </c>
      <c r="E3768" s="132" t="s">
        <v>2699</v>
      </c>
      <c r="F3768" s="38" t="s">
        <v>12549</v>
      </c>
    </row>
    <row r="3769">
      <c r="B3769" s="38" t="s">
        <v>4405</v>
      </c>
      <c r="C3769" s="38">
        <v>4.0</v>
      </c>
      <c r="D3769" s="38" t="s">
        <v>408</v>
      </c>
      <c r="E3769" s="132" t="s">
        <v>2699</v>
      </c>
      <c r="F3769" s="38" t="s">
        <v>12694</v>
      </c>
    </row>
    <row r="3770">
      <c r="B3770" s="38" t="s">
        <v>7865</v>
      </c>
      <c r="C3770" s="38">
        <v>2.0</v>
      </c>
      <c r="D3770" s="38" t="s">
        <v>12695</v>
      </c>
      <c r="E3770" s="132" t="s">
        <v>4811</v>
      </c>
      <c r="F3770" s="38" t="s">
        <v>1408</v>
      </c>
    </row>
    <row r="3771">
      <c r="B3771" s="38" t="s">
        <v>460</v>
      </c>
      <c r="C3771" s="38">
        <v>1.0</v>
      </c>
      <c r="D3771" s="38" t="s">
        <v>12696</v>
      </c>
      <c r="E3771" s="132" t="s">
        <v>1098</v>
      </c>
      <c r="F3771" s="38" t="s">
        <v>12697</v>
      </c>
      <c r="G3771" s="38" t="s">
        <v>12698</v>
      </c>
    </row>
    <row r="3772">
      <c r="A3772" s="5"/>
      <c r="B3772" s="38" t="s">
        <v>183</v>
      </c>
      <c r="C3772" s="38">
        <v>4.0</v>
      </c>
      <c r="D3772" s="38" t="s">
        <v>1084</v>
      </c>
      <c r="E3772" s="132" t="s">
        <v>12699</v>
      </c>
      <c r="F3772" s="38" t="s">
        <v>12700</v>
      </c>
      <c r="G3772" s="1" t="s">
        <v>12701</v>
      </c>
    </row>
    <row r="3773">
      <c r="B3773" s="47"/>
      <c r="C3773" s="47"/>
      <c r="D3773" s="47" t="s">
        <v>12702</v>
      </c>
      <c r="E3773" s="47" t="s">
        <v>6587</v>
      </c>
      <c r="F3773" s="47"/>
    </row>
    <row r="3774">
      <c r="B3774" s="38" t="s">
        <v>1409</v>
      </c>
      <c r="C3774" s="38">
        <v>2.0</v>
      </c>
      <c r="D3774" s="38" t="s">
        <v>6878</v>
      </c>
      <c r="E3774" s="132" t="s">
        <v>1098</v>
      </c>
      <c r="F3774" s="38" t="s">
        <v>12703</v>
      </c>
    </row>
    <row r="3775">
      <c r="B3775" s="38" t="s">
        <v>1454</v>
      </c>
      <c r="C3775" s="38">
        <v>2.0</v>
      </c>
      <c r="D3775" s="38" t="s">
        <v>6878</v>
      </c>
      <c r="E3775" s="132" t="s">
        <v>1098</v>
      </c>
      <c r="F3775" s="38" t="s">
        <v>12704</v>
      </c>
    </row>
    <row r="3776">
      <c r="B3776" s="38" t="s">
        <v>28</v>
      </c>
      <c r="C3776" s="38">
        <v>4.0</v>
      </c>
      <c r="D3776" s="38" t="s">
        <v>10446</v>
      </c>
      <c r="E3776" s="132" t="s">
        <v>1731</v>
      </c>
      <c r="F3776" s="38" t="s">
        <v>1808</v>
      </c>
      <c r="G3776" s="1" t="s">
        <v>4421</v>
      </c>
    </row>
    <row r="3777">
      <c r="B3777" s="38" t="s">
        <v>1407</v>
      </c>
      <c r="C3777" s="38">
        <v>2.0</v>
      </c>
      <c r="D3777" s="38" t="s">
        <v>12705</v>
      </c>
      <c r="E3777" s="132" t="s">
        <v>396</v>
      </c>
      <c r="F3777" s="38" t="s">
        <v>353</v>
      </c>
      <c r="G3777" s="38" t="s">
        <v>12706</v>
      </c>
    </row>
    <row r="3778">
      <c r="B3778" s="38" t="s">
        <v>2035</v>
      </c>
      <c r="C3778" s="38">
        <v>4.0</v>
      </c>
      <c r="D3778" s="38" t="s">
        <v>2423</v>
      </c>
      <c r="E3778" s="47" t="s">
        <v>12707</v>
      </c>
      <c r="F3778" s="38" t="s">
        <v>12708</v>
      </c>
    </row>
    <row r="3779">
      <c r="B3779" s="38" t="s">
        <v>22</v>
      </c>
      <c r="C3779" s="38">
        <v>4.0</v>
      </c>
      <c r="D3779" s="38" t="s">
        <v>11901</v>
      </c>
      <c r="E3779" s="132" t="s">
        <v>12709</v>
      </c>
      <c r="F3779" s="38" t="s">
        <v>12710</v>
      </c>
    </row>
    <row r="3780">
      <c r="B3780" s="38"/>
      <c r="C3780" s="38">
        <v>4.0</v>
      </c>
      <c r="D3780" s="38" t="s">
        <v>12711</v>
      </c>
      <c r="E3780" s="132" t="s">
        <v>12712</v>
      </c>
      <c r="F3780" s="38" t="s">
        <v>12713</v>
      </c>
    </row>
    <row r="3781">
      <c r="B3781" s="38" t="s">
        <v>2159</v>
      </c>
      <c r="C3781" s="38">
        <v>4.0</v>
      </c>
      <c r="D3781" s="38" t="s">
        <v>42</v>
      </c>
      <c r="E3781" s="132" t="s">
        <v>12712</v>
      </c>
      <c r="F3781" s="38" t="s">
        <v>12713</v>
      </c>
    </row>
    <row r="3782">
      <c r="B3782" s="38" t="s">
        <v>439</v>
      </c>
      <c r="C3782" s="38">
        <v>4.0</v>
      </c>
      <c r="D3782" s="38" t="s">
        <v>408</v>
      </c>
      <c r="E3782" s="132" t="s">
        <v>7641</v>
      </c>
      <c r="F3782" s="38" t="s">
        <v>12714</v>
      </c>
    </row>
    <row r="3783">
      <c r="B3783" s="38" t="s">
        <v>170</v>
      </c>
      <c r="C3783" s="38">
        <v>1.0</v>
      </c>
      <c r="D3783" s="38" t="s">
        <v>408</v>
      </c>
      <c r="E3783" s="498" t="s">
        <v>12225</v>
      </c>
      <c r="F3783" s="38" t="s">
        <v>12715</v>
      </c>
      <c r="G3783" s="38" t="s">
        <v>12716</v>
      </c>
    </row>
    <row r="3784">
      <c r="B3784" s="38" t="s">
        <v>394</v>
      </c>
      <c r="C3784" s="38">
        <v>4.0</v>
      </c>
      <c r="D3784" s="38" t="s">
        <v>9735</v>
      </c>
      <c r="E3784" s="132" t="s">
        <v>9977</v>
      </c>
      <c r="F3784" s="38" t="s">
        <v>12717</v>
      </c>
    </row>
    <row r="3785">
      <c r="A3785" s="4"/>
      <c r="B3785" s="38" t="s">
        <v>25</v>
      </c>
      <c r="C3785" s="38" t="s">
        <v>10541</v>
      </c>
      <c r="D3785" s="38" t="s">
        <v>1084</v>
      </c>
      <c r="E3785" s="132" t="s">
        <v>12718</v>
      </c>
      <c r="F3785" s="38" t="s">
        <v>12719</v>
      </c>
      <c r="G3785" s="38" t="s">
        <v>12720</v>
      </c>
      <c r="H3785" s="109" t="s">
        <v>12721</v>
      </c>
      <c r="I3785" s="109" t="s">
        <v>12722</v>
      </c>
    </row>
    <row r="3786">
      <c r="B3786" s="38" t="s">
        <v>31</v>
      </c>
      <c r="C3786" s="38">
        <v>2.0</v>
      </c>
      <c r="D3786" s="38" t="s">
        <v>123</v>
      </c>
      <c r="E3786" s="132" t="s">
        <v>12699</v>
      </c>
      <c r="F3786" s="38" t="s">
        <v>12723</v>
      </c>
    </row>
    <row r="3787">
      <c r="B3787" s="38" t="s">
        <v>949</v>
      </c>
      <c r="C3787" s="38">
        <v>4.0</v>
      </c>
      <c r="D3787" s="392" t="s">
        <v>12724</v>
      </c>
      <c r="E3787" s="132" t="s">
        <v>10586</v>
      </c>
      <c r="F3787" s="38" t="s">
        <v>12725</v>
      </c>
      <c r="G3787" s="38" t="s">
        <v>12726</v>
      </c>
    </row>
    <row r="3788">
      <c r="A3788" s="4" t="s">
        <v>12727</v>
      </c>
      <c r="B3788" s="38" t="s">
        <v>210</v>
      </c>
      <c r="C3788" s="38">
        <v>2.0</v>
      </c>
      <c r="D3788" s="38" t="s">
        <v>545</v>
      </c>
      <c r="E3788" s="132" t="s">
        <v>1098</v>
      </c>
      <c r="F3788" s="38" t="s">
        <v>1405</v>
      </c>
      <c r="G3788" s="38" t="s">
        <v>12728</v>
      </c>
    </row>
    <row r="3789">
      <c r="A3789" s="4" t="s">
        <v>12727</v>
      </c>
      <c r="B3789" s="38" t="s">
        <v>214</v>
      </c>
      <c r="C3789" s="38">
        <v>2.0</v>
      </c>
      <c r="D3789" s="38" t="s">
        <v>545</v>
      </c>
      <c r="E3789" s="132" t="s">
        <v>1098</v>
      </c>
      <c r="F3789" s="38" t="s">
        <v>7146</v>
      </c>
      <c r="G3789" s="38" t="s">
        <v>12728</v>
      </c>
    </row>
    <row r="3790">
      <c r="B3790" s="38" t="s">
        <v>43</v>
      </c>
      <c r="C3790" s="38">
        <v>2.0</v>
      </c>
      <c r="D3790" s="38" t="s">
        <v>12729</v>
      </c>
      <c r="E3790" s="39" t="s">
        <v>5294</v>
      </c>
      <c r="F3790" s="38" t="s">
        <v>12730</v>
      </c>
    </row>
    <row r="3791">
      <c r="B3791" s="38" t="s">
        <v>47</v>
      </c>
      <c r="C3791" s="38">
        <v>2.0</v>
      </c>
      <c r="D3791" s="38" t="s">
        <v>753</v>
      </c>
      <c r="E3791" s="39" t="s">
        <v>5294</v>
      </c>
      <c r="F3791" s="38" t="s">
        <v>12730</v>
      </c>
    </row>
    <row r="3792">
      <c r="B3792" s="38"/>
      <c r="C3792" s="38"/>
      <c r="D3792" s="38" t="s">
        <v>12731</v>
      </c>
      <c r="E3792" s="91" t="s">
        <v>12732</v>
      </c>
      <c r="F3792" s="38" t="s">
        <v>12733</v>
      </c>
    </row>
    <row r="3793">
      <c r="B3793" s="38" t="s">
        <v>12734</v>
      </c>
      <c r="C3793" s="38" t="s">
        <v>10436</v>
      </c>
      <c r="D3793" s="38" t="s">
        <v>12735</v>
      </c>
      <c r="E3793" s="38" t="s">
        <v>10434</v>
      </c>
      <c r="F3793" s="38" t="s">
        <v>12736</v>
      </c>
    </row>
    <row r="3794">
      <c r="B3794" s="38"/>
      <c r="C3794" s="38"/>
      <c r="D3794" s="38" t="s">
        <v>12737</v>
      </c>
      <c r="E3794" s="38" t="s">
        <v>10434</v>
      </c>
      <c r="F3794" s="38" t="s">
        <v>1775</v>
      </c>
    </row>
    <row r="3795">
      <c r="B3795" s="38" t="s">
        <v>271</v>
      </c>
      <c r="C3795" s="38">
        <v>4.0</v>
      </c>
      <c r="D3795" s="38" t="s">
        <v>433</v>
      </c>
      <c r="E3795" s="132" t="s">
        <v>12738</v>
      </c>
      <c r="F3795" s="38" t="s">
        <v>12739</v>
      </c>
    </row>
    <row r="3796">
      <c r="B3796" s="38" t="s">
        <v>283</v>
      </c>
      <c r="C3796" s="38">
        <v>2.0</v>
      </c>
      <c r="D3796" s="38" t="s">
        <v>684</v>
      </c>
      <c r="E3796" s="132" t="s">
        <v>2971</v>
      </c>
      <c r="F3796" s="38" t="s">
        <v>12740</v>
      </c>
    </row>
    <row r="3797">
      <c r="B3797" s="38" t="s">
        <v>1714</v>
      </c>
      <c r="C3797" s="38">
        <v>2.0</v>
      </c>
      <c r="D3797" s="38" t="s">
        <v>684</v>
      </c>
      <c r="E3797" s="132" t="s">
        <v>2971</v>
      </c>
      <c r="F3797" s="38" t="s">
        <v>12740</v>
      </c>
    </row>
    <row r="3798">
      <c r="B3798" s="38" t="s">
        <v>479</v>
      </c>
      <c r="C3798" s="38">
        <v>4.0</v>
      </c>
      <c r="D3798" s="38" t="s">
        <v>12741</v>
      </c>
      <c r="E3798" s="91" t="s">
        <v>12742</v>
      </c>
      <c r="F3798" s="38" t="s">
        <v>12743</v>
      </c>
      <c r="G3798" s="149"/>
    </row>
    <row r="3799">
      <c r="B3799" s="38" t="s">
        <v>271</v>
      </c>
      <c r="C3799" s="38">
        <v>4.0</v>
      </c>
      <c r="D3799" s="38" t="s">
        <v>553</v>
      </c>
      <c r="E3799" s="132" t="s">
        <v>12744</v>
      </c>
      <c r="F3799" s="38" t="s">
        <v>12745</v>
      </c>
    </row>
    <row r="3800">
      <c r="B3800" s="38" t="s">
        <v>195</v>
      </c>
      <c r="C3800" s="38">
        <v>1.0</v>
      </c>
      <c r="D3800" s="38" t="s">
        <v>408</v>
      </c>
      <c r="E3800" s="59" t="s">
        <v>12746</v>
      </c>
      <c r="F3800" s="38" t="s">
        <v>12747</v>
      </c>
    </row>
    <row r="3801">
      <c r="B3801" s="38"/>
      <c r="C3801" s="38"/>
      <c r="D3801" s="38"/>
      <c r="E3801" s="59" t="s">
        <v>12746</v>
      </c>
      <c r="F3801" s="38" t="s">
        <v>12748</v>
      </c>
      <c r="G3801" s="38" t="s">
        <v>12749</v>
      </c>
    </row>
    <row r="3802">
      <c r="B3802" s="38" t="s">
        <v>2573</v>
      </c>
      <c r="C3802" s="38">
        <v>2.0</v>
      </c>
      <c r="D3802" s="38" t="s">
        <v>9901</v>
      </c>
      <c r="E3802" s="59" t="s">
        <v>4984</v>
      </c>
      <c r="F3802" s="59" t="s">
        <v>12750</v>
      </c>
      <c r="G3802" s="38" t="s">
        <v>12751</v>
      </c>
    </row>
    <row r="3803">
      <c r="B3803" s="38" t="s">
        <v>1322</v>
      </c>
      <c r="C3803" s="38">
        <v>2.0</v>
      </c>
      <c r="D3803" s="38" t="s">
        <v>9901</v>
      </c>
      <c r="E3803" s="59" t="s">
        <v>4984</v>
      </c>
      <c r="F3803" s="38" t="s">
        <v>12750</v>
      </c>
      <c r="G3803" s="44"/>
    </row>
    <row r="3804">
      <c r="B3804" s="38"/>
      <c r="C3804" s="38"/>
      <c r="D3804" s="38"/>
      <c r="E3804" s="59" t="s">
        <v>4984</v>
      </c>
      <c r="F3804" s="38" t="s">
        <v>12752</v>
      </c>
      <c r="G3804" s="38" t="s">
        <v>10488</v>
      </c>
    </row>
    <row r="3805">
      <c r="B3805" s="38" t="s">
        <v>103</v>
      </c>
      <c r="C3805" s="38">
        <v>1.0</v>
      </c>
      <c r="D3805" s="38" t="s">
        <v>408</v>
      </c>
      <c r="E3805" s="132" t="s">
        <v>413</v>
      </c>
      <c r="F3805" s="38" t="s">
        <v>12753</v>
      </c>
    </row>
    <row r="3806">
      <c r="A3806" s="4" t="s">
        <v>12427</v>
      </c>
      <c r="B3806" s="38" t="s">
        <v>789</v>
      </c>
      <c r="C3806" s="38">
        <v>4.0</v>
      </c>
      <c r="D3806" s="38" t="s">
        <v>684</v>
      </c>
      <c r="E3806" s="132" t="s">
        <v>1017</v>
      </c>
      <c r="F3806" s="38" t="s">
        <v>12754</v>
      </c>
      <c r="G3806" s="489" t="s">
        <v>12755</v>
      </c>
    </row>
    <row r="3807">
      <c r="B3807" s="38" t="s">
        <v>416</v>
      </c>
      <c r="C3807" s="38">
        <v>2.0</v>
      </c>
      <c r="D3807" s="38" t="s">
        <v>12756</v>
      </c>
      <c r="E3807" s="132" t="s">
        <v>4865</v>
      </c>
      <c r="F3807" s="38" t="s">
        <v>12757</v>
      </c>
    </row>
    <row r="3808">
      <c r="B3808" s="38"/>
      <c r="C3808" s="38"/>
      <c r="D3808" s="38" t="s">
        <v>12758</v>
      </c>
      <c r="E3808" s="132" t="s">
        <v>7128</v>
      </c>
      <c r="F3808" s="38" t="s">
        <v>12759</v>
      </c>
    </row>
    <row r="3809">
      <c r="A3809" s="4"/>
      <c r="B3809" s="38" t="s">
        <v>77</v>
      </c>
      <c r="C3809" s="38">
        <v>4.0</v>
      </c>
      <c r="D3809" s="38" t="s">
        <v>1084</v>
      </c>
      <c r="E3809" s="515" t="s">
        <v>12760</v>
      </c>
      <c r="F3809" s="38" t="s">
        <v>12761</v>
      </c>
      <c r="G3809" s="489" t="s">
        <v>12762</v>
      </c>
    </row>
    <row r="3810">
      <c r="B3810" s="38"/>
      <c r="C3810" s="38"/>
      <c r="D3810" s="38"/>
      <c r="E3810" s="132" t="s">
        <v>10434</v>
      </c>
      <c r="F3810" s="38" t="s">
        <v>12763</v>
      </c>
      <c r="G3810" s="38" t="s">
        <v>12764</v>
      </c>
    </row>
    <row r="3811">
      <c r="B3811" s="38" t="s">
        <v>81</v>
      </c>
      <c r="C3811" s="38">
        <v>4.0</v>
      </c>
      <c r="D3811" s="38" t="s">
        <v>6773</v>
      </c>
      <c r="E3811" s="132" t="s">
        <v>10434</v>
      </c>
      <c r="F3811" s="38" t="s">
        <v>12765</v>
      </c>
      <c r="G3811" s="38" t="s">
        <v>12764</v>
      </c>
    </row>
    <row r="3812">
      <c r="B3812" s="38" t="s">
        <v>22</v>
      </c>
      <c r="C3812" s="38">
        <v>2.0</v>
      </c>
      <c r="D3812" s="38" t="s">
        <v>433</v>
      </c>
      <c r="E3812" s="508" t="s">
        <v>12766</v>
      </c>
      <c r="F3812" s="38"/>
    </row>
    <row r="3813">
      <c r="B3813" s="38" t="s">
        <v>357</v>
      </c>
      <c r="C3813" s="38">
        <v>4.0</v>
      </c>
      <c r="D3813" s="132" t="s">
        <v>6192</v>
      </c>
      <c r="E3813" s="39" t="s">
        <v>12767</v>
      </c>
      <c r="F3813" s="38" t="s">
        <v>12768</v>
      </c>
    </row>
    <row r="3814">
      <c r="B3814" s="38" t="s">
        <v>7865</v>
      </c>
      <c r="C3814" s="38">
        <v>4.0</v>
      </c>
      <c r="D3814" s="38" t="s">
        <v>2538</v>
      </c>
      <c r="E3814" s="132" t="s">
        <v>2867</v>
      </c>
      <c r="F3814" s="38" t="s">
        <v>175</v>
      </c>
    </row>
    <row r="3815">
      <c r="B3815" s="38" t="s">
        <v>3682</v>
      </c>
      <c r="C3815" s="38">
        <v>4.0</v>
      </c>
      <c r="D3815" s="38" t="s">
        <v>433</v>
      </c>
      <c r="E3815" s="39" t="s">
        <v>12769</v>
      </c>
      <c r="F3815" s="38" t="s">
        <v>12396</v>
      </c>
    </row>
    <row r="3816">
      <c r="B3816" s="38" t="s">
        <v>271</v>
      </c>
      <c r="C3816" s="38">
        <v>4.0</v>
      </c>
      <c r="D3816" s="38" t="s">
        <v>433</v>
      </c>
      <c r="E3816" s="61" t="s">
        <v>12770</v>
      </c>
      <c r="F3816" s="38" t="s">
        <v>175</v>
      </c>
    </row>
    <row r="3817">
      <c r="A3817" s="4" t="s">
        <v>12427</v>
      </c>
      <c r="B3817" s="38" t="s">
        <v>219</v>
      </c>
      <c r="C3817" s="38">
        <v>4.0</v>
      </c>
      <c r="D3817" s="38" t="s">
        <v>12771</v>
      </c>
      <c r="E3817" s="91" t="s">
        <v>12772</v>
      </c>
      <c r="F3817" s="38" t="s">
        <v>12773</v>
      </c>
      <c r="G3817" s="1" t="s">
        <v>12774</v>
      </c>
    </row>
    <row r="3818">
      <c r="B3818" s="38" t="s">
        <v>28</v>
      </c>
      <c r="C3818" s="38">
        <v>4.0</v>
      </c>
      <c r="D3818" s="38" t="s">
        <v>433</v>
      </c>
      <c r="E3818" s="91" t="s">
        <v>12775</v>
      </c>
      <c r="F3818" s="38" t="s">
        <v>12776</v>
      </c>
    </row>
    <row r="3819">
      <c r="A3819" s="4" t="s">
        <v>12777</v>
      </c>
      <c r="B3819" s="516" t="s">
        <v>12778</v>
      </c>
      <c r="C3819" s="5" t="s">
        <v>10495</v>
      </c>
      <c r="D3819" s="5" t="s">
        <v>12779</v>
      </c>
      <c r="E3819" s="150" t="s">
        <v>12780</v>
      </c>
      <c r="F3819" s="5" t="s">
        <v>12781</v>
      </c>
      <c r="G3819" s="1" t="s">
        <v>144</v>
      </c>
    </row>
    <row r="3820">
      <c r="A3820" s="7">
        <v>44888.0</v>
      </c>
      <c r="B3820" s="5"/>
      <c r="C3820" s="5"/>
      <c r="D3820" s="5" t="s">
        <v>12782</v>
      </c>
      <c r="E3820" s="150" t="s">
        <v>12780</v>
      </c>
      <c r="F3820" s="5" t="s">
        <v>12783</v>
      </c>
      <c r="G3820" s="1" t="s">
        <v>144</v>
      </c>
    </row>
    <row r="3821">
      <c r="A3821" s="4" t="s">
        <v>12784</v>
      </c>
      <c r="B3821" s="38" t="s">
        <v>12785</v>
      </c>
      <c r="C3821" s="38" t="s">
        <v>12786</v>
      </c>
      <c r="D3821" s="38" t="s">
        <v>12787</v>
      </c>
      <c r="E3821" s="132" t="s">
        <v>12788</v>
      </c>
      <c r="F3821" s="38" t="s">
        <v>12789</v>
      </c>
    </row>
    <row r="3822">
      <c r="A3822" s="7">
        <v>44886.0</v>
      </c>
      <c r="B3822" s="38"/>
      <c r="C3822" s="38"/>
      <c r="D3822" s="38" t="s">
        <v>12790</v>
      </c>
      <c r="E3822" s="132" t="s">
        <v>12788</v>
      </c>
      <c r="F3822" s="38" t="s">
        <v>12791</v>
      </c>
    </row>
    <row r="3823">
      <c r="B3823" s="38" t="s">
        <v>2159</v>
      </c>
      <c r="C3823" s="38">
        <v>4.0</v>
      </c>
      <c r="D3823" s="38" t="s">
        <v>12792</v>
      </c>
      <c r="E3823" s="132" t="s">
        <v>325</v>
      </c>
      <c r="F3823" s="38" t="s">
        <v>12793</v>
      </c>
    </row>
    <row r="3824">
      <c r="B3824" s="38"/>
      <c r="C3824" s="38"/>
      <c r="D3824" s="38" t="s">
        <v>12794</v>
      </c>
      <c r="E3824" s="132" t="s">
        <v>12795</v>
      </c>
      <c r="F3824" s="38" t="s">
        <v>12796</v>
      </c>
    </row>
    <row r="3825">
      <c r="A3825" s="4" t="s">
        <v>12427</v>
      </c>
      <c r="B3825" s="38" t="s">
        <v>876</v>
      </c>
      <c r="C3825" s="38">
        <v>4.0</v>
      </c>
      <c r="D3825" s="38" t="s">
        <v>1084</v>
      </c>
      <c r="E3825" s="101" t="s">
        <v>2351</v>
      </c>
      <c r="F3825" s="38" t="s">
        <v>175</v>
      </c>
      <c r="G3825" s="517" t="s">
        <v>12797</v>
      </c>
    </row>
    <row r="3826">
      <c r="B3826" s="38" t="s">
        <v>2329</v>
      </c>
      <c r="C3826" s="38">
        <v>4.0</v>
      </c>
      <c r="D3826" s="38" t="s">
        <v>560</v>
      </c>
      <c r="E3826" s="132" t="s">
        <v>12798</v>
      </c>
      <c r="F3826" s="38" t="s">
        <v>12799</v>
      </c>
    </row>
    <row r="3827">
      <c r="B3827" s="38" t="s">
        <v>2329</v>
      </c>
      <c r="C3827" s="38">
        <v>2.0</v>
      </c>
      <c r="D3827" s="38" t="s">
        <v>2097</v>
      </c>
      <c r="E3827" s="132" t="s">
        <v>886</v>
      </c>
      <c r="F3827" s="38" t="s">
        <v>12800</v>
      </c>
      <c r="G3827" s="38" t="s">
        <v>12801</v>
      </c>
    </row>
    <row r="3828">
      <c r="B3828" s="38" t="s">
        <v>25</v>
      </c>
      <c r="C3828" s="38">
        <v>4.0</v>
      </c>
      <c r="D3828" s="38" t="s">
        <v>2021</v>
      </c>
      <c r="E3828" s="132" t="s">
        <v>886</v>
      </c>
      <c r="F3828" s="38" t="s">
        <v>12802</v>
      </c>
      <c r="G3828" s="38" t="s">
        <v>12801</v>
      </c>
    </row>
    <row r="3829">
      <c r="A3829" s="4" t="s">
        <v>12427</v>
      </c>
      <c r="B3829" s="38" t="s">
        <v>25</v>
      </c>
      <c r="C3829" s="38">
        <v>4.0</v>
      </c>
      <c r="D3829" s="38" t="s">
        <v>545</v>
      </c>
      <c r="E3829" s="132" t="s">
        <v>7641</v>
      </c>
      <c r="F3829" s="38" t="s">
        <v>12803</v>
      </c>
      <c r="G3829" s="489" t="s">
        <v>12804</v>
      </c>
    </row>
    <row r="3830">
      <c r="B3830" s="38" t="s">
        <v>58</v>
      </c>
      <c r="C3830" s="38">
        <v>4.0</v>
      </c>
      <c r="D3830" s="38" t="s">
        <v>395</v>
      </c>
      <c r="E3830" s="101" t="s">
        <v>12805</v>
      </c>
      <c r="F3830" s="38" t="s">
        <v>12806</v>
      </c>
    </row>
    <row r="3831">
      <c r="B3831" s="38"/>
      <c r="C3831" s="38"/>
      <c r="D3831" s="38"/>
      <c r="E3831" s="132" t="s">
        <v>12807</v>
      </c>
      <c r="F3831" s="38" t="s">
        <v>12808</v>
      </c>
      <c r="G3831" s="38" t="s">
        <v>12015</v>
      </c>
    </row>
    <row r="3832">
      <c r="B3832" s="38"/>
      <c r="C3832" s="38"/>
      <c r="D3832" s="38"/>
      <c r="E3832" s="132" t="s">
        <v>12807</v>
      </c>
      <c r="F3832" s="38" t="s">
        <v>12809</v>
      </c>
      <c r="G3832" s="38" t="s">
        <v>12015</v>
      </c>
    </row>
    <row r="3833">
      <c r="B3833" s="38"/>
      <c r="C3833" s="38"/>
      <c r="D3833" s="38"/>
      <c r="E3833" s="132" t="s">
        <v>12807</v>
      </c>
      <c r="F3833" s="38" t="s">
        <v>12810</v>
      </c>
      <c r="G3833" s="38" t="s">
        <v>12015</v>
      </c>
    </row>
    <row r="3834">
      <c r="B3834" s="38"/>
      <c r="C3834" s="38"/>
      <c r="D3834" s="38"/>
      <c r="E3834" s="132" t="s">
        <v>12807</v>
      </c>
      <c r="F3834" s="38" t="s">
        <v>12811</v>
      </c>
      <c r="G3834" s="38" t="s">
        <v>12015</v>
      </c>
    </row>
    <row r="3835">
      <c r="B3835" s="38" t="s">
        <v>128</v>
      </c>
      <c r="C3835" s="38">
        <v>1.0</v>
      </c>
      <c r="D3835" s="38" t="s">
        <v>545</v>
      </c>
      <c r="E3835" s="132" t="s">
        <v>1098</v>
      </c>
      <c r="F3835" s="38" t="s">
        <v>12812</v>
      </c>
    </row>
    <row r="3836">
      <c r="A3836" s="8"/>
      <c r="B3836" s="38" t="s">
        <v>85</v>
      </c>
      <c r="C3836" s="38">
        <v>4.0</v>
      </c>
      <c r="D3836" s="38" t="s">
        <v>684</v>
      </c>
      <c r="E3836" s="132" t="s">
        <v>325</v>
      </c>
      <c r="F3836" s="38" t="s">
        <v>12813</v>
      </c>
    </row>
    <row r="3837">
      <c r="B3837" s="38" t="s">
        <v>2159</v>
      </c>
      <c r="C3837" s="38">
        <v>4.0</v>
      </c>
      <c r="D3837" s="59" t="s">
        <v>12814</v>
      </c>
      <c r="E3837" s="132" t="s">
        <v>325</v>
      </c>
      <c r="F3837" s="38" t="s">
        <v>12815</v>
      </c>
    </row>
    <row r="3838">
      <c r="A3838" s="5"/>
      <c r="B3838" s="38" t="s">
        <v>91</v>
      </c>
      <c r="C3838" s="38">
        <v>4.0</v>
      </c>
      <c r="D3838" s="38" t="s">
        <v>684</v>
      </c>
      <c r="E3838" s="132" t="s">
        <v>12816</v>
      </c>
      <c r="F3838" s="38" t="s">
        <v>12817</v>
      </c>
      <c r="G3838" s="489" t="s">
        <v>12818</v>
      </c>
    </row>
    <row r="3839">
      <c r="B3839" s="38" t="s">
        <v>85</v>
      </c>
      <c r="C3839" s="38">
        <v>2.0</v>
      </c>
      <c r="D3839" s="38" t="s">
        <v>12819</v>
      </c>
      <c r="E3839" s="132" t="s">
        <v>3977</v>
      </c>
      <c r="F3839" s="38" t="s">
        <v>12820</v>
      </c>
    </row>
    <row r="3840">
      <c r="B3840" s="38" t="s">
        <v>1575</v>
      </c>
      <c r="C3840" s="38">
        <v>2.0</v>
      </c>
      <c r="D3840" s="38" t="s">
        <v>12819</v>
      </c>
      <c r="E3840" s="132" t="s">
        <v>3977</v>
      </c>
      <c r="F3840" s="38" t="s">
        <v>12820</v>
      </c>
    </row>
    <row r="3841">
      <c r="B3841" s="38" t="s">
        <v>219</v>
      </c>
      <c r="C3841" s="38">
        <v>4.0</v>
      </c>
      <c r="D3841" s="38" t="s">
        <v>6936</v>
      </c>
      <c r="E3841" s="132" t="s">
        <v>5953</v>
      </c>
      <c r="F3841" s="38" t="s">
        <v>12821</v>
      </c>
    </row>
    <row r="3842">
      <c r="B3842" s="518" t="s">
        <v>12822</v>
      </c>
      <c r="C3842" s="5"/>
      <c r="D3842" s="5"/>
      <c r="E3842" s="150" t="s">
        <v>5158</v>
      </c>
      <c r="F3842" s="5"/>
    </row>
    <row r="3843">
      <c r="B3843" s="519"/>
      <c r="C3843" s="5"/>
      <c r="D3843" s="5" t="s">
        <v>12823</v>
      </c>
      <c r="E3843" s="150" t="s">
        <v>5158</v>
      </c>
      <c r="F3843" s="5" t="s">
        <v>12824</v>
      </c>
    </row>
    <row r="3844">
      <c r="B3844" s="38"/>
      <c r="C3844" s="38"/>
      <c r="D3844" s="38"/>
      <c r="E3844" s="132" t="s">
        <v>4762</v>
      </c>
      <c r="F3844" s="38" t="s">
        <v>12825</v>
      </c>
      <c r="G3844" s="38" t="s">
        <v>12826</v>
      </c>
    </row>
    <row r="3845">
      <c r="B3845" s="59" t="s">
        <v>12827</v>
      </c>
      <c r="C3845" s="59" t="s">
        <v>12828</v>
      </c>
      <c r="D3845" s="38" t="s">
        <v>12829</v>
      </c>
      <c r="E3845" s="132" t="s">
        <v>12830</v>
      </c>
      <c r="F3845" s="38" t="s">
        <v>12831</v>
      </c>
      <c r="G3845" s="44"/>
    </row>
    <row r="3846">
      <c r="B3846" s="59"/>
      <c r="C3846" s="59"/>
      <c r="D3846" s="38" t="s">
        <v>12832</v>
      </c>
      <c r="E3846" s="132" t="s">
        <v>12830</v>
      </c>
      <c r="F3846" s="38" t="s">
        <v>12833</v>
      </c>
      <c r="G3846" s="44"/>
    </row>
    <row r="3847">
      <c r="B3847" s="38" t="s">
        <v>667</v>
      </c>
      <c r="C3847" s="38">
        <v>4.0</v>
      </c>
      <c r="D3847" s="38" t="s">
        <v>2492</v>
      </c>
      <c r="E3847" s="132" t="s">
        <v>12834</v>
      </c>
      <c r="F3847" s="38" t="s">
        <v>2027</v>
      </c>
    </row>
    <row r="3848">
      <c r="B3848" s="38" t="s">
        <v>416</v>
      </c>
      <c r="C3848" s="38">
        <v>2.0</v>
      </c>
      <c r="D3848" s="38" t="s">
        <v>408</v>
      </c>
      <c r="E3848" s="132" t="s">
        <v>12835</v>
      </c>
      <c r="F3848" s="38" t="s">
        <v>12836</v>
      </c>
      <c r="G3848" s="38"/>
    </row>
    <row r="3849">
      <c r="B3849" s="38" t="s">
        <v>35</v>
      </c>
      <c r="C3849" s="38">
        <v>2.0</v>
      </c>
      <c r="D3849" s="38" t="s">
        <v>408</v>
      </c>
      <c r="E3849" s="132" t="s">
        <v>12835</v>
      </c>
      <c r="F3849" s="38" t="s">
        <v>12836</v>
      </c>
      <c r="G3849" s="38"/>
    </row>
    <row r="3850">
      <c r="B3850" s="38" t="s">
        <v>479</v>
      </c>
      <c r="C3850" s="38">
        <v>4.0</v>
      </c>
      <c r="D3850" s="38" t="s">
        <v>684</v>
      </c>
      <c r="E3850" s="132" t="s">
        <v>12837</v>
      </c>
      <c r="F3850" s="38" t="s">
        <v>12838</v>
      </c>
    </row>
    <row r="3851">
      <c r="B3851" s="38" t="s">
        <v>3996</v>
      </c>
      <c r="C3851" s="38">
        <v>2.0</v>
      </c>
      <c r="D3851" s="38" t="s">
        <v>1305</v>
      </c>
      <c r="E3851" s="132" t="s">
        <v>12839</v>
      </c>
      <c r="F3851" s="38" t="s">
        <v>12840</v>
      </c>
    </row>
    <row r="3852">
      <c r="B3852" s="38" t="s">
        <v>28</v>
      </c>
      <c r="C3852" s="38">
        <v>4.0</v>
      </c>
      <c r="D3852" s="38" t="s">
        <v>12841</v>
      </c>
      <c r="E3852" s="39" t="s">
        <v>12842</v>
      </c>
      <c r="F3852" s="38" t="s">
        <v>12843</v>
      </c>
      <c r="G3852" s="38" t="s">
        <v>12844</v>
      </c>
    </row>
    <row r="3853">
      <c r="B3853" s="38" t="s">
        <v>112</v>
      </c>
      <c r="C3853" s="38">
        <v>2.0</v>
      </c>
      <c r="D3853" s="38" t="s">
        <v>12845</v>
      </c>
      <c r="E3853" s="132" t="s">
        <v>1716</v>
      </c>
      <c r="F3853" s="38" t="s">
        <v>12846</v>
      </c>
    </row>
    <row r="3854">
      <c r="B3854" s="38" t="s">
        <v>43</v>
      </c>
      <c r="C3854" s="38">
        <v>2.0</v>
      </c>
      <c r="D3854" s="38" t="s">
        <v>12845</v>
      </c>
      <c r="E3854" s="132" t="s">
        <v>1716</v>
      </c>
      <c r="F3854" s="38" t="s">
        <v>12846</v>
      </c>
    </row>
    <row r="3855">
      <c r="B3855" s="38" t="s">
        <v>495</v>
      </c>
      <c r="C3855" s="38">
        <v>2.0</v>
      </c>
      <c r="D3855" s="38" t="s">
        <v>3135</v>
      </c>
      <c r="E3855" s="132" t="s">
        <v>1098</v>
      </c>
      <c r="F3855" s="520" t="s">
        <v>12847</v>
      </c>
      <c r="G3855" s="38" t="s">
        <v>12848</v>
      </c>
    </row>
    <row r="3856">
      <c r="B3856" s="38" t="s">
        <v>439</v>
      </c>
      <c r="C3856" s="38">
        <v>2.0</v>
      </c>
      <c r="D3856" s="38" t="s">
        <v>3135</v>
      </c>
      <c r="E3856" s="132" t="s">
        <v>1098</v>
      </c>
      <c r="F3856" s="38" t="s">
        <v>12849</v>
      </c>
      <c r="G3856" s="38" t="s">
        <v>12848</v>
      </c>
    </row>
    <row r="3857">
      <c r="B3857" s="38" t="s">
        <v>876</v>
      </c>
      <c r="C3857" s="38">
        <v>4.0</v>
      </c>
      <c r="D3857" s="38" t="s">
        <v>6871</v>
      </c>
      <c r="E3857" s="132" t="s">
        <v>1098</v>
      </c>
      <c r="F3857" s="38" t="s">
        <v>12850</v>
      </c>
    </row>
    <row r="3858">
      <c r="B3858" s="38" t="s">
        <v>22</v>
      </c>
      <c r="C3858" s="38">
        <v>4.0</v>
      </c>
      <c r="D3858" s="38" t="s">
        <v>10064</v>
      </c>
      <c r="E3858" s="132" t="s">
        <v>7371</v>
      </c>
      <c r="F3858" s="38" t="s">
        <v>12851</v>
      </c>
    </row>
    <row r="3859">
      <c r="B3859" s="38" t="s">
        <v>22</v>
      </c>
      <c r="C3859" s="38">
        <v>4.0</v>
      </c>
      <c r="D3859" s="38" t="s">
        <v>560</v>
      </c>
      <c r="E3859" s="132" t="s">
        <v>12852</v>
      </c>
      <c r="F3859" s="38" t="s">
        <v>12853</v>
      </c>
    </row>
    <row r="3860">
      <c r="B3860" s="38" t="s">
        <v>199</v>
      </c>
      <c r="C3860" s="38">
        <v>1.0</v>
      </c>
      <c r="D3860" s="38" t="s">
        <v>408</v>
      </c>
      <c r="E3860" s="132" t="s">
        <v>12854</v>
      </c>
      <c r="F3860" s="38" t="s">
        <v>12855</v>
      </c>
    </row>
    <row r="3861">
      <c r="B3861" s="38" t="s">
        <v>2774</v>
      </c>
      <c r="C3861" s="38">
        <v>4.0</v>
      </c>
      <c r="D3861" s="38" t="s">
        <v>12856</v>
      </c>
      <c r="E3861" s="101" t="s">
        <v>12857</v>
      </c>
      <c r="F3861" s="38" t="s">
        <v>12858</v>
      </c>
    </row>
    <row r="3862">
      <c r="B3862" s="38" t="s">
        <v>128</v>
      </c>
      <c r="C3862" s="38">
        <v>4.0</v>
      </c>
      <c r="D3862" s="38" t="s">
        <v>9735</v>
      </c>
      <c r="E3862" s="132" t="s">
        <v>1098</v>
      </c>
      <c r="F3862" s="38" t="s">
        <v>12859</v>
      </c>
    </row>
    <row r="3863">
      <c r="A3863" s="4" t="s">
        <v>12860</v>
      </c>
      <c r="B3863" s="38" t="s">
        <v>261</v>
      </c>
      <c r="C3863" s="38">
        <v>4.0</v>
      </c>
      <c r="D3863" s="38" t="s">
        <v>684</v>
      </c>
      <c r="E3863" s="132" t="s">
        <v>1758</v>
      </c>
      <c r="F3863" s="38" t="s">
        <v>12861</v>
      </c>
    </row>
    <row r="3864">
      <c r="A3864" s="4"/>
      <c r="B3864" s="38" t="s">
        <v>246</v>
      </c>
      <c r="C3864" s="38">
        <v>4.0</v>
      </c>
      <c r="D3864" s="38" t="s">
        <v>6571</v>
      </c>
      <c r="E3864" s="132" t="s">
        <v>6587</v>
      </c>
      <c r="F3864" s="38" t="s">
        <v>12862</v>
      </c>
    </row>
    <row r="3865">
      <c r="B3865" s="38" t="s">
        <v>205</v>
      </c>
      <c r="C3865" s="38">
        <v>2.0</v>
      </c>
      <c r="D3865" s="38" t="s">
        <v>433</v>
      </c>
      <c r="E3865" s="132" t="s">
        <v>12863</v>
      </c>
      <c r="F3865" s="38"/>
    </row>
    <row r="3866">
      <c r="B3866" s="38" t="s">
        <v>354</v>
      </c>
      <c r="C3866" s="38">
        <v>2.0</v>
      </c>
      <c r="D3866" s="38" t="s">
        <v>6747</v>
      </c>
      <c r="E3866" s="132" t="s">
        <v>12864</v>
      </c>
      <c r="F3866" s="38" t="s">
        <v>12865</v>
      </c>
      <c r="G3866" s="38" t="s">
        <v>12866</v>
      </c>
      <c r="H3866" s="109" t="s">
        <v>12867</v>
      </c>
    </row>
    <row r="3867">
      <c r="B3867" s="38" t="s">
        <v>479</v>
      </c>
      <c r="C3867" s="38">
        <v>2.0</v>
      </c>
      <c r="D3867" s="38" t="s">
        <v>6747</v>
      </c>
      <c r="E3867" s="132" t="s">
        <v>12864</v>
      </c>
      <c r="F3867" s="38" t="s">
        <v>12868</v>
      </c>
      <c r="G3867" s="38" t="s">
        <v>12866</v>
      </c>
      <c r="H3867" s="109" t="s">
        <v>12869</v>
      </c>
    </row>
    <row r="3868">
      <c r="B3868" s="38" t="s">
        <v>2159</v>
      </c>
      <c r="C3868" s="38">
        <v>4.0</v>
      </c>
      <c r="D3868" s="38" t="s">
        <v>630</v>
      </c>
      <c r="E3868" s="132" t="s">
        <v>325</v>
      </c>
      <c r="F3868" s="38" t="s">
        <v>12870</v>
      </c>
    </row>
    <row r="3869">
      <c r="B3869" s="38" t="s">
        <v>52</v>
      </c>
      <c r="C3869" s="38">
        <v>2.0</v>
      </c>
      <c r="D3869" s="38" t="s">
        <v>2927</v>
      </c>
      <c r="E3869" s="132" t="s">
        <v>413</v>
      </c>
      <c r="F3869" s="38" t="s">
        <v>12871</v>
      </c>
    </row>
    <row r="3870">
      <c r="B3870" s="38" t="s">
        <v>405</v>
      </c>
      <c r="C3870" s="38">
        <v>2.0</v>
      </c>
      <c r="D3870" s="38" t="s">
        <v>2927</v>
      </c>
      <c r="E3870" s="132" t="s">
        <v>413</v>
      </c>
      <c r="F3870" s="38" t="s">
        <v>12872</v>
      </c>
    </row>
    <row r="3871">
      <c r="B3871" s="38" t="s">
        <v>140</v>
      </c>
      <c r="C3871" s="38">
        <v>4.0</v>
      </c>
      <c r="D3871" s="38" t="s">
        <v>684</v>
      </c>
      <c r="E3871" s="132" t="s">
        <v>7028</v>
      </c>
      <c r="F3871" s="38" t="s">
        <v>12873</v>
      </c>
      <c r="G3871" s="489" t="s">
        <v>12874</v>
      </c>
    </row>
    <row r="3872">
      <c r="B3872" s="38" t="s">
        <v>81</v>
      </c>
      <c r="C3872" s="38">
        <v>4.0</v>
      </c>
      <c r="D3872" s="38" t="s">
        <v>8743</v>
      </c>
      <c r="E3872" s="132" t="s">
        <v>2551</v>
      </c>
      <c r="F3872" s="38" t="s">
        <v>12875</v>
      </c>
    </row>
    <row r="3873">
      <c r="A3873" s="38" t="s">
        <v>12876</v>
      </c>
      <c r="B3873" s="38" t="s">
        <v>12877</v>
      </c>
      <c r="C3873" s="38" t="s">
        <v>12878</v>
      </c>
      <c r="D3873" s="38" t="s">
        <v>12879</v>
      </c>
      <c r="E3873" s="132" t="s">
        <v>914</v>
      </c>
      <c r="F3873" s="38" t="s">
        <v>1475</v>
      </c>
      <c r="G3873" s="38" t="s">
        <v>12880</v>
      </c>
    </row>
    <row r="3874">
      <c r="B3874" s="38" t="s">
        <v>1454</v>
      </c>
      <c r="C3874" s="38">
        <v>4.0</v>
      </c>
      <c r="D3874" s="38" t="s">
        <v>9735</v>
      </c>
      <c r="E3874" s="132" t="s">
        <v>2932</v>
      </c>
      <c r="F3874" s="38" t="s">
        <v>12881</v>
      </c>
    </row>
    <row r="3875">
      <c r="B3875" s="38" t="s">
        <v>122</v>
      </c>
      <c r="C3875" s="38">
        <v>2.0</v>
      </c>
      <c r="D3875" s="38" t="s">
        <v>408</v>
      </c>
      <c r="E3875" s="132" t="s">
        <v>514</v>
      </c>
      <c r="F3875" s="38" t="s">
        <v>4232</v>
      </c>
    </row>
    <row r="3876">
      <c r="B3876" s="38" t="s">
        <v>25</v>
      </c>
      <c r="C3876" s="38">
        <v>4.0</v>
      </c>
      <c r="D3876" s="38" t="s">
        <v>6192</v>
      </c>
      <c r="E3876" s="38" t="s">
        <v>12882</v>
      </c>
      <c r="F3876" s="38" t="s">
        <v>12185</v>
      </c>
    </row>
    <row r="3877">
      <c r="A3877" s="38" t="s">
        <v>12883</v>
      </c>
      <c r="B3877" s="390" t="s">
        <v>8888</v>
      </c>
      <c r="C3877" s="38" t="s">
        <v>12884</v>
      </c>
      <c r="D3877" s="38" t="s">
        <v>12885</v>
      </c>
      <c r="E3877" s="132" t="s">
        <v>12886</v>
      </c>
      <c r="F3877" s="38" t="s">
        <v>4844</v>
      </c>
    </row>
    <row r="3878">
      <c r="B3878" s="38" t="s">
        <v>85</v>
      </c>
      <c r="C3878" s="38">
        <v>2.0</v>
      </c>
      <c r="D3878" s="38" t="s">
        <v>2423</v>
      </c>
      <c r="E3878" s="132" t="s">
        <v>1098</v>
      </c>
      <c r="F3878" s="38" t="s">
        <v>12887</v>
      </c>
    </row>
    <row r="3879">
      <c r="B3879" s="38" t="s">
        <v>1575</v>
      </c>
      <c r="C3879" s="38">
        <v>2.0</v>
      </c>
      <c r="D3879" s="38" t="s">
        <v>2423</v>
      </c>
      <c r="E3879" s="132" t="s">
        <v>12888</v>
      </c>
      <c r="F3879" s="38" t="s">
        <v>12887</v>
      </c>
    </row>
    <row r="3880">
      <c r="B3880" s="38" t="s">
        <v>12889</v>
      </c>
      <c r="C3880" s="38"/>
      <c r="D3880" s="38" t="s">
        <v>12890</v>
      </c>
      <c r="E3880" s="132" t="s">
        <v>4624</v>
      </c>
      <c r="F3880" s="38" t="s">
        <v>12891</v>
      </c>
    </row>
    <row r="3881">
      <c r="B3881" s="471" t="s">
        <v>12892</v>
      </c>
      <c r="C3881" s="502" t="s">
        <v>12893</v>
      </c>
      <c r="D3881" s="471" t="s">
        <v>12894</v>
      </c>
      <c r="E3881" s="38" t="s">
        <v>6938</v>
      </c>
      <c r="F3881" s="502" t="s">
        <v>12895</v>
      </c>
      <c r="G3881" s="38" t="s">
        <v>12896</v>
      </c>
    </row>
    <row r="3882">
      <c r="A3882" s="5"/>
      <c r="B3882" s="38" t="s">
        <v>81</v>
      </c>
      <c r="C3882" s="38">
        <v>4.0</v>
      </c>
      <c r="D3882" s="38" t="s">
        <v>6571</v>
      </c>
      <c r="E3882" s="132" t="s">
        <v>9166</v>
      </c>
      <c r="F3882" s="38" t="s">
        <v>12897</v>
      </c>
      <c r="G3882" s="149" t="s">
        <v>12898</v>
      </c>
    </row>
    <row r="3883">
      <c r="B3883" s="38" t="s">
        <v>22</v>
      </c>
      <c r="C3883" s="38">
        <v>4.0</v>
      </c>
      <c r="D3883" s="38" t="s">
        <v>513</v>
      </c>
      <c r="E3883" s="132" t="s">
        <v>12899</v>
      </c>
      <c r="F3883" s="38" t="s">
        <v>12900</v>
      </c>
    </row>
    <row r="3884">
      <c r="B3884" s="38" t="s">
        <v>219</v>
      </c>
      <c r="C3884" s="38">
        <v>4.0</v>
      </c>
      <c r="D3884" s="38" t="s">
        <v>6936</v>
      </c>
      <c r="E3884" s="132" t="s">
        <v>10050</v>
      </c>
      <c r="F3884" s="38" t="s">
        <v>12901</v>
      </c>
    </row>
    <row r="3885">
      <c r="B3885" s="38" t="s">
        <v>1454</v>
      </c>
      <c r="C3885" s="38">
        <v>2.0</v>
      </c>
      <c r="D3885" s="38" t="s">
        <v>2423</v>
      </c>
      <c r="E3885" s="132" t="s">
        <v>1098</v>
      </c>
      <c r="F3885" s="38" t="s">
        <v>12902</v>
      </c>
    </row>
    <row r="3886">
      <c r="B3886" s="38" t="s">
        <v>1409</v>
      </c>
      <c r="C3886" s="38">
        <v>2.0</v>
      </c>
      <c r="D3886" s="38" t="s">
        <v>2423</v>
      </c>
      <c r="E3886" s="132" t="s">
        <v>1098</v>
      </c>
      <c r="F3886" s="59" t="s">
        <v>12902</v>
      </c>
    </row>
    <row r="3887">
      <c r="B3887" s="38" t="s">
        <v>2662</v>
      </c>
      <c r="C3887" s="38">
        <v>8.0</v>
      </c>
      <c r="D3887" s="38" t="s">
        <v>12903</v>
      </c>
      <c r="E3887" s="132" t="s">
        <v>1098</v>
      </c>
      <c r="F3887" s="38" t="s">
        <v>12904</v>
      </c>
    </row>
    <row r="3888">
      <c r="B3888" s="5" t="s">
        <v>416</v>
      </c>
      <c r="C3888" s="5">
        <v>1.0</v>
      </c>
      <c r="D3888" s="5" t="s">
        <v>7862</v>
      </c>
      <c r="E3888" s="150" t="s">
        <v>12905</v>
      </c>
      <c r="F3888" s="5" t="s">
        <v>12906</v>
      </c>
    </row>
    <row r="3889">
      <c r="A3889" s="120" t="s">
        <v>12907</v>
      </c>
      <c r="B3889" s="38" t="s">
        <v>357</v>
      </c>
      <c r="C3889" s="38">
        <v>4.0</v>
      </c>
      <c r="D3889" s="38" t="s">
        <v>1084</v>
      </c>
      <c r="E3889" s="132" t="s">
        <v>12908</v>
      </c>
      <c r="F3889" s="38" t="s">
        <v>12909</v>
      </c>
      <c r="G3889" s="109" t="s">
        <v>12910</v>
      </c>
    </row>
    <row r="3890">
      <c r="B3890" s="38" t="s">
        <v>416</v>
      </c>
      <c r="C3890" s="38">
        <v>4.0</v>
      </c>
      <c r="D3890" s="38" t="s">
        <v>545</v>
      </c>
      <c r="E3890" s="39" t="s">
        <v>12911</v>
      </c>
      <c r="F3890" s="38" t="s">
        <v>12912</v>
      </c>
      <c r="G3890" s="489" t="s">
        <v>12913</v>
      </c>
    </row>
    <row r="3891">
      <c r="B3891" s="38" t="s">
        <v>2798</v>
      </c>
      <c r="C3891" s="38">
        <v>4.0</v>
      </c>
      <c r="D3891" s="38" t="s">
        <v>12914</v>
      </c>
      <c r="E3891" s="39" t="s">
        <v>12915</v>
      </c>
      <c r="F3891" s="38" t="s">
        <v>12916</v>
      </c>
    </row>
    <row r="3892">
      <c r="B3892" s="38" t="s">
        <v>3958</v>
      </c>
      <c r="C3892" s="38">
        <v>2.0</v>
      </c>
      <c r="D3892" s="38" t="s">
        <v>408</v>
      </c>
      <c r="E3892" s="132" t="s">
        <v>12917</v>
      </c>
      <c r="F3892" s="38" t="s">
        <v>12918</v>
      </c>
    </row>
    <row r="3893">
      <c r="B3893" s="38" t="s">
        <v>283</v>
      </c>
      <c r="C3893" s="38">
        <v>2.0</v>
      </c>
      <c r="D3893" s="38" t="s">
        <v>408</v>
      </c>
      <c r="E3893" s="132" t="s">
        <v>12917</v>
      </c>
      <c r="F3893" s="38" t="s">
        <v>12918</v>
      </c>
    </row>
    <row r="3894">
      <c r="B3894" s="38" t="s">
        <v>439</v>
      </c>
      <c r="C3894" s="38">
        <v>4.0</v>
      </c>
      <c r="D3894" s="38" t="s">
        <v>408</v>
      </c>
      <c r="E3894" s="132" t="s">
        <v>7641</v>
      </c>
      <c r="F3894" s="38" t="s">
        <v>12919</v>
      </c>
    </row>
    <row r="3895">
      <c r="B3895" s="38" t="s">
        <v>339</v>
      </c>
      <c r="C3895" s="38">
        <v>4.0</v>
      </c>
      <c r="D3895" s="38" t="s">
        <v>9901</v>
      </c>
      <c r="E3895" s="132" t="s">
        <v>7641</v>
      </c>
      <c r="F3895" s="38" t="s">
        <v>12919</v>
      </c>
    </row>
    <row r="3896">
      <c r="B3896" s="38" t="s">
        <v>128</v>
      </c>
      <c r="C3896" s="38">
        <v>4.0</v>
      </c>
      <c r="D3896" s="38" t="s">
        <v>12920</v>
      </c>
      <c r="E3896" s="132" t="s">
        <v>7641</v>
      </c>
      <c r="F3896" s="38" t="s">
        <v>12919</v>
      </c>
    </row>
    <row r="3897">
      <c r="B3897" s="38" t="s">
        <v>28</v>
      </c>
      <c r="C3897" s="38">
        <v>8.0</v>
      </c>
      <c r="D3897" s="38" t="s">
        <v>12921</v>
      </c>
      <c r="E3897" s="132" t="s">
        <v>12922</v>
      </c>
      <c r="F3897" s="38" t="s">
        <v>12923</v>
      </c>
    </row>
    <row r="3898">
      <c r="B3898" s="38" t="s">
        <v>2774</v>
      </c>
      <c r="C3898" s="38">
        <v>4.0</v>
      </c>
      <c r="D3898" s="38" t="s">
        <v>12921</v>
      </c>
      <c r="E3898" s="132" t="s">
        <v>12922</v>
      </c>
      <c r="F3898" s="38" t="s">
        <v>12923</v>
      </c>
    </row>
    <row r="3899">
      <c r="B3899" s="38" t="s">
        <v>982</v>
      </c>
      <c r="C3899" s="38">
        <v>4.0</v>
      </c>
      <c r="D3899" s="38" t="s">
        <v>12924</v>
      </c>
      <c r="E3899" s="132" t="s">
        <v>12922</v>
      </c>
      <c r="F3899" s="38" t="s">
        <v>12923</v>
      </c>
    </row>
    <row r="3900">
      <c r="B3900" s="38" t="s">
        <v>85</v>
      </c>
      <c r="C3900" s="38">
        <v>4.0</v>
      </c>
      <c r="D3900" s="38" t="s">
        <v>4543</v>
      </c>
      <c r="E3900" s="132" t="s">
        <v>12922</v>
      </c>
      <c r="F3900" s="38" t="s">
        <v>12923</v>
      </c>
    </row>
    <row r="3901">
      <c r="B3901" s="38" t="s">
        <v>12925</v>
      </c>
      <c r="C3901" s="38">
        <v>2.0</v>
      </c>
      <c r="D3901" s="38" t="s">
        <v>6571</v>
      </c>
      <c r="E3901" s="132" t="s">
        <v>12926</v>
      </c>
      <c r="F3901" s="38" t="s">
        <v>12927</v>
      </c>
    </row>
    <row r="3902">
      <c r="B3902" s="38" t="s">
        <v>261</v>
      </c>
      <c r="C3902" s="38">
        <v>4.0</v>
      </c>
      <c r="D3902" s="38" t="s">
        <v>7038</v>
      </c>
      <c r="E3902" s="91" t="s">
        <v>12928</v>
      </c>
      <c r="F3902" s="38" t="s">
        <v>404</v>
      </c>
    </row>
    <row r="3903">
      <c r="B3903" s="38" t="s">
        <v>308</v>
      </c>
      <c r="C3903" s="38">
        <v>4.0</v>
      </c>
      <c r="D3903" s="38" t="s">
        <v>6192</v>
      </c>
      <c r="E3903" s="91" t="s">
        <v>12929</v>
      </c>
      <c r="F3903" s="38" t="s">
        <v>1261</v>
      </c>
    </row>
    <row r="3904">
      <c r="B3904" s="38" t="s">
        <v>25</v>
      </c>
      <c r="C3904" s="38">
        <v>4.0</v>
      </c>
      <c r="D3904" s="38" t="s">
        <v>6192</v>
      </c>
      <c r="E3904" s="132" t="s">
        <v>6997</v>
      </c>
      <c r="F3904" s="38" t="s">
        <v>12495</v>
      </c>
    </row>
    <row r="3905">
      <c r="B3905" s="38" t="s">
        <v>5596</v>
      </c>
      <c r="C3905" s="38">
        <v>4.0</v>
      </c>
      <c r="D3905" s="38" t="s">
        <v>12930</v>
      </c>
      <c r="E3905" s="132" t="s">
        <v>418</v>
      </c>
      <c r="F3905" s="38" t="s">
        <v>12931</v>
      </c>
    </row>
    <row r="3906">
      <c r="B3906" s="38" t="s">
        <v>25</v>
      </c>
      <c r="C3906" s="38">
        <v>2.0</v>
      </c>
      <c r="D3906" s="38" t="s">
        <v>433</v>
      </c>
      <c r="E3906" s="132" t="s">
        <v>633</v>
      </c>
      <c r="F3906" s="38" t="s">
        <v>12932</v>
      </c>
    </row>
    <row r="3907">
      <c r="B3907" s="38" t="s">
        <v>2035</v>
      </c>
      <c r="C3907" s="38">
        <v>4.0</v>
      </c>
      <c r="D3907" s="38" t="s">
        <v>12933</v>
      </c>
      <c r="E3907" s="132" t="s">
        <v>325</v>
      </c>
      <c r="F3907" s="38" t="s">
        <v>12934</v>
      </c>
    </row>
    <row r="3908">
      <c r="B3908" s="38" t="s">
        <v>166</v>
      </c>
      <c r="C3908" s="38">
        <v>2.0</v>
      </c>
      <c r="D3908" s="38" t="s">
        <v>753</v>
      </c>
      <c r="E3908" s="132" t="s">
        <v>325</v>
      </c>
      <c r="F3908" s="38"/>
      <c r="G3908" s="38" t="s">
        <v>12934</v>
      </c>
    </row>
    <row r="3909">
      <c r="B3909" s="38" t="s">
        <v>170</v>
      </c>
      <c r="C3909" s="38">
        <v>2.0</v>
      </c>
      <c r="D3909" s="38" t="s">
        <v>753</v>
      </c>
      <c r="E3909" s="132" t="s">
        <v>325</v>
      </c>
      <c r="F3909" s="38" t="s">
        <v>12935</v>
      </c>
      <c r="G3909" s="38" t="s">
        <v>12934</v>
      </c>
    </row>
    <row r="3910">
      <c r="B3910" s="38" t="s">
        <v>199</v>
      </c>
      <c r="C3910" s="38">
        <v>2.0</v>
      </c>
      <c r="D3910" s="38" t="s">
        <v>2021</v>
      </c>
      <c r="E3910" s="132" t="s">
        <v>12936</v>
      </c>
      <c r="F3910" s="38" t="s">
        <v>12937</v>
      </c>
    </row>
    <row r="3911">
      <c r="B3911" s="38" t="s">
        <v>195</v>
      </c>
      <c r="C3911" s="38">
        <v>2.0</v>
      </c>
      <c r="D3911" s="38" t="s">
        <v>2021</v>
      </c>
      <c r="E3911" s="132" t="s">
        <v>6938</v>
      </c>
      <c r="F3911" s="38" t="s">
        <v>12937</v>
      </c>
    </row>
    <row r="3912">
      <c r="B3912" s="38" t="s">
        <v>4666</v>
      </c>
      <c r="C3912" s="38">
        <v>4.0</v>
      </c>
      <c r="D3912" s="38" t="s">
        <v>12938</v>
      </c>
      <c r="E3912" s="132" t="s">
        <v>8711</v>
      </c>
      <c r="F3912" s="38" t="s">
        <v>12939</v>
      </c>
    </row>
    <row r="3913">
      <c r="B3913" s="38" t="s">
        <v>177</v>
      </c>
      <c r="C3913" s="38">
        <v>4.0</v>
      </c>
      <c r="D3913" s="38" t="s">
        <v>6571</v>
      </c>
      <c r="E3913" s="132" t="s">
        <v>11702</v>
      </c>
      <c r="F3913" s="38"/>
    </row>
    <row r="3914">
      <c r="B3914" s="38" t="s">
        <v>25</v>
      </c>
      <c r="C3914" s="38">
        <v>4.0</v>
      </c>
      <c r="D3914" s="38" t="s">
        <v>433</v>
      </c>
      <c r="E3914" s="132" t="s">
        <v>12940</v>
      </c>
      <c r="F3914" s="38" t="s">
        <v>12941</v>
      </c>
    </row>
    <row r="3915">
      <c r="B3915" s="38" t="s">
        <v>12942</v>
      </c>
      <c r="C3915" s="38" t="s">
        <v>12943</v>
      </c>
      <c r="D3915" s="38" t="s">
        <v>12944</v>
      </c>
      <c r="E3915" s="132" t="s">
        <v>1017</v>
      </c>
      <c r="F3915" s="38" t="s">
        <v>12945</v>
      </c>
      <c r="G3915" s="38" t="s">
        <v>12679</v>
      </c>
    </row>
    <row r="3916">
      <c r="B3916" s="38" t="s">
        <v>733</v>
      </c>
      <c r="C3916" s="38">
        <v>4.0</v>
      </c>
      <c r="D3916" s="38" t="s">
        <v>2538</v>
      </c>
      <c r="E3916" s="132" t="s">
        <v>1017</v>
      </c>
      <c r="F3916" s="38" t="s">
        <v>12946</v>
      </c>
      <c r="G3916" s="38" t="s">
        <v>12679</v>
      </c>
    </row>
    <row r="3917">
      <c r="B3917" s="38"/>
      <c r="C3917" s="38"/>
      <c r="D3917" s="38"/>
      <c r="E3917" s="132" t="s">
        <v>1017</v>
      </c>
      <c r="F3917" s="38" t="s">
        <v>12947</v>
      </c>
      <c r="G3917" s="38" t="s">
        <v>12679</v>
      </c>
    </row>
    <row r="3918">
      <c r="B3918" s="38" t="s">
        <v>339</v>
      </c>
      <c r="C3918" s="38">
        <v>1.0</v>
      </c>
      <c r="D3918" s="38" t="s">
        <v>545</v>
      </c>
      <c r="E3918" s="506" t="s">
        <v>12948</v>
      </c>
      <c r="F3918" s="38" t="s">
        <v>12949</v>
      </c>
    </row>
    <row r="3919">
      <c r="B3919" s="38" t="s">
        <v>38</v>
      </c>
      <c r="C3919" s="38">
        <v>2.0</v>
      </c>
      <c r="D3919" s="38" t="s">
        <v>684</v>
      </c>
      <c r="E3919" s="132" t="s">
        <v>1309</v>
      </c>
      <c r="F3919" s="38" t="s">
        <v>12950</v>
      </c>
    </row>
    <row r="3920">
      <c r="B3920" s="38" t="s">
        <v>3820</v>
      </c>
      <c r="C3920" s="38">
        <v>2.0</v>
      </c>
      <c r="D3920" s="38" t="s">
        <v>684</v>
      </c>
      <c r="E3920" s="132" t="s">
        <v>1309</v>
      </c>
      <c r="F3920" s="38" t="s">
        <v>12950</v>
      </c>
    </row>
    <row r="3921">
      <c r="B3921" s="38"/>
      <c r="C3921" s="38"/>
      <c r="D3921" s="38" t="s">
        <v>12951</v>
      </c>
      <c r="E3921" s="91" t="s">
        <v>4478</v>
      </c>
      <c r="F3921" s="38" t="s">
        <v>12952</v>
      </c>
    </row>
    <row r="3922">
      <c r="B3922" s="38" t="s">
        <v>1400</v>
      </c>
      <c r="C3922" s="38">
        <v>2.0</v>
      </c>
      <c r="D3922" s="38" t="s">
        <v>1084</v>
      </c>
      <c r="E3922" s="132" t="s">
        <v>2801</v>
      </c>
      <c r="F3922" s="38"/>
    </row>
    <row r="3923">
      <c r="B3923" s="38"/>
      <c r="C3923" s="38" t="s">
        <v>8678</v>
      </c>
      <c r="D3923" s="521" t="s">
        <v>12953</v>
      </c>
      <c r="E3923" s="132" t="s">
        <v>2801</v>
      </c>
      <c r="F3923" s="38"/>
    </row>
    <row r="3924">
      <c r="B3924" s="38" t="s">
        <v>38</v>
      </c>
      <c r="C3924" s="38">
        <v>2.0</v>
      </c>
      <c r="D3924" s="38" t="s">
        <v>684</v>
      </c>
      <c r="E3924" s="132" t="s">
        <v>2551</v>
      </c>
      <c r="F3924" s="38" t="s">
        <v>12954</v>
      </c>
    </row>
    <row r="3925">
      <c r="B3925" s="38" t="s">
        <v>3820</v>
      </c>
      <c r="C3925" s="38">
        <v>2.0</v>
      </c>
      <c r="D3925" s="38" t="s">
        <v>684</v>
      </c>
      <c r="E3925" s="132" t="s">
        <v>2551</v>
      </c>
      <c r="F3925" s="38" t="s">
        <v>12954</v>
      </c>
    </row>
    <row r="3926">
      <c r="B3926" s="38"/>
      <c r="C3926" s="38"/>
      <c r="D3926" s="38"/>
      <c r="E3926" s="132" t="s">
        <v>2551</v>
      </c>
      <c r="F3926" s="38" t="s">
        <v>12955</v>
      </c>
      <c r="G3926" s="504" t="s">
        <v>12956</v>
      </c>
    </row>
    <row r="3927">
      <c r="B3927" s="38" t="s">
        <v>4405</v>
      </c>
      <c r="C3927" s="38">
        <v>1.0</v>
      </c>
      <c r="D3927" s="38" t="s">
        <v>684</v>
      </c>
      <c r="E3927" s="132" t="s">
        <v>12957</v>
      </c>
      <c r="F3927" s="38" t="s">
        <v>175</v>
      </c>
    </row>
    <row r="3928">
      <c r="B3928" s="38" t="s">
        <v>333</v>
      </c>
      <c r="C3928" s="38">
        <v>4.0</v>
      </c>
      <c r="D3928" s="38" t="s">
        <v>3135</v>
      </c>
      <c r="E3928" s="132" t="s">
        <v>1098</v>
      </c>
      <c r="F3928" s="38" t="s">
        <v>12934</v>
      </c>
    </row>
    <row r="3929">
      <c r="B3929" s="38" t="s">
        <v>1006</v>
      </c>
      <c r="C3929" s="38">
        <v>1.0</v>
      </c>
      <c r="D3929" s="38" t="s">
        <v>433</v>
      </c>
      <c r="E3929" s="132" t="s">
        <v>12958</v>
      </c>
      <c r="F3929" s="38" t="s">
        <v>12959</v>
      </c>
    </row>
    <row r="3930">
      <c r="B3930" s="38" t="s">
        <v>246</v>
      </c>
      <c r="C3930" s="38">
        <v>2.0</v>
      </c>
      <c r="D3930" s="38" t="s">
        <v>408</v>
      </c>
      <c r="E3930" s="39" t="s">
        <v>10188</v>
      </c>
      <c r="F3930" s="38" t="s">
        <v>12960</v>
      </c>
    </row>
    <row r="3931">
      <c r="B3931" s="38"/>
      <c r="C3931" s="38"/>
      <c r="D3931" s="38" t="s">
        <v>12961</v>
      </c>
      <c r="E3931" s="132" t="s">
        <v>12962</v>
      </c>
      <c r="F3931" s="38" t="s">
        <v>12615</v>
      </c>
    </row>
    <row r="3932">
      <c r="B3932" s="38" t="s">
        <v>25</v>
      </c>
      <c r="C3932" s="38">
        <v>4.0</v>
      </c>
      <c r="D3932" s="38" t="s">
        <v>433</v>
      </c>
      <c r="E3932" s="132" t="s">
        <v>2699</v>
      </c>
      <c r="F3932" s="38" t="s">
        <v>12963</v>
      </c>
    </row>
    <row r="3933">
      <c r="B3933" s="5" t="s">
        <v>271</v>
      </c>
      <c r="C3933" s="5">
        <v>4.0</v>
      </c>
      <c r="D3933" s="1" t="s">
        <v>684</v>
      </c>
      <c r="E3933" s="5" t="s">
        <v>6271</v>
      </c>
      <c r="F3933" s="5" t="s">
        <v>12964</v>
      </c>
    </row>
    <row r="3934">
      <c r="B3934" s="5"/>
      <c r="C3934" s="5"/>
      <c r="D3934" s="1"/>
      <c r="E3934" s="5" t="s">
        <v>6271</v>
      </c>
      <c r="F3934" s="5" t="s">
        <v>12965</v>
      </c>
    </row>
    <row r="3935">
      <c r="B3935" s="38" t="s">
        <v>183</v>
      </c>
      <c r="C3935" s="38">
        <v>4.0</v>
      </c>
      <c r="D3935" s="38" t="s">
        <v>433</v>
      </c>
      <c r="E3935" s="471" t="s">
        <v>12966</v>
      </c>
      <c r="F3935" s="38" t="s">
        <v>12967</v>
      </c>
    </row>
    <row r="3936">
      <c r="B3936" s="38" t="s">
        <v>1871</v>
      </c>
      <c r="C3936" s="38">
        <v>24.0</v>
      </c>
      <c r="D3936" s="38" t="s">
        <v>630</v>
      </c>
      <c r="E3936" s="132" t="s">
        <v>325</v>
      </c>
      <c r="F3936" s="38" t="s">
        <v>12934</v>
      </c>
    </row>
    <row r="3937">
      <c r="B3937" s="38"/>
      <c r="C3937" s="38" t="s">
        <v>12968</v>
      </c>
      <c r="D3937" s="38"/>
      <c r="E3937" s="132" t="s">
        <v>886</v>
      </c>
      <c r="F3937" s="38" t="s">
        <v>12969</v>
      </c>
      <c r="G3937" s="38" t="s">
        <v>12970</v>
      </c>
    </row>
    <row r="3938">
      <c r="B3938" s="38"/>
      <c r="C3938" s="38"/>
      <c r="D3938" s="335" t="s">
        <v>12971</v>
      </c>
      <c r="E3938" s="132" t="s">
        <v>12972</v>
      </c>
      <c r="F3938" s="38"/>
    </row>
    <row r="3939">
      <c r="B3939" s="38" t="s">
        <v>128</v>
      </c>
      <c r="C3939" s="38">
        <v>4.0</v>
      </c>
      <c r="D3939" s="38" t="s">
        <v>408</v>
      </c>
      <c r="E3939" s="132" t="s">
        <v>325</v>
      </c>
      <c r="F3939" s="38" t="s">
        <v>12973</v>
      </c>
    </row>
    <row r="3940">
      <c r="B3940" s="38"/>
      <c r="C3940" s="38"/>
      <c r="D3940" s="38"/>
      <c r="E3940" s="132" t="s">
        <v>974</v>
      </c>
      <c r="F3940" s="38" t="s">
        <v>12974</v>
      </c>
      <c r="G3940" s="44"/>
      <c r="H3940" s="38" t="s">
        <v>144</v>
      </c>
    </row>
    <row r="3941">
      <c r="B3941" s="38"/>
      <c r="C3941" s="38"/>
      <c r="D3941" s="38"/>
      <c r="E3941" s="132" t="s">
        <v>974</v>
      </c>
      <c r="F3941" s="38" t="s">
        <v>12975</v>
      </c>
      <c r="G3941" s="38" t="s">
        <v>7434</v>
      </c>
      <c r="H3941" s="38" t="s">
        <v>144</v>
      </c>
    </row>
    <row r="3942">
      <c r="B3942" s="38" t="s">
        <v>31</v>
      </c>
      <c r="C3942" s="38">
        <v>4.0</v>
      </c>
      <c r="D3942" s="38" t="s">
        <v>545</v>
      </c>
      <c r="E3942" s="132" t="s">
        <v>12976</v>
      </c>
      <c r="F3942" s="38" t="s">
        <v>12977</v>
      </c>
      <c r="G3942" s="471" t="s">
        <v>12978</v>
      </c>
      <c r="H3942" s="44"/>
    </row>
    <row r="3943">
      <c r="B3943" s="38" t="s">
        <v>170</v>
      </c>
      <c r="C3943" s="38">
        <v>2.0</v>
      </c>
      <c r="D3943" s="38" t="s">
        <v>408</v>
      </c>
      <c r="E3943" s="47" t="s">
        <v>12979</v>
      </c>
      <c r="F3943" s="47" t="s">
        <v>12303</v>
      </c>
      <c r="G3943" s="44"/>
      <c r="H3943" s="44"/>
    </row>
    <row r="3944">
      <c r="B3944" s="38" t="s">
        <v>22</v>
      </c>
      <c r="C3944" s="38">
        <v>36.0</v>
      </c>
      <c r="D3944" s="38" t="s">
        <v>2124</v>
      </c>
      <c r="E3944" s="132" t="s">
        <v>1098</v>
      </c>
      <c r="F3944" s="38" t="s">
        <v>12980</v>
      </c>
    </row>
    <row r="3945">
      <c r="B3945" s="38" t="s">
        <v>733</v>
      </c>
      <c r="C3945" s="38">
        <v>4.0</v>
      </c>
      <c r="D3945" s="38" t="s">
        <v>2479</v>
      </c>
      <c r="E3945" s="91" t="s">
        <v>12981</v>
      </c>
      <c r="F3945" s="38" t="s">
        <v>12982</v>
      </c>
    </row>
    <row r="3946">
      <c r="B3946" s="38" t="s">
        <v>25</v>
      </c>
      <c r="C3946" s="38">
        <v>2.0</v>
      </c>
      <c r="D3946" s="38" t="s">
        <v>12983</v>
      </c>
      <c r="E3946" s="132" t="s">
        <v>11769</v>
      </c>
      <c r="F3946" s="38"/>
    </row>
    <row r="3947">
      <c r="B3947" s="38" t="s">
        <v>22</v>
      </c>
      <c r="C3947" s="38">
        <v>2.0</v>
      </c>
      <c r="D3947" s="38" t="s">
        <v>6569</v>
      </c>
      <c r="E3947" s="132" t="s">
        <v>11769</v>
      </c>
      <c r="F3947" s="38"/>
    </row>
    <row r="3948">
      <c r="B3948" s="38" t="s">
        <v>94</v>
      </c>
      <c r="C3948" s="38">
        <v>2.0</v>
      </c>
      <c r="D3948" s="38" t="s">
        <v>545</v>
      </c>
      <c r="E3948" s="132" t="s">
        <v>325</v>
      </c>
      <c r="F3948" s="38" t="s">
        <v>12984</v>
      </c>
      <c r="G3948" s="38" t="s">
        <v>12985</v>
      </c>
    </row>
    <row r="3949">
      <c r="B3949" s="38" t="s">
        <v>91</v>
      </c>
      <c r="C3949" s="38">
        <v>2.0</v>
      </c>
      <c r="D3949" s="38" t="s">
        <v>545</v>
      </c>
      <c r="E3949" s="132" t="s">
        <v>325</v>
      </c>
      <c r="F3949" s="38"/>
      <c r="G3949" s="38" t="s">
        <v>12985</v>
      </c>
      <c r="H3949" s="1" t="s">
        <v>12986</v>
      </c>
    </row>
    <row r="3950">
      <c r="B3950" s="38" t="s">
        <v>28</v>
      </c>
      <c r="C3950" s="38">
        <v>4.0</v>
      </c>
      <c r="D3950" s="38" t="s">
        <v>433</v>
      </c>
      <c r="E3950" s="132" t="s">
        <v>325</v>
      </c>
      <c r="F3950" s="38" t="s">
        <v>12980</v>
      </c>
    </row>
    <row r="3951">
      <c r="A3951" s="8"/>
      <c r="B3951" s="38" t="s">
        <v>88</v>
      </c>
      <c r="C3951" s="38">
        <v>4.0</v>
      </c>
      <c r="D3951" s="38" t="s">
        <v>684</v>
      </c>
      <c r="E3951" s="132" t="s">
        <v>11151</v>
      </c>
      <c r="F3951" s="38" t="s">
        <v>12987</v>
      </c>
      <c r="G3951" s="489" t="s">
        <v>12988</v>
      </c>
    </row>
    <row r="3952">
      <c r="B3952" s="38" t="s">
        <v>12989</v>
      </c>
      <c r="C3952" s="38" t="s">
        <v>12990</v>
      </c>
      <c r="D3952" s="38" t="s">
        <v>12991</v>
      </c>
      <c r="E3952" s="39" t="s">
        <v>12992</v>
      </c>
      <c r="F3952" s="38" t="s">
        <v>12993</v>
      </c>
    </row>
    <row r="3953">
      <c r="B3953" s="38" t="s">
        <v>405</v>
      </c>
      <c r="C3953" s="38">
        <v>2.0</v>
      </c>
      <c r="D3953" s="38" t="s">
        <v>12994</v>
      </c>
      <c r="E3953" s="132" t="s">
        <v>325</v>
      </c>
      <c r="F3953" s="38" t="s">
        <v>12995</v>
      </c>
      <c r="G3953" s="38" t="s">
        <v>12996</v>
      </c>
    </row>
    <row r="3954">
      <c r="B3954" s="38" t="s">
        <v>52</v>
      </c>
      <c r="C3954" s="38">
        <v>2.0</v>
      </c>
      <c r="D3954" s="38" t="s">
        <v>12994</v>
      </c>
      <c r="E3954" s="132" t="s">
        <v>325</v>
      </c>
      <c r="F3954" s="38"/>
      <c r="G3954" s="38" t="s">
        <v>12996</v>
      </c>
    </row>
    <row r="3955">
      <c r="B3955" s="38" t="s">
        <v>12997</v>
      </c>
      <c r="C3955" s="38"/>
      <c r="D3955" s="38"/>
      <c r="E3955" s="132" t="s">
        <v>9397</v>
      </c>
      <c r="F3955" s="38" t="s">
        <v>144</v>
      </c>
    </row>
    <row r="3956">
      <c r="B3956" s="38" t="s">
        <v>25</v>
      </c>
      <c r="C3956" s="38">
        <v>12.0</v>
      </c>
      <c r="D3956" s="38" t="s">
        <v>433</v>
      </c>
      <c r="E3956" s="132" t="s">
        <v>4478</v>
      </c>
      <c r="F3956" s="38" t="s">
        <v>12998</v>
      </c>
    </row>
    <row r="3957">
      <c r="B3957" s="38" t="s">
        <v>405</v>
      </c>
      <c r="C3957" s="38">
        <v>2.0</v>
      </c>
      <c r="D3957" s="38" t="s">
        <v>12994</v>
      </c>
      <c r="E3957" s="132" t="s">
        <v>325</v>
      </c>
      <c r="F3957" s="38" t="s">
        <v>12999</v>
      </c>
    </row>
    <row r="3958">
      <c r="B3958" s="38" t="s">
        <v>52</v>
      </c>
      <c r="C3958" s="38">
        <v>2.0</v>
      </c>
      <c r="D3958" s="38" t="s">
        <v>12994</v>
      </c>
      <c r="E3958" s="132" t="s">
        <v>325</v>
      </c>
      <c r="F3958" s="38" t="s">
        <v>12999</v>
      </c>
    </row>
    <row r="3959">
      <c r="A3959" s="1" t="s">
        <v>13000</v>
      </c>
      <c r="B3959" s="38" t="s">
        <v>13001</v>
      </c>
      <c r="C3959" s="38" t="s">
        <v>13002</v>
      </c>
      <c r="D3959" s="38" t="s">
        <v>13003</v>
      </c>
      <c r="E3959" s="132" t="s">
        <v>9397</v>
      </c>
      <c r="F3959" s="38" t="s">
        <v>13004</v>
      </c>
      <c r="G3959" s="44"/>
      <c r="H3959" s="38" t="s">
        <v>144</v>
      </c>
    </row>
    <row r="3960">
      <c r="A3960" s="1"/>
      <c r="B3960" s="38" t="s">
        <v>718</v>
      </c>
      <c r="C3960" s="38">
        <v>1.0</v>
      </c>
      <c r="D3960" s="38" t="s">
        <v>545</v>
      </c>
      <c r="E3960" s="132" t="s">
        <v>9397</v>
      </c>
      <c r="F3960" s="38" t="s">
        <v>13005</v>
      </c>
      <c r="G3960" s="44"/>
      <c r="H3960" s="38" t="s">
        <v>144</v>
      </c>
    </row>
    <row r="3961">
      <c r="A3961" s="1"/>
      <c r="B3961" s="38"/>
      <c r="C3961" s="38"/>
      <c r="D3961" s="38"/>
      <c r="E3961" s="132" t="s">
        <v>9397</v>
      </c>
      <c r="F3961" s="38" t="s">
        <v>13006</v>
      </c>
      <c r="G3961" s="44"/>
      <c r="H3961" s="38" t="s">
        <v>144</v>
      </c>
    </row>
    <row r="3962">
      <c r="A3962" s="1"/>
      <c r="B3962" s="38"/>
      <c r="C3962" s="38"/>
      <c r="D3962" s="65">
        <v>44063.0</v>
      </c>
      <c r="E3962" s="399" t="s">
        <v>9397</v>
      </c>
      <c r="F3962" s="522" t="s">
        <v>13007</v>
      </c>
      <c r="G3962" s="522" t="s">
        <v>13008</v>
      </c>
      <c r="H3962" s="38" t="s">
        <v>144</v>
      </c>
    </row>
    <row r="3963">
      <c r="B3963" s="38" t="s">
        <v>718</v>
      </c>
      <c r="C3963" s="38">
        <v>2.0</v>
      </c>
      <c r="D3963" s="38" t="s">
        <v>6581</v>
      </c>
      <c r="E3963" s="132" t="s">
        <v>325</v>
      </c>
      <c r="F3963" s="38" t="s">
        <v>13009</v>
      </c>
      <c r="G3963" s="38" t="s">
        <v>144</v>
      </c>
    </row>
    <row r="3964">
      <c r="B3964" s="38" t="s">
        <v>188</v>
      </c>
      <c r="C3964" s="38">
        <v>2.0</v>
      </c>
      <c r="D3964" s="38" t="s">
        <v>2827</v>
      </c>
      <c r="E3964" s="132" t="s">
        <v>325</v>
      </c>
      <c r="F3964" s="38" t="s">
        <v>13010</v>
      </c>
    </row>
    <row r="3965">
      <c r="B3965" s="38" t="s">
        <v>2883</v>
      </c>
      <c r="C3965" s="38">
        <v>2.0</v>
      </c>
      <c r="D3965" s="38" t="s">
        <v>2827</v>
      </c>
      <c r="E3965" s="132" t="s">
        <v>325</v>
      </c>
      <c r="F3965" s="38" t="s">
        <v>13010</v>
      </c>
    </row>
    <row r="3966">
      <c r="B3966" s="38" t="s">
        <v>13011</v>
      </c>
      <c r="C3966" s="38" t="s">
        <v>13012</v>
      </c>
      <c r="D3966" s="38" t="s">
        <v>13013</v>
      </c>
      <c r="E3966" s="132" t="s">
        <v>12839</v>
      </c>
      <c r="F3966" s="38" t="s">
        <v>13014</v>
      </c>
      <c r="G3966" s="38" t="s">
        <v>13015</v>
      </c>
    </row>
    <row r="3967">
      <c r="B3967" s="38" t="s">
        <v>13016</v>
      </c>
      <c r="C3967" s="38" t="s">
        <v>13017</v>
      </c>
      <c r="D3967" s="38" t="s">
        <v>13018</v>
      </c>
      <c r="E3967" s="132" t="s">
        <v>12839</v>
      </c>
      <c r="F3967" s="38"/>
      <c r="G3967" s="38" t="s">
        <v>13015</v>
      </c>
    </row>
    <row r="3968">
      <c r="B3968" s="38" t="s">
        <v>394</v>
      </c>
      <c r="C3968" s="38">
        <v>4.0</v>
      </c>
      <c r="D3968" s="38" t="s">
        <v>2421</v>
      </c>
      <c r="E3968" s="132" t="s">
        <v>13019</v>
      </c>
      <c r="F3968" s="38" t="s">
        <v>13020</v>
      </c>
    </row>
    <row r="3969">
      <c r="B3969" s="38" t="s">
        <v>5381</v>
      </c>
      <c r="C3969" s="38">
        <v>2.0</v>
      </c>
      <c r="D3969" s="38" t="s">
        <v>9737</v>
      </c>
      <c r="E3969" s="132">
        <v>8.68641325E8</v>
      </c>
      <c r="F3969" s="38" t="s">
        <v>13021</v>
      </c>
    </row>
    <row r="3970">
      <c r="A3970" s="65">
        <v>44952.0</v>
      </c>
      <c r="B3970" s="38" t="s">
        <v>11392</v>
      </c>
      <c r="C3970" s="38" t="s">
        <v>13022</v>
      </c>
      <c r="D3970" s="38" t="s">
        <v>13003</v>
      </c>
      <c r="E3970" s="132" t="s">
        <v>13023</v>
      </c>
      <c r="F3970" s="38" t="s">
        <v>647</v>
      </c>
      <c r="G3970" s="38" t="s">
        <v>12175</v>
      </c>
    </row>
    <row r="3971">
      <c r="A3971" s="38" t="s">
        <v>13024</v>
      </c>
      <c r="B3971" s="38"/>
      <c r="C3971" s="44"/>
      <c r="D3971" s="353" t="s">
        <v>13025</v>
      </c>
      <c r="E3971" s="132" t="s">
        <v>13023</v>
      </c>
      <c r="F3971" s="38"/>
      <c r="G3971" s="38" t="s">
        <v>12175</v>
      </c>
    </row>
    <row r="3972">
      <c r="B3972" s="38" t="s">
        <v>718</v>
      </c>
      <c r="C3972" s="38">
        <v>1.0</v>
      </c>
      <c r="D3972" s="38" t="s">
        <v>412</v>
      </c>
      <c r="E3972" s="132">
        <v>8.66908989E8</v>
      </c>
      <c r="F3972" s="38"/>
    </row>
    <row r="3973">
      <c r="B3973" s="38" t="s">
        <v>261</v>
      </c>
      <c r="C3973" s="38">
        <v>4.0</v>
      </c>
      <c r="D3973" s="38" t="s">
        <v>13026</v>
      </c>
      <c r="E3973" s="91" t="s">
        <v>13027</v>
      </c>
      <c r="F3973" s="38" t="s">
        <v>13028</v>
      </c>
      <c r="G3973" s="489" t="s">
        <v>13029</v>
      </c>
    </row>
    <row r="3974">
      <c r="B3974" s="38"/>
      <c r="C3974" s="38"/>
      <c r="D3974" s="38" t="s">
        <v>13030</v>
      </c>
      <c r="E3974" s="132" t="s">
        <v>12461</v>
      </c>
      <c r="F3974" s="38"/>
    </row>
    <row r="3975">
      <c r="B3975" s="38" t="s">
        <v>2329</v>
      </c>
      <c r="C3975" s="38">
        <v>12.0</v>
      </c>
      <c r="D3975" s="38" t="s">
        <v>1908</v>
      </c>
      <c r="E3975" s="132" t="s">
        <v>1098</v>
      </c>
      <c r="F3975" s="38" t="s">
        <v>13031</v>
      </c>
    </row>
    <row r="3976">
      <c r="B3976" s="38" t="s">
        <v>982</v>
      </c>
      <c r="C3976" s="38">
        <v>12.0</v>
      </c>
      <c r="D3976" s="38" t="s">
        <v>1908</v>
      </c>
      <c r="E3976" s="132" t="s">
        <v>1098</v>
      </c>
      <c r="F3976" s="38" t="s">
        <v>13031</v>
      </c>
    </row>
    <row r="3977">
      <c r="B3977" s="38"/>
      <c r="C3977" s="38"/>
      <c r="D3977" s="38" t="s">
        <v>13032</v>
      </c>
      <c r="E3977" s="132" t="s">
        <v>13033</v>
      </c>
      <c r="F3977" s="38" t="s">
        <v>13034</v>
      </c>
    </row>
    <row r="3978">
      <c r="B3978" s="38" t="s">
        <v>205</v>
      </c>
      <c r="C3978" s="38">
        <v>1.0</v>
      </c>
      <c r="D3978" s="38" t="s">
        <v>433</v>
      </c>
      <c r="E3978" s="132" t="s">
        <v>13035</v>
      </c>
      <c r="F3978" s="38" t="s">
        <v>13036</v>
      </c>
    </row>
    <row r="3979">
      <c r="B3979" s="38" t="s">
        <v>28</v>
      </c>
      <c r="C3979" s="38">
        <v>4.0</v>
      </c>
      <c r="D3979" s="38" t="s">
        <v>13037</v>
      </c>
      <c r="E3979" s="487" t="s">
        <v>13038</v>
      </c>
      <c r="F3979" s="38" t="s">
        <v>13039</v>
      </c>
    </row>
    <row r="3980">
      <c r="B3980" s="38" t="s">
        <v>1322</v>
      </c>
      <c r="C3980" s="38">
        <v>2.0</v>
      </c>
      <c r="D3980" s="38" t="s">
        <v>9901</v>
      </c>
      <c r="E3980" s="132" t="s">
        <v>13040</v>
      </c>
      <c r="F3980" s="38" t="s">
        <v>13041</v>
      </c>
    </row>
    <row r="3981">
      <c r="B3981" s="59" t="s">
        <v>13042</v>
      </c>
      <c r="C3981" s="38">
        <v>2.0</v>
      </c>
      <c r="D3981" s="38" t="s">
        <v>5608</v>
      </c>
      <c r="E3981" s="132" t="s">
        <v>13040</v>
      </c>
      <c r="F3981" s="38" t="s">
        <v>13041</v>
      </c>
    </row>
    <row r="3982">
      <c r="B3982" s="59" t="s">
        <v>13043</v>
      </c>
      <c r="C3982" s="38">
        <v>2.0</v>
      </c>
      <c r="D3982" s="38" t="s">
        <v>5608</v>
      </c>
      <c r="E3982" s="132" t="s">
        <v>13040</v>
      </c>
      <c r="F3982" s="38" t="s">
        <v>13041</v>
      </c>
    </row>
    <row r="3983">
      <c r="B3983" s="38"/>
      <c r="C3983" s="38"/>
      <c r="D3983" s="38"/>
      <c r="E3983" s="132" t="s">
        <v>13044</v>
      </c>
      <c r="F3983" s="38" t="s">
        <v>13045</v>
      </c>
    </row>
    <row r="3984">
      <c r="B3984" s="38" t="s">
        <v>416</v>
      </c>
      <c r="C3984" s="38">
        <v>2.0</v>
      </c>
      <c r="D3984" s="38" t="s">
        <v>6289</v>
      </c>
      <c r="E3984" s="132" t="s">
        <v>138</v>
      </c>
      <c r="F3984" s="38" t="s">
        <v>13046</v>
      </c>
    </row>
    <row r="3985">
      <c r="B3985" s="38" t="s">
        <v>3725</v>
      </c>
      <c r="C3985" s="38">
        <v>2.0</v>
      </c>
      <c r="D3985" s="38" t="s">
        <v>13047</v>
      </c>
      <c r="E3985" s="132" t="s">
        <v>2386</v>
      </c>
      <c r="F3985" s="38" t="s">
        <v>13048</v>
      </c>
    </row>
    <row r="3986">
      <c r="B3986" s="38" t="s">
        <v>13049</v>
      </c>
      <c r="C3986" s="38">
        <v>4.0</v>
      </c>
      <c r="D3986" s="38" t="s">
        <v>12483</v>
      </c>
      <c r="E3986" s="132" t="s">
        <v>325</v>
      </c>
      <c r="F3986" s="38" t="s">
        <v>13050</v>
      </c>
    </row>
    <row r="3987">
      <c r="B3987" s="38" t="s">
        <v>13051</v>
      </c>
      <c r="C3987" s="38" t="s">
        <v>13052</v>
      </c>
      <c r="D3987" s="38" t="s">
        <v>13053</v>
      </c>
      <c r="E3987" s="132" t="s">
        <v>12330</v>
      </c>
      <c r="F3987" s="38" t="s">
        <v>13054</v>
      </c>
      <c r="G3987" s="38" t="s">
        <v>12175</v>
      </c>
    </row>
    <row r="3988">
      <c r="B3988" s="38"/>
      <c r="C3988" s="38" t="s">
        <v>13055</v>
      </c>
      <c r="D3988" s="38" t="s">
        <v>13056</v>
      </c>
      <c r="E3988" s="132" t="s">
        <v>2627</v>
      </c>
      <c r="F3988" s="38"/>
      <c r="G3988" s="38" t="s">
        <v>12175</v>
      </c>
    </row>
    <row r="3989">
      <c r="B3989" s="38"/>
      <c r="C3989" s="44"/>
      <c r="D3989" s="38" t="s">
        <v>13057</v>
      </c>
      <c r="E3989" s="38" t="s">
        <v>13058</v>
      </c>
      <c r="F3989" s="38" t="s">
        <v>13059</v>
      </c>
      <c r="G3989" s="38" t="s">
        <v>13060</v>
      </c>
    </row>
    <row r="3990">
      <c r="B3990" s="38" t="s">
        <v>22</v>
      </c>
      <c r="C3990" s="38">
        <v>4.0</v>
      </c>
      <c r="D3990" s="38" t="s">
        <v>9935</v>
      </c>
      <c r="E3990" s="38" t="s">
        <v>325</v>
      </c>
      <c r="F3990" s="38" t="s">
        <v>13061</v>
      </c>
    </row>
    <row r="3991">
      <c r="B3991" s="38"/>
      <c r="C3991" s="59" t="s">
        <v>13062</v>
      </c>
      <c r="D3991" s="44"/>
      <c r="E3991" s="38" t="s">
        <v>974</v>
      </c>
      <c r="F3991" s="38" t="s">
        <v>144</v>
      </c>
      <c r="G3991" s="44"/>
    </row>
    <row r="3993">
      <c r="A3993" s="65">
        <v>44963.0</v>
      </c>
      <c r="B3993" s="38" t="s">
        <v>13063</v>
      </c>
      <c r="C3993" s="38"/>
      <c r="D3993" s="38" t="s">
        <v>4299</v>
      </c>
      <c r="E3993" s="38" t="s">
        <v>12036</v>
      </c>
      <c r="F3993" s="38" t="s">
        <v>13064</v>
      </c>
      <c r="G3993" s="38" t="s">
        <v>13065</v>
      </c>
    </row>
    <row r="3994">
      <c r="A3994" s="38" t="s">
        <v>13066</v>
      </c>
      <c r="B3994" s="38" t="s">
        <v>12039</v>
      </c>
      <c r="C3994" s="38"/>
      <c r="D3994" s="38" t="s">
        <v>13067</v>
      </c>
      <c r="E3994" s="38" t="s">
        <v>12036</v>
      </c>
      <c r="F3994" s="38" t="s">
        <v>13068</v>
      </c>
      <c r="G3994" s="38" t="s">
        <v>13065</v>
      </c>
    </row>
    <row r="3995">
      <c r="B3995" s="38" t="s">
        <v>128</v>
      </c>
      <c r="C3995" s="38">
        <v>4.0</v>
      </c>
      <c r="D3995" s="38" t="s">
        <v>684</v>
      </c>
      <c r="E3995" s="38" t="s">
        <v>325</v>
      </c>
      <c r="F3995" s="38" t="s">
        <v>13061</v>
      </c>
    </row>
    <row r="3996">
      <c r="B3996" s="5"/>
      <c r="C3996" s="5" t="s">
        <v>13069</v>
      </c>
      <c r="D3996" s="1" t="s">
        <v>13070</v>
      </c>
      <c r="E3996" s="1" t="s">
        <v>13071</v>
      </c>
      <c r="F3996" s="5" t="s">
        <v>13072</v>
      </c>
    </row>
    <row r="3997">
      <c r="B3997" s="1" t="s">
        <v>2028</v>
      </c>
      <c r="C3997" s="1">
        <v>4.0</v>
      </c>
      <c r="D3997" s="1" t="s">
        <v>1305</v>
      </c>
      <c r="E3997" s="1" t="s">
        <v>514</v>
      </c>
      <c r="F3997" s="5" t="s">
        <v>13073</v>
      </c>
    </row>
    <row r="3998">
      <c r="B3998" s="44"/>
      <c r="C3998" s="44"/>
      <c r="D3998" s="38" t="s">
        <v>13074</v>
      </c>
      <c r="E3998" s="38" t="s">
        <v>1017</v>
      </c>
      <c r="F3998" s="38" t="s">
        <v>12175</v>
      </c>
    </row>
    <row r="3999">
      <c r="A3999" s="65">
        <v>44977.0</v>
      </c>
      <c r="B3999" s="390" t="s">
        <v>13075</v>
      </c>
      <c r="C3999" s="38" t="s">
        <v>13076</v>
      </c>
      <c r="D3999" s="38" t="s">
        <v>13077</v>
      </c>
      <c r="E3999" s="38" t="s">
        <v>5405</v>
      </c>
      <c r="F3999" s="38" t="s">
        <v>13078</v>
      </c>
      <c r="G3999" s="38" t="s">
        <v>13079</v>
      </c>
    </row>
    <row r="4000">
      <c r="A4000" s="38" t="s">
        <v>2511</v>
      </c>
      <c r="B4000" s="390" t="s">
        <v>13080</v>
      </c>
      <c r="C4000" s="38" t="s">
        <v>866</v>
      </c>
      <c r="D4000" s="38" t="s">
        <v>13081</v>
      </c>
      <c r="E4000" s="38" t="s">
        <v>5405</v>
      </c>
      <c r="F4000" s="38" t="s">
        <v>13082</v>
      </c>
      <c r="G4000" s="38" t="s">
        <v>13079</v>
      </c>
    </row>
    <row r="4001">
      <c r="B4001" s="38" t="s">
        <v>13083</v>
      </c>
      <c r="C4001" s="390" t="s">
        <v>13084</v>
      </c>
      <c r="D4001" s="38" t="s">
        <v>13085</v>
      </c>
      <c r="E4001" s="38" t="s">
        <v>13086</v>
      </c>
      <c r="F4001" s="38" t="s">
        <v>13087</v>
      </c>
      <c r="G4001" s="38" t="s">
        <v>13088</v>
      </c>
    </row>
    <row r="4002">
      <c r="B4002" s="38" t="s">
        <v>13089</v>
      </c>
      <c r="C4002" s="38" t="s">
        <v>5408</v>
      </c>
      <c r="D4002" s="38" t="s">
        <v>13090</v>
      </c>
      <c r="E4002" s="38" t="s">
        <v>13086</v>
      </c>
      <c r="F4002" s="38" t="s">
        <v>13091</v>
      </c>
      <c r="G4002" s="38" t="s">
        <v>13088</v>
      </c>
    </row>
    <row r="4003">
      <c r="B4003" s="38" t="s">
        <v>13092</v>
      </c>
      <c r="C4003" s="44"/>
      <c r="D4003" s="38" t="s">
        <v>7097</v>
      </c>
      <c r="E4003" s="38" t="s">
        <v>13086</v>
      </c>
      <c r="F4003" s="38" t="s">
        <v>13093</v>
      </c>
      <c r="G4003" s="38" t="s">
        <v>13088</v>
      </c>
    </row>
    <row r="4004">
      <c r="B4004" s="44"/>
      <c r="C4004" s="44"/>
      <c r="D4004" s="38" t="s">
        <v>13094</v>
      </c>
      <c r="E4004" s="38" t="s">
        <v>1852</v>
      </c>
      <c r="F4004" s="38" t="s">
        <v>13095</v>
      </c>
      <c r="G4004" s="38" t="s">
        <v>13096</v>
      </c>
    </row>
    <row r="4005">
      <c r="B4005" s="44"/>
      <c r="C4005" s="44"/>
      <c r="D4005" s="38" t="s">
        <v>13097</v>
      </c>
      <c r="E4005" s="38" t="s">
        <v>13098</v>
      </c>
      <c r="F4005" s="38" t="s">
        <v>13099</v>
      </c>
      <c r="G4005" s="38" t="s">
        <v>13100</v>
      </c>
    </row>
    <row r="4006">
      <c r="B4006" s="38" t="s">
        <v>439</v>
      </c>
      <c r="C4006" s="38">
        <v>2.0</v>
      </c>
      <c r="D4006" s="38" t="s">
        <v>13101</v>
      </c>
      <c r="E4006" s="38" t="s">
        <v>13102</v>
      </c>
      <c r="F4006" s="38" t="s">
        <v>13103</v>
      </c>
    </row>
    <row r="4007">
      <c r="B4007" s="38" t="s">
        <v>495</v>
      </c>
      <c r="C4007" s="38">
        <v>2.0</v>
      </c>
      <c r="D4007" s="38" t="s">
        <v>408</v>
      </c>
      <c r="E4007" s="38" t="s">
        <v>13102</v>
      </c>
      <c r="F4007" s="38" t="s">
        <v>13103</v>
      </c>
    </row>
    <row r="4008">
      <c r="B4008" s="38" t="s">
        <v>122</v>
      </c>
      <c r="C4008" s="38">
        <v>2.0</v>
      </c>
      <c r="D4008" s="38" t="s">
        <v>684</v>
      </c>
      <c r="E4008" s="38" t="s">
        <v>13104</v>
      </c>
      <c r="F4008" s="38" t="s">
        <v>12621</v>
      </c>
      <c r="G4008" s="504" t="s">
        <v>13105</v>
      </c>
    </row>
    <row r="4009">
      <c r="B4009" s="38" t="s">
        <v>122</v>
      </c>
      <c r="C4009" s="38">
        <v>2.0</v>
      </c>
      <c r="D4009" s="38" t="s">
        <v>684</v>
      </c>
      <c r="E4009" s="38" t="s">
        <v>13106</v>
      </c>
      <c r="F4009" s="38" t="s">
        <v>13107</v>
      </c>
    </row>
    <row r="4010">
      <c r="B4010" s="38" t="s">
        <v>271</v>
      </c>
      <c r="C4010" s="38">
        <v>4.0</v>
      </c>
      <c r="D4010" s="38" t="s">
        <v>1389</v>
      </c>
      <c r="E4010" s="38" t="s">
        <v>2386</v>
      </c>
      <c r="F4010" s="38" t="s">
        <v>13048</v>
      </c>
    </row>
    <row r="4011">
      <c r="B4011" s="44"/>
      <c r="C4011" s="44"/>
      <c r="D4011" s="44"/>
      <c r="E4011" s="38" t="s">
        <v>13108</v>
      </c>
      <c r="F4011" s="38" t="s">
        <v>13109</v>
      </c>
      <c r="G4011" s="38" t="s">
        <v>13110</v>
      </c>
    </row>
    <row r="4012">
      <c r="A4012" s="44"/>
      <c r="B4012" s="38" t="s">
        <v>1296</v>
      </c>
      <c r="C4012" s="38">
        <v>1.0</v>
      </c>
      <c r="D4012" s="38" t="s">
        <v>684</v>
      </c>
      <c r="E4012" s="38" t="s">
        <v>325</v>
      </c>
      <c r="F4012" s="38" t="s">
        <v>13111</v>
      </c>
      <c r="G4012" s="38" t="s">
        <v>144</v>
      </c>
    </row>
    <row r="4013">
      <c r="B4013" s="38" t="s">
        <v>13112</v>
      </c>
      <c r="C4013" s="38">
        <v>4.0</v>
      </c>
      <c r="D4013" s="38" t="s">
        <v>436</v>
      </c>
      <c r="E4013" s="38" t="s">
        <v>13113</v>
      </c>
      <c r="F4013" s="38" t="s">
        <v>13114</v>
      </c>
    </row>
    <row r="4014">
      <c r="B4014" s="5" t="s">
        <v>25</v>
      </c>
      <c r="C4014" s="5">
        <v>2.0</v>
      </c>
      <c r="D4014" s="1" t="s">
        <v>171</v>
      </c>
      <c r="E4014" s="1" t="s">
        <v>2914</v>
      </c>
      <c r="F4014" s="5" t="s">
        <v>5063</v>
      </c>
    </row>
    <row r="4015">
      <c r="B4015" s="5" t="s">
        <v>4748</v>
      </c>
      <c r="C4015" s="5">
        <v>2.0</v>
      </c>
      <c r="D4015" s="1" t="s">
        <v>171</v>
      </c>
      <c r="E4015" s="1" t="s">
        <v>2914</v>
      </c>
      <c r="F4015" s="5" t="s">
        <v>13115</v>
      </c>
    </row>
    <row r="4016">
      <c r="B4016" s="5"/>
      <c r="C4016" s="5"/>
      <c r="D4016" s="1"/>
      <c r="E4016" s="1" t="s">
        <v>2914</v>
      </c>
      <c r="F4016" s="5" t="s">
        <v>13116</v>
      </c>
    </row>
    <row r="4017">
      <c r="B4017" s="38" t="s">
        <v>25</v>
      </c>
      <c r="C4017" s="38">
        <v>4.0</v>
      </c>
      <c r="D4017" s="38" t="s">
        <v>433</v>
      </c>
      <c r="E4017" s="38" t="s">
        <v>11581</v>
      </c>
      <c r="F4017" s="38" t="s">
        <v>12587</v>
      </c>
    </row>
    <row r="4018">
      <c r="B4018" s="38" t="s">
        <v>128</v>
      </c>
      <c r="C4018" s="38">
        <v>2.0</v>
      </c>
      <c r="D4018" s="38" t="s">
        <v>13117</v>
      </c>
      <c r="E4018" s="38" t="s">
        <v>10586</v>
      </c>
      <c r="F4018" s="38" t="s">
        <v>13118</v>
      </c>
    </row>
    <row r="4019">
      <c r="B4019" s="38" t="s">
        <v>13119</v>
      </c>
      <c r="C4019" s="38" t="s">
        <v>13120</v>
      </c>
      <c r="D4019" s="38" t="s">
        <v>13121</v>
      </c>
      <c r="E4019" s="38" t="s">
        <v>217</v>
      </c>
      <c r="F4019" s="38" t="s">
        <v>13122</v>
      </c>
    </row>
    <row r="4020">
      <c r="B4020" s="38" t="s">
        <v>11906</v>
      </c>
      <c r="C4020" s="38" t="s">
        <v>13123</v>
      </c>
      <c r="D4020" s="38" t="s">
        <v>13124</v>
      </c>
      <c r="E4020" s="38" t="s">
        <v>217</v>
      </c>
      <c r="F4020" s="38" t="s">
        <v>13122</v>
      </c>
    </row>
    <row r="4021">
      <c r="B4021" s="44"/>
      <c r="C4021" s="44"/>
      <c r="D4021" s="38" t="s">
        <v>13125</v>
      </c>
      <c r="E4021" s="38" t="s">
        <v>4263</v>
      </c>
      <c r="F4021" s="44"/>
    </row>
    <row r="4022">
      <c r="A4022" s="5"/>
      <c r="B4022" s="38" t="s">
        <v>63</v>
      </c>
      <c r="C4022" s="38">
        <v>4.0</v>
      </c>
      <c r="D4022" s="38" t="s">
        <v>13126</v>
      </c>
      <c r="E4022" s="38" t="s">
        <v>11606</v>
      </c>
      <c r="F4022" s="38" t="s">
        <v>13127</v>
      </c>
      <c r="G4022" s="38" t="s">
        <v>13128</v>
      </c>
    </row>
    <row r="4023">
      <c r="A4023" s="5"/>
      <c r="B4023" s="38" t="s">
        <v>63</v>
      </c>
      <c r="C4023" s="38">
        <v>2.0</v>
      </c>
      <c r="D4023" s="38" t="s">
        <v>13126</v>
      </c>
      <c r="E4023" s="38" t="s">
        <v>11606</v>
      </c>
      <c r="F4023" s="38" t="s">
        <v>13129</v>
      </c>
      <c r="G4023" s="38" t="s">
        <v>13128</v>
      </c>
    </row>
    <row r="4024">
      <c r="A4024" s="5"/>
      <c r="B4024" s="38" t="s">
        <v>63</v>
      </c>
      <c r="C4024" s="38">
        <v>4.0</v>
      </c>
      <c r="D4024" s="38" t="s">
        <v>13126</v>
      </c>
      <c r="E4024" s="38" t="s">
        <v>11606</v>
      </c>
      <c r="F4024" s="38" t="s">
        <v>13130</v>
      </c>
      <c r="G4024" s="38" t="s">
        <v>13128</v>
      </c>
    </row>
    <row r="4025">
      <c r="A4025" s="5"/>
      <c r="B4025" s="38" t="s">
        <v>63</v>
      </c>
      <c r="C4025" s="38">
        <v>2.0</v>
      </c>
      <c r="D4025" s="38" t="s">
        <v>13126</v>
      </c>
      <c r="E4025" s="38" t="s">
        <v>11606</v>
      </c>
      <c r="F4025" s="304" t="s">
        <v>13131</v>
      </c>
      <c r="G4025" s="38" t="s">
        <v>13128</v>
      </c>
    </row>
    <row r="4026">
      <c r="A4026" s="38"/>
      <c r="B4026" s="38"/>
      <c r="C4026" s="38"/>
      <c r="D4026" s="38" t="s">
        <v>13132</v>
      </c>
      <c r="E4026" s="38" t="s">
        <v>12461</v>
      </c>
      <c r="F4026" s="38" t="s">
        <v>13133</v>
      </c>
    </row>
    <row r="4027">
      <c r="A4027" s="38" t="s">
        <v>1113</v>
      </c>
      <c r="B4027" s="38" t="s">
        <v>8704</v>
      </c>
      <c r="C4027" s="38">
        <v>2.0</v>
      </c>
      <c r="D4027" s="38" t="s">
        <v>5281</v>
      </c>
      <c r="E4027" s="38" t="s">
        <v>12461</v>
      </c>
      <c r="F4027" s="38" t="s">
        <v>175</v>
      </c>
    </row>
    <row r="4028">
      <c r="A4028" s="38" t="s">
        <v>1113</v>
      </c>
      <c r="B4028" s="38" t="s">
        <v>5800</v>
      </c>
      <c r="C4028" s="38">
        <v>2.0</v>
      </c>
      <c r="D4028" s="38" t="s">
        <v>5281</v>
      </c>
      <c r="E4028" s="38" t="s">
        <v>12461</v>
      </c>
      <c r="F4028" s="38"/>
    </row>
    <row r="4029">
      <c r="A4029" s="38"/>
      <c r="B4029" s="38" t="s">
        <v>140</v>
      </c>
      <c r="C4029" s="38">
        <v>2.0</v>
      </c>
      <c r="D4029" s="38" t="s">
        <v>992</v>
      </c>
      <c r="E4029" s="38" t="s">
        <v>4428</v>
      </c>
      <c r="F4029" s="38" t="s">
        <v>13134</v>
      </c>
    </row>
    <row r="4030">
      <c r="A4030" s="38"/>
      <c r="B4030" s="38" t="s">
        <v>3820</v>
      </c>
      <c r="C4030" s="38">
        <v>2.0</v>
      </c>
      <c r="D4030" s="38" t="s">
        <v>992</v>
      </c>
      <c r="E4030" s="38" t="s">
        <v>4428</v>
      </c>
      <c r="F4030" s="38" t="s">
        <v>13134</v>
      </c>
    </row>
    <row r="4031">
      <c r="A4031" s="38"/>
      <c r="B4031" s="38" t="s">
        <v>166</v>
      </c>
      <c r="C4031" s="38">
        <v>2.0</v>
      </c>
      <c r="D4031" s="38" t="s">
        <v>13135</v>
      </c>
      <c r="E4031" s="38" t="s">
        <v>4428</v>
      </c>
      <c r="F4031" s="38" t="s">
        <v>13136</v>
      </c>
    </row>
    <row r="4032">
      <c r="A4032" s="38" t="s">
        <v>1113</v>
      </c>
      <c r="B4032" s="38" t="s">
        <v>170</v>
      </c>
      <c r="C4032" s="38">
        <v>2.0</v>
      </c>
      <c r="D4032" s="38" t="s">
        <v>13135</v>
      </c>
      <c r="E4032" s="38" t="s">
        <v>4428</v>
      </c>
      <c r="F4032" s="38" t="s">
        <v>13136</v>
      </c>
    </row>
    <row r="4033">
      <c r="A4033" s="38" t="s">
        <v>1113</v>
      </c>
      <c r="B4033" s="38" t="s">
        <v>183</v>
      </c>
      <c r="C4033" s="38">
        <v>2.0</v>
      </c>
      <c r="D4033" s="38" t="s">
        <v>13137</v>
      </c>
      <c r="E4033" s="38" t="s">
        <v>5287</v>
      </c>
      <c r="F4033" s="38" t="s">
        <v>13138</v>
      </c>
    </row>
    <row r="4034">
      <c r="A4034" s="38" t="s">
        <v>1113</v>
      </c>
      <c r="B4034" s="38" t="s">
        <v>411</v>
      </c>
      <c r="C4034" s="38">
        <v>2.0</v>
      </c>
      <c r="D4034" s="38" t="s">
        <v>13139</v>
      </c>
      <c r="E4034" s="38" t="s">
        <v>5287</v>
      </c>
      <c r="F4034" s="38"/>
    </row>
    <row r="4035">
      <c r="A4035" s="38" t="s">
        <v>1113</v>
      </c>
      <c r="B4035" s="38" t="s">
        <v>439</v>
      </c>
      <c r="C4035" s="38">
        <v>1.0</v>
      </c>
      <c r="D4035" s="38" t="s">
        <v>5608</v>
      </c>
      <c r="E4035" s="38" t="s">
        <v>13140</v>
      </c>
      <c r="F4035" s="38" t="s">
        <v>13141</v>
      </c>
    </row>
    <row r="4036">
      <c r="A4036" s="38" t="s">
        <v>1113</v>
      </c>
      <c r="B4036" s="38" t="s">
        <v>512</v>
      </c>
      <c r="C4036" s="38">
        <v>2.0</v>
      </c>
      <c r="D4036" s="38" t="s">
        <v>5130</v>
      </c>
      <c r="E4036" s="38" t="s">
        <v>13142</v>
      </c>
      <c r="F4036" s="38" t="s">
        <v>13143</v>
      </c>
    </row>
    <row r="4037">
      <c r="A4037" s="38" t="s">
        <v>1113</v>
      </c>
      <c r="B4037" s="38" t="s">
        <v>430</v>
      </c>
      <c r="C4037" s="38">
        <v>2.0</v>
      </c>
      <c r="D4037" s="38" t="s">
        <v>13144</v>
      </c>
      <c r="E4037" s="38" t="s">
        <v>13058</v>
      </c>
      <c r="F4037" s="38" t="s">
        <v>13145</v>
      </c>
      <c r="G4037" s="38" t="s">
        <v>13060</v>
      </c>
    </row>
    <row r="4038">
      <c r="A4038" s="38" t="s">
        <v>1113</v>
      </c>
      <c r="B4038" s="38" t="s">
        <v>755</v>
      </c>
      <c r="C4038" s="38">
        <v>2.0</v>
      </c>
      <c r="D4038" s="38" t="s">
        <v>13146</v>
      </c>
      <c r="E4038" s="40" t="s">
        <v>13147</v>
      </c>
      <c r="F4038" s="38" t="s">
        <v>13148</v>
      </c>
    </row>
    <row r="4039">
      <c r="A4039" s="38" t="s">
        <v>1113</v>
      </c>
      <c r="B4039" s="38" t="s">
        <v>1322</v>
      </c>
      <c r="C4039" s="38">
        <v>2.0</v>
      </c>
      <c r="D4039" s="38" t="s">
        <v>13149</v>
      </c>
      <c r="E4039" s="38" t="s">
        <v>4984</v>
      </c>
      <c r="F4039" s="38" t="s">
        <v>13150</v>
      </c>
    </row>
    <row r="4040">
      <c r="A4040" s="38" t="s">
        <v>1113</v>
      </c>
      <c r="B4040" s="38" t="s">
        <v>2573</v>
      </c>
      <c r="C4040" s="38">
        <v>2.0</v>
      </c>
      <c r="D4040" s="38" t="s">
        <v>13149</v>
      </c>
      <c r="E4040" s="38" t="s">
        <v>4984</v>
      </c>
      <c r="F4040" s="38" t="s">
        <v>13151</v>
      </c>
    </row>
    <row r="4041">
      <c r="A4041" s="38" t="s">
        <v>1113</v>
      </c>
      <c r="B4041" s="38" t="s">
        <v>81</v>
      </c>
      <c r="C4041" s="38">
        <v>4.0</v>
      </c>
      <c r="D4041" s="38" t="s">
        <v>4898</v>
      </c>
      <c r="E4041" s="40" t="s">
        <v>13152</v>
      </c>
      <c r="F4041" s="38" t="s">
        <v>13153</v>
      </c>
    </row>
    <row r="4042">
      <c r="A4042" s="38" t="s">
        <v>1113</v>
      </c>
      <c r="B4042" s="38" t="s">
        <v>81</v>
      </c>
      <c r="C4042" s="38">
        <v>4.0</v>
      </c>
      <c r="D4042" s="38" t="s">
        <v>4898</v>
      </c>
      <c r="E4042" s="40" t="s">
        <v>13154</v>
      </c>
      <c r="F4042" s="38" t="s">
        <v>13155</v>
      </c>
    </row>
    <row r="4043">
      <c r="A4043" s="38" t="s">
        <v>13156</v>
      </c>
      <c r="B4043" s="38" t="s">
        <v>205</v>
      </c>
      <c r="C4043" s="38">
        <v>4.0</v>
      </c>
      <c r="D4043" s="38" t="s">
        <v>13157</v>
      </c>
      <c r="E4043" s="38" t="s">
        <v>7139</v>
      </c>
      <c r="F4043" s="38" t="s">
        <v>13158</v>
      </c>
      <c r="G4043" s="489" t="s">
        <v>13159</v>
      </c>
    </row>
    <row r="4044">
      <c r="A4044" s="38"/>
      <c r="B4044" s="38" t="s">
        <v>58</v>
      </c>
      <c r="C4044" s="38">
        <v>4.0</v>
      </c>
      <c r="D4044" s="38" t="s">
        <v>1114</v>
      </c>
      <c r="E4044" s="47" t="s">
        <v>13160</v>
      </c>
      <c r="F4044" s="38" t="s">
        <v>13161</v>
      </c>
      <c r="G4044" s="489" t="s">
        <v>13162</v>
      </c>
    </row>
    <row r="4045">
      <c r="A4045" s="38" t="s">
        <v>13156</v>
      </c>
      <c r="B4045" s="38" t="s">
        <v>430</v>
      </c>
      <c r="C4045" s="38">
        <v>4.0</v>
      </c>
      <c r="D4045" s="38" t="s">
        <v>13163</v>
      </c>
      <c r="E4045" s="38" t="s">
        <v>13164</v>
      </c>
      <c r="F4045" s="38" t="s">
        <v>2252</v>
      </c>
    </row>
    <row r="4046">
      <c r="A4046" s="5"/>
      <c r="B4046" s="38" t="s">
        <v>5105</v>
      </c>
      <c r="C4046" s="38">
        <v>4.0</v>
      </c>
      <c r="D4046" s="38" t="s">
        <v>13157</v>
      </c>
      <c r="E4046" s="38" t="s">
        <v>2287</v>
      </c>
      <c r="F4046" s="38" t="s">
        <v>13165</v>
      </c>
      <c r="G4046" s="109" t="s">
        <v>13166</v>
      </c>
    </row>
    <row r="4047">
      <c r="A4047" s="38"/>
      <c r="B4047" s="38" t="s">
        <v>77</v>
      </c>
      <c r="C4047" s="38">
        <v>4.0</v>
      </c>
      <c r="D4047" s="38" t="s">
        <v>289</v>
      </c>
      <c r="E4047" s="38" t="s">
        <v>10019</v>
      </c>
      <c r="F4047" s="38"/>
    </row>
    <row r="4048">
      <c r="A4048" s="5"/>
      <c r="B4048" s="38" t="s">
        <v>77</v>
      </c>
      <c r="C4048" s="38">
        <v>4.0</v>
      </c>
      <c r="D4048" s="38" t="s">
        <v>289</v>
      </c>
      <c r="E4048" s="113" t="s">
        <v>13167</v>
      </c>
      <c r="F4048" s="38" t="s">
        <v>13168</v>
      </c>
    </row>
    <row r="4049">
      <c r="A4049" s="38" t="s">
        <v>1113</v>
      </c>
      <c r="B4049" s="38" t="s">
        <v>205</v>
      </c>
      <c r="C4049" s="38">
        <v>2.0</v>
      </c>
      <c r="D4049" s="38" t="s">
        <v>13169</v>
      </c>
      <c r="E4049" s="38" t="s">
        <v>13170</v>
      </c>
      <c r="F4049" s="38" t="s">
        <v>6339</v>
      </c>
    </row>
    <row r="4050">
      <c r="A4050" s="38" t="s">
        <v>13156</v>
      </c>
      <c r="B4050" s="38" t="s">
        <v>85</v>
      </c>
      <c r="C4050" s="38">
        <v>1.0</v>
      </c>
      <c r="D4050" s="38" t="s">
        <v>1109</v>
      </c>
      <c r="E4050" s="40" t="s">
        <v>6195</v>
      </c>
      <c r="F4050" s="38" t="s">
        <v>13171</v>
      </c>
    </row>
    <row r="4051">
      <c r="A4051" s="38" t="s">
        <v>13156</v>
      </c>
      <c r="B4051" s="38" t="s">
        <v>2333</v>
      </c>
      <c r="C4051" s="38">
        <v>4.0</v>
      </c>
      <c r="D4051" s="38" t="s">
        <v>13172</v>
      </c>
      <c r="E4051" s="40" t="s">
        <v>13173</v>
      </c>
      <c r="F4051" s="38" t="s">
        <v>13174</v>
      </c>
      <c r="G4051" s="109" t="s">
        <v>13175</v>
      </c>
    </row>
    <row r="4052">
      <c r="A4052" s="38" t="s">
        <v>13156</v>
      </c>
      <c r="B4052" s="38" t="s">
        <v>430</v>
      </c>
      <c r="C4052" s="38">
        <v>4.0</v>
      </c>
      <c r="D4052" s="38" t="s">
        <v>1109</v>
      </c>
      <c r="E4052" s="40" t="s">
        <v>13176</v>
      </c>
      <c r="F4052" s="38" t="s">
        <v>13177</v>
      </c>
    </row>
    <row r="4053">
      <c r="A4053" s="38" t="s">
        <v>13156</v>
      </c>
      <c r="B4053" s="38" t="s">
        <v>128</v>
      </c>
      <c r="C4053" s="38">
        <v>4.0</v>
      </c>
      <c r="D4053" s="38" t="s">
        <v>1109</v>
      </c>
      <c r="E4053" s="40" t="s">
        <v>11913</v>
      </c>
      <c r="F4053" s="38" t="s">
        <v>13178</v>
      </c>
    </row>
    <row r="4054">
      <c r="A4054" s="38" t="s">
        <v>13156</v>
      </c>
      <c r="B4054" s="38" t="s">
        <v>1296</v>
      </c>
      <c r="C4054" s="38">
        <v>4.0</v>
      </c>
      <c r="D4054" s="38" t="s">
        <v>4057</v>
      </c>
      <c r="E4054" s="40" t="s">
        <v>13179</v>
      </c>
      <c r="F4054" s="38" t="s">
        <v>13180</v>
      </c>
    </row>
    <row r="4055">
      <c r="A4055" s="38" t="s">
        <v>13156</v>
      </c>
      <c r="B4055" s="38" t="s">
        <v>339</v>
      </c>
      <c r="C4055" s="38">
        <v>4.0</v>
      </c>
      <c r="D4055" s="38" t="s">
        <v>13181</v>
      </c>
      <c r="E4055" s="38" t="s">
        <v>13182</v>
      </c>
      <c r="F4055" s="40" t="s">
        <v>13174</v>
      </c>
      <c r="G4055" s="109" t="s">
        <v>13183</v>
      </c>
    </row>
    <row r="4056">
      <c r="A4056" s="38" t="s">
        <v>13156</v>
      </c>
      <c r="B4056" s="38" t="s">
        <v>339</v>
      </c>
      <c r="C4056" s="38">
        <v>2.0</v>
      </c>
      <c r="D4056" s="38" t="s">
        <v>13181</v>
      </c>
      <c r="E4056" s="40" t="s">
        <v>1115</v>
      </c>
      <c r="F4056" s="38" t="s">
        <v>13174</v>
      </c>
    </row>
    <row r="4057">
      <c r="A4057" s="38" t="s">
        <v>13156</v>
      </c>
      <c r="B4057" s="38" t="s">
        <v>283</v>
      </c>
      <c r="C4057" s="38">
        <v>4.0</v>
      </c>
      <c r="D4057" s="38" t="s">
        <v>13184</v>
      </c>
      <c r="E4057" s="40" t="s">
        <v>9380</v>
      </c>
      <c r="F4057" s="49" t="s">
        <v>13185</v>
      </c>
      <c r="G4057" s="489" t="s">
        <v>13186</v>
      </c>
    </row>
    <row r="4058">
      <c r="A4058" s="38" t="s">
        <v>13156</v>
      </c>
      <c r="B4058" s="38" t="s">
        <v>1407</v>
      </c>
      <c r="C4058" s="38">
        <v>4.0</v>
      </c>
      <c r="D4058" s="38" t="s">
        <v>247</v>
      </c>
      <c r="E4058" s="38" t="s">
        <v>9379</v>
      </c>
      <c r="F4058" s="38" t="s">
        <v>13177</v>
      </c>
    </row>
    <row r="4059">
      <c r="A4059" s="38" t="s">
        <v>13156</v>
      </c>
      <c r="B4059" s="38" t="s">
        <v>1162</v>
      </c>
      <c r="C4059" s="38">
        <v>4.0</v>
      </c>
      <c r="D4059" s="38" t="s">
        <v>13187</v>
      </c>
      <c r="E4059" s="40" t="s">
        <v>13188</v>
      </c>
      <c r="F4059" s="38" t="s">
        <v>13155</v>
      </c>
      <c r="G4059" s="489" t="s">
        <v>13189</v>
      </c>
    </row>
    <row r="4060">
      <c r="A4060" s="38" t="s">
        <v>13156</v>
      </c>
      <c r="B4060" s="38" t="s">
        <v>205</v>
      </c>
      <c r="C4060" s="38">
        <v>2.0</v>
      </c>
      <c r="D4060" s="57" t="s">
        <v>1109</v>
      </c>
      <c r="E4060" s="57" t="s">
        <v>8294</v>
      </c>
      <c r="F4060" s="38" t="s">
        <v>13190</v>
      </c>
    </row>
    <row r="4061">
      <c r="A4061" s="38" t="s">
        <v>13156</v>
      </c>
      <c r="B4061" s="38" t="s">
        <v>876</v>
      </c>
      <c r="C4061" s="38">
        <v>2.0</v>
      </c>
      <c r="D4061" s="38" t="s">
        <v>1109</v>
      </c>
      <c r="E4061" s="356" t="s">
        <v>6170</v>
      </c>
      <c r="F4061" s="40" t="s">
        <v>13191</v>
      </c>
    </row>
    <row r="4062">
      <c r="A4062" s="38" t="s">
        <v>13156</v>
      </c>
      <c r="B4062" s="38" t="s">
        <v>31</v>
      </c>
      <c r="C4062" s="38">
        <v>2.0</v>
      </c>
      <c r="D4062" s="38" t="s">
        <v>1109</v>
      </c>
      <c r="E4062" s="40" t="s">
        <v>9384</v>
      </c>
      <c r="F4062" s="38" t="s">
        <v>13180</v>
      </c>
    </row>
    <row r="4063">
      <c r="A4063" s="38" t="s">
        <v>1113</v>
      </c>
      <c r="B4063" s="38" t="s">
        <v>271</v>
      </c>
      <c r="C4063" s="38">
        <v>4.0</v>
      </c>
      <c r="D4063" s="38" t="s">
        <v>1109</v>
      </c>
      <c r="E4063" s="278" t="s">
        <v>13192</v>
      </c>
      <c r="F4063" s="38" t="s">
        <v>13190</v>
      </c>
    </row>
    <row r="4064">
      <c r="A4064" s="38" t="s">
        <v>1113</v>
      </c>
      <c r="B4064" s="38" t="s">
        <v>876</v>
      </c>
      <c r="C4064" s="38">
        <v>4.0</v>
      </c>
      <c r="D4064" s="38" t="s">
        <v>1109</v>
      </c>
      <c r="E4064" s="38" t="s">
        <v>6184</v>
      </c>
      <c r="F4064" s="38" t="s">
        <v>13190</v>
      </c>
    </row>
    <row r="4065">
      <c r="A4065" s="38" t="s">
        <v>13156</v>
      </c>
      <c r="B4065" s="38" t="s">
        <v>28</v>
      </c>
      <c r="C4065" s="38">
        <v>4.0</v>
      </c>
      <c r="D4065" s="38" t="s">
        <v>13193</v>
      </c>
      <c r="E4065" s="304" t="s">
        <v>13194</v>
      </c>
      <c r="F4065" s="38" t="s">
        <v>13178</v>
      </c>
    </row>
    <row r="4066">
      <c r="A4066" s="38"/>
      <c r="B4066" s="38" t="s">
        <v>81</v>
      </c>
      <c r="C4066" s="38">
        <v>4.0</v>
      </c>
      <c r="D4066" s="38" t="s">
        <v>13195</v>
      </c>
      <c r="E4066" s="40" t="s">
        <v>13196</v>
      </c>
      <c r="F4066" s="38" t="s">
        <v>13180</v>
      </c>
    </row>
    <row r="4067">
      <c r="A4067" s="38" t="s">
        <v>1113</v>
      </c>
      <c r="B4067" s="38" t="s">
        <v>2276</v>
      </c>
      <c r="C4067" s="38">
        <v>4.0</v>
      </c>
      <c r="D4067" s="38" t="s">
        <v>13197</v>
      </c>
      <c r="E4067" s="38" t="s">
        <v>11171</v>
      </c>
      <c r="F4067" s="38" t="s">
        <v>13198</v>
      </c>
    </row>
    <row r="4068">
      <c r="A4068" s="38" t="s">
        <v>13156</v>
      </c>
      <c r="B4068" s="38" t="s">
        <v>3682</v>
      </c>
      <c r="C4068" s="38">
        <v>1.0</v>
      </c>
      <c r="D4068" s="38" t="s">
        <v>289</v>
      </c>
      <c r="E4068" s="38" t="s">
        <v>4077</v>
      </c>
      <c r="F4068" s="38" t="s">
        <v>13034</v>
      </c>
    </row>
    <row r="4069">
      <c r="A4069" s="4" t="s">
        <v>13156</v>
      </c>
      <c r="B4069" s="38" t="s">
        <v>1432</v>
      </c>
      <c r="C4069" s="38">
        <v>4.0</v>
      </c>
      <c r="D4069" s="38" t="s">
        <v>4057</v>
      </c>
      <c r="E4069" s="38" t="s">
        <v>4077</v>
      </c>
      <c r="F4069" s="38" t="s">
        <v>13034</v>
      </c>
    </row>
    <row r="4070">
      <c r="A4070" s="4" t="s">
        <v>13156</v>
      </c>
      <c r="B4070" s="38" t="s">
        <v>430</v>
      </c>
      <c r="C4070" s="38">
        <v>2.0</v>
      </c>
      <c r="D4070" s="38" t="s">
        <v>1359</v>
      </c>
      <c r="E4070" s="38" t="s">
        <v>4077</v>
      </c>
      <c r="F4070" s="38" t="s">
        <v>13034</v>
      </c>
    </row>
    <row r="4071">
      <c r="A4071" s="4" t="s">
        <v>13156</v>
      </c>
      <c r="B4071" s="38" t="s">
        <v>354</v>
      </c>
      <c r="C4071" s="38">
        <v>4.0</v>
      </c>
      <c r="D4071" s="38" t="s">
        <v>1359</v>
      </c>
      <c r="E4071" s="38" t="s">
        <v>13199</v>
      </c>
      <c r="F4071" s="38" t="s">
        <v>13200</v>
      </c>
      <c r="G4071" s="1" t="s">
        <v>13201</v>
      </c>
    </row>
    <row r="4072">
      <c r="A4072" s="4" t="s">
        <v>12245</v>
      </c>
      <c r="B4072" s="38" t="s">
        <v>219</v>
      </c>
      <c r="C4072" s="38">
        <v>4.0</v>
      </c>
      <c r="D4072" s="38" t="s">
        <v>1359</v>
      </c>
      <c r="E4072" s="38" t="s">
        <v>7408</v>
      </c>
      <c r="F4072" s="38" t="s">
        <v>13202</v>
      </c>
      <c r="G4072" s="38" t="s">
        <v>13203</v>
      </c>
    </row>
    <row r="4073">
      <c r="B4073" s="38"/>
      <c r="C4073" s="38"/>
      <c r="D4073" s="38"/>
      <c r="E4073" s="38" t="s">
        <v>7408</v>
      </c>
      <c r="F4073" s="38" t="s">
        <v>13204</v>
      </c>
      <c r="G4073" s="38" t="s">
        <v>13205</v>
      </c>
    </row>
    <row r="4074">
      <c r="A4074" s="4" t="s">
        <v>12245</v>
      </c>
      <c r="B4074" s="38" t="s">
        <v>219</v>
      </c>
      <c r="C4074" s="38">
        <v>4.0</v>
      </c>
      <c r="D4074" s="38" t="s">
        <v>1359</v>
      </c>
      <c r="E4074" s="523" t="s">
        <v>13206</v>
      </c>
      <c r="F4074" s="38" t="s">
        <v>13207</v>
      </c>
      <c r="G4074" s="38" t="s">
        <v>13208</v>
      </c>
    </row>
    <row r="4075">
      <c r="A4075" s="4" t="s">
        <v>12245</v>
      </c>
      <c r="B4075" s="38" t="s">
        <v>430</v>
      </c>
      <c r="C4075" s="38">
        <v>4.0</v>
      </c>
      <c r="D4075" s="38" t="s">
        <v>13209</v>
      </c>
      <c r="E4075" s="38" t="s">
        <v>13210</v>
      </c>
      <c r="F4075" s="38" t="s">
        <v>13211</v>
      </c>
    </row>
    <row r="4076">
      <c r="A4076" s="4" t="s">
        <v>13156</v>
      </c>
      <c r="B4076" s="38" t="s">
        <v>303</v>
      </c>
      <c r="C4076" s="38">
        <v>4.0</v>
      </c>
      <c r="D4076" s="38" t="s">
        <v>123</v>
      </c>
      <c r="E4076" s="38" t="s">
        <v>13212</v>
      </c>
      <c r="F4076" s="38" t="s">
        <v>13213</v>
      </c>
      <c r="G4076" s="109" t="s">
        <v>13214</v>
      </c>
    </row>
    <row r="4077">
      <c r="A4077" s="4"/>
      <c r="B4077" s="38" t="s">
        <v>58</v>
      </c>
      <c r="C4077" s="38">
        <v>4.0</v>
      </c>
      <c r="D4077" s="38" t="s">
        <v>13215</v>
      </c>
      <c r="E4077" s="39" t="s">
        <v>13216</v>
      </c>
      <c r="F4077" s="38" t="s">
        <v>13217</v>
      </c>
      <c r="G4077" s="38" t="s">
        <v>13218</v>
      </c>
    </row>
    <row r="4078">
      <c r="A4078" s="4" t="s">
        <v>1113</v>
      </c>
      <c r="B4078" s="38" t="s">
        <v>170</v>
      </c>
      <c r="C4078" s="38">
        <v>2.0</v>
      </c>
      <c r="D4078" s="38" t="s">
        <v>13219</v>
      </c>
      <c r="E4078" s="38" t="s">
        <v>1309</v>
      </c>
      <c r="F4078" s="38" t="s">
        <v>13220</v>
      </c>
    </row>
    <row r="4079">
      <c r="A4079" s="4" t="s">
        <v>1113</v>
      </c>
      <c r="B4079" s="38" t="s">
        <v>94</v>
      </c>
      <c r="C4079" s="38">
        <v>2.0</v>
      </c>
      <c r="D4079" s="38" t="s">
        <v>13219</v>
      </c>
      <c r="E4079" s="38" t="s">
        <v>1309</v>
      </c>
      <c r="F4079" s="38" t="s">
        <v>13220</v>
      </c>
    </row>
    <row r="4080">
      <c r="A4080" s="4" t="s">
        <v>1113</v>
      </c>
      <c r="B4080" s="38" t="s">
        <v>3822</v>
      </c>
      <c r="C4080" s="38">
        <v>2.0</v>
      </c>
      <c r="D4080" s="38" t="s">
        <v>13219</v>
      </c>
      <c r="E4080" s="38" t="s">
        <v>13221</v>
      </c>
      <c r="F4080" s="38" t="s">
        <v>13220</v>
      </c>
    </row>
    <row r="4081">
      <c r="A4081" s="38" t="s">
        <v>1113</v>
      </c>
      <c r="B4081" s="38" t="s">
        <v>153</v>
      </c>
      <c r="C4081" s="38">
        <v>2.0</v>
      </c>
      <c r="D4081" s="38" t="s">
        <v>13219</v>
      </c>
      <c r="E4081" s="38" t="s">
        <v>13221</v>
      </c>
      <c r="F4081" s="38" t="s">
        <v>13220</v>
      </c>
    </row>
    <row r="4082">
      <c r="A4082" s="5"/>
      <c r="B4082" s="38" t="s">
        <v>512</v>
      </c>
      <c r="C4082" s="38">
        <v>2.0</v>
      </c>
      <c r="D4082" s="38" t="s">
        <v>5130</v>
      </c>
      <c r="E4082" s="38" t="s">
        <v>13222</v>
      </c>
      <c r="F4082" s="38" t="s">
        <v>13143</v>
      </c>
    </row>
    <row r="4083">
      <c r="A4083" s="38" t="s">
        <v>1113</v>
      </c>
      <c r="B4083" s="38" t="s">
        <v>4756</v>
      </c>
      <c r="C4083" s="38">
        <v>4.0</v>
      </c>
      <c r="D4083" s="38" t="s">
        <v>13157</v>
      </c>
      <c r="E4083" s="38" t="s">
        <v>13223</v>
      </c>
      <c r="F4083" s="38" t="s">
        <v>13224</v>
      </c>
      <c r="G4083" s="109" t="s">
        <v>13225</v>
      </c>
    </row>
    <row r="4084">
      <c r="A4084" s="38" t="s">
        <v>13226</v>
      </c>
      <c r="B4084" s="38" t="s">
        <v>31</v>
      </c>
      <c r="C4084" s="38">
        <v>4.0</v>
      </c>
      <c r="D4084" s="38" t="s">
        <v>13157</v>
      </c>
      <c r="E4084" s="38" t="s">
        <v>13227</v>
      </c>
      <c r="F4084" s="38" t="s">
        <v>13228</v>
      </c>
      <c r="G4084" s="109" t="s">
        <v>13229</v>
      </c>
    </row>
    <row r="4085">
      <c r="A4085" s="38" t="s">
        <v>1113</v>
      </c>
      <c r="B4085" s="38" t="s">
        <v>122</v>
      </c>
      <c r="C4085" s="38">
        <v>4.0</v>
      </c>
      <c r="D4085" s="38" t="s">
        <v>13157</v>
      </c>
      <c r="E4085" s="39" t="s">
        <v>3188</v>
      </c>
      <c r="F4085" s="38" t="s">
        <v>13230</v>
      </c>
      <c r="G4085" s="489" t="s">
        <v>13231</v>
      </c>
    </row>
    <row r="4086">
      <c r="A4086" s="38" t="s">
        <v>1113</v>
      </c>
      <c r="B4086" s="38" t="s">
        <v>416</v>
      </c>
      <c r="C4086" s="38">
        <v>4.0</v>
      </c>
      <c r="D4086" s="38" t="s">
        <v>1109</v>
      </c>
      <c r="E4086" s="91" t="s">
        <v>9266</v>
      </c>
      <c r="F4086" s="38" t="s">
        <v>5418</v>
      </c>
    </row>
    <row r="4087">
      <c r="A4087" s="38" t="s">
        <v>1113</v>
      </c>
      <c r="B4087" s="38" t="s">
        <v>1432</v>
      </c>
      <c r="C4087" s="38">
        <v>4.0</v>
      </c>
      <c r="D4087" s="357" t="s">
        <v>13232</v>
      </c>
      <c r="E4087" s="38" t="s">
        <v>4210</v>
      </c>
      <c r="F4087" s="38" t="s">
        <v>13233</v>
      </c>
      <c r="G4087" s="489" t="s">
        <v>13234</v>
      </c>
    </row>
    <row r="4088">
      <c r="A4088" s="44"/>
      <c r="B4088" s="38"/>
      <c r="C4088" s="38">
        <v>4.0</v>
      </c>
      <c r="D4088" s="38" t="s">
        <v>13235</v>
      </c>
      <c r="E4088" s="38" t="s">
        <v>4210</v>
      </c>
      <c r="F4088" s="38" t="s">
        <v>13233</v>
      </c>
    </row>
    <row r="4089">
      <c r="A4089" s="38" t="s">
        <v>1113</v>
      </c>
      <c r="B4089" s="38" t="s">
        <v>1513</v>
      </c>
      <c r="C4089" s="38">
        <v>4.0</v>
      </c>
      <c r="D4089" s="38" t="s">
        <v>402</v>
      </c>
      <c r="E4089" s="38" t="s">
        <v>13236</v>
      </c>
      <c r="F4089" s="38" t="s">
        <v>13237</v>
      </c>
      <c r="G4089" s="507" t="s">
        <v>13238</v>
      </c>
    </row>
    <row r="4090">
      <c r="A4090" s="38" t="s">
        <v>1113</v>
      </c>
      <c r="B4090" s="38" t="s">
        <v>718</v>
      </c>
      <c r="C4090" s="38">
        <v>2.0</v>
      </c>
      <c r="D4090" s="38" t="s">
        <v>13157</v>
      </c>
      <c r="E4090" s="38" t="s">
        <v>437</v>
      </c>
      <c r="F4090" s="38" t="s">
        <v>13239</v>
      </c>
      <c r="G4090" s="38" t="s">
        <v>13240</v>
      </c>
      <c r="H4090" s="489" t="s">
        <v>13241</v>
      </c>
    </row>
    <row r="4091">
      <c r="A4091" s="38" t="s">
        <v>1113</v>
      </c>
      <c r="B4091" s="38" t="s">
        <v>2013</v>
      </c>
      <c r="C4091" s="38">
        <v>2.0</v>
      </c>
      <c r="D4091" s="38" t="s">
        <v>13157</v>
      </c>
      <c r="E4091" s="38" t="s">
        <v>437</v>
      </c>
      <c r="F4091" s="38" t="s">
        <v>13242</v>
      </c>
      <c r="G4091" s="38" t="s">
        <v>13240</v>
      </c>
    </row>
    <row r="4092">
      <c r="A4092" s="38" t="s">
        <v>1113</v>
      </c>
      <c r="B4092" s="38" t="s">
        <v>351</v>
      </c>
      <c r="C4092" s="38">
        <v>5.0</v>
      </c>
      <c r="D4092" s="38" t="s">
        <v>13243</v>
      </c>
      <c r="E4092" s="38" t="s">
        <v>437</v>
      </c>
      <c r="F4092" s="38" t="s">
        <v>208</v>
      </c>
      <c r="G4092" s="38" t="s">
        <v>13240</v>
      </c>
    </row>
    <row r="4093">
      <c r="A4093" s="38" t="s">
        <v>13244</v>
      </c>
      <c r="B4093" s="38" t="s">
        <v>718</v>
      </c>
      <c r="C4093" s="38">
        <v>4.0</v>
      </c>
      <c r="D4093" s="38" t="s">
        <v>13157</v>
      </c>
      <c r="E4093" s="38" t="s">
        <v>13245</v>
      </c>
      <c r="F4093" s="38" t="s">
        <v>13246</v>
      </c>
    </row>
    <row r="4094">
      <c r="A4094" s="38" t="s">
        <v>3514</v>
      </c>
      <c r="B4094" s="38" t="s">
        <v>31</v>
      </c>
      <c r="C4094" s="38">
        <v>4.0</v>
      </c>
      <c r="D4094" s="38" t="s">
        <v>13157</v>
      </c>
      <c r="E4094" s="38" t="s">
        <v>13247</v>
      </c>
      <c r="F4094" s="38" t="s">
        <v>150</v>
      </c>
      <c r="G4094" s="1" t="s">
        <v>13248</v>
      </c>
    </row>
    <row r="4095">
      <c r="A4095" s="38" t="s">
        <v>1113</v>
      </c>
      <c r="B4095" s="38" t="s">
        <v>430</v>
      </c>
      <c r="C4095" s="38">
        <v>1.0</v>
      </c>
      <c r="D4095" s="38" t="s">
        <v>13249</v>
      </c>
      <c r="E4095" s="38" t="s">
        <v>13250</v>
      </c>
      <c r="F4095" s="38" t="s">
        <v>13251</v>
      </c>
    </row>
    <row r="4096">
      <c r="A4096" s="5"/>
      <c r="B4096" s="38" t="s">
        <v>219</v>
      </c>
      <c r="C4096" s="38">
        <v>4.0</v>
      </c>
      <c r="D4096" s="38" t="s">
        <v>8381</v>
      </c>
      <c r="E4096" s="47" t="s">
        <v>13252</v>
      </c>
      <c r="F4096" s="38" t="s">
        <v>13253</v>
      </c>
      <c r="G4096" s="489" t="s">
        <v>13254</v>
      </c>
    </row>
    <row r="4097">
      <c r="A4097" s="38"/>
      <c r="B4097" s="38" t="s">
        <v>4563</v>
      </c>
      <c r="C4097" s="38">
        <v>4.0</v>
      </c>
      <c r="D4097" s="38" t="s">
        <v>402</v>
      </c>
      <c r="E4097" s="38" t="s">
        <v>13255</v>
      </c>
      <c r="F4097" s="38" t="s">
        <v>2252</v>
      </c>
      <c r="G4097" s="38" t="s">
        <v>13256</v>
      </c>
    </row>
    <row r="4098">
      <c r="A4098" s="38"/>
      <c r="B4098" s="38" t="s">
        <v>25</v>
      </c>
      <c r="C4098" s="38">
        <v>4.0</v>
      </c>
      <c r="D4098" s="38" t="s">
        <v>402</v>
      </c>
      <c r="E4098" s="47" t="s">
        <v>13257</v>
      </c>
      <c r="F4098" s="38" t="s">
        <v>2252</v>
      </c>
      <c r="G4098" s="38" t="s">
        <v>13258</v>
      </c>
    </row>
    <row r="4099">
      <c r="A4099" s="38" t="s">
        <v>13259</v>
      </c>
      <c r="B4099" s="38" t="s">
        <v>25</v>
      </c>
      <c r="C4099" s="38">
        <v>4.0</v>
      </c>
      <c r="D4099" s="38" t="s">
        <v>402</v>
      </c>
      <c r="E4099" s="38" t="s">
        <v>13260</v>
      </c>
      <c r="F4099" s="38" t="s">
        <v>13261</v>
      </c>
      <c r="G4099" s="489" t="s">
        <v>13262</v>
      </c>
    </row>
    <row r="4100">
      <c r="A4100" s="38" t="s">
        <v>13263</v>
      </c>
      <c r="B4100" s="38" t="s">
        <v>271</v>
      </c>
      <c r="C4100" s="38">
        <v>4.0</v>
      </c>
      <c r="D4100" s="38" t="s">
        <v>289</v>
      </c>
      <c r="E4100" s="39" t="s">
        <v>9922</v>
      </c>
      <c r="F4100" s="38" t="s">
        <v>4643</v>
      </c>
    </row>
    <row r="4101">
      <c r="B4101" s="38" t="s">
        <v>13264</v>
      </c>
      <c r="C4101" s="38" t="s">
        <v>13265</v>
      </c>
      <c r="D4101" s="38" t="s">
        <v>13266</v>
      </c>
      <c r="E4101" s="132" t="s">
        <v>13267</v>
      </c>
      <c r="F4101" s="38" t="s">
        <v>13268</v>
      </c>
      <c r="G4101" s="38" t="s">
        <v>12289</v>
      </c>
    </row>
    <row r="4102">
      <c r="B4102" s="44"/>
      <c r="C4102" s="44"/>
      <c r="D4102" s="524" t="s">
        <v>13269</v>
      </c>
      <c r="E4102" s="38" t="s">
        <v>13270</v>
      </c>
      <c r="F4102" s="44"/>
    </row>
    <row r="4103">
      <c r="B4103" s="44"/>
      <c r="C4103" s="44"/>
      <c r="D4103" s="524"/>
      <c r="E4103" s="38" t="s">
        <v>13270</v>
      </c>
      <c r="F4103" s="38" t="s">
        <v>13271</v>
      </c>
    </row>
    <row r="4104">
      <c r="B4104" s="38" t="s">
        <v>1006</v>
      </c>
      <c r="C4104" s="38">
        <v>4.0</v>
      </c>
      <c r="D4104" s="38" t="s">
        <v>684</v>
      </c>
      <c r="E4104" s="38" t="s">
        <v>13272</v>
      </c>
      <c r="F4104" s="38" t="s">
        <v>13273</v>
      </c>
    </row>
    <row r="4105">
      <c r="B4105" s="44"/>
      <c r="C4105" s="44"/>
      <c r="D4105" s="38" t="s">
        <v>13274</v>
      </c>
      <c r="E4105" s="38" t="s">
        <v>974</v>
      </c>
      <c r="F4105" s="38" t="s">
        <v>144</v>
      </c>
    </row>
    <row r="4106">
      <c r="B4106" s="38" t="s">
        <v>755</v>
      </c>
      <c r="C4106" s="38">
        <v>1.0</v>
      </c>
      <c r="D4106" s="38" t="s">
        <v>6296</v>
      </c>
      <c r="E4106" s="39" t="s">
        <v>13275</v>
      </c>
      <c r="F4106" s="38" t="s">
        <v>13276</v>
      </c>
    </row>
    <row r="4107">
      <c r="B4107" s="38" t="s">
        <v>13277</v>
      </c>
      <c r="C4107" s="38" t="s">
        <v>13278</v>
      </c>
      <c r="D4107" s="38" t="s">
        <v>13279</v>
      </c>
      <c r="E4107" s="38" t="s">
        <v>1017</v>
      </c>
      <c r="F4107" s="38" t="s">
        <v>13280</v>
      </c>
    </row>
    <row r="4108">
      <c r="B4108" s="38" t="s">
        <v>219</v>
      </c>
      <c r="C4108" s="38">
        <v>8.0</v>
      </c>
      <c r="D4108" s="38" t="s">
        <v>408</v>
      </c>
      <c r="E4108" s="47" t="s">
        <v>13281</v>
      </c>
      <c r="F4108" s="38" t="s">
        <v>13282</v>
      </c>
    </row>
    <row r="4109">
      <c r="B4109" s="38" t="s">
        <v>333</v>
      </c>
      <c r="C4109" s="38">
        <v>4.0</v>
      </c>
      <c r="D4109" s="38" t="s">
        <v>2421</v>
      </c>
      <c r="E4109" s="38" t="s">
        <v>13283</v>
      </c>
      <c r="F4109" s="38" t="s">
        <v>13284</v>
      </c>
    </row>
    <row r="4110">
      <c r="B4110" s="38" t="s">
        <v>629</v>
      </c>
      <c r="C4110" s="38">
        <v>2.0</v>
      </c>
      <c r="D4110" s="38" t="s">
        <v>13285</v>
      </c>
      <c r="E4110" s="38" t="s">
        <v>13286</v>
      </c>
      <c r="F4110" s="38" t="s">
        <v>13287</v>
      </c>
    </row>
    <row r="4111">
      <c r="B4111" s="38" t="s">
        <v>214</v>
      </c>
      <c r="C4111" s="38">
        <v>2.0</v>
      </c>
      <c r="D4111" s="38" t="s">
        <v>7009</v>
      </c>
      <c r="E4111" s="38" t="s">
        <v>13288</v>
      </c>
      <c r="F4111" s="38" t="s">
        <v>13289</v>
      </c>
    </row>
    <row r="4112">
      <c r="B4112" s="38" t="s">
        <v>210</v>
      </c>
      <c r="C4112" s="38">
        <v>2.0</v>
      </c>
      <c r="D4112" s="38" t="s">
        <v>7009</v>
      </c>
      <c r="E4112" s="38" t="s">
        <v>13288</v>
      </c>
      <c r="F4112" s="38" t="s">
        <v>13289</v>
      </c>
    </row>
    <row r="4113">
      <c r="B4113" s="38" t="s">
        <v>1409</v>
      </c>
      <c r="C4113" s="38">
        <v>2.0</v>
      </c>
      <c r="D4113" s="38" t="s">
        <v>2927</v>
      </c>
      <c r="E4113" s="38" t="s">
        <v>325</v>
      </c>
      <c r="F4113" s="38" t="s">
        <v>13290</v>
      </c>
    </row>
    <row r="4114">
      <c r="B4114" s="38" t="s">
        <v>103</v>
      </c>
      <c r="C4114" s="38">
        <v>2.0</v>
      </c>
      <c r="D4114" s="38" t="s">
        <v>2927</v>
      </c>
      <c r="E4114" s="38" t="s">
        <v>325</v>
      </c>
      <c r="F4114" s="38" t="s">
        <v>13290</v>
      </c>
    </row>
    <row r="4115">
      <c r="B4115" s="38" t="s">
        <v>58</v>
      </c>
      <c r="C4115" s="38">
        <v>4.0</v>
      </c>
      <c r="D4115" s="38" t="s">
        <v>10461</v>
      </c>
      <c r="E4115" s="38" t="s">
        <v>325</v>
      </c>
      <c r="F4115" s="38" t="s">
        <v>13290</v>
      </c>
    </row>
    <row r="4116">
      <c r="B4116" s="38" t="s">
        <v>28</v>
      </c>
      <c r="C4116" s="38">
        <v>4.0</v>
      </c>
      <c r="D4116" s="38" t="s">
        <v>27</v>
      </c>
      <c r="E4116" s="38" t="s">
        <v>325</v>
      </c>
      <c r="F4116" s="38" t="s">
        <v>13291</v>
      </c>
    </row>
    <row r="4117">
      <c r="B4117" s="38" t="s">
        <v>876</v>
      </c>
      <c r="C4117" s="38">
        <v>4.0</v>
      </c>
      <c r="D4117" s="38" t="s">
        <v>13292</v>
      </c>
      <c r="E4117" s="38" t="s">
        <v>13293</v>
      </c>
      <c r="F4117" s="38" t="s">
        <v>13294</v>
      </c>
    </row>
    <row r="4118">
      <c r="B4118" s="38" t="s">
        <v>28</v>
      </c>
      <c r="C4118" s="38">
        <v>12.0</v>
      </c>
      <c r="D4118" s="38" t="s">
        <v>289</v>
      </c>
      <c r="E4118" s="38" t="s">
        <v>13293</v>
      </c>
      <c r="F4118" s="38" t="s">
        <v>13294</v>
      </c>
    </row>
    <row r="4119">
      <c r="B4119" s="38" t="s">
        <v>271</v>
      </c>
      <c r="C4119" s="38">
        <v>8.0</v>
      </c>
      <c r="D4119" s="38" t="s">
        <v>289</v>
      </c>
      <c r="E4119" s="38" t="s">
        <v>13293</v>
      </c>
      <c r="F4119" s="38" t="s">
        <v>13294</v>
      </c>
    </row>
    <row r="4120">
      <c r="B4120" s="38" t="s">
        <v>7695</v>
      </c>
      <c r="C4120" s="38">
        <v>4.0</v>
      </c>
      <c r="D4120" s="38" t="s">
        <v>289</v>
      </c>
      <c r="E4120" s="38" t="s">
        <v>13293</v>
      </c>
      <c r="F4120" s="38" t="s">
        <v>13294</v>
      </c>
    </row>
    <row r="4121">
      <c r="B4121" s="38" t="s">
        <v>25</v>
      </c>
      <c r="C4121" s="38">
        <v>4.0</v>
      </c>
      <c r="D4121" s="38" t="s">
        <v>289</v>
      </c>
      <c r="E4121" s="38" t="s">
        <v>13293</v>
      </c>
      <c r="F4121" s="38" t="s">
        <v>13294</v>
      </c>
    </row>
    <row r="4122">
      <c r="B4122" s="38" t="s">
        <v>7695</v>
      </c>
      <c r="C4122" s="38">
        <v>4.0</v>
      </c>
      <c r="D4122" s="38" t="s">
        <v>13295</v>
      </c>
      <c r="E4122" s="39" t="s">
        <v>13296</v>
      </c>
      <c r="F4122" s="38" t="s">
        <v>13297</v>
      </c>
    </row>
    <row r="4123">
      <c r="B4123" s="38" t="s">
        <v>25</v>
      </c>
      <c r="C4123" s="38">
        <v>4.0</v>
      </c>
      <c r="D4123" s="38" t="s">
        <v>545</v>
      </c>
      <c r="E4123" s="38" t="s">
        <v>13298</v>
      </c>
      <c r="F4123" s="38" t="s">
        <v>13299</v>
      </c>
    </row>
    <row r="4124">
      <c r="B4124" s="38" t="s">
        <v>25</v>
      </c>
      <c r="C4124" s="38">
        <v>2.0</v>
      </c>
      <c r="D4124" s="38" t="s">
        <v>6569</v>
      </c>
      <c r="E4124" s="38" t="s">
        <v>13298</v>
      </c>
      <c r="F4124" s="38" t="s">
        <v>13299</v>
      </c>
    </row>
    <row r="4125">
      <c r="B4125" s="44"/>
      <c r="C4125" s="44"/>
      <c r="D4125" s="38" t="s">
        <v>13300</v>
      </c>
      <c r="E4125" s="38" t="s">
        <v>13301</v>
      </c>
      <c r="F4125" s="38" t="s">
        <v>13302</v>
      </c>
    </row>
    <row r="4126">
      <c r="B4126" s="38" t="s">
        <v>28</v>
      </c>
      <c r="C4126" s="38">
        <v>4.0</v>
      </c>
      <c r="D4126" s="38" t="s">
        <v>3135</v>
      </c>
      <c r="E4126" s="38" t="s">
        <v>325</v>
      </c>
      <c r="F4126" s="38" t="s">
        <v>13303</v>
      </c>
    </row>
    <row r="4127">
      <c r="B4127" s="38" t="s">
        <v>3682</v>
      </c>
      <c r="C4127" s="38">
        <v>2.0</v>
      </c>
      <c r="D4127" s="38" t="s">
        <v>433</v>
      </c>
      <c r="E4127" s="38" t="s">
        <v>4077</v>
      </c>
      <c r="F4127" s="38" t="s">
        <v>13304</v>
      </c>
      <c r="G4127" s="38" t="s">
        <v>13034</v>
      </c>
    </row>
    <row r="4128">
      <c r="B4128" s="38"/>
      <c r="C4128" s="38"/>
      <c r="D4128" s="38"/>
      <c r="E4128" s="38" t="s">
        <v>4077</v>
      </c>
      <c r="F4128" s="38" t="s">
        <v>13305</v>
      </c>
      <c r="G4128" s="38" t="s">
        <v>13034</v>
      </c>
    </row>
    <row r="4129">
      <c r="B4129" s="38" t="s">
        <v>354</v>
      </c>
      <c r="C4129" s="38">
        <v>2.0</v>
      </c>
      <c r="D4129" s="38" t="s">
        <v>12483</v>
      </c>
      <c r="E4129" s="38" t="s">
        <v>325</v>
      </c>
      <c r="F4129" s="38" t="s">
        <v>13306</v>
      </c>
    </row>
    <row r="4130">
      <c r="B4130" s="38" t="s">
        <v>479</v>
      </c>
      <c r="C4130" s="38">
        <v>2.0</v>
      </c>
      <c r="D4130" s="38" t="s">
        <v>12483</v>
      </c>
      <c r="E4130" s="38" t="s">
        <v>325</v>
      </c>
      <c r="F4130" s="38" t="s">
        <v>13306</v>
      </c>
    </row>
    <row r="4131">
      <c r="B4131" s="38" t="s">
        <v>4748</v>
      </c>
      <c r="C4131" s="38">
        <v>1.0</v>
      </c>
      <c r="D4131" s="38" t="s">
        <v>8616</v>
      </c>
      <c r="E4131" s="47" t="s">
        <v>13307</v>
      </c>
      <c r="F4131" s="38" t="s">
        <v>13308</v>
      </c>
    </row>
    <row r="4132">
      <c r="B4132" s="38" t="s">
        <v>8985</v>
      </c>
      <c r="C4132" s="38">
        <v>1.0</v>
      </c>
      <c r="D4132" s="38" t="s">
        <v>6117</v>
      </c>
      <c r="E4132" s="38" t="s">
        <v>13309</v>
      </c>
      <c r="F4132" s="38" t="s">
        <v>13299</v>
      </c>
    </row>
    <row r="4133">
      <c r="B4133" s="38" t="s">
        <v>219</v>
      </c>
      <c r="C4133" s="38">
        <v>4.0</v>
      </c>
      <c r="D4133" s="38" t="s">
        <v>13310</v>
      </c>
      <c r="E4133" s="38" t="s">
        <v>13311</v>
      </c>
      <c r="F4133" s="38" t="s">
        <v>13312</v>
      </c>
    </row>
    <row r="4134">
      <c r="B4134" s="38" t="s">
        <v>13313</v>
      </c>
      <c r="C4134" s="44"/>
      <c r="D4134" s="38" t="s">
        <v>13314</v>
      </c>
      <c r="E4134" s="38" t="s">
        <v>13315</v>
      </c>
      <c r="F4134" s="38" t="s">
        <v>13220</v>
      </c>
    </row>
    <row r="4135">
      <c r="B4135" s="44"/>
      <c r="C4135" s="44"/>
      <c r="D4135" s="38" t="s">
        <v>13316</v>
      </c>
      <c r="E4135" s="38" t="s">
        <v>9035</v>
      </c>
      <c r="F4135" s="44"/>
    </row>
    <row r="4136">
      <c r="B4136" s="44"/>
      <c r="C4136" s="44"/>
      <c r="D4136" s="38" t="s">
        <v>13317</v>
      </c>
      <c r="E4136" s="38" t="s">
        <v>1017</v>
      </c>
      <c r="F4136" s="38" t="s">
        <v>13280</v>
      </c>
    </row>
    <row r="4137">
      <c r="A4137" s="5"/>
      <c r="B4137" s="38" t="s">
        <v>122</v>
      </c>
      <c r="C4137" s="38">
        <v>4.0</v>
      </c>
      <c r="D4137" s="38" t="s">
        <v>408</v>
      </c>
      <c r="E4137" s="38" t="s">
        <v>13318</v>
      </c>
      <c r="F4137" s="38" t="s">
        <v>13319</v>
      </c>
    </row>
    <row r="4138">
      <c r="B4138" s="38" t="s">
        <v>430</v>
      </c>
      <c r="C4138" s="38">
        <v>4.0</v>
      </c>
      <c r="D4138" s="38" t="s">
        <v>684</v>
      </c>
      <c r="E4138" s="39" t="s">
        <v>10200</v>
      </c>
      <c r="F4138" s="38" t="s">
        <v>3933</v>
      </c>
      <c r="G4138" s="489" t="s">
        <v>13320</v>
      </c>
      <c r="H4138" s="1" t="s">
        <v>13321</v>
      </c>
    </row>
    <row r="4139">
      <c r="B4139" s="38" t="s">
        <v>13322</v>
      </c>
      <c r="C4139" s="38" t="s">
        <v>13323</v>
      </c>
      <c r="D4139" s="38" t="s">
        <v>13324</v>
      </c>
      <c r="E4139" s="38" t="s">
        <v>11042</v>
      </c>
      <c r="F4139" s="38" t="s">
        <v>13325</v>
      </c>
      <c r="G4139" s="38" t="s">
        <v>4421</v>
      </c>
    </row>
    <row r="4140">
      <c r="B4140" s="47" t="s">
        <v>6573</v>
      </c>
      <c r="C4140" s="38">
        <v>4.0</v>
      </c>
      <c r="D4140" s="47" t="s">
        <v>13326</v>
      </c>
      <c r="E4140" s="47" t="s">
        <v>13327</v>
      </c>
      <c r="F4140" s="38"/>
    </row>
    <row r="4141">
      <c r="B4141" s="44"/>
      <c r="C4141" s="38" t="s">
        <v>13328</v>
      </c>
      <c r="D4141" s="38" t="s">
        <v>13329</v>
      </c>
      <c r="E4141" s="38" t="s">
        <v>974</v>
      </c>
      <c r="F4141" s="38" t="s">
        <v>11259</v>
      </c>
      <c r="G4141" s="38" t="s">
        <v>144</v>
      </c>
    </row>
    <row r="4142">
      <c r="B4142" s="44"/>
      <c r="C4142" s="44"/>
      <c r="D4142" s="38" t="s">
        <v>13330</v>
      </c>
      <c r="E4142" s="132" t="s">
        <v>12738</v>
      </c>
      <c r="F4142" s="38" t="s">
        <v>13331</v>
      </c>
      <c r="G4142" s="38" t="s">
        <v>13332</v>
      </c>
    </row>
    <row r="4143">
      <c r="B4143" s="38" t="s">
        <v>31</v>
      </c>
      <c r="C4143" s="38">
        <v>2.0</v>
      </c>
      <c r="D4143" s="38" t="s">
        <v>6747</v>
      </c>
      <c r="E4143" s="38" t="s">
        <v>434</v>
      </c>
      <c r="F4143" s="38" t="s">
        <v>13333</v>
      </c>
    </row>
    <row r="4144">
      <c r="B4144" s="1" t="s">
        <v>718</v>
      </c>
      <c r="C4144" s="1">
        <v>1.0</v>
      </c>
      <c r="D4144" s="1" t="s">
        <v>6747</v>
      </c>
      <c r="E4144" s="1" t="s">
        <v>2914</v>
      </c>
      <c r="F4144" s="1" t="s">
        <v>13334</v>
      </c>
      <c r="G4144" s="489" t="s">
        <v>13335</v>
      </c>
    </row>
    <row r="4145">
      <c r="B4145" s="1"/>
      <c r="C4145" s="1"/>
      <c r="D4145" s="1"/>
      <c r="E4145" s="1" t="s">
        <v>2914</v>
      </c>
      <c r="F4145" s="1" t="s">
        <v>13336</v>
      </c>
      <c r="G4145" s="489" t="s">
        <v>13337</v>
      </c>
    </row>
    <row r="4146">
      <c r="B4146" s="1" t="s">
        <v>13338</v>
      </c>
      <c r="C4146" s="1"/>
      <c r="D4146" s="1"/>
      <c r="E4146" s="1" t="s">
        <v>2914</v>
      </c>
      <c r="F4146" s="1" t="s">
        <v>13339</v>
      </c>
      <c r="G4146" s="489" t="s">
        <v>6831</v>
      </c>
    </row>
    <row r="4147">
      <c r="B4147" s="1"/>
      <c r="C4147" s="1"/>
      <c r="D4147" s="1"/>
      <c r="E4147" s="1" t="s">
        <v>2914</v>
      </c>
      <c r="F4147" s="1" t="s">
        <v>13340</v>
      </c>
      <c r="G4147" s="489"/>
    </row>
    <row r="4148">
      <c r="B4148" s="1"/>
      <c r="C4148" s="1"/>
      <c r="D4148" s="1"/>
      <c r="E4148" s="1" t="s">
        <v>2914</v>
      </c>
      <c r="F4148" s="1" t="s">
        <v>13341</v>
      </c>
      <c r="G4148" s="489"/>
    </row>
    <row r="4149">
      <c r="B4149" s="44"/>
      <c r="C4149" s="44"/>
      <c r="D4149" s="38" t="s">
        <v>13342</v>
      </c>
      <c r="E4149" s="38" t="s">
        <v>1017</v>
      </c>
      <c r="F4149" s="38" t="s">
        <v>1830</v>
      </c>
      <c r="G4149" s="38" t="s">
        <v>13343</v>
      </c>
    </row>
    <row r="4150">
      <c r="A4150" s="44"/>
      <c r="B4150" s="38" t="s">
        <v>13344</v>
      </c>
      <c r="C4150" s="44"/>
      <c r="D4150" s="38" t="s">
        <v>13345</v>
      </c>
      <c r="E4150" s="38" t="s">
        <v>974</v>
      </c>
      <c r="F4150" s="38" t="s">
        <v>13346</v>
      </c>
      <c r="G4150" s="38" t="s">
        <v>13347</v>
      </c>
      <c r="H4150" s="38" t="s">
        <v>144</v>
      </c>
    </row>
    <row r="4151">
      <c r="B4151" s="38" t="s">
        <v>333</v>
      </c>
      <c r="C4151" s="38">
        <v>4.0</v>
      </c>
      <c r="D4151" s="38" t="s">
        <v>13348</v>
      </c>
      <c r="E4151" s="38" t="s">
        <v>325</v>
      </c>
      <c r="F4151" s="38" t="s">
        <v>13349</v>
      </c>
    </row>
    <row r="4152">
      <c r="B4152" s="38" t="s">
        <v>22</v>
      </c>
      <c r="C4152" s="38">
        <v>2.0</v>
      </c>
      <c r="D4152" s="38" t="s">
        <v>13350</v>
      </c>
      <c r="E4152" s="91" t="s">
        <v>4642</v>
      </c>
      <c r="F4152" s="38" t="s">
        <v>2507</v>
      </c>
    </row>
    <row r="4153">
      <c r="B4153" s="38" t="s">
        <v>122</v>
      </c>
      <c r="C4153" s="38">
        <v>4.0</v>
      </c>
      <c r="D4153" s="38" t="s">
        <v>1109</v>
      </c>
      <c r="E4153" s="38" t="s">
        <v>10356</v>
      </c>
      <c r="F4153" s="38" t="s">
        <v>249</v>
      </c>
    </row>
    <row r="4154">
      <c r="B4154" s="38" t="s">
        <v>153</v>
      </c>
      <c r="C4154" s="38">
        <v>4.0</v>
      </c>
      <c r="D4154" s="38" t="s">
        <v>3926</v>
      </c>
      <c r="E4154" s="38" t="s">
        <v>13315</v>
      </c>
      <c r="F4154" s="38" t="s">
        <v>13351</v>
      </c>
    </row>
    <row r="4155">
      <c r="B4155" s="38" t="s">
        <v>91</v>
      </c>
      <c r="C4155" s="38">
        <v>1.0</v>
      </c>
      <c r="D4155" s="38" t="s">
        <v>2827</v>
      </c>
      <c r="E4155" s="38" t="s">
        <v>6899</v>
      </c>
      <c r="F4155" s="38" t="s">
        <v>1713</v>
      </c>
    </row>
    <row r="4156">
      <c r="B4156" s="44"/>
      <c r="C4156" s="38">
        <v>4.0</v>
      </c>
      <c r="D4156" s="38" t="s">
        <v>13352</v>
      </c>
      <c r="E4156" s="38" t="s">
        <v>13353</v>
      </c>
      <c r="F4156" s="38" t="s">
        <v>13354</v>
      </c>
    </row>
    <row r="4157">
      <c r="A4157" s="44"/>
      <c r="B4157" s="38" t="s">
        <v>1513</v>
      </c>
      <c r="C4157" s="38">
        <v>4.0</v>
      </c>
      <c r="D4157" s="38" t="s">
        <v>13355</v>
      </c>
      <c r="E4157" s="38" t="s">
        <v>7641</v>
      </c>
      <c r="F4157" s="38" t="s">
        <v>13356</v>
      </c>
    </row>
    <row r="4158">
      <c r="B4158" s="44"/>
      <c r="C4158" s="44"/>
      <c r="D4158" s="38" t="s">
        <v>13357</v>
      </c>
      <c r="E4158" s="38" t="s">
        <v>1017</v>
      </c>
      <c r="F4158" s="38" t="s">
        <v>13358</v>
      </c>
      <c r="G4158" s="38" t="s">
        <v>13359</v>
      </c>
    </row>
    <row r="4159">
      <c r="B4159" s="44"/>
      <c r="C4159" s="38" t="s">
        <v>13360</v>
      </c>
      <c r="D4159" s="38"/>
      <c r="E4159" s="38" t="s">
        <v>1017</v>
      </c>
      <c r="F4159" s="38" t="s">
        <v>13361</v>
      </c>
      <c r="G4159" s="38" t="s">
        <v>13343</v>
      </c>
    </row>
    <row r="4160">
      <c r="B4160" s="44"/>
      <c r="C4160" s="44"/>
      <c r="D4160" s="38" t="s">
        <v>13362</v>
      </c>
      <c r="E4160" s="38" t="s">
        <v>13363</v>
      </c>
      <c r="F4160" s="38" t="s">
        <v>13364</v>
      </c>
    </row>
    <row r="4161">
      <c r="B4161" s="44"/>
      <c r="C4161" s="44"/>
      <c r="D4161" s="38" t="s">
        <v>13362</v>
      </c>
      <c r="E4161" s="38" t="s">
        <v>13365</v>
      </c>
      <c r="F4161" s="38" t="s">
        <v>13366</v>
      </c>
    </row>
    <row r="4162">
      <c r="B4162" s="38" t="s">
        <v>354</v>
      </c>
      <c r="C4162" s="38">
        <v>4.0</v>
      </c>
      <c r="D4162" s="38" t="s">
        <v>684</v>
      </c>
      <c r="E4162" s="38" t="s">
        <v>325</v>
      </c>
      <c r="F4162" s="38" t="s">
        <v>13367</v>
      </c>
    </row>
    <row r="4163">
      <c r="A4163" s="22" t="s">
        <v>12245</v>
      </c>
      <c r="B4163" s="38" t="s">
        <v>205</v>
      </c>
      <c r="C4163" s="38">
        <v>4.0</v>
      </c>
      <c r="D4163" s="38" t="s">
        <v>402</v>
      </c>
      <c r="E4163" s="38" t="s">
        <v>6899</v>
      </c>
      <c r="F4163" s="38" t="s">
        <v>2533</v>
      </c>
      <c r="G4163" s="525" t="s">
        <v>13368</v>
      </c>
    </row>
    <row r="4164">
      <c r="A4164" s="5"/>
      <c r="B4164" s="38" t="s">
        <v>333</v>
      </c>
      <c r="C4164" s="38">
        <v>4.0</v>
      </c>
      <c r="D4164" s="38" t="s">
        <v>402</v>
      </c>
      <c r="E4164" s="38" t="s">
        <v>13369</v>
      </c>
      <c r="F4164" s="38" t="s">
        <v>13370</v>
      </c>
      <c r="G4164" s="1" t="s">
        <v>13371</v>
      </c>
    </row>
    <row r="4165">
      <c r="A4165" s="8"/>
      <c r="B4165" s="38" t="s">
        <v>271</v>
      </c>
      <c r="C4165" s="38">
        <v>4.0</v>
      </c>
      <c r="D4165" s="38" t="s">
        <v>13372</v>
      </c>
      <c r="E4165" s="38" t="s">
        <v>2801</v>
      </c>
      <c r="F4165" s="38" t="s">
        <v>4232</v>
      </c>
      <c r="G4165" s="489" t="s">
        <v>13373</v>
      </c>
    </row>
    <row r="4166">
      <c r="A4166" s="8"/>
      <c r="B4166" s="38" t="s">
        <v>219</v>
      </c>
      <c r="C4166" s="38">
        <v>4.0</v>
      </c>
      <c r="D4166" s="38" t="s">
        <v>402</v>
      </c>
      <c r="E4166" s="39" t="s">
        <v>551</v>
      </c>
      <c r="F4166" s="38" t="s">
        <v>13374</v>
      </c>
      <c r="G4166" s="489" t="s">
        <v>13375</v>
      </c>
    </row>
    <row r="4167">
      <c r="A4167" s="8"/>
      <c r="B4167" s="38" t="s">
        <v>25</v>
      </c>
      <c r="C4167" s="38">
        <v>4.0</v>
      </c>
      <c r="D4167" s="38" t="s">
        <v>289</v>
      </c>
      <c r="E4167" s="39" t="s">
        <v>2386</v>
      </c>
      <c r="F4167" s="38" t="s">
        <v>2645</v>
      </c>
      <c r="G4167" s="38" t="s">
        <v>13376</v>
      </c>
    </row>
    <row r="4168">
      <c r="A4168" s="8"/>
      <c r="B4168" s="38" t="s">
        <v>271</v>
      </c>
      <c r="C4168" s="38">
        <v>4.0</v>
      </c>
      <c r="D4168" s="38" t="s">
        <v>289</v>
      </c>
      <c r="E4168" s="39" t="s">
        <v>2386</v>
      </c>
      <c r="F4168" s="38" t="s">
        <v>6654</v>
      </c>
      <c r="G4168" s="38" t="s">
        <v>13376</v>
      </c>
    </row>
    <row r="4169">
      <c r="A4169" s="8"/>
      <c r="B4169" s="38" t="s">
        <v>982</v>
      </c>
      <c r="C4169" s="38">
        <v>4.0</v>
      </c>
      <c r="D4169" s="38" t="s">
        <v>13377</v>
      </c>
      <c r="E4169" s="39" t="s">
        <v>2386</v>
      </c>
      <c r="F4169" s="38" t="s">
        <v>4211</v>
      </c>
      <c r="G4169" s="38" t="s">
        <v>13376</v>
      </c>
    </row>
    <row r="4170">
      <c r="A4170" s="8"/>
      <c r="B4170" s="38" t="s">
        <v>13378</v>
      </c>
      <c r="C4170" s="38">
        <v>1.0</v>
      </c>
      <c r="D4170" s="38" t="s">
        <v>13379</v>
      </c>
      <c r="E4170" s="39" t="s">
        <v>12928</v>
      </c>
      <c r="F4170" s="38" t="s">
        <v>4430</v>
      </c>
    </row>
    <row r="4171">
      <c r="B4171" s="38" t="s">
        <v>28</v>
      </c>
      <c r="C4171" s="38">
        <v>8.0</v>
      </c>
      <c r="D4171" s="38" t="s">
        <v>13380</v>
      </c>
      <c r="E4171" s="38" t="s">
        <v>325</v>
      </c>
      <c r="F4171" s="38" t="s">
        <v>13349</v>
      </c>
    </row>
    <row r="4172">
      <c r="B4172" s="44"/>
      <c r="C4172" s="44"/>
      <c r="D4172" s="38" t="s">
        <v>13381</v>
      </c>
      <c r="E4172" s="38" t="s">
        <v>13382</v>
      </c>
      <c r="F4172" s="44"/>
    </row>
    <row r="4173">
      <c r="B4173" s="1" t="s">
        <v>2028</v>
      </c>
      <c r="C4173" s="1">
        <v>4.0</v>
      </c>
      <c r="D4173" s="1" t="s">
        <v>1305</v>
      </c>
      <c r="E4173" s="1" t="s">
        <v>514</v>
      </c>
      <c r="F4173" s="1" t="s">
        <v>13383</v>
      </c>
    </row>
    <row r="4174">
      <c r="C4174" s="1"/>
      <c r="D4174" s="1" t="s">
        <v>13384</v>
      </c>
      <c r="E4174" s="1" t="s">
        <v>514</v>
      </c>
      <c r="F4174" s="1"/>
    </row>
    <row r="4175">
      <c r="B4175" s="38" t="s">
        <v>13385</v>
      </c>
      <c r="C4175" s="38" t="s">
        <v>13386</v>
      </c>
      <c r="D4175" s="44"/>
      <c r="E4175" s="38" t="s">
        <v>13315</v>
      </c>
      <c r="F4175" s="38" t="s">
        <v>13387</v>
      </c>
    </row>
    <row r="4176">
      <c r="B4176" s="38"/>
      <c r="C4176" s="38"/>
      <c r="D4176" s="38" t="s">
        <v>13388</v>
      </c>
      <c r="E4176" s="38" t="s">
        <v>13315</v>
      </c>
      <c r="F4176" s="38" t="s">
        <v>13389</v>
      </c>
      <c r="G4176" s="38" t="s">
        <v>7316</v>
      </c>
      <c r="H4176" s="38" t="s">
        <v>13387</v>
      </c>
    </row>
    <row r="4177">
      <c r="B4177" s="1"/>
      <c r="C4177" s="1"/>
      <c r="D4177" s="1" t="s">
        <v>13390</v>
      </c>
      <c r="E4177" s="1" t="s">
        <v>13315</v>
      </c>
    </row>
    <row r="4178">
      <c r="B4178" s="38"/>
      <c r="C4178" s="38"/>
      <c r="D4178" s="38"/>
      <c r="E4178" s="38" t="s">
        <v>13315</v>
      </c>
      <c r="F4178" s="38" t="s">
        <v>13391</v>
      </c>
      <c r="G4178" s="38" t="s">
        <v>13392</v>
      </c>
    </row>
    <row r="4179">
      <c r="B4179" s="38"/>
      <c r="C4179" s="38"/>
      <c r="D4179" s="38"/>
      <c r="E4179" s="38" t="s">
        <v>13315</v>
      </c>
      <c r="F4179" s="526" t="s">
        <v>13393</v>
      </c>
      <c r="G4179" s="38" t="s">
        <v>13394</v>
      </c>
    </row>
    <row r="4180">
      <c r="B4180" s="38"/>
      <c r="C4180" s="38"/>
      <c r="D4180" s="38" t="s">
        <v>13395</v>
      </c>
      <c r="E4180" s="38" t="s">
        <v>325</v>
      </c>
      <c r="F4180" s="38" t="s">
        <v>13396</v>
      </c>
      <c r="G4180" s="38" t="s">
        <v>144</v>
      </c>
    </row>
    <row r="4181">
      <c r="B4181" s="38"/>
      <c r="C4181" s="38" t="s">
        <v>13397</v>
      </c>
      <c r="D4181" s="38" t="s">
        <v>13398</v>
      </c>
      <c r="E4181" s="38" t="s">
        <v>13399</v>
      </c>
      <c r="F4181" s="38" t="s">
        <v>13400</v>
      </c>
      <c r="G4181" s="38" t="s">
        <v>13392</v>
      </c>
    </row>
    <row r="4182">
      <c r="B4182" s="38"/>
      <c r="C4182" s="38"/>
      <c r="D4182" s="38" t="s">
        <v>896</v>
      </c>
      <c r="E4182" s="38" t="s">
        <v>13399</v>
      </c>
      <c r="F4182" s="38" t="s">
        <v>13400</v>
      </c>
      <c r="G4182" s="38" t="s">
        <v>13392</v>
      </c>
    </row>
    <row r="4183">
      <c r="B4183" s="38" t="s">
        <v>13401</v>
      </c>
      <c r="C4183" s="38"/>
      <c r="D4183" s="38" t="s">
        <v>13402</v>
      </c>
      <c r="E4183" s="38" t="s">
        <v>13399</v>
      </c>
      <c r="F4183" s="38" t="s">
        <v>647</v>
      </c>
      <c r="G4183" s="38" t="s">
        <v>13392</v>
      </c>
    </row>
    <row r="4184">
      <c r="B4184" s="38"/>
      <c r="C4184" s="38"/>
      <c r="D4184" s="38" t="s">
        <v>13403</v>
      </c>
      <c r="E4184" s="38" t="s">
        <v>13399</v>
      </c>
      <c r="F4184" s="44"/>
      <c r="G4184" s="38" t="s">
        <v>13392</v>
      </c>
    </row>
    <row r="4185">
      <c r="B4185" s="38"/>
      <c r="C4185" s="38"/>
      <c r="D4185" s="38" t="s">
        <v>13404</v>
      </c>
      <c r="E4185" s="38" t="s">
        <v>13399</v>
      </c>
      <c r="F4185" s="38"/>
      <c r="G4185" s="38" t="s">
        <v>13392</v>
      </c>
    </row>
    <row r="4186">
      <c r="B4186" s="38" t="s">
        <v>38</v>
      </c>
      <c r="C4186" s="38">
        <v>2.0</v>
      </c>
      <c r="D4186" s="38" t="s">
        <v>13219</v>
      </c>
      <c r="E4186" s="38" t="s">
        <v>13399</v>
      </c>
      <c r="F4186" s="38" t="s">
        <v>13405</v>
      </c>
      <c r="G4186" s="38" t="s">
        <v>13392</v>
      </c>
    </row>
    <row r="4187">
      <c r="B4187" s="38" t="s">
        <v>3878</v>
      </c>
      <c r="C4187" s="38">
        <v>2.0</v>
      </c>
      <c r="D4187" s="38" t="s">
        <v>13219</v>
      </c>
      <c r="E4187" s="38" t="s">
        <v>13399</v>
      </c>
      <c r="F4187" s="44"/>
      <c r="G4187" s="38" t="s">
        <v>13392</v>
      </c>
    </row>
    <row r="4188">
      <c r="B4188" s="38"/>
      <c r="C4188" s="38"/>
      <c r="D4188" s="38"/>
      <c r="E4188" s="38" t="s">
        <v>13399</v>
      </c>
      <c r="F4188" s="38" t="s">
        <v>13406</v>
      </c>
      <c r="G4188" s="38" t="s">
        <v>13392</v>
      </c>
    </row>
    <row r="4189">
      <c r="B4189" s="1" t="s">
        <v>128</v>
      </c>
      <c r="C4189" s="1">
        <v>4.0</v>
      </c>
      <c r="D4189" s="1" t="s">
        <v>13407</v>
      </c>
      <c r="E4189" s="1" t="s">
        <v>13408</v>
      </c>
      <c r="F4189" s="1" t="s">
        <v>13409</v>
      </c>
      <c r="G4189" s="1" t="s">
        <v>13410</v>
      </c>
    </row>
    <row r="4190">
      <c r="B4190" s="1"/>
      <c r="C4190" s="1"/>
      <c r="D4190" s="1"/>
      <c r="E4190" s="1" t="s">
        <v>13408</v>
      </c>
      <c r="F4190" s="1" t="s">
        <v>13411</v>
      </c>
      <c r="G4190" s="1"/>
    </row>
    <row r="4191">
      <c r="B4191" s="38" t="s">
        <v>1010</v>
      </c>
      <c r="C4191" s="38">
        <v>4.0</v>
      </c>
      <c r="D4191" s="38" t="s">
        <v>211</v>
      </c>
      <c r="E4191" s="38" t="s">
        <v>3977</v>
      </c>
      <c r="F4191" s="38" t="s">
        <v>13412</v>
      </c>
      <c r="G4191" s="38" t="s">
        <v>13413</v>
      </c>
    </row>
    <row r="4192">
      <c r="B4192" s="38"/>
      <c r="C4192" s="38"/>
      <c r="D4192" s="38"/>
      <c r="E4192" s="38" t="s">
        <v>3977</v>
      </c>
      <c r="F4192" s="38" t="s">
        <v>13414</v>
      </c>
      <c r="G4192" s="38" t="s">
        <v>13413</v>
      </c>
    </row>
    <row r="4193">
      <c r="B4193" s="38" t="s">
        <v>718</v>
      </c>
      <c r="C4193" s="38">
        <v>4.0</v>
      </c>
      <c r="D4193" s="38" t="s">
        <v>1278</v>
      </c>
      <c r="E4193" s="38" t="s">
        <v>3977</v>
      </c>
      <c r="F4193" s="38" t="s">
        <v>13415</v>
      </c>
      <c r="G4193" s="38" t="s">
        <v>13413</v>
      </c>
    </row>
    <row r="4194">
      <c r="B4194" s="38" t="s">
        <v>271</v>
      </c>
      <c r="C4194" s="38">
        <v>2.0</v>
      </c>
      <c r="D4194" s="38" t="s">
        <v>289</v>
      </c>
      <c r="E4194" s="38" t="s">
        <v>4811</v>
      </c>
      <c r="F4194" s="38" t="s">
        <v>6669</v>
      </c>
    </row>
    <row r="4195">
      <c r="B4195" s="38" t="s">
        <v>58</v>
      </c>
      <c r="C4195" s="38">
        <v>2.0</v>
      </c>
      <c r="D4195" s="38" t="s">
        <v>13310</v>
      </c>
      <c r="E4195" s="38" t="s">
        <v>6605</v>
      </c>
      <c r="F4195" s="38" t="s">
        <v>13251</v>
      </c>
    </row>
    <row r="4196">
      <c r="B4196" s="38" t="s">
        <v>85</v>
      </c>
      <c r="C4196" s="38">
        <v>2.0</v>
      </c>
      <c r="D4196" s="38" t="s">
        <v>13416</v>
      </c>
      <c r="E4196" s="38" t="s">
        <v>2551</v>
      </c>
      <c r="F4196" s="38" t="s">
        <v>13417</v>
      </c>
    </row>
    <row r="4197">
      <c r="B4197" s="38" t="s">
        <v>31</v>
      </c>
      <c r="C4197" s="38">
        <v>2.0</v>
      </c>
      <c r="D4197" s="38" t="s">
        <v>13416</v>
      </c>
      <c r="E4197" s="38" t="s">
        <v>2551</v>
      </c>
      <c r="F4197" s="38" t="s">
        <v>13417</v>
      </c>
    </row>
    <row r="4198">
      <c r="B4198" s="38" t="s">
        <v>25</v>
      </c>
      <c r="C4198" s="38">
        <v>4.0</v>
      </c>
      <c r="D4198" s="38" t="s">
        <v>402</v>
      </c>
      <c r="E4198" s="38" t="s">
        <v>13418</v>
      </c>
      <c r="F4198" s="38" t="s">
        <v>13419</v>
      </c>
      <c r="G4198" s="489" t="s">
        <v>13420</v>
      </c>
    </row>
    <row r="4199">
      <c r="B4199" s="38" t="s">
        <v>25</v>
      </c>
      <c r="C4199" s="38">
        <v>4.0</v>
      </c>
      <c r="D4199" s="38" t="s">
        <v>402</v>
      </c>
      <c r="E4199" s="38" t="s">
        <v>13421</v>
      </c>
      <c r="F4199" s="38" t="s">
        <v>13422</v>
      </c>
    </row>
    <row r="4200">
      <c r="B4200" s="38"/>
      <c r="C4200" s="38"/>
      <c r="D4200" s="527" t="s">
        <v>13423</v>
      </c>
      <c r="E4200" s="38" t="s">
        <v>13421</v>
      </c>
      <c r="F4200" s="38" t="s">
        <v>13424</v>
      </c>
    </row>
    <row r="4201">
      <c r="B4201" s="38"/>
      <c r="C4201" s="38"/>
      <c r="D4201" s="460" t="s">
        <v>13425</v>
      </c>
      <c r="E4201" s="38" t="s">
        <v>13421</v>
      </c>
      <c r="F4201" s="38"/>
    </row>
    <row r="4202">
      <c r="B4202" s="38" t="s">
        <v>261</v>
      </c>
      <c r="C4202" s="38">
        <v>4.0</v>
      </c>
      <c r="D4202" s="38" t="s">
        <v>1305</v>
      </c>
      <c r="E4202" s="38" t="s">
        <v>13426</v>
      </c>
      <c r="F4202" s="38" t="s">
        <v>13427</v>
      </c>
    </row>
    <row r="4203">
      <c r="B4203" s="38" t="s">
        <v>875</v>
      </c>
      <c r="C4203" s="38">
        <v>2.0</v>
      </c>
      <c r="D4203" s="38" t="s">
        <v>4786</v>
      </c>
      <c r="E4203" s="38" t="s">
        <v>974</v>
      </c>
      <c r="F4203" s="38" t="s">
        <v>13428</v>
      </c>
    </row>
    <row r="4204">
      <c r="B4204" s="38" t="s">
        <v>1322</v>
      </c>
      <c r="C4204" s="38">
        <v>2.0</v>
      </c>
      <c r="D4204" s="38" t="s">
        <v>4786</v>
      </c>
      <c r="E4204" s="38" t="s">
        <v>974</v>
      </c>
      <c r="F4204" s="38" t="s">
        <v>13428</v>
      </c>
    </row>
    <row r="4205">
      <c r="B4205" s="38" t="s">
        <v>718</v>
      </c>
      <c r="C4205" s="38">
        <v>4.0</v>
      </c>
      <c r="D4205" s="38" t="s">
        <v>4005</v>
      </c>
      <c r="E4205" s="38" t="s">
        <v>12036</v>
      </c>
      <c r="F4205" s="38" t="s">
        <v>13429</v>
      </c>
      <c r="G4205" s="1" t="s">
        <v>13430</v>
      </c>
    </row>
    <row r="4206">
      <c r="B4206" s="44"/>
      <c r="C4206" s="528" t="s">
        <v>13431</v>
      </c>
      <c r="D4206" s="528" t="s">
        <v>13432</v>
      </c>
      <c r="E4206" s="38" t="s">
        <v>13433</v>
      </c>
      <c r="F4206" s="38" t="s">
        <v>2533</v>
      </c>
      <c r="G4206" s="38" t="s">
        <v>13434</v>
      </c>
    </row>
    <row r="4207">
      <c r="B4207" s="38" t="s">
        <v>205</v>
      </c>
      <c r="C4207" s="38">
        <v>4.0</v>
      </c>
      <c r="D4207" s="38" t="s">
        <v>206</v>
      </c>
      <c r="E4207" s="91" t="s">
        <v>13435</v>
      </c>
      <c r="F4207" s="38" t="s">
        <v>13436</v>
      </c>
    </row>
    <row r="4208">
      <c r="A4208" s="5"/>
      <c r="B4208" s="38" t="s">
        <v>25</v>
      </c>
      <c r="C4208" s="38">
        <v>4.0</v>
      </c>
      <c r="D4208" s="38" t="s">
        <v>402</v>
      </c>
      <c r="E4208" s="38" t="s">
        <v>10050</v>
      </c>
      <c r="F4208" s="38" t="s">
        <v>13437</v>
      </c>
      <c r="G4208" s="489" t="s">
        <v>13438</v>
      </c>
    </row>
    <row r="4209">
      <c r="A4209" s="5"/>
      <c r="B4209" s="38" t="s">
        <v>81</v>
      </c>
      <c r="C4209" s="38">
        <v>4.0</v>
      </c>
      <c r="D4209" s="38" t="s">
        <v>8381</v>
      </c>
      <c r="E4209" s="38" t="s">
        <v>13439</v>
      </c>
      <c r="F4209" s="38" t="s">
        <v>13440</v>
      </c>
      <c r="G4209" s="489" t="s">
        <v>13441</v>
      </c>
    </row>
    <row r="4210">
      <c r="B4210" s="38" t="s">
        <v>718</v>
      </c>
      <c r="C4210" s="38">
        <v>4.0</v>
      </c>
      <c r="D4210" s="38" t="s">
        <v>13442</v>
      </c>
      <c r="E4210" s="38" t="s">
        <v>1814</v>
      </c>
      <c r="F4210" s="38" t="s">
        <v>13443</v>
      </c>
      <c r="G4210" s="38" t="s">
        <v>13444</v>
      </c>
    </row>
    <row r="4211">
      <c r="B4211" s="38"/>
      <c r="C4211" s="38"/>
      <c r="D4211" s="38"/>
      <c r="E4211" s="38" t="s">
        <v>1814</v>
      </c>
      <c r="F4211" s="38" t="s">
        <v>13445</v>
      </c>
      <c r="G4211" s="38" t="s">
        <v>13444</v>
      </c>
    </row>
    <row r="4212">
      <c r="B4212" s="38" t="s">
        <v>31</v>
      </c>
      <c r="C4212" s="38">
        <v>4.0</v>
      </c>
      <c r="D4212" s="38" t="s">
        <v>211</v>
      </c>
      <c r="E4212" s="38" t="s">
        <v>12976</v>
      </c>
      <c r="F4212" s="38" t="s">
        <v>13446</v>
      </c>
      <c r="G4212" s="4"/>
      <c r="H4212" s="109" t="s">
        <v>13447</v>
      </c>
      <c r="I4212" s="109" t="s">
        <v>13448</v>
      </c>
    </row>
    <row r="4213">
      <c r="B4213" s="38" t="s">
        <v>13449</v>
      </c>
      <c r="C4213" s="38" t="s">
        <v>1364</v>
      </c>
      <c r="D4213" s="38" t="s">
        <v>13450</v>
      </c>
      <c r="E4213" s="38" t="s">
        <v>1206</v>
      </c>
      <c r="F4213" s="44"/>
    </row>
    <row r="4214">
      <c r="B4214" s="38" t="s">
        <v>13451</v>
      </c>
      <c r="C4214" s="44"/>
      <c r="D4214" s="38" t="s">
        <v>13452</v>
      </c>
      <c r="E4214" s="39" t="s">
        <v>13453</v>
      </c>
      <c r="F4214" s="38" t="s">
        <v>13454</v>
      </c>
      <c r="G4214" s="38" t="s">
        <v>13455</v>
      </c>
    </row>
    <row r="4215">
      <c r="B4215" s="38" t="s">
        <v>1296</v>
      </c>
      <c r="C4215" s="38">
        <v>4.0</v>
      </c>
      <c r="D4215" s="38" t="s">
        <v>206</v>
      </c>
      <c r="E4215" s="39" t="s">
        <v>3446</v>
      </c>
      <c r="F4215" s="38" t="s">
        <v>338</v>
      </c>
      <c r="G4215" s="38" t="s">
        <v>13456</v>
      </c>
    </row>
    <row r="4216">
      <c r="B4216" s="44"/>
      <c r="C4216" s="38">
        <v>4.0</v>
      </c>
      <c r="D4216" s="38" t="s">
        <v>2524</v>
      </c>
      <c r="E4216" s="39" t="s">
        <v>3446</v>
      </c>
      <c r="F4216" s="38" t="s">
        <v>13457</v>
      </c>
      <c r="G4216" s="38" t="s">
        <v>13456</v>
      </c>
    </row>
    <row r="4217">
      <c r="B4217" s="38" t="s">
        <v>949</v>
      </c>
      <c r="C4217" s="38">
        <v>4.0</v>
      </c>
      <c r="D4217" s="38" t="s">
        <v>402</v>
      </c>
      <c r="E4217" s="38" t="s">
        <v>9937</v>
      </c>
      <c r="F4217" s="38" t="s">
        <v>13458</v>
      </c>
      <c r="G4217" s="109" t="s">
        <v>13459</v>
      </c>
    </row>
    <row r="4218">
      <c r="B4218" s="38" t="s">
        <v>271</v>
      </c>
      <c r="C4218" s="38">
        <v>4.0</v>
      </c>
      <c r="D4218" s="38" t="s">
        <v>1109</v>
      </c>
      <c r="E4218" s="38" t="s">
        <v>13460</v>
      </c>
      <c r="F4218" s="38" t="s">
        <v>13461</v>
      </c>
    </row>
    <row r="4219">
      <c r="B4219" s="38" t="s">
        <v>2329</v>
      </c>
      <c r="C4219" s="38">
        <v>4.0</v>
      </c>
      <c r="D4219" s="38" t="s">
        <v>13462</v>
      </c>
      <c r="E4219" s="38" t="s">
        <v>13463</v>
      </c>
      <c r="F4219" s="38" t="s">
        <v>13464</v>
      </c>
    </row>
    <row r="4220">
      <c r="A4220" s="8"/>
      <c r="B4220" s="38" t="s">
        <v>271</v>
      </c>
      <c r="C4220" s="38">
        <v>4.0</v>
      </c>
      <c r="D4220" s="38" t="s">
        <v>13465</v>
      </c>
      <c r="E4220" s="39" t="s">
        <v>13466</v>
      </c>
      <c r="F4220" s="38" t="s">
        <v>3933</v>
      </c>
      <c r="G4220" s="1" t="s">
        <v>13467</v>
      </c>
    </row>
    <row r="4221">
      <c r="A4221" s="8"/>
      <c r="B4221" s="38" t="s">
        <v>183</v>
      </c>
      <c r="C4221" s="38">
        <v>4.0</v>
      </c>
      <c r="D4221" s="38" t="s">
        <v>13468</v>
      </c>
      <c r="E4221" s="38" t="s">
        <v>1516</v>
      </c>
      <c r="F4221" s="38" t="s">
        <v>404</v>
      </c>
      <c r="G4221" s="489" t="s">
        <v>13469</v>
      </c>
    </row>
    <row r="4222">
      <c r="B4222" s="38" t="s">
        <v>205</v>
      </c>
      <c r="C4222" s="38">
        <v>1.0</v>
      </c>
      <c r="D4222" s="38" t="s">
        <v>211</v>
      </c>
      <c r="E4222" s="38" t="s">
        <v>10356</v>
      </c>
      <c r="F4222" s="38" t="s">
        <v>6611</v>
      </c>
    </row>
    <row r="4223">
      <c r="A4223" s="8"/>
      <c r="B4223" s="38" t="s">
        <v>22</v>
      </c>
      <c r="C4223" s="38">
        <v>4.0</v>
      </c>
      <c r="D4223" s="38" t="s">
        <v>289</v>
      </c>
      <c r="E4223" s="38" t="s">
        <v>10356</v>
      </c>
      <c r="F4223" s="38" t="s">
        <v>8267</v>
      </c>
    </row>
    <row r="4224">
      <c r="B4224" s="38" t="s">
        <v>308</v>
      </c>
      <c r="C4224" s="38">
        <v>4.0</v>
      </c>
      <c r="D4224" s="38" t="s">
        <v>1221</v>
      </c>
      <c r="E4224" s="38" t="s">
        <v>13470</v>
      </c>
      <c r="F4224" s="38" t="s">
        <v>13471</v>
      </c>
    </row>
    <row r="4225">
      <c r="B4225" s="38"/>
      <c r="C4225" s="38"/>
      <c r="D4225" s="38"/>
      <c r="E4225" s="38" t="s">
        <v>13472</v>
      </c>
      <c r="F4225" s="304" t="s">
        <v>13473</v>
      </c>
      <c r="G4225" s="38" t="s">
        <v>13471</v>
      </c>
    </row>
    <row r="4226">
      <c r="B4226" s="529" t="s">
        <v>13474</v>
      </c>
      <c r="C4226" s="38" t="s">
        <v>13475</v>
      </c>
      <c r="D4226" s="352" t="s">
        <v>13476</v>
      </c>
      <c r="E4226" s="38" t="s">
        <v>1199</v>
      </c>
      <c r="F4226" s="38"/>
    </row>
    <row r="4227">
      <c r="B4227" s="38" t="s">
        <v>1200</v>
      </c>
      <c r="C4227" s="38"/>
      <c r="D4227" s="38" t="s">
        <v>11984</v>
      </c>
      <c r="E4227" s="38" t="s">
        <v>1199</v>
      </c>
      <c r="F4227" s="38"/>
    </row>
    <row r="4228">
      <c r="B4228" s="38" t="s">
        <v>3752</v>
      </c>
      <c r="C4228" s="38">
        <v>2.0</v>
      </c>
      <c r="D4228" s="38" t="s">
        <v>13477</v>
      </c>
      <c r="E4228" s="530" t="s">
        <v>13478</v>
      </c>
      <c r="F4228" s="38" t="s">
        <v>208</v>
      </c>
    </row>
    <row r="4229">
      <c r="B4229" s="38" t="s">
        <v>718</v>
      </c>
      <c r="C4229" s="38">
        <v>2.0</v>
      </c>
      <c r="D4229" s="38" t="s">
        <v>1499</v>
      </c>
      <c r="E4229" s="530" t="s">
        <v>13478</v>
      </c>
      <c r="F4229" s="38" t="s">
        <v>4644</v>
      </c>
    </row>
    <row r="4230">
      <c r="B4230" s="38" t="s">
        <v>789</v>
      </c>
      <c r="C4230" s="38">
        <v>4.0</v>
      </c>
      <c r="D4230" s="38" t="s">
        <v>216</v>
      </c>
      <c r="E4230" s="530" t="s">
        <v>13478</v>
      </c>
      <c r="F4230" s="38" t="s">
        <v>4369</v>
      </c>
    </row>
    <row r="4231">
      <c r="B4231" s="38"/>
      <c r="C4231" s="38" t="s">
        <v>13479</v>
      </c>
      <c r="D4231" s="38" t="s">
        <v>13480</v>
      </c>
      <c r="E4231" s="38" t="s">
        <v>10625</v>
      </c>
      <c r="F4231" s="38"/>
    </row>
    <row r="4232">
      <c r="B4232" s="38" t="s">
        <v>13481</v>
      </c>
      <c r="C4232" s="38" t="s">
        <v>13482</v>
      </c>
      <c r="D4232" s="38" t="s">
        <v>1242</v>
      </c>
      <c r="E4232" s="38" t="s">
        <v>13483</v>
      </c>
      <c r="F4232" s="38"/>
      <c r="G4232" s="38" t="s">
        <v>13484</v>
      </c>
    </row>
    <row r="4233">
      <c r="B4233" s="38" t="s">
        <v>13485</v>
      </c>
      <c r="C4233" s="38" t="s">
        <v>13486</v>
      </c>
      <c r="D4233" s="38" t="s">
        <v>647</v>
      </c>
      <c r="E4233" s="38" t="s">
        <v>13483</v>
      </c>
      <c r="F4233" s="38" t="s">
        <v>13487</v>
      </c>
      <c r="G4233" s="44"/>
    </row>
    <row r="4234">
      <c r="B4234" s="38" t="s">
        <v>43</v>
      </c>
      <c r="C4234" s="38">
        <v>4.0</v>
      </c>
      <c r="D4234" s="38" t="s">
        <v>7009</v>
      </c>
      <c r="E4234" s="38" t="s">
        <v>437</v>
      </c>
      <c r="F4234" s="38" t="s">
        <v>13240</v>
      </c>
    </row>
    <row r="4235">
      <c r="B4235" s="38" t="s">
        <v>354</v>
      </c>
      <c r="C4235" s="38">
        <v>4.0</v>
      </c>
      <c r="D4235" s="38" t="s">
        <v>11018</v>
      </c>
      <c r="E4235" s="38" t="s">
        <v>1680</v>
      </c>
      <c r="F4235" s="38" t="s">
        <v>13488</v>
      </c>
    </row>
    <row r="4236">
      <c r="A4236" s="8"/>
      <c r="B4236" s="38" t="s">
        <v>430</v>
      </c>
      <c r="C4236" s="38">
        <v>4.0</v>
      </c>
      <c r="D4236" s="38" t="s">
        <v>8381</v>
      </c>
      <c r="E4236" s="38" t="s">
        <v>4652</v>
      </c>
      <c r="F4236" s="38" t="s">
        <v>13489</v>
      </c>
      <c r="G4236" s="489" t="s">
        <v>13490</v>
      </c>
    </row>
    <row r="4237">
      <c r="B4237" s="38"/>
      <c r="C4237" s="38" t="s">
        <v>13491</v>
      </c>
      <c r="D4237" s="38" t="s">
        <v>13492</v>
      </c>
      <c r="E4237" s="132" t="s">
        <v>12962</v>
      </c>
      <c r="F4237" s="38" t="s">
        <v>13493</v>
      </c>
    </row>
    <row r="4238">
      <c r="B4238" s="38"/>
      <c r="C4238" s="38" t="s">
        <v>13494</v>
      </c>
      <c r="D4238" s="38"/>
      <c r="E4238" s="132" t="s">
        <v>12962</v>
      </c>
      <c r="F4238" s="38" t="s">
        <v>13493</v>
      </c>
    </row>
    <row r="4239">
      <c r="B4239" s="38"/>
      <c r="C4239" s="38"/>
      <c r="D4239" s="38"/>
      <c r="E4239" s="508" t="s">
        <v>13495</v>
      </c>
      <c r="F4239" s="38" t="s">
        <v>13496</v>
      </c>
    </row>
    <row r="4240">
      <c r="B4240" s="38" t="s">
        <v>339</v>
      </c>
      <c r="C4240" s="38">
        <v>4.0</v>
      </c>
      <c r="D4240" s="38" t="s">
        <v>13497</v>
      </c>
      <c r="E4240" s="38" t="s">
        <v>13498</v>
      </c>
      <c r="F4240" s="38" t="s">
        <v>13499</v>
      </c>
    </row>
    <row r="4241">
      <c r="B4241" s="38" t="s">
        <v>479</v>
      </c>
      <c r="C4241" s="38">
        <v>4.0</v>
      </c>
      <c r="D4241" s="38" t="s">
        <v>13500</v>
      </c>
      <c r="E4241" s="38" t="s">
        <v>9505</v>
      </c>
      <c r="F4241" s="38" t="s">
        <v>13501</v>
      </c>
      <c r="G4241" s="38" t="s">
        <v>13502</v>
      </c>
    </row>
    <row r="4242">
      <c r="B4242" s="38"/>
      <c r="C4242" s="38"/>
      <c r="D4242" s="38" t="s">
        <v>13503</v>
      </c>
      <c r="E4242" s="38" t="s">
        <v>13504</v>
      </c>
      <c r="F4242" s="38" t="s">
        <v>13505</v>
      </c>
      <c r="G4242" s="38" t="s">
        <v>13502</v>
      </c>
    </row>
    <row r="4243">
      <c r="B4243" s="38"/>
      <c r="C4243" s="38"/>
      <c r="D4243" s="38"/>
      <c r="E4243" s="38" t="s">
        <v>1072</v>
      </c>
      <c r="F4243" s="38" t="s">
        <v>13506</v>
      </c>
      <c r="G4243" s="38" t="s">
        <v>13502</v>
      </c>
    </row>
    <row r="4244">
      <c r="A4244" s="5"/>
      <c r="B4244" s="38" t="s">
        <v>1407</v>
      </c>
      <c r="C4244" s="38">
        <v>4.0</v>
      </c>
      <c r="D4244" s="38" t="s">
        <v>8381</v>
      </c>
      <c r="E4244" s="47" t="s">
        <v>13507</v>
      </c>
      <c r="F4244" s="38" t="s">
        <v>13508</v>
      </c>
      <c r="G4244" s="38" t="s">
        <v>13509</v>
      </c>
    </row>
    <row r="4245">
      <c r="B4245" s="38" t="s">
        <v>205</v>
      </c>
      <c r="C4245" s="38">
        <v>4.0</v>
      </c>
      <c r="D4245" s="38" t="s">
        <v>13157</v>
      </c>
      <c r="E4245" s="38" t="s">
        <v>9977</v>
      </c>
      <c r="F4245" s="38" t="s">
        <v>13510</v>
      </c>
      <c r="G4245" s="489" t="s">
        <v>13511</v>
      </c>
    </row>
    <row r="4246">
      <c r="B4246" s="38" t="s">
        <v>3752</v>
      </c>
      <c r="C4246" s="38">
        <v>2.0</v>
      </c>
      <c r="D4246" s="38" t="s">
        <v>11762</v>
      </c>
      <c r="E4246" s="39" t="s">
        <v>13512</v>
      </c>
      <c r="F4246" s="38" t="s">
        <v>13513</v>
      </c>
      <c r="G4246" s="38" t="s">
        <v>13060</v>
      </c>
    </row>
    <row r="4247">
      <c r="B4247" s="38" t="s">
        <v>2573</v>
      </c>
      <c r="C4247" s="38">
        <v>2.0</v>
      </c>
      <c r="D4247" s="38" t="s">
        <v>11762</v>
      </c>
      <c r="E4247" s="39" t="s">
        <v>13512</v>
      </c>
      <c r="F4247" s="38" t="s">
        <v>13514</v>
      </c>
      <c r="G4247" s="38" t="s">
        <v>13060</v>
      </c>
    </row>
    <row r="4248">
      <c r="B4248" s="38" t="s">
        <v>25</v>
      </c>
      <c r="C4248" s="38">
        <v>4.0</v>
      </c>
      <c r="D4248" s="38" t="s">
        <v>289</v>
      </c>
      <c r="E4248" s="38" t="s">
        <v>13515</v>
      </c>
      <c r="F4248" s="38" t="s">
        <v>13516</v>
      </c>
    </row>
    <row r="4249">
      <c r="B4249" s="38" t="s">
        <v>94</v>
      </c>
      <c r="C4249" s="38">
        <v>2.0</v>
      </c>
      <c r="D4249" s="38" t="s">
        <v>294</v>
      </c>
      <c r="E4249" s="38" t="s">
        <v>6921</v>
      </c>
      <c r="F4249" s="38" t="s">
        <v>13517</v>
      </c>
    </row>
    <row r="4250">
      <c r="B4250" s="38" t="s">
        <v>4044</v>
      </c>
      <c r="C4250" s="38">
        <v>4.0</v>
      </c>
      <c r="D4250" s="38" t="s">
        <v>6296</v>
      </c>
      <c r="E4250" s="38" t="s">
        <v>13518</v>
      </c>
      <c r="F4250" s="38" t="s">
        <v>13519</v>
      </c>
    </row>
    <row r="4251">
      <c r="B4251" s="38" t="s">
        <v>4405</v>
      </c>
      <c r="C4251" s="38">
        <v>4.0</v>
      </c>
      <c r="D4251" s="38" t="s">
        <v>13520</v>
      </c>
      <c r="E4251" s="38" t="s">
        <v>13518</v>
      </c>
      <c r="F4251" s="38" t="s">
        <v>13519</v>
      </c>
    </row>
    <row r="4252">
      <c r="B4252" s="38" t="s">
        <v>13521</v>
      </c>
      <c r="C4252" s="38" t="s">
        <v>13522</v>
      </c>
      <c r="D4252" s="38" t="s">
        <v>13523</v>
      </c>
      <c r="E4252" s="38" t="s">
        <v>13524</v>
      </c>
      <c r="F4252" s="38" t="s">
        <v>13525</v>
      </c>
      <c r="G4252" s="38" t="s">
        <v>13526</v>
      </c>
    </row>
    <row r="4253">
      <c r="B4253" s="38" t="s">
        <v>283</v>
      </c>
      <c r="C4253" s="38">
        <v>4.0</v>
      </c>
      <c r="D4253" s="38" t="s">
        <v>881</v>
      </c>
      <c r="E4253" s="38" t="s">
        <v>4741</v>
      </c>
      <c r="F4253" s="38" t="s">
        <v>13527</v>
      </c>
    </row>
    <row r="4254">
      <c r="B4254" s="352" t="s">
        <v>13528</v>
      </c>
      <c r="C4254" s="352" t="s">
        <v>13529</v>
      </c>
      <c r="D4254" s="531" t="s">
        <v>13530</v>
      </c>
      <c r="E4254" s="47" t="s">
        <v>13531</v>
      </c>
      <c r="F4254" s="352" t="s">
        <v>13532</v>
      </c>
      <c r="G4254" s="38" t="s">
        <v>13251</v>
      </c>
    </row>
    <row r="4255">
      <c r="B4255" s="38" t="s">
        <v>183</v>
      </c>
      <c r="C4255" s="38">
        <v>1.0</v>
      </c>
      <c r="D4255" s="38" t="s">
        <v>6192</v>
      </c>
      <c r="E4255" s="39" t="s">
        <v>13533</v>
      </c>
      <c r="F4255" s="38" t="s">
        <v>13534</v>
      </c>
    </row>
    <row r="4256">
      <c r="B4256" s="38"/>
      <c r="C4256" s="38"/>
      <c r="D4256" s="38" t="s">
        <v>11990</v>
      </c>
      <c r="E4256" s="47" t="s">
        <v>13531</v>
      </c>
      <c r="F4256" s="38" t="s">
        <v>13535</v>
      </c>
      <c r="G4256" s="38" t="s">
        <v>13251</v>
      </c>
    </row>
    <row r="4257">
      <c r="B4257" s="38"/>
      <c r="C4257" s="38"/>
      <c r="D4257" s="38"/>
      <c r="E4257" s="47" t="s">
        <v>13531</v>
      </c>
      <c r="F4257" s="38" t="s">
        <v>13536</v>
      </c>
      <c r="G4257" s="38" t="s">
        <v>13251</v>
      </c>
    </row>
    <row r="4258">
      <c r="B4258" s="38"/>
      <c r="C4258" s="38"/>
      <c r="D4258" s="38"/>
      <c r="E4258" s="38" t="s">
        <v>873</v>
      </c>
      <c r="F4258" s="38"/>
      <c r="G4258" s="44"/>
    </row>
    <row r="4259">
      <c r="B4259" s="38" t="s">
        <v>13537</v>
      </c>
      <c r="C4259" s="38" t="s">
        <v>13538</v>
      </c>
      <c r="D4259" s="38" t="s">
        <v>13539</v>
      </c>
      <c r="E4259" s="38" t="s">
        <v>13540</v>
      </c>
      <c r="F4259" s="38" t="s">
        <v>13541</v>
      </c>
      <c r="G4259" s="38" t="s">
        <v>13251</v>
      </c>
    </row>
    <row r="4260">
      <c r="B4260" s="38" t="s">
        <v>4938</v>
      </c>
      <c r="C4260" s="38" t="s">
        <v>896</v>
      </c>
      <c r="D4260" s="38" t="s">
        <v>13542</v>
      </c>
      <c r="E4260" s="38" t="s">
        <v>450</v>
      </c>
      <c r="F4260" s="38" t="s">
        <v>13543</v>
      </c>
    </row>
    <row r="4261">
      <c r="B4261" s="38" t="s">
        <v>13544</v>
      </c>
      <c r="C4261" s="38" t="s">
        <v>13545</v>
      </c>
      <c r="D4261" s="38" t="s">
        <v>13546</v>
      </c>
      <c r="E4261" s="38" t="s">
        <v>450</v>
      </c>
      <c r="F4261" s="38" t="s">
        <v>13543</v>
      </c>
    </row>
    <row r="4262">
      <c r="B4262" s="38" t="s">
        <v>452</v>
      </c>
      <c r="C4262" s="38" t="s">
        <v>453</v>
      </c>
      <c r="D4262" s="38" t="s">
        <v>13547</v>
      </c>
      <c r="E4262" s="38" t="s">
        <v>450</v>
      </c>
      <c r="F4262" s="38" t="s">
        <v>13543</v>
      </c>
    </row>
    <row r="4263">
      <c r="A4263" s="44"/>
      <c r="B4263" s="38" t="s">
        <v>1264</v>
      </c>
      <c r="C4263" s="38">
        <v>4.0</v>
      </c>
      <c r="D4263" s="38" t="s">
        <v>12914</v>
      </c>
      <c r="E4263" s="38" t="s">
        <v>1731</v>
      </c>
      <c r="F4263" s="38" t="s">
        <v>4544</v>
      </c>
      <c r="G4263" s="38" t="s">
        <v>144</v>
      </c>
    </row>
    <row r="4264">
      <c r="A4264" s="44"/>
      <c r="B4264" s="38"/>
      <c r="C4264" s="38"/>
      <c r="D4264" s="38" t="s">
        <v>13548</v>
      </c>
      <c r="E4264" s="38" t="s">
        <v>13549</v>
      </c>
      <c r="F4264" s="38" t="s">
        <v>13550</v>
      </c>
      <c r="G4264" s="38" t="s">
        <v>144</v>
      </c>
    </row>
    <row r="4265">
      <c r="A4265" s="44"/>
      <c r="B4265" s="38"/>
      <c r="C4265" s="38"/>
      <c r="D4265" s="38" t="s">
        <v>13551</v>
      </c>
      <c r="E4265" s="38" t="s">
        <v>13549</v>
      </c>
      <c r="F4265" s="38" t="s">
        <v>10621</v>
      </c>
      <c r="G4265" s="38" t="s">
        <v>144</v>
      </c>
    </row>
    <row r="4266">
      <c r="A4266" s="44"/>
      <c r="B4266" s="38"/>
      <c r="C4266" s="38"/>
      <c r="D4266" s="38"/>
      <c r="E4266" s="38" t="s">
        <v>13549</v>
      </c>
      <c r="F4266" s="38" t="s">
        <v>13552</v>
      </c>
      <c r="G4266" s="38" t="s">
        <v>144</v>
      </c>
    </row>
    <row r="4267">
      <c r="B4267" s="38" t="s">
        <v>25</v>
      </c>
      <c r="C4267" s="38">
        <v>4.0</v>
      </c>
      <c r="D4267" s="38" t="s">
        <v>402</v>
      </c>
      <c r="E4267" s="38" t="s">
        <v>7080</v>
      </c>
      <c r="F4267" s="38" t="s">
        <v>353</v>
      </c>
      <c r="G4267" s="38" t="s">
        <v>13553</v>
      </c>
    </row>
    <row r="4268">
      <c r="B4268" s="38" t="s">
        <v>1400</v>
      </c>
      <c r="C4268" s="38">
        <v>2.0</v>
      </c>
      <c r="D4268" s="38" t="s">
        <v>10984</v>
      </c>
      <c r="E4268" s="38" t="s">
        <v>7080</v>
      </c>
      <c r="F4268" s="38" t="s">
        <v>4474</v>
      </c>
      <c r="G4268" s="38" t="s">
        <v>13554</v>
      </c>
    </row>
    <row r="4269">
      <c r="A4269" s="1" t="s">
        <v>13555</v>
      </c>
      <c r="B4269" s="38"/>
      <c r="C4269" s="38" t="s">
        <v>13556</v>
      </c>
      <c r="D4269" s="38"/>
      <c r="E4269" s="132" t="s">
        <v>914</v>
      </c>
      <c r="F4269" s="38" t="s">
        <v>1475</v>
      </c>
      <c r="G4269" s="38" t="s">
        <v>12880</v>
      </c>
      <c r="H4269" s="38" t="s">
        <v>13557</v>
      </c>
    </row>
    <row r="4270">
      <c r="A4270" s="19">
        <v>45030.0</v>
      </c>
      <c r="B4270" s="38" t="s">
        <v>13558</v>
      </c>
      <c r="C4270" s="38"/>
      <c r="D4270" s="38"/>
      <c r="E4270" s="132" t="s">
        <v>13559</v>
      </c>
      <c r="F4270" s="38" t="s">
        <v>1252</v>
      </c>
      <c r="G4270" s="38"/>
      <c r="H4270" s="38" t="s">
        <v>13557</v>
      </c>
    </row>
    <row r="4271">
      <c r="A4271" s="532" t="s">
        <v>13560</v>
      </c>
      <c r="B4271" s="533" t="s">
        <v>13561</v>
      </c>
      <c r="C4271" s="533" t="s">
        <v>13562</v>
      </c>
      <c r="D4271" s="533" t="s">
        <v>13563</v>
      </c>
      <c r="E4271" s="534" t="s">
        <v>13564</v>
      </c>
      <c r="F4271" s="534" t="s">
        <v>13565</v>
      </c>
      <c r="G4271" s="534" t="s">
        <v>13566</v>
      </c>
      <c r="H4271" s="429" t="s">
        <v>13567</v>
      </c>
      <c r="I4271" s="535" t="s">
        <v>13568</v>
      </c>
      <c r="J4271" s="429"/>
      <c r="K4271" s="429"/>
      <c r="L4271" s="429"/>
      <c r="M4271" s="429"/>
      <c r="N4271" s="19">
        <v>43983.0</v>
      </c>
    </row>
    <row r="4272">
      <c r="A4272" s="536" t="s">
        <v>13569</v>
      </c>
      <c r="B4272" s="537" t="s">
        <v>13570</v>
      </c>
      <c r="C4272" s="533"/>
      <c r="D4272" s="533"/>
      <c r="E4272" s="533" t="s">
        <v>13571</v>
      </c>
      <c r="F4272" s="533" t="s">
        <v>13572</v>
      </c>
      <c r="G4272" s="533" t="s">
        <v>13573</v>
      </c>
      <c r="H4272" s="429"/>
      <c r="I4272" s="429"/>
      <c r="J4272" s="429"/>
      <c r="K4272" s="429"/>
      <c r="L4272" s="429"/>
      <c r="M4272" s="429"/>
      <c r="N4272" s="19">
        <v>43983.0</v>
      </c>
    </row>
    <row r="4273">
      <c r="A4273" s="536"/>
      <c r="B4273" s="538"/>
      <c r="C4273" s="399"/>
      <c r="D4273" s="289" t="s">
        <v>13574</v>
      </c>
      <c r="E4273" s="132" t="s">
        <v>914</v>
      </c>
      <c r="F4273" s="399"/>
      <c r="G4273" s="289" t="s">
        <v>13557</v>
      </c>
      <c r="H4273" s="429"/>
      <c r="I4273" s="429"/>
      <c r="J4273" s="429"/>
      <c r="K4273" s="429"/>
      <c r="L4273" s="429"/>
      <c r="M4273" s="429"/>
      <c r="N4273" s="19"/>
    </row>
    <row r="4274">
      <c r="A4274" s="536"/>
      <c r="B4274" s="538"/>
      <c r="C4274" s="399"/>
      <c r="D4274" s="289" t="s">
        <v>13575</v>
      </c>
      <c r="E4274" s="132" t="s">
        <v>914</v>
      </c>
      <c r="F4274" s="399"/>
      <c r="G4274" s="289" t="s">
        <v>13557</v>
      </c>
      <c r="H4274" s="429"/>
      <c r="I4274" s="429"/>
      <c r="J4274" s="429"/>
      <c r="K4274" s="429"/>
      <c r="L4274" s="429"/>
      <c r="M4274" s="429"/>
      <c r="N4274" s="19"/>
    </row>
    <row r="4275">
      <c r="B4275" s="38" t="s">
        <v>261</v>
      </c>
      <c r="C4275" s="38">
        <v>4.0</v>
      </c>
      <c r="D4275" s="38" t="s">
        <v>4326</v>
      </c>
      <c r="E4275" s="38" t="s">
        <v>4624</v>
      </c>
      <c r="F4275" s="38" t="s">
        <v>13576</v>
      </c>
    </row>
    <row r="4276">
      <c r="A4276" s="5"/>
      <c r="B4276" s="38" t="s">
        <v>416</v>
      </c>
      <c r="C4276" s="38">
        <v>4.0</v>
      </c>
      <c r="D4276" s="38" t="s">
        <v>1382</v>
      </c>
      <c r="E4276" s="38" t="s">
        <v>13577</v>
      </c>
      <c r="F4276" s="38" t="s">
        <v>13578</v>
      </c>
      <c r="G4276" s="38" t="s">
        <v>13579</v>
      </c>
      <c r="H4276" s="149" t="s">
        <v>13580</v>
      </c>
    </row>
    <row r="4277">
      <c r="B4277" s="38" t="s">
        <v>354</v>
      </c>
      <c r="C4277" s="38">
        <v>4.0</v>
      </c>
      <c r="D4277" s="38" t="s">
        <v>545</v>
      </c>
      <c r="E4277" s="38" t="s">
        <v>418</v>
      </c>
      <c r="F4277" s="38" t="s">
        <v>13581</v>
      </c>
    </row>
    <row r="4278">
      <c r="B4278" s="38" t="s">
        <v>3792</v>
      </c>
      <c r="C4278" s="38">
        <v>4.0</v>
      </c>
      <c r="D4278" s="38" t="s">
        <v>13582</v>
      </c>
      <c r="E4278" s="38" t="s">
        <v>418</v>
      </c>
      <c r="F4278" s="38">
        <v>189.0</v>
      </c>
      <c r="G4278" s="38" t="s">
        <v>13583</v>
      </c>
      <c r="H4278" s="525" t="s">
        <v>13584</v>
      </c>
    </row>
    <row r="4279">
      <c r="B4279" s="38" t="s">
        <v>1714</v>
      </c>
      <c r="C4279" s="38">
        <v>4.0</v>
      </c>
      <c r="D4279" s="38" t="s">
        <v>13582</v>
      </c>
      <c r="E4279" s="38" t="s">
        <v>418</v>
      </c>
      <c r="F4279" s="38">
        <v>202.0</v>
      </c>
      <c r="G4279" s="38" t="s">
        <v>13583</v>
      </c>
      <c r="H4279" s="109" t="s">
        <v>13585</v>
      </c>
    </row>
    <row r="4280">
      <c r="B4280" s="5" t="s">
        <v>122</v>
      </c>
      <c r="C4280" s="5">
        <v>4.0</v>
      </c>
      <c r="D4280" s="1" t="s">
        <v>11204</v>
      </c>
      <c r="E4280" s="1" t="s">
        <v>6271</v>
      </c>
      <c r="F4280" s="5" t="s">
        <v>13586</v>
      </c>
    </row>
    <row r="4281">
      <c r="B4281" s="5"/>
      <c r="C4281" s="5"/>
      <c r="D4281" s="1"/>
      <c r="E4281" s="1" t="s">
        <v>6271</v>
      </c>
      <c r="F4281" s="5" t="s">
        <v>13587</v>
      </c>
    </row>
    <row r="4282">
      <c r="B4282" s="38" t="s">
        <v>13588</v>
      </c>
      <c r="C4282" s="38">
        <v>4.0</v>
      </c>
      <c r="D4282" s="38" t="s">
        <v>12914</v>
      </c>
      <c r="E4282" s="38" t="s">
        <v>13589</v>
      </c>
      <c r="F4282" s="38" t="s">
        <v>13590</v>
      </c>
    </row>
    <row r="4283">
      <c r="B4283" s="38" t="s">
        <v>5105</v>
      </c>
      <c r="C4283" s="38">
        <v>2.0</v>
      </c>
      <c r="D4283" s="38" t="s">
        <v>13591</v>
      </c>
      <c r="E4283" s="38" t="s">
        <v>13589</v>
      </c>
      <c r="F4283" s="38" t="s">
        <v>13590</v>
      </c>
    </row>
    <row r="4284">
      <c r="B4284" s="38" t="s">
        <v>303</v>
      </c>
      <c r="C4284" s="38">
        <v>4.0</v>
      </c>
      <c r="D4284" s="38" t="s">
        <v>553</v>
      </c>
      <c r="E4284" s="38" t="s">
        <v>13589</v>
      </c>
      <c r="F4284" s="38" t="s">
        <v>13590</v>
      </c>
    </row>
    <row r="4285">
      <c r="B4285" s="38" t="s">
        <v>339</v>
      </c>
      <c r="C4285" s="38">
        <v>4.0</v>
      </c>
      <c r="D4285" s="38" t="s">
        <v>8381</v>
      </c>
      <c r="E4285" s="38" t="s">
        <v>13592</v>
      </c>
      <c r="F4285" s="38" t="s">
        <v>13593</v>
      </c>
      <c r="G4285" s="504" t="s">
        <v>13594</v>
      </c>
    </row>
    <row r="4286">
      <c r="B4286" s="38" t="s">
        <v>972</v>
      </c>
      <c r="C4286" s="38">
        <v>1.0</v>
      </c>
      <c r="D4286" s="38" t="s">
        <v>719</v>
      </c>
      <c r="E4286" s="38" t="s">
        <v>9701</v>
      </c>
      <c r="F4286" s="44"/>
      <c r="G4286" s="38" t="s">
        <v>13595</v>
      </c>
    </row>
    <row r="4287">
      <c r="B4287" s="38"/>
      <c r="C4287" s="38"/>
      <c r="D4287" s="38"/>
      <c r="E4287" s="38" t="s">
        <v>9701</v>
      </c>
      <c r="F4287" s="38" t="s">
        <v>13596</v>
      </c>
      <c r="G4287" s="44"/>
    </row>
    <row r="4288">
      <c r="B4288" s="38" t="s">
        <v>97</v>
      </c>
      <c r="C4288" s="38">
        <v>2.0</v>
      </c>
      <c r="D4288" s="38" t="s">
        <v>13597</v>
      </c>
      <c r="E4288" s="38" t="s">
        <v>13598</v>
      </c>
      <c r="F4288" s="38" t="s">
        <v>13599</v>
      </c>
    </row>
    <row r="4289">
      <c r="B4289" s="38" t="s">
        <v>876</v>
      </c>
      <c r="C4289" s="38">
        <v>2.0</v>
      </c>
      <c r="D4289" s="38" t="s">
        <v>206</v>
      </c>
      <c r="E4289" s="38" t="s">
        <v>11932</v>
      </c>
      <c r="F4289" s="38" t="s">
        <v>13600</v>
      </c>
    </row>
    <row r="4290">
      <c r="A4290" s="8"/>
      <c r="B4290" s="38" t="s">
        <v>122</v>
      </c>
      <c r="C4290" s="38">
        <v>4.0</v>
      </c>
      <c r="D4290" s="38" t="s">
        <v>13601</v>
      </c>
      <c r="E4290" s="39" t="s">
        <v>13602</v>
      </c>
      <c r="F4290" s="38" t="s">
        <v>13603</v>
      </c>
      <c r="G4290" s="488" t="s">
        <v>13604</v>
      </c>
    </row>
    <row r="4291">
      <c r="B4291" s="38"/>
      <c r="C4291" s="38" t="s">
        <v>13605</v>
      </c>
      <c r="D4291" s="38" t="s">
        <v>13606</v>
      </c>
      <c r="E4291" s="38" t="s">
        <v>974</v>
      </c>
      <c r="F4291" s="38" t="s">
        <v>13607</v>
      </c>
      <c r="G4291" s="38" t="s">
        <v>144</v>
      </c>
    </row>
    <row r="4292">
      <c r="B4292" s="38"/>
      <c r="C4292" s="38" t="s">
        <v>13608</v>
      </c>
      <c r="D4292" s="38"/>
      <c r="E4292" s="38" t="s">
        <v>974</v>
      </c>
      <c r="F4292" s="38"/>
      <c r="G4292" s="38" t="s">
        <v>144</v>
      </c>
    </row>
    <row r="4293">
      <c r="B4293" s="38"/>
      <c r="C4293" s="38"/>
      <c r="D4293" s="38" t="s">
        <v>13609</v>
      </c>
      <c r="E4293" s="38" t="s">
        <v>974</v>
      </c>
      <c r="F4293" s="38" t="s">
        <v>13610</v>
      </c>
      <c r="G4293" s="38" t="s">
        <v>144</v>
      </c>
    </row>
    <row r="4294">
      <c r="B4294" s="38"/>
      <c r="C4294" s="38"/>
      <c r="D4294" s="38" t="s">
        <v>13611</v>
      </c>
      <c r="E4294" s="38" t="s">
        <v>974</v>
      </c>
      <c r="F4294" s="38"/>
      <c r="G4294" s="38" t="s">
        <v>144</v>
      </c>
    </row>
    <row r="4295">
      <c r="B4295" s="38" t="s">
        <v>28</v>
      </c>
      <c r="C4295" s="38">
        <v>2.0</v>
      </c>
      <c r="D4295" s="38" t="s">
        <v>4326</v>
      </c>
      <c r="E4295" s="38" t="s">
        <v>434</v>
      </c>
      <c r="F4295" s="38" t="s">
        <v>13612</v>
      </c>
    </row>
    <row r="4296">
      <c r="B4296" s="38" t="s">
        <v>2013</v>
      </c>
      <c r="C4296" s="38">
        <v>2.0</v>
      </c>
      <c r="D4296" s="38" t="s">
        <v>1109</v>
      </c>
      <c r="E4296" s="38" t="s">
        <v>13613</v>
      </c>
      <c r="F4296" s="38" t="s">
        <v>13614</v>
      </c>
    </row>
    <row r="4297">
      <c r="B4297" s="38" t="s">
        <v>718</v>
      </c>
      <c r="C4297" s="38">
        <v>2.0</v>
      </c>
      <c r="D4297" s="38" t="s">
        <v>1109</v>
      </c>
      <c r="E4297" s="38" t="s">
        <v>13613</v>
      </c>
      <c r="F4297" s="38" t="s">
        <v>13614</v>
      </c>
    </row>
    <row r="4298">
      <c r="B4298" s="38" t="s">
        <v>2573</v>
      </c>
      <c r="C4298" s="38">
        <v>2.0</v>
      </c>
      <c r="D4298" s="38" t="s">
        <v>13615</v>
      </c>
      <c r="E4298" s="38" t="s">
        <v>4741</v>
      </c>
      <c r="F4298" s="38" t="s">
        <v>13616</v>
      </c>
    </row>
    <row r="4299">
      <c r="B4299" s="38" t="s">
        <v>1322</v>
      </c>
      <c r="C4299" s="38">
        <v>2.0</v>
      </c>
      <c r="D4299" s="38" t="s">
        <v>13615</v>
      </c>
      <c r="E4299" s="38" t="s">
        <v>4741</v>
      </c>
      <c r="F4299" s="38" t="s">
        <v>13616</v>
      </c>
    </row>
    <row r="4300">
      <c r="B4300" s="38"/>
      <c r="C4300" s="38"/>
      <c r="D4300" s="38"/>
      <c r="E4300" s="38" t="s">
        <v>4762</v>
      </c>
      <c r="F4300" s="38" t="s">
        <v>13617</v>
      </c>
      <c r="G4300" s="38" t="s">
        <v>13618</v>
      </c>
    </row>
    <row r="4301">
      <c r="B4301" s="38"/>
      <c r="C4301" s="38"/>
      <c r="D4301" s="38"/>
      <c r="E4301" s="38" t="s">
        <v>4762</v>
      </c>
      <c r="F4301" s="38" t="s">
        <v>13619</v>
      </c>
      <c r="G4301" s="38" t="s">
        <v>13618</v>
      </c>
    </row>
    <row r="4302">
      <c r="B4302" s="38" t="s">
        <v>271</v>
      </c>
      <c r="C4302" s="38">
        <v>4.0</v>
      </c>
      <c r="D4302" s="38" t="s">
        <v>4326</v>
      </c>
      <c r="E4302" s="38" t="s">
        <v>6176</v>
      </c>
      <c r="F4302" s="38" t="s">
        <v>13178</v>
      </c>
    </row>
    <row r="4303">
      <c r="B4303" s="38" t="s">
        <v>13620</v>
      </c>
      <c r="C4303" s="38" t="s">
        <v>13621</v>
      </c>
      <c r="D4303" s="38" t="s">
        <v>13622</v>
      </c>
      <c r="E4303" s="38" t="s">
        <v>13623</v>
      </c>
      <c r="F4303" s="38" t="s">
        <v>13624</v>
      </c>
      <c r="G4303" s="38" t="s">
        <v>13625</v>
      </c>
    </row>
    <row r="4304">
      <c r="B4304" s="44"/>
      <c r="C4304" s="515" t="s">
        <v>13626</v>
      </c>
      <c r="D4304" s="38"/>
      <c r="E4304" s="38" t="s">
        <v>13627</v>
      </c>
      <c r="F4304" s="38" t="s">
        <v>13628</v>
      </c>
    </row>
    <row r="4305">
      <c r="B4305" s="38" t="s">
        <v>170</v>
      </c>
      <c r="C4305" s="38">
        <v>4.0</v>
      </c>
      <c r="D4305" s="38" t="s">
        <v>13629</v>
      </c>
      <c r="E4305" s="38" t="s">
        <v>13630</v>
      </c>
      <c r="F4305" s="38" t="s">
        <v>13631</v>
      </c>
    </row>
    <row r="4306">
      <c r="B4306" s="38" t="s">
        <v>495</v>
      </c>
      <c r="C4306" s="38">
        <v>2.0</v>
      </c>
      <c r="D4306" s="38" t="s">
        <v>12318</v>
      </c>
      <c r="E4306" s="38" t="s">
        <v>4741</v>
      </c>
      <c r="F4306" s="38" t="s">
        <v>13632</v>
      </c>
    </row>
    <row r="4307">
      <c r="B4307" s="38" t="s">
        <v>876</v>
      </c>
      <c r="C4307" s="38">
        <v>4.0</v>
      </c>
      <c r="D4307" s="38" t="s">
        <v>206</v>
      </c>
      <c r="E4307" s="38" t="s">
        <v>13633</v>
      </c>
      <c r="F4307" s="38" t="s">
        <v>13634</v>
      </c>
    </row>
    <row r="4308">
      <c r="B4308" s="38" t="s">
        <v>2329</v>
      </c>
      <c r="C4308" s="38">
        <v>2.0</v>
      </c>
      <c r="D4308" s="38" t="s">
        <v>13635</v>
      </c>
      <c r="E4308" s="38" t="s">
        <v>11151</v>
      </c>
      <c r="F4308" s="38" t="s">
        <v>13636</v>
      </c>
    </row>
    <row r="4309">
      <c r="B4309" s="38" t="s">
        <v>13637</v>
      </c>
      <c r="C4309" s="38" t="s">
        <v>13638</v>
      </c>
      <c r="D4309" s="38" t="s">
        <v>1258</v>
      </c>
      <c r="E4309" s="38" t="s">
        <v>13639</v>
      </c>
      <c r="F4309" s="38" t="s">
        <v>13640</v>
      </c>
      <c r="G4309" s="38" t="s">
        <v>13641</v>
      </c>
    </row>
    <row r="4310">
      <c r="B4310" s="38"/>
      <c r="C4310" s="38"/>
      <c r="D4310" s="38" t="s">
        <v>647</v>
      </c>
      <c r="E4310" s="38" t="s">
        <v>13639</v>
      </c>
      <c r="F4310" s="38" t="s">
        <v>13642</v>
      </c>
      <c r="G4310" s="38" t="s">
        <v>13641</v>
      </c>
    </row>
    <row r="4311">
      <c r="A4311" s="4" t="s">
        <v>13643</v>
      </c>
      <c r="B4311" s="38" t="s">
        <v>430</v>
      </c>
      <c r="C4311" s="38">
        <v>4.0</v>
      </c>
      <c r="D4311" s="38" t="s">
        <v>8381</v>
      </c>
      <c r="E4311" s="38" t="s">
        <v>13644</v>
      </c>
      <c r="F4311" s="38" t="s">
        <v>2252</v>
      </c>
    </row>
    <row r="4312">
      <c r="B4312" s="131" t="s">
        <v>549</v>
      </c>
      <c r="C4312" s="131">
        <v>4.0</v>
      </c>
      <c r="D4312" s="131" t="s">
        <v>13645</v>
      </c>
      <c r="E4312" s="131" t="s">
        <v>13646</v>
      </c>
      <c r="F4312" s="131" t="s">
        <v>13647</v>
      </c>
      <c r="G4312" s="131" t="s">
        <v>2772</v>
      </c>
    </row>
    <row r="4313">
      <c r="B4313" s="131" t="s">
        <v>549</v>
      </c>
      <c r="C4313" s="131">
        <v>1.0</v>
      </c>
      <c r="D4313" s="131" t="s">
        <v>13645</v>
      </c>
      <c r="E4313" s="131" t="s">
        <v>13646</v>
      </c>
      <c r="F4313" s="131" t="s">
        <v>13647</v>
      </c>
      <c r="G4313" s="131" t="s">
        <v>2772</v>
      </c>
    </row>
    <row r="4314">
      <c r="B4314" s="38" t="s">
        <v>22</v>
      </c>
      <c r="C4314" s="38">
        <v>2.0</v>
      </c>
      <c r="D4314" s="38" t="s">
        <v>2473</v>
      </c>
      <c r="E4314" s="38" t="s">
        <v>13646</v>
      </c>
      <c r="F4314" s="38" t="s">
        <v>13648</v>
      </c>
      <c r="G4314" s="539"/>
    </row>
    <row r="4315">
      <c r="B4315" s="38" t="s">
        <v>77</v>
      </c>
      <c r="C4315" s="38">
        <v>4.0</v>
      </c>
      <c r="D4315" s="38" t="s">
        <v>232</v>
      </c>
      <c r="E4315" s="38" t="s">
        <v>13649</v>
      </c>
      <c r="F4315" s="38" t="s">
        <v>13650</v>
      </c>
      <c r="G4315" s="489" t="s">
        <v>13651</v>
      </c>
    </row>
    <row r="4316">
      <c r="A4316" s="4" t="s">
        <v>13652</v>
      </c>
      <c r="B4316" s="38" t="s">
        <v>219</v>
      </c>
      <c r="C4316" s="38">
        <v>4.0</v>
      </c>
      <c r="D4316" s="38" t="s">
        <v>1359</v>
      </c>
      <c r="E4316" s="38" t="s">
        <v>13653</v>
      </c>
      <c r="F4316" s="38" t="s">
        <v>13654</v>
      </c>
      <c r="G4316" s="490" t="s">
        <v>13655</v>
      </c>
    </row>
    <row r="4317">
      <c r="B4317" s="38" t="s">
        <v>430</v>
      </c>
      <c r="C4317" s="38">
        <v>4.0</v>
      </c>
      <c r="D4317" s="38" t="s">
        <v>10732</v>
      </c>
      <c r="E4317" s="38" t="s">
        <v>4865</v>
      </c>
      <c r="F4317" s="38" t="s">
        <v>4211</v>
      </c>
    </row>
    <row r="4318">
      <c r="B4318" s="38"/>
      <c r="C4318" s="38"/>
      <c r="D4318" s="38" t="s">
        <v>13656</v>
      </c>
      <c r="E4318" s="38" t="s">
        <v>6663</v>
      </c>
      <c r="F4318" s="38" t="s">
        <v>13657</v>
      </c>
      <c r="G4318" s="44"/>
    </row>
    <row r="4319">
      <c r="B4319" s="38" t="s">
        <v>5404</v>
      </c>
      <c r="C4319" s="38" t="s">
        <v>13658</v>
      </c>
      <c r="D4319" s="44"/>
      <c r="E4319" s="38" t="s">
        <v>6663</v>
      </c>
      <c r="F4319" s="38" t="s">
        <v>13659</v>
      </c>
      <c r="G4319" s="38" t="s">
        <v>13660</v>
      </c>
    </row>
    <row r="4320">
      <c r="B4320" s="38" t="s">
        <v>13661</v>
      </c>
      <c r="C4320" s="38" t="s">
        <v>13662</v>
      </c>
      <c r="D4320" s="38" t="s">
        <v>13663</v>
      </c>
      <c r="E4320" s="38" t="s">
        <v>6663</v>
      </c>
      <c r="F4320" s="38" t="s">
        <v>13664</v>
      </c>
      <c r="G4320" s="38" t="s">
        <v>13660</v>
      </c>
    </row>
    <row r="4321">
      <c r="B4321" s="38" t="s">
        <v>13665</v>
      </c>
      <c r="C4321" s="44"/>
      <c r="D4321" s="44"/>
      <c r="E4321" s="38" t="s">
        <v>6663</v>
      </c>
      <c r="F4321" s="38" t="s">
        <v>13660</v>
      </c>
    </row>
    <row r="4322">
      <c r="A4322" s="7">
        <v>45077.0</v>
      </c>
      <c r="B4322" s="38" t="s">
        <v>13666</v>
      </c>
      <c r="C4322" s="121" t="s">
        <v>13667</v>
      </c>
      <c r="D4322" s="121" t="s">
        <v>13668</v>
      </c>
      <c r="E4322" s="38" t="s">
        <v>6663</v>
      </c>
      <c r="F4322" s="38" t="s">
        <v>13660</v>
      </c>
    </row>
    <row r="4323">
      <c r="A4323" s="4" t="s">
        <v>13669</v>
      </c>
      <c r="B4323" s="38" t="s">
        <v>11384</v>
      </c>
      <c r="C4323" s="121" t="s">
        <v>13670</v>
      </c>
      <c r="D4323" s="121" t="s">
        <v>13671</v>
      </c>
      <c r="E4323" s="38" t="s">
        <v>6663</v>
      </c>
      <c r="F4323" s="38" t="s">
        <v>13660</v>
      </c>
    </row>
    <row r="4324">
      <c r="B4324" s="44"/>
      <c r="C4324" s="38" t="s">
        <v>13672</v>
      </c>
      <c r="D4324" s="38" t="s">
        <v>13673</v>
      </c>
      <c r="E4324" s="38" t="s">
        <v>6663</v>
      </c>
      <c r="F4324" s="38" t="s">
        <v>13660</v>
      </c>
    </row>
    <row r="4325">
      <c r="B4325" s="121" t="s">
        <v>13674</v>
      </c>
      <c r="C4325" s="44"/>
      <c r="D4325" s="121" t="s">
        <v>13675</v>
      </c>
      <c r="E4325" s="44"/>
      <c r="F4325" s="38" t="s">
        <v>13660</v>
      </c>
    </row>
    <row r="4326">
      <c r="A4326" s="4"/>
      <c r="B4326" s="38" t="s">
        <v>13676</v>
      </c>
      <c r="C4326" s="121" t="s">
        <v>13677</v>
      </c>
      <c r="D4326" s="44"/>
      <c r="E4326" s="38" t="s">
        <v>6663</v>
      </c>
      <c r="F4326" s="38" t="s">
        <v>13660</v>
      </c>
    </row>
    <row r="4327">
      <c r="A4327" s="4"/>
      <c r="B4327" s="38" t="s">
        <v>13678</v>
      </c>
      <c r="C4327" s="390" t="s">
        <v>13679</v>
      </c>
      <c r="D4327" s="121" t="s">
        <v>13680</v>
      </c>
      <c r="E4327" s="38" t="s">
        <v>6663</v>
      </c>
      <c r="F4327" s="38" t="s">
        <v>13660</v>
      </c>
      <c r="I4327" s="1" t="s">
        <v>13681</v>
      </c>
    </row>
    <row r="4328">
      <c r="A4328" s="4"/>
      <c r="B4328" s="44"/>
      <c r="C4328" s="44"/>
      <c r="D4328" s="38" t="s">
        <v>10613</v>
      </c>
      <c r="E4328" s="38" t="s">
        <v>6663</v>
      </c>
      <c r="F4328" s="38" t="s">
        <v>13660</v>
      </c>
    </row>
    <row r="4329">
      <c r="B4329" s="38" t="s">
        <v>2548</v>
      </c>
      <c r="C4329" s="38">
        <v>4.0</v>
      </c>
      <c r="D4329" s="38" t="s">
        <v>13682</v>
      </c>
      <c r="E4329" s="38" t="s">
        <v>13683</v>
      </c>
      <c r="F4329" s="38" t="s">
        <v>13684</v>
      </c>
    </row>
    <row r="4330">
      <c r="B4330" s="38" t="s">
        <v>13685</v>
      </c>
      <c r="C4330" s="38"/>
      <c r="D4330" s="38"/>
      <c r="E4330" s="38" t="s">
        <v>4787</v>
      </c>
      <c r="F4330" s="38" t="s">
        <v>4785</v>
      </c>
    </row>
    <row r="4331">
      <c r="B4331" s="38" t="s">
        <v>1006</v>
      </c>
      <c r="C4331" s="38">
        <v>4.0</v>
      </c>
      <c r="D4331" s="38" t="s">
        <v>232</v>
      </c>
      <c r="E4331" s="38" t="s">
        <v>325</v>
      </c>
      <c r="F4331" s="38" t="s">
        <v>13686</v>
      </c>
    </row>
    <row r="4332">
      <c r="B4332" s="38" t="s">
        <v>411</v>
      </c>
      <c r="C4332" s="38">
        <v>4.0</v>
      </c>
      <c r="D4332" s="38" t="s">
        <v>36</v>
      </c>
      <c r="E4332" s="38" t="s">
        <v>13687</v>
      </c>
      <c r="F4332" s="38" t="s">
        <v>13688</v>
      </c>
    </row>
    <row r="4333">
      <c r="B4333" s="38"/>
      <c r="C4333" s="38"/>
      <c r="D4333" s="38"/>
      <c r="E4333" s="38" t="s">
        <v>13689</v>
      </c>
      <c r="F4333" s="38" t="s">
        <v>13690</v>
      </c>
    </row>
    <row r="4334">
      <c r="B4334" s="38"/>
      <c r="C4334" s="38"/>
      <c r="D4334" s="38" t="s">
        <v>13691</v>
      </c>
      <c r="E4334" s="47" t="s">
        <v>13692</v>
      </c>
      <c r="F4334" s="38" t="s">
        <v>13693</v>
      </c>
      <c r="G4334" s="38" t="s">
        <v>13694</v>
      </c>
    </row>
    <row r="4335">
      <c r="B4335" s="38"/>
      <c r="C4335" s="38"/>
      <c r="D4335" s="38"/>
      <c r="E4335" s="101" t="s">
        <v>13695</v>
      </c>
      <c r="F4335" s="47" t="s">
        <v>13696</v>
      </c>
      <c r="G4335" s="38" t="s">
        <v>13694</v>
      </c>
    </row>
    <row r="4336">
      <c r="B4336" s="38"/>
      <c r="C4336" s="38"/>
      <c r="D4336" s="38"/>
      <c r="E4336" s="101" t="s">
        <v>13697</v>
      </c>
      <c r="F4336" s="47" t="s">
        <v>13698</v>
      </c>
      <c r="G4336" s="38" t="s">
        <v>13694</v>
      </c>
    </row>
    <row r="4337">
      <c r="B4337" s="47" t="s">
        <v>949</v>
      </c>
      <c r="C4337" s="47">
        <v>2.0</v>
      </c>
      <c r="D4337" s="47" t="s">
        <v>4348</v>
      </c>
      <c r="E4337" s="47" t="s">
        <v>12258</v>
      </c>
      <c r="F4337" s="38" t="s">
        <v>13699</v>
      </c>
    </row>
    <row r="4338">
      <c r="B4338" s="38"/>
      <c r="C4338" s="38"/>
      <c r="D4338" s="38"/>
      <c r="E4338" s="47" t="s">
        <v>13700</v>
      </c>
      <c r="F4338" s="38" t="s">
        <v>13701</v>
      </c>
    </row>
    <row r="4339">
      <c r="B4339" s="38" t="s">
        <v>283</v>
      </c>
      <c r="C4339" s="38">
        <v>4.0</v>
      </c>
      <c r="D4339" s="38" t="s">
        <v>3988</v>
      </c>
      <c r="E4339" s="38" t="s">
        <v>13702</v>
      </c>
      <c r="F4339" s="38" t="s">
        <v>13703</v>
      </c>
      <c r="G4339" s="38" t="s">
        <v>13704</v>
      </c>
    </row>
    <row r="4340">
      <c r="B4340" s="38"/>
      <c r="C4340" s="540" t="s">
        <v>13705</v>
      </c>
      <c r="D4340" s="44"/>
      <c r="E4340" s="38" t="s">
        <v>13706</v>
      </c>
      <c r="F4340" s="38"/>
    </row>
    <row r="4341">
      <c r="B4341" s="38" t="s">
        <v>10839</v>
      </c>
      <c r="C4341" s="38">
        <v>4.0</v>
      </c>
      <c r="D4341" s="38" t="s">
        <v>13707</v>
      </c>
      <c r="E4341" s="39" t="s">
        <v>13708</v>
      </c>
      <c r="F4341" s="38" t="s">
        <v>13709</v>
      </c>
    </row>
    <row r="4342">
      <c r="B4342" s="38" t="s">
        <v>205</v>
      </c>
      <c r="C4342" s="38">
        <v>2.0</v>
      </c>
      <c r="D4342" s="38" t="s">
        <v>167</v>
      </c>
      <c r="E4342" s="38" t="s">
        <v>437</v>
      </c>
      <c r="F4342" s="38" t="s">
        <v>13710</v>
      </c>
    </row>
    <row r="4343">
      <c r="B4343" s="38" t="s">
        <v>25</v>
      </c>
      <c r="C4343" s="38">
        <v>4.0</v>
      </c>
      <c r="D4343" s="38" t="s">
        <v>289</v>
      </c>
      <c r="E4343" s="61" t="s">
        <v>13711</v>
      </c>
      <c r="F4343" s="38" t="s">
        <v>13712</v>
      </c>
    </row>
    <row r="4344">
      <c r="B4344" s="38"/>
      <c r="C4344" s="38"/>
      <c r="D4344" s="39" t="s">
        <v>13713</v>
      </c>
      <c r="E4344" s="39" t="s">
        <v>13714</v>
      </c>
      <c r="F4344" s="38"/>
    </row>
    <row r="4345">
      <c r="B4345" s="38"/>
      <c r="C4345" s="38"/>
      <c r="D4345" s="38"/>
      <c r="E4345" s="38" t="s">
        <v>873</v>
      </c>
      <c r="F4345" s="38" t="s">
        <v>13715</v>
      </c>
    </row>
    <row r="4346">
      <c r="A4346" s="4" t="s">
        <v>13716</v>
      </c>
      <c r="B4346" s="38" t="s">
        <v>170</v>
      </c>
      <c r="C4346" s="38">
        <v>4.0</v>
      </c>
      <c r="D4346" s="38" t="s">
        <v>1382</v>
      </c>
      <c r="E4346" s="47" t="s">
        <v>13717</v>
      </c>
      <c r="F4346" s="38" t="s">
        <v>13718</v>
      </c>
    </row>
    <row r="4347">
      <c r="B4347" s="38" t="s">
        <v>170</v>
      </c>
      <c r="C4347" s="38">
        <v>1.0</v>
      </c>
      <c r="D4347" s="38" t="s">
        <v>13719</v>
      </c>
      <c r="E4347" s="38" t="s">
        <v>325</v>
      </c>
      <c r="F4347" s="38" t="s">
        <v>13686</v>
      </c>
    </row>
    <row r="4348">
      <c r="B4348" s="38"/>
      <c r="C4348" s="38"/>
      <c r="D4348" s="38"/>
      <c r="E4348" s="471" t="s">
        <v>13720</v>
      </c>
      <c r="F4348" s="471" t="s">
        <v>13721</v>
      </c>
    </row>
    <row r="4349">
      <c r="B4349" s="38" t="s">
        <v>140</v>
      </c>
      <c r="C4349" s="38">
        <v>2.0</v>
      </c>
      <c r="D4349" s="38" t="s">
        <v>1382</v>
      </c>
      <c r="E4349" s="38" t="s">
        <v>9871</v>
      </c>
      <c r="F4349" s="38" t="s">
        <v>13722</v>
      </c>
    </row>
    <row r="4350">
      <c r="B4350" s="38" t="s">
        <v>1513</v>
      </c>
      <c r="C4350" s="38">
        <v>4.0</v>
      </c>
      <c r="D4350" s="38" t="s">
        <v>1359</v>
      </c>
      <c r="E4350" s="38" t="s">
        <v>10356</v>
      </c>
      <c r="F4350" s="38" t="s">
        <v>13723</v>
      </c>
      <c r="G4350" s="489" t="s">
        <v>13724</v>
      </c>
    </row>
    <row r="4351">
      <c r="B4351" s="38"/>
      <c r="C4351" s="38"/>
      <c r="D4351" s="38"/>
      <c r="E4351" s="38" t="s">
        <v>13725</v>
      </c>
      <c r="F4351" s="38" t="s">
        <v>12226</v>
      </c>
      <c r="G4351" s="38" t="s">
        <v>13726</v>
      </c>
    </row>
    <row r="4352">
      <c r="B4352" s="38"/>
      <c r="C4352" s="38"/>
      <c r="D4352" s="38"/>
      <c r="E4352" s="38" t="s">
        <v>13727</v>
      </c>
      <c r="F4352" s="38" t="s">
        <v>13728</v>
      </c>
      <c r="G4352" s="38" t="s">
        <v>13726</v>
      </c>
    </row>
    <row r="4353">
      <c r="B4353" s="38"/>
      <c r="C4353" s="38"/>
      <c r="D4353" s="38"/>
      <c r="E4353" s="38" t="s">
        <v>13729</v>
      </c>
      <c r="F4353" s="38" t="s">
        <v>13730</v>
      </c>
      <c r="G4353" s="38" t="s">
        <v>13726</v>
      </c>
    </row>
    <row r="4354">
      <c r="B4354" s="38" t="s">
        <v>25</v>
      </c>
      <c r="C4354" s="38">
        <v>4.0</v>
      </c>
      <c r="D4354" s="38" t="s">
        <v>289</v>
      </c>
      <c r="E4354" s="38" t="s">
        <v>13731</v>
      </c>
      <c r="F4354" s="38" t="s">
        <v>13732</v>
      </c>
    </row>
    <row r="4355">
      <c r="B4355" s="38"/>
      <c r="C4355" s="38"/>
      <c r="D4355" s="38" t="s">
        <v>13733</v>
      </c>
      <c r="E4355" s="39" t="s">
        <v>13734</v>
      </c>
      <c r="F4355" s="38" t="s">
        <v>13735</v>
      </c>
    </row>
    <row r="4356">
      <c r="B4356" s="38" t="s">
        <v>13736</v>
      </c>
      <c r="C4356" s="38"/>
      <c r="D4356" s="38" t="s">
        <v>13737</v>
      </c>
      <c r="E4356" s="39" t="s">
        <v>13734</v>
      </c>
      <c r="F4356" s="38" t="s">
        <v>13735</v>
      </c>
    </row>
    <row r="4357">
      <c r="B4357" s="38" t="s">
        <v>13738</v>
      </c>
      <c r="C4357" s="38"/>
      <c r="D4357" s="541" t="s">
        <v>13739</v>
      </c>
      <c r="E4357" s="39" t="s">
        <v>13734</v>
      </c>
      <c r="F4357" s="38" t="s">
        <v>13735</v>
      </c>
    </row>
    <row r="4358">
      <c r="B4358" s="38" t="s">
        <v>94</v>
      </c>
      <c r="C4358" s="38">
        <v>2.0</v>
      </c>
      <c r="D4358" s="38" t="s">
        <v>1094</v>
      </c>
      <c r="E4358" s="39" t="s">
        <v>13734</v>
      </c>
      <c r="F4358" s="38" t="s">
        <v>13740</v>
      </c>
    </row>
    <row r="4359">
      <c r="B4359" s="38" t="s">
        <v>91</v>
      </c>
      <c r="C4359" s="38">
        <v>2.0</v>
      </c>
      <c r="D4359" s="38" t="s">
        <v>1094</v>
      </c>
      <c r="E4359" s="39" t="s">
        <v>13734</v>
      </c>
      <c r="F4359" s="38" t="s">
        <v>13740</v>
      </c>
    </row>
    <row r="4360">
      <c r="B4360" s="38"/>
      <c r="C4360" s="38"/>
      <c r="D4360" s="38" t="s">
        <v>13741</v>
      </c>
      <c r="E4360" s="39" t="s">
        <v>13734</v>
      </c>
      <c r="F4360" s="38" t="s">
        <v>13740</v>
      </c>
    </row>
    <row r="4361">
      <c r="B4361" s="542"/>
      <c r="C4361" s="38"/>
      <c r="D4361" s="38" t="s">
        <v>13742</v>
      </c>
      <c r="E4361" s="38" t="s">
        <v>13743</v>
      </c>
      <c r="F4361" s="38" t="s">
        <v>13744</v>
      </c>
      <c r="G4361" s="38" t="s">
        <v>13745</v>
      </c>
    </row>
    <row r="4362">
      <c r="B4362" s="542"/>
      <c r="C4362" s="38"/>
      <c r="D4362" s="38"/>
      <c r="E4362" s="543" t="s">
        <v>13746</v>
      </c>
      <c r="F4362" s="38" t="s">
        <v>13747</v>
      </c>
      <c r="G4362" s="38" t="s">
        <v>13745</v>
      </c>
    </row>
    <row r="4363">
      <c r="B4363" s="542"/>
      <c r="C4363" s="38"/>
      <c r="D4363" s="38"/>
      <c r="E4363" s="543" t="s">
        <v>2382</v>
      </c>
      <c r="F4363" s="38" t="s">
        <v>13748</v>
      </c>
      <c r="G4363" s="38" t="s">
        <v>13745</v>
      </c>
    </row>
    <row r="4364">
      <c r="B4364" s="38" t="s">
        <v>25</v>
      </c>
      <c r="C4364" s="38">
        <v>4.0</v>
      </c>
      <c r="D4364" s="38" t="s">
        <v>289</v>
      </c>
      <c r="E4364" s="101" t="s">
        <v>13749</v>
      </c>
      <c r="F4364" s="38" t="s">
        <v>13750</v>
      </c>
    </row>
    <row r="4365">
      <c r="A4365" s="4" t="s">
        <v>12245</v>
      </c>
      <c r="B4365" s="38" t="s">
        <v>1349</v>
      </c>
      <c r="C4365" s="38">
        <v>4.0</v>
      </c>
      <c r="D4365" s="38" t="s">
        <v>123</v>
      </c>
      <c r="E4365" s="38" t="s">
        <v>13751</v>
      </c>
      <c r="F4365" s="38" t="s">
        <v>13752</v>
      </c>
    </row>
    <row r="4366">
      <c r="B4366" s="38"/>
      <c r="C4366" s="38"/>
      <c r="D4366" s="38" t="s">
        <v>12232</v>
      </c>
      <c r="E4366" s="38" t="s">
        <v>1141</v>
      </c>
      <c r="F4366" s="38" t="s">
        <v>13753</v>
      </c>
      <c r="G4366" s="38" t="s">
        <v>13754</v>
      </c>
    </row>
    <row r="4367">
      <c r="B4367" s="38"/>
      <c r="C4367" s="38"/>
      <c r="D4367" s="38"/>
      <c r="E4367" s="38" t="s">
        <v>1141</v>
      </c>
      <c r="F4367" s="38" t="s">
        <v>13755</v>
      </c>
      <c r="G4367" s="38" t="s">
        <v>13754</v>
      </c>
    </row>
    <row r="4368">
      <c r="B4368" s="38" t="s">
        <v>303</v>
      </c>
      <c r="C4368" s="38">
        <v>4.0</v>
      </c>
      <c r="D4368" s="38" t="s">
        <v>123</v>
      </c>
      <c r="E4368" s="38" t="s">
        <v>1383</v>
      </c>
      <c r="F4368" s="38" t="s">
        <v>13756</v>
      </c>
      <c r="G4368" s="504" t="s">
        <v>13757</v>
      </c>
    </row>
    <row r="4369">
      <c r="B4369" s="38"/>
      <c r="C4369" s="38"/>
      <c r="D4369" s="38" t="s">
        <v>13758</v>
      </c>
      <c r="E4369" s="38" t="s">
        <v>974</v>
      </c>
      <c r="F4369" s="540" t="s">
        <v>13759</v>
      </c>
      <c r="G4369" s="38" t="s">
        <v>144</v>
      </c>
    </row>
    <row r="4370">
      <c r="B4370" s="38" t="s">
        <v>13760</v>
      </c>
      <c r="C4370" s="38">
        <v>4.0</v>
      </c>
      <c r="D4370" s="38" t="s">
        <v>123</v>
      </c>
      <c r="E4370" s="38" t="s">
        <v>1017</v>
      </c>
      <c r="F4370" s="38" t="s">
        <v>13641</v>
      </c>
    </row>
    <row r="4371">
      <c r="B4371" s="38" t="s">
        <v>13760</v>
      </c>
      <c r="C4371" s="38">
        <v>4.0</v>
      </c>
      <c r="D4371" s="38" t="s">
        <v>123</v>
      </c>
      <c r="E4371" s="38" t="s">
        <v>1017</v>
      </c>
      <c r="F4371" s="38" t="s">
        <v>13641</v>
      </c>
    </row>
    <row r="4372">
      <c r="B4372" s="38"/>
      <c r="C4372" s="38"/>
      <c r="D4372" s="38"/>
      <c r="E4372" s="38" t="s">
        <v>1017</v>
      </c>
      <c r="F4372" s="38" t="s">
        <v>13761</v>
      </c>
      <c r="G4372" s="1"/>
    </row>
    <row r="4373">
      <c r="B4373" s="38" t="s">
        <v>1317</v>
      </c>
      <c r="C4373" s="38">
        <v>2.0</v>
      </c>
      <c r="D4373" s="38" t="s">
        <v>9021</v>
      </c>
      <c r="E4373" s="59" t="s">
        <v>9113</v>
      </c>
      <c r="F4373" s="38" t="s">
        <v>13762</v>
      </c>
      <c r="G4373" s="38" t="s">
        <v>13763</v>
      </c>
    </row>
    <row r="4374">
      <c r="B4374" s="38" t="s">
        <v>1322</v>
      </c>
      <c r="C4374" s="38">
        <v>2.0</v>
      </c>
      <c r="D4374" s="38" t="s">
        <v>9021</v>
      </c>
      <c r="E4374" s="59" t="s">
        <v>9113</v>
      </c>
      <c r="F4374" s="38"/>
      <c r="G4374" s="38" t="s">
        <v>13763</v>
      </c>
    </row>
    <row r="4375">
      <c r="B4375" s="38" t="s">
        <v>1317</v>
      </c>
      <c r="C4375" s="38">
        <v>2.0</v>
      </c>
      <c r="D4375" s="38" t="s">
        <v>9021</v>
      </c>
      <c r="E4375" s="59" t="s">
        <v>6605</v>
      </c>
      <c r="F4375" s="38" t="s">
        <v>13764</v>
      </c>
      <c r="G4375" s="1"/>
    </row>
    <row r="4376">
      <c r="B4376" s="38" t="s">
        <v>1322</v>
      </c>
      <c r="C4376" s="38">
        <v>2.0</v>
      </c>
      <c r="D4376" s="38" t="s">
        <v>9021</v>
      </c>
      <c r="E4376" s="59" t="s">
        <v>6605</v>
      </c>
      <c r="F4376" s="38" t="s">
        <v>13764</v>
      </c>
      <c r="G4376" s="1"/>
    </row>
    <row r="4377">
      <c r="B4377" s="38"/>
      <c r="C4377" s="38"/>
      <c r="D4377" s="38" t="s">
        <v>13765</v>
      </c>
      <c r="E4377" s="38" t="s">
        <v>1015</v>
      </c>
      <c r="F4377" s="38" t="s">
        <v>13766</v>
      </c>
    </row>
    <row r="4378">
      <c r="B4378" s="38" t="s">
        <v>170</v>
      </c>
      <c r="C4378" s="38">
        <v>2.0</v>
      </c>
      <c r="D4378" s="38" t="s">
        <v>3135</v>
      </c>
      <c r="E4378" s="38" t="s">
        <v>325</v>
      </c>
      <c r="F4378" s="353" t="s">
        <v>13767</v>
      </c>
    </row>
    <row r="4379">
      <c r="B4379" s="38" t="s">
        <v>166</v>
      </c>
      <c r="C4379" s="38">
        <v>2.0</v>
      </c>
      <c r="D4379" s="38" t="s">
        <v>3135</v>
      </c>
      <c r="E4379" s="38" t="s">
        <v>325</v>
      </c>
      <c r="F4379" s="353" t="s">
        <v>13767</v>
      </c>
    </row>
    <row r="4380">
      <c r="B4380" s="38" t="s">
        <v>214</v>
      </c>
      <c r="C4380" s="38">
        <v>2.0</v>
      </c>
      <c r="D4380" s="38" t="s">
        <v>13768</v>
      </c>
      <c r="E4380" s="38" t="s">
        <v>325</v>
      </c>
      <c r="F4380" s="38" t="s">
        <v>13769</v>
      </c>
    </row>
    <row r="4381">
      <c r="B4381" s="38" t="s">
        <v>210</v>
      </c>
      <c r="C4381" s="38">
        <v>2.0</v>
      </c>
      <c r="D4381" s="38" t="s">
        <v>13768</v>
      </c>
      <c r="E4381" s="38" t="s">
        <v>325</v>
      </c>
      <c r="F4381" s="38" t="s">
        <v>13770</v>
      </c>
    </row>
    <row r="4382">
      <c r="B4382" s="5"/>
      <c r="C4382" s="5"/>
      <c r="D4382" s="19">
        <v>44034.0</v>
      </c>
      <c r="E4382" s="429" t="s">
        <v>6378</v>
      </c>
      <c r="F4382" s="544" t="s">
        <v>13771</v>
      </c>
      <c r="G4382" s="429"/>
    </row>
    <row r="4383">
      <c r="B4383" s="305" t="s">
        <v>13772</v>
      </c>
      <c r="C4383" s="305" t="s">
        <v>13773</v>
      </c>
      <c r="D4383" s="38" t="s">
        <v>13774</v>
      </c>
      <c r="E4383" s="38" t="s">
        <v>13775</v>
      </c>
      <c r="F4383" s="38"/>
    </row>
    <row r="4384">
      <c r="B4384" s="38" t="s">
        <v>549</v>
      </c>
      <c r="C4384" s="38">
        <v>4.0</v>
      </c>
      <c r="D4384" s="38" t="s">
        <v>13776</v>
      </c>
      <c r="E4384" s="47" t="s">
        <v>13281</v>
      </c>
      <c r="F4384" s="38" t="s">
        <v>13777</v>
      </c>
    </row>
    <row r="4385">
      <c r="B4385" s="38" t="s">
        <v>549</v>
      </c>
      <c r="C4385" s="38">
        <v>4.0</v>
      </c>
      <c r="D4385" s="38" t="s">
        <v>13778</v>
      </c>
      <c r="E4385" s="39" t="s">
        <v>1401</v>
      </c>
      <c r="F4385" s="38" t="s">
        <v>13779</v>
      </c>
    </row>
    <row r="4386">
      <c r="B4386" s="38"/>
      <c r="C4386" s="38"/>
      <c r="D4386" s="38" t="s">
        <v>13780</v>
      </c>
      <c r="E4386" s="38" t="s">
        <v>13781</v>
      </c>
      <c r="F4386" s="38" t="s">
        <v>13782</v>
      </c>
    </row>
    <row r="4387">
      <c r="A4387" s="38" t="s">
        <v>13783</v>
      </c>
      <c r="B4387" s="38" t="s">
        <v>13784</v>
      </c>
      <c r="C4387" s="38" t="s">
        <v>13785</v>
      </c>
      <c r="D4387" s="305" t="s">
        <v>13786</v>
      </c>
      <c r="E4387" s="38" t="s">
        <v>13787</v>
      </c>
      <c r="F4387" s="540" t="s">
        <v>13788</v>
      </c>
      <c r="G4387" s="38" t="s">
        <v>13789</v>
      </c>
    </row>
    <row r="4388">
      <c r="A4388" s="65">
        <v>45057.0</v>
      </c>
      <c r="B4388" s="38" t="s">
        <v>13790</v>
      </c>
      <c r="C4388" s="38" t="s">
        <v>13791</v>
      </c>
      <c r="D4388" s="305"/>
      <c r="E4388" s="38" t="s">
        <v>13787</v>
      </c>
      <c r="F4388" s="540"/>
      <c r="G4388" s="38" t="s">
        <v>13789</v>
      </c>
    </row>
    <row r="4389">
      <c r="B4389" s="38"/>
      <c r="C4389" s="38" t="s">
        <v>13792</v>
      </c>
      <c r="D4389" s="38" t="s">
        <v>13793</v>
      </c>
      <c r="E4389" s="85" t="s">
        <v>13794</v>
      </c>
      <c r="F4389" s="38" t="s">
        <v>7097</v>
      </c>
    </row>
    <row r="4390">
      <c r="B4390" s="38" t="s">
        <v>7023</v>
      </c>
      <c r="C4390" s="38">
        <v>4.0</v>
      </c>
      <c r="D4390" s="38" t="s">
        <v>4789</v>
      </c>
      <c r="E4390" s="38" t="s">
        <v>437</v>
      </c>
      <c r="F4390" s="38" t="s">
        <v>13795</v>
      </c>
    </row>
    <row r="4391">
      <c r="B4391" s="38" t="s">
        <v>3523</v>
      </c>
      <c r="C4391" s="38">
        <v>2.0</v>
      </c>
      <c r="D4391" s="38" t="s">
        <v>1094</v>
      </c>
      <c r="E4391" s="38" t="s">
        <v>980</v>
      </c>
      <c r="F4391" s="38" t="s">
        <v>13796</v>
      </c>
    </row>
    <row r="4392">
      <c r="B4392" s="38" t="s">
        <v>978</v>
      </c>
      <c r="C4392" s="38">
        <v>2.0</v>
      </c>
      <c r="D4392" s="38" t="s">
        <v>1094</v>
      </c>
      <c r="E4392" s="38" t="s">
        <v>980</v>
      </c>
      <c r="F4392" s="38" t="s">
        <v>13796</v>
      </c>
    </row>
    <row r="4393">
      <c r="B4393" s="38" t="s">
        <v>13797</v>
      </c>
      <c r="C4393" s="38" t="s">
        <v>13798</v>
      </c>
      <c r="D4393" s="38" t="s">
        <v>13799</v>
      </c>
      <c r="E4393" s="38" t="s">
        <v>13800</v>
      </c>
      <c r="F4393" s="38" t="s">
        <v>13801</v>
      </c>
    </row>
    <row r="4394">
      <c r="B4394" s="38"/>
      <c r="C4394" s="38" t="s">
        <v>13802</v>
      </c>
      <c r="D4394" s="424" t="s">
        <v>13803</v>
      </c>
      <c r="E4394" s="91" t="s">
        <v>13804</v>
      </c>
      <c r="F4394" s="38" t="s">
        <v>2252</v>
      </c>
    </row>
    <row r="4395">
      <c r="B4395" s="38" t="s">
        <v>122</v>
      </c>
      <c r="C4395" s="38">
        <v>4.0</v>
      </c>
      <c r="D4395" s="38" t="s">
        <v>3937</v>
      </c>
      <c r="E4395" s="39" t="s">
        <v>13805</v>
      </c>
      <c r="F4395" s="38" t="s">
        <v>13806</v>
      </c>
    </row>
    <row r="4396">
      <c r="B4396" s="38"/>
      <c r="C4396" s="38">
        <v>4.0</v>
      </c>
      <c r="D4396" s="38" t="s">
        <v>2053</v>
      </c>
      <c r="E4396" s="39" t="s">
        <v>13807</v>
      </c>
      <c r="F4396" s="38" t="s">
        <v>13806</v>
      </c>
    </row>
    <row r="4397">
      <c r="B4397" s="38" t="s">
        <v>43</v>
      </c>
      <c r="C4397" s="38">
        <v>2.0</v>
      </c>
      <c r="D4397" s="38" t="s">
        <v>315</v>
      </c>
      <c r="E4397" s="38" t="s">
        <v>418</v>
      </c>
      <c r="F4397" s="38" t="s">
        <v>13808</v>
      </c>
    </row>
    <row r="4398">
      <c r="B4398" s="38"/>
      <c r="C4398" s="38"/>
      <c r="D4398" s="38" t="s">
        <v>13809</v>
      </c>
      <c r="E4398" s="38" t="s">
        <v>455</v>
      </c>
      <c r="F4398" s="38"/>
    </row>
    <row r="4399">
      <c r="B4399" s="38"/>
      <c r="C4399" s="38"/>
      <c r="D4399" s="38" t="s">
        <v>13810</v>
      </c>
      <c r="E4399" s="38" t="s">
        <v>325</v>
      </c>
      <c r="F4399" s="38" t="s">
        <v>144</v>
      </c>
    </row>
    <row r="4400">
      <c r="B4400" s="38" t="s">
        <v>13811</v>
      </c>
      <c r="C4400" s="38" t="s">
        <v>13812</v>
      </c>
      <c r="D4400" s="38" t="s">
        <v>13813</v>
      </c>
      <c r="E4400" s="39" t="s">
        <v>2050</v>
      </c>
      <c r="F4400" s="38" t="s">
        <v>861</v>
      </c>
      <c r="G4400" s="38"/>
    </row>
    <row r="4401">
      <c r="B4401" s="5" t="s">
        <v>13814</v>
      </c>
      <c r="C4401" s="5" t="s">
        <v>13815</v>
      </c>
      <c r="D4401" s="1" t="s">
        <v>13816</v>
      </c>
      <c r="E4401" s="1" t="s">
        <v>12013</v>
      </c>
      <c r="F4401" s="5" t="s">
        <v>13817</v>
      </c>
    </row>
    <row r="4402">
      <c r="B4402" s="5"/>
      <c r="C4402" s="5"/>
      <c r="D4402" s="1"/>
      <c r="E4402" s="1" t="s">
        <v>4280</v>
      </c>
      <c r="F4402" s="5" t="s">
        <v>13818</v>
      </c>
    </row>
    <row r="4403">
      <c r="B4403" s="1" t="s">
        <v>13819</v>
      </c>
      <c r="C4403" s="1" t="s">
        <v>13820</v>
      </c>
      <c r="D4403" s="1" t="s">
        <v>13821</v>
      </c>
      <c r="E4403" s="1" t="s">
        <v>4280</v>
      </c>
      <c r="F4403" s="1" t="s">
        <v>13822</v>
      </c>
    </row>
    <row r="4404">
      <c r="B4404" s="1"/>
      <c r="C4404" s="1" t="s">
        <v>13823</v>
      </c>
      <c r="D4404" s="1"/>
      <c r="E4404" s="1" t="s">
        <v>4280</v>
      </c>
      <c r="F4404" s="1" t="s">
        <v>13824</v>
      </c>
    </row>
    <row r="4405">
      <c r="B4405" s="38" t="s">
        <v>85</v>
      </c>
      <c r="C4405" s="38">
        <v>4.0</v>
      </c>
      <c r="D4405" s="85" t="s">
        <v>13825</v>
      </c>
      <c r="E4405" s="38" t="s">
        <v>1056</v>
      </c>
      <c r="F4405" s="38" t="s">
        <v>1808</v>
      </c>
    </row>
    <row r="4406">
      <c r="B4406" s="38" t="s">
        <v>205</v>
      </c>
      <c r="C4406" s="38">
        <v>4.0</v>
      </c>
      <c r="D4406" s="38" t="s">
        <v>123</v>
      </c>
      <c r="E4406" s="38" t="s">
        <v>13826</v>
      </c>
      <c r="F4406" s="38" t="s">
        <v>7256</v>
      </c>
    </row>
    <row r="4407">
      <c r="B4407" s="47" t="s">
        <v>205</v>
      </c>
      <c r="C4407" s="47">
        <v>4.0</v>
      </c>
      <c r="D4407" s="47" t="s">
        <v>13827</v>
      </c>
      <c r="E4407" s="47" t="s">
        <v>325</v>
      </c>
      <c r="F4407" s="47" t="s">
        <v>13828</v>
      </c>
      <c r="G4407" s="47" t="s">
        <v>13829</v>
      </c>
    </row>
    <row r="4408">
      <c r="B4408" s="38"/>
      <c r="C4408" s="331" t="s">
        <v>13830</v>
      </c>
      <c r="D4408" s="38" t="s">
        <v>13831</v>
      </c>
      <c r="E4408" s="38" t="s">
        <v>13832</v>
      </c>
      <c r="F4408" s="121" t="s">
        <v>13833</v>
      </c>
      <c r="G4408" s="38" t="s">
        <v>13034</v>
      </c>
    </row>
    <row r="4409">
      <c r="B4409" s="44"/>
      <c r="C4409" s="44"/>
      <c r="D4409" s="38" t="s">
        <v>10218</v>
      </c>
      <c r="E4409" s="38" t="s">
        <v>10219</v>
      </c>
      <c r="F4409" s="38" t="s">
        <v>13834</v>
      </c>
      <c r="G4409" s="38" t="s">
        <v>13034</v>
      </c>
    </row>
    <row r="4410">
      <c r="B4410" s="44"/>
      <c r="C4410" s="44"/>
      <c r="D4410" s="38"/>
      <c r="E4410" s="38" t="s">
        <v>10219</v>
      </c>
      <c r="F4410" s="38" t="s">
        <v>13835</v>
      </c>
      <c r="G4410" s="38" t="s">
        <v>13034</v>
      </c>
    </row>
    <row r="4411">
      <c r="B4411" s="38" t="s">
        <v>2548</v>
      </c>
      <c r="C4411" s="38">
        <v>4.0</v>
      </c>
      <c r="D4411" s="38" t="s">
        <v>13836</v>
      </c>
      <c r="E4411" s="39" t="s">
        <v>10417</v>
      </c>
      <c r="F4411" s="38" t="s">
        <v>13837</v>
      </c>
    </row>
    <row r="4412">
      <c r="B4412" s="38"/>
      <c r="C4412" s="38"/>
      <c r="D4412" s="38" t="s">
        <v>13838</v>
      </c>
      <c r="E4412" s="132" t="s">
        <v>12864</v>
      </c>
      <c r="F4412" s="38" t="s">
        <v>13839</v>
      </c>
    </row>
    <row r="4413">
      <c r="B4413" s="38" t="s">
        <v>1162</v>
      </c>
      <c r="C4413" s="38">
        <v>1.0</v>
      </c>
      <c r="D4413" s="38" t="s">
        <v>13840</v>
      </c>
      <c r="E4413" s="132" t="s">
        <v>12864</v>
      </c>
      <c r="F4413" s="38" t="s">
        <v>13839</v>
      </c>
    </row>
    <row r="4414">
      <c r="A4414" s="482">
        <v>45047.0</v>
      </c>
      <c r="B4414" s="334" t="s">
        <v>7545</v>
      </c>
      <c r="C4414" s="331" t="s">
        <v>11657</v>
      </c>
      <c r="D4414" s="334" t="s">
        <v>13841</v>
      </c>
      <c r="E4414" s="38" t="s">
        <v>2438</v>
      </c>
      <c r="F4414" s="44"/>
      <c r="G4414" s="38" t="s">
        <v>144</v>
      </c>
    </row>
    <row r="4415">
      <c r="A4415" s="44"/>
      <c r="B4415" s="38" t="s">
        <v>13842</v>
      </c>
      <c r="C4415" s="531" t="s">
        <v>13843</v>
      </c>
      <c r="D4415" s="38" t="s">
        <v>13844</v>
      </c>
      <c r="E4415" s="38" t="s">
        <v>2438</v>
      </c>
      <c r="F4415" s="38" t="s">
        <v>4938</v>
      </c>
      <c r="G4415" s="38" t="s">
        <v>144</v>
      </c>
    </row>
    <row r="4416">
      <c r="A4416" s="44"/>
      <c r="B4416" s="390" t="s">
        <v>13845</v>
      </c>
      <c r="C4416" s="352" t="s">
        <v>13846</v>
      </c>
      <c r="D4416" s="38" t="s">
        <v>2440</v>
      </c>
      <c r="E4416" s="38" t="s">
        <v>2438</v>
      </c>
      <c r="F4416" s="38" t="s">
        <v>13847</v>
      </c>
      <c r="G4416" s="38" t="s">
        <v>144</v>
      </c>
    </row>
    <row r="4417">
      <c r="B4417" s="38" t="s">
        <v>103</v>
      </c>
      <c r="C4417" s="38">
        <v>1.0</v>
      </c>
      <c r="D4417" s="38" t="s">
        <v>9507</v>
      </c>
      <c r="E4417" s="38" t="s">
        <v>13848</v>
      </c>
      <c r="F4417" s="38" t="s">
        <v>13849</v>
      </c>
    </row>
    <row r="4418">
      <c r="B4418" s="38" t="s">
        <v>5800</v>
      </c>
      <c r="C4418" s="38">
        <v>2.0</v>
      </c>
      <c r="D4418" s="38" t="s">
        <v>3922</v>
      </c>
      <c r="E4418" s="38" t="s">
        <v>13589</v>
      </c>
      <c r="F4418" s="38" t="s">
        <v>13850</v>
      </c>
    </row>
    <row r="4419">
      <c r="B4419" s="38" t="s">
        <v>85</v>
      </c>
      <c r="C4419" s="38">
        <v>16.0</v>
      </c>
      <c r="D4419" s="38" t="s">
        <v>13851</v>
      </c>
      <c r="E4419" s="38" t="s">
        <v>13589</v>
      </c>
      <c r="F4419" s="38" t="s">
        <v>13850</v>
      </c>
    </row>
    <row r="4420">
      <c r="B4420" s="38" t="s">
        <v>13852</v>
      </c>
      <c r="C4420" s="38" t="s">
        <v>13853</v>
      </c>
      <c r="D4420" s="38" t="s">
        <v>13854</v>
      </c>
      <c r="E4420" s="39" t="s">
        <v>13855</v>
      </c>
      <c r="F4420" s="38" t="s">
        <v>13535</v>
      </c>
      <c r="G4420" s="38" t="s">
        <v>13856</v>
      </c>
    </row>
    <row r="4421">
      <c r="B4421" s="38" t="s">
        <v>13857</v>
      </c>
      <c r="C4421" s="38" t="s">
        <v>13858</v>
      </c>
      <c r="D4421" s="38" t="s">
        <v>1542</v>
      </c>
      <c r="E4421" s="39" t="s">
        <v>12453</v>
      </c>
      <c r="F4421" s="38" t="s">
        <v>13859</v>
      </c>
      <c r="G4421" s="44"/>
    </row>
    <row r="4422">
      <c r="B4422" s="5" t="s">
        <v>13860</v>
      </c>
      <c r="C4422" s="5" t="s">
        <v>13861</v>
      </c>
      <c r="D4422" s="1"/>
      <c r="E4422" s="1" t="s">
        <v>13862</v>
      </c>
      <c r="F4422" s="5"/>
    </row>
    <row r="4423">
      <c r="B4423" s="38"/>
      <c r="C4423" s="38"/>
      <c r="D4423" s="38" t="s">
        <v>13863</v>
      </c>
      <c r="E4423" s="38" t="s">
        <v>974</v>
      </c>
      <c r="F4423" s="38" t="s">
        <v>647</v>
      </c>
      <c r="G4423" s="38" t="s">
        <v>144</v>
      </c>
    </row>
    <row r="4424">
      <c r="A4424" s="8"/>
      <c r="B4424" s="38" t="s">
        <v>13864</v>
      </c>
      <c r="C4424" s="38" t="s">
        <v>13865</v>
      </c>
      <c r="D4424" s="38" t="s">
        <v>13866</v>
      </c>
      <c r="E4424" s="38" t="s">
        <v>1017</v>
      </c>
      <c r="F4424" s="38" t="s">
        <v>1347</v>
      </c>
      <c r="G4424" s="38" t="s">
        <v>13867</v>
      </c>
    </row>
    <row r="4425">
      <c r="A4425" s="8"/>
      <c r="B4425" s="38"/>
      <c r="C4425" s="38" t="s">
        <v>4299</v>
      </c>
      <c r="D4425" s="38" t="s">
        <v>13868</v>
      </c>
      <c r="E4425" s="38" t="s">
        <v>1017</v>
      </c>
      <c r="F4425" s="38"/>
      <c r="G4425" s="38" t="s">
        <v>13867</v>
      </c>
    </row>
    <row r="4426">
      <c r="B4426" s="38" t="s">
        <v>13869</v>
      </c>
      <c r="C4426" s="38" t="s">
        <v>13870</v>
      </c>
      <c r="D4426" s="38" t="s">
        <v>13871</v>
      </c>
      <c r="E4426" s="38" t="s">
        <v>13872</v>
      </c>
      <c r="F4426" s="38" t="s">
        <v>13867</v>
      </c>
    </row>
    <row r="4427">
      <c r="A4427" s="38" t="s">
        <v>13873</v>
      </c>
      <c r="B4427" s="38" t="s">
        <v>13874</v>
      </c>
      <c r="C4427" s="38" t="s">
        <v>13875</v>
      </c>
      <c r="D4427" s="38" t="s">
        <v>13876</v>
      </c>
      <c r="E4427" s="38" t="s">
        <v>1294</v>
      </c>
      <c r="F4427" s="38" t="s">
        <v>647</v>
      </c>
      <c r="G4427" s="38" t="s">
        <v>13867</v>
      </c>
    </row>
    <row r="4428">
      <c r="A4428" s="65">
        <v>45076.0</v>
      </c>
      <c r="B4428" s="38"/>
      <c r="C4428" s="38"/>
      <c r="D4428" s="38"/>
      <c r="E4428" s="38" t="s">
        <v>1294</v>
      </c>
      <c r="F4428" s="38"/>
      <c r="G4428" s="38" t="s">
        <v>13867</v>
      </c>
    </row>
    <row r="4429">
      <c r="B4429" s="38"/>
      <c r="C4429" s="38" t="s">
        <v>13877</v>
      </c>
      <c r="D4429" s="38" t="s">
        <v>13878</v>
      </c>
      <c r="E4429" s="38" t="s">
        <v>1294</v>
      </c>
      <c r="F4429" s="38" t="s">
        <v>13879</v>
      </c>
    </row>
    <row r="4430">
      <c r="B4430" s="38" t="s">
        <v>219</v>
      </c>
      <c r="C4430" s="38">
        <v>4.0</v>
      </c>
      <c r="D4430" s="38" t="s">
        <v>2097</v>
      </c>
      <c r="E4430" s="47" t="s">
        <v>13880</v>
      </c>
      <c r="F4430" s="38" t="s">
        <v>13881</v>
      </c>
    </row>
    <row r="4431">
      <c r="B4431" s="38" t="s">
        <v>271</v>
      </c>
      <c r="C4431" s="38">
        <v>4.0</v>
      </c>
      <c r="D4431" s="38" t="s">
        <v>402</v>
      </c>
      <c r="E4431" s="39" t="s">
        <v>12236</v>
      </c>
      <c r="F4431" s="38" t="s">
        <v>13882</v>
      </c>
      <c r="G4431" s="488" t="s">
        <v>13883</v>
      </c>
    </row>
    <row r="4432">
      <c r="B4432" s="38" t="s">
        <v>308</v>
      </c>
      <c r="C4432" s="38">
        <v>4.0</v>
      </c>
      <c r="D4432" s="38" t="s">
        <v>1221</v>
      </c>
      <c r="E4432" s="38" t="s">
        <v>13884</v>
      </c>
      <c r="F4432" s="38" t="s">
        <v>13885</v>
      </c>
    </row>
    <row r="4433">
      <c r="B4433" s="38" t="s">
        <v>13886</v>
      </c>
      <c r="C4433" s="38">
        <v>4.0</v>
      </c>
      <c r="D4433" s="38" t="s">
        <v>13887</v>
      </c>
      <c r="E4433" s="38" t="s">
        <v>13888</v>
      </c>
      <c r="F4433" s="38" t="s">
        <v>13889</v>
      </c>
    </row>
    <row r="4434">
      <c r="B4434" s="38" t="s">
        <v>13886</v>
      </c>
      <c r="C4434" s="38">
        <v>4.0</v>
      </c>
      <c r="D4434" s="38" t="s">
        <v>7236</v>
      </c>
      <c r="E4434" s="38" t="s">
        <v>13888</v>
      </c>
      <c r="F4434" s="38" t="s">
        <v>13889</v>
      </c>
    </row>
    <row r="4435">
      <c r="B4435" s="38" t="s">
        <v>549</v>
      </c>
      <c r="C4435" s="38">
        <v>2.0</v>
      </c>
      <c r="D4435" s="38" t="s">
        <v>13890</v>
      </c>
      <c r="E4435" s="38" t="s">
        <v>418</v>
      </c>
      <c r="F4435" s="38" t="s">
        <v>13891</v>
      </c>
    </row>
    <row r="4436">
      <c r="B4436" s="38" t="s">
        <v>495</v>
      </c>
      <c r="C4436" s="38">
        <v>2.0</v>
      </c>
      <c r="D4436" s="38" t="s">
        <v>13892</v>
      </c>
      <c r="E4436" s="38" t="s">
        <v>418</v>
      </c>
      <c r="F4436" s="38" t="s">
        <v>13891</v>
      </c>
    </row>
    <row r="4437">
      <c r="B4437" s="38" t="s">
        <v>439</v>
      </c>
      <c r="C4437" s="38">
        <v>2.0</v>
      </c>
      <c r="D4437" s="38" t="s">
        <v>13892</v>
      </c>
      <c r="E4437" s="38" t="s">
        <v>418</v>
      </c>
      <c r="F4437" s="38" t="s">
        <v>13891</v>
      </c>
    </row>
    <row r="4438">
      <c r="B4438" s="38"/>
      <c r="C4438" s="38"/>
      <c r="D4438" s="38" t="s">
        <v>13893</v>
      </c>
      <c r="E4438" s="38" t="s">
        <v>11606</v>
      </c>
      <c r="F4438" s="38"/>
    </row>
    <row r="4439">
      <c r="B4439" s="38"/>
      <c r="C4439" s="38" t="s">
        <v>13894</v>
      </c>
      <c r="D4439" s="38" t="s">
        <v>12336</v>
      </c>
      <c r="E4439" s="38" t="s">
        <v>7184</v>
      </c>
      <c r="F4439" s="38" t="s">
        <v>13895</v>
      </c>
      <c r="G4439" s="38" t="s">
        <v>13896</v>
      </c>
    </row>
    <row r="4440">
      <c r="B4440" s="38"/>
      <c r="C4440" s="38"/>
      <c r="D4440" s="38" t="s">
        <v>13897</v>
      </c>
      <c r="E4440" s="38" t="s">
        <v>13898</v>
      </c>
      <c r="F4440" s="38" t="s">
        <v>13899</v>
      </c>
    </row>
    <row r="4441">
      <c r="B4441" s="38"/>
      <c r="C4441" s="38"/>
      <c r="D4441" s="38" t="s">
        <v>13900</v>
      </c>
      <c r="E4441" s="38" t="s">
        <v>13898</v>
      </c>
      <c r="F4441" s="38" t="s">
        <v>13899</v>
      </c>
    </row>
    <row r="4442">
      <c r="B4442" s="38"/>
      <c r="C4442" s="38"/>
      <c r="D4442" s="38" t="s">
        <v>13901</v>
      </c>
      <c r="E4442" s="38" t="s">
        <v>13898</v>
      </c>
      <c r="F4442" s="38" t="s">
        <v>13902</v>
      </c>
    </row>
    <row r="4443">
      <c r="B4443" s="38"/>
      <c r="C4443" s="38"/>
      <c r="D4443" s="38" t="s">
        <v>5972</v>
      </c>
      <c r="E4443" s="38" t="s">
        <v>13903</v>
      </c>
      <c r="F4443" s="38" t="s">
        <v>13904</v>
      </c>
    </row>
    <row r="4444">
      <c r="B4444" s="38"/>
      <c r="C4444" s="38"/>
      <c r="D4444" s="38" t="s">
        <v>5972</v>
      </c>
      <c r="E4444" s="40" t="s">
        <v>13905</v>
      </c>
      <c r="F4444" s="38" t="s">
        <v>13906</v>
      </c>
      <c r="G4444" s="38" t="s">
        <v>13907</v>
      </c>
    </row>
    <row r="4445">
      <c r="A4445" s="44"/>
      <c r="B4445" s="38"/>
      <c r="C4445" s="38" t="s">
        <v>13908</v>
      </c>
      <c r="D4445" s="38" t="s">
        <v>13909</v>
      </c>
      <c r="E4445" s="38" t="s">
        <v>13910</v>
      </c>
      <c r="F4445" s="38"/>
    </row>
    <row r="4446">
      <c r="A4446" s="38" t="s">
        <v>13911</v>
      </c>
      <c r="B4446" s="47" t="s">
        <v>12406</v>
      </c>
      <c r="C4446" s="38" t="s">
        <v>13912</v>
      </c>
      <c r="D4446" s="38" t="s">
        <v>13913</v>
      </c>
      <c r="E4446" s="47" t="s">
        <v>2290</v>
      </c>
      <c r="F4446" s="38" t="s">
        <v>13914</v>
      </c>
    </row>
    <row r="4447">
      <c r="A4447" s="65">
        <v>45184.0</v>
      </c>
      <c r="B4447" s="38" t="s">
        <v>13915</v>
      </c>
      <c r="C4447" s="38" t="s">
        <v>13916</v>
      </c>
      <c r="D4447" s="38" t="s">
        <v>2520</v>
      </c>
      <c r="E4447" s="47" t="s">
        <v>2290</v>
      </c>
      <c r="F4447" s="44"/>
    </row>
    <row r="4448">
      <c r="A4448" s="44"/>
      <c r="B4448" s="38"/>
      <c r="C4448" s="38"/>
      <c r="D4448" s="47"/>
      <c r="E4448" s="47" t="s">
        <v>2290</v>
      </c>
      <c r="F4448" s="38" t="s">
        <v>6669</v>
      </c>
    </row>
    <row r="4449">
      <c r="B4449" s="38" t="s">
        <v>13917</v>
      </c>
      <c r="C4449" s="38" t="s">
        <v>13918</v>
      </c>
      <c r="D4449" s="38" t="s">
        <v>535</v>
      </c>
      <c r="E4449" s="38" t="s">
        <v>13919</v>
      </c>
      <c r="F4449" s="38" t="s">
        <v>13882</v>
      </c>
    </row>
    <row r="4450">
      <c r="B4450" s="38"/>
      <c r="C4450" s="38"/>
      <c r="D4450" s="38"/>
      <c r="E4450" s="38" t="s">
        <v>13920</v>
      </c>
      <c r="F4450" s="38" t="s">
        <v>13921</v>
      </c>
      <c r="G4450" s="44"/>
    </row>
    <row r="4451">
      <c r="B4451" s="38"/>
      <c r="C4451" s="38"/>
      <c r="D4451" s="38"/>
      <c r="E4451" s="38" t="s">
        <v>13920</v>
      </c>
      <c r="F4451" s="38" t="s">
        <v>13922</v>
      </c>
      <c r="G4451" s="38" t="s">
        <v>13923</v>
      </c>
    </row>
    <row r="4452">
      <c r="B4452" s="38" t="s">
        <v>13924</v>
      </c>
      <c r="C4452" s="38" t="s">
        <v>13925</v>
      </c>
      <c r="D4452" s="38" t="s">
        <v>13926</v>
      </c>
      <c r="E4452" s="38" t="s">
        <v>12178</v>
      </c>
      <c r="F4452" s="38" t="s">
        <v>4246</v>
      </c>
      <c r="G4452" s="38" t="s">
        <v>13927</v>
      </c>
    </row>
    <row r="4453">
      <c r="B4453" s="38" t="s">
        <v>13928</v>
      </c>
      <c r="C4453" s="38" t="s">
        <v>13929</v>
      </c>
      <c r="D4453" s="38" t="s">
        <v>13930</v>
      </c>
      <c r="E4453" s="38" t="s">
        <v>12178</v>
      </c>
      <c r="F4453" s="38"/>
      <c r="G4453" s="38" t="s">
        <v>13927</v>
      </c>
    </row>
    <row r="4454">
      <c r="B4454" s="38"/>
      <c r="C4454" s="38"/>
      <c r="D4454" s="38" t="s">
        <v>13931</v>
      </c>
      <c r="E4454" s="38" t="s">
        <v>12178</v>
      </c>
      <c r="F4454" s="38" t="s">
        <v>13932</v>
      </c>
      <c r="G4454" s="38" t="s">
        <v>13927</v>
      </c>
    </row>
    <row r="4455">
      <c r="B4455" s="38" t="s">
        <v>4756</v>
      </c>
      <c r="C4455" s="38">
        <v>2.0</v>
      </c>
      <c r="D4455" s="38" t="s">
        <v>123</v>
      </c>
      <c r="E4455" s="39" t="s">
        <v>13933</v>
      </c>
      <c r="F4455" s="38" t="s">
        <v>13934</v>
      </c>
    </row>
    <row r="4456">
      <c r="B4456" s="38" t="s">
        <v>31</v>
      </c>
      <c r="C4456" s="38">
        <v>4.0</v>
      </c>
      <c r="D4456" s="38" t="s">
        <v>123</v>
      </c>
      <c r="E4456" s="39" t="s">
        <v>12630</v>
      </c>
      <c r="F4456" s="38" t="s">
        <v>1822</v>
      </c>
    </row>
    <row r="4457">
      <c r="B4457" s="38" t="s">
        <v>5596</v>
      </c>
      <c r="C4457" s="38">
        <v>4.0</v>
      </c>
      <c r="D4457" s="38" t="s">
        <v>2097</v>
      </c>
      <c r="E4457" s="38" t="s">
        <v>633</v>
      </c>
      <c r="F4457" s="38" t="s">
        <v>13935</v>
      </c>
    </row>
    <row r="4458">
      <c r="B4458" s="38" t="s">
        <v>25</v>
      </c>
      <c r="C4458" s="38">
        <v>1.0</v>
      </c>
      <c r="D4458" s="38" t="s">
        <v>289</v>
      </c>
      <c r="E4458" s="38" t="s">
        <v>633</v>
      </c>
      <c r="F4458" s="38" t="s">
        <v>13936</v>
      </c>
    </row>
    <row r="4459">
      <c r="B4459" s="38"/>
      <c r="C4459" s="38" t="s">
        <v>13937</v>
      </c>
      <c r="D4459" s="38" t="s">
        <v>13938</v>
      </c>
      <c r="E4459" s="38" t="s">
        <v>13939</v>
      </c>
      <c r="F4459" s="38" t="s">
        <v>13940</v>
      </c>
      <c r="G4459" s="38" t="s">
        <v>144</v>
      </c>
    </row>
    <row r="4460">
      <c r="A4460" s="5"/>
      <c r="B4460" s="38" t="s">
        <v>623</v>
      </c>
      <c r="C4460" s="38">
        <v>2.0</v>
      </c>
      <c r="D4460" s="38" t="s">
        <v>4786</v>
      </c>
      <c r="E4460" s="38" t="s">
        <v>974</v>
      </c>
      <c r="F4460" s="38" t="s">
        <v>13941</v>
      </c>
      <c r="G4460" s="44"/>
    </row>
    <row r="4461">
      <c r="A4461" s="5"/>
      <c r="B4461" s="38"/>
      <c r="C4461" s="38"/>
      <c r="D4461" s="38" t="s">
        <v>13942</v>
      </c>
      <c r="E4461" s="38" t="s">
        <v>974</v>
      </c>
      <c r="F4461" s="38" t="s">
        <v>13943</v>
      </c>
      <c r="G4461" s="38" t="s">
        <v>144</v>
      </c>
    </row>
    <row r="4462">
      <c r="B4462" s="38"/>
      <c r="C4462" s="38"/>
      <c r="D4462" s="38"/>
      <c r="E4462" s="101" t="s">
        <v>10608</v>
      </c>
      <c r="F4462" s="38" t="s">
        <v>13944</v>
      </c>
    </row>
    <row r="4463">
      <c r="B4463" s="38"/>
      <c r="C4463" s="38"/>
      <c r="D4463" s="38" t="s">
        <v>13945</v>
      </c>
      <c r="E4463" s="85" t="s">
        <v>10412</v>
      </c>
      <c r="F4463" s="38" t="s">
        <v>13946</v>
      </c>
    </row>
    <row r="4464">
      <c r="B4464" s="38" t="s">
        <v>199</v>
      </c>
      <c r="C4464" s="38">
        <v>4.0</v>
      </c>
      <c r="D4464" s="38" t="s">
        <v>294</v>
      </c>
      <c r="E4464" s="38" t="s">
        <v>418</v>
      </c>
      <c r="F4464" s="38" t="s">
        <v>13947</v>
      </c>
    </row>
    <row r="4465">
      <c r="B4465" s="38" t="s">
        <v>166</v>
      </c>
      <c r="C4465" s="38">
        <v>2.0</v>
      </c>
      <c r="D4465" s="38" t="s">
        <v>211</v>
      </c>
      <c r="E4465" s="38" t="s">
        <v>418</v>
      </c>
      <c r="F4465" s="38" t="s">
        <v>13947</v>
      </c>
    </row>
    <row r="4466">
      <c r="B4466" s="38" t="s">
        <v>1513</v>
      </c>
      <c r="C4466" s="38">
        <v>2.0</v>
      </c>
      <c r="D4466" s="38" t="s">
        <v>684</v>
      </c>
      <c r="E4466" s="38" t="s">
        <v>418</v>
      </c>
      <c r="F4466" s="38" t="s">
        <v>13947</v>
      </c>
    </row>
    <row r="4467">
      <c r="B4467" s="38" t="s">
        <v>25</v>
      </c>
      <c r="C4467" s="38">
        <v>1.0</v>
      </c>
      <c r="D4467" s="38" t="s">
        <v>1964</v>
      </c>
      <c r="E4467" s="38" t="s">
        <v>6113</v>
      </c>
      <c r="F4467" s="38" t="s">
        <v>13948</v>
      </c>
    </row>
    <row r="4468">
      <c r="B4468" s="38" t="s">
        <v>13949</v>
      </c>
      <c r="C4468" s="38">
        <v>2.0</v>
      </c>
      <c r="D4468" s="38" t="s">
        <v>13950</v>
      </c>
      <c r="E4468" s="91" t="s">
        <v>13951</v>
      </c>
      <c r="F4468" s="38" t="s">
        <v>13952</v>
      </c>
    </row>
    <row r="4469">
      <c r="B4469" s="38" t="s">
        <v>1277</v>
      </c>
      <c r="C4469" s="38">
        <v>2.0</v>
      </c>
      <c r="D4469" s="38" t="s">
        <v>13950</v>
      </c>
      <c r="E4469" s="91" t="s">
        <v>13951</v>
      </c>
      <c r="F4469" s="38" t="s">
        <v>13952</v>
      </c>
    </row>
    <row r="4470">
      <c r="B4470" s="38" t="s">
        <v>12147</v>
      </c>
      <c r="C4470" s="305" t="s">
        <v>13953</v>
      </c>
      <c r="D4470" s="223" t="s">
        <v>13954</v>
      </c>
      <c r="E4470" s="38" t="s">
        <v>13955</v>
      </c>
      <c r="F4470" s="38"/>
      <c r="G4470" s="38" t="s">
        <v>13956</v>
      </c>
    </row>
    <row r="4471">
      <c r="B4471" s="38" t="s">
        <v>13957</v>
      </c>
      <c r="C4471" s="38" t="s">
        <v>13958</v>
      </c>
      <c r="D4471" s="38" t="s">
        <v>13959</v>
      </c>
      <c r="E4471" s="38" t="s">
        <v>13955</v>
      </c>
      <c r="F4471" s="38" t="s">
        <v>13960</v>
      </c>
      <c r="G4471" s="38" t="s">
        <v>13956</v>
      </c>
    </row>
    <row r="4472">
      <c r="B4472" s="38" t="s">
        <v>13961</v>
      </c>
      <c r="C4472" s="38" t="s">
        <v>13962</v>
      </c>
      <c r="D4472" s="38" t="s">
        <v>13963</v>
      </c>
      <c r="E4472" s="38" t="s">
        <v>13964</v>
      </c>
      <c r="F4472" s="38" t="s">
        <v>13965</v>
      </c>
      <c r="G4472" s="38" t="s">
        <v>13966</v>
      </c>
    </row>
    <row r="4473">
      <c r="B4473" s="38"/>
      <c r="C4473" s="38"/>
      <c r="D4473" s="38"/>
      <c r="E4473" s="38" t="s">
        <v>13964</v>
      </c>
      <c r="F4473" s="38" t="s">
        <v>13967</v>
      </c>
      <c r="G4473" s="38" t="s">
        <v>13968</v>
      </c>
    </row>
    <row r="4474">
      <c r="B4474" s="38" t="s">
        <v>1296</v>
      </c>
      <c r="C4474" s="38">
        <v>1.0</v>
      </c>
      <c r="D4474" s="38" t="s">
        <v>13969</v>
      </c>
      <c r="E4474" s="38" t="s">
        <v>138</v>
      </c>
      <c r="F4474" s="38" t="s">
        <v>13970</v>
      </c>
    </row>
    <row r="4475">
      <c r="A4475" s="38" t="s">
        <v>13971</v>
      </c>
      <c r="B4475" s="38" t="s">
        <v>13972</v>
      </c>
      <c r="C4475" s="38" t="s">
        <v>13973</v>
      </c>
      <c r="D4475" s="38" t="s">
        <v>13974</v>
      </c>
      <c r="E4475" s="38" t="s">
        <v>1870</v>
      </c>
      <c r="F4475" s="38" t="s">
        <v>13090</v>
      </c>
      <c r="G4475" s="38" t="s">
        <v>13975</v>
      </c>
    </row>
    <row r="4476">
      <c r="A4476" s="65">
        <v>45076.0</v>
      </c>
      <c r="B4476" s="390" t="s">
        <v>13976</v>
      </c>
      <c r="C4476" s="352" t="s">
        <v>13977</v>
      </c>
      <c r="D4476" s="38" t="s">
        <v>13978</v>
      </c>
      <c r="E4476" s="38" t="s">
        <v>1870</v>
      </c>
      <c r="F4476" s="38" t="s">
        <v>3309</v>
      </c>
      <c r="G4476" s="38" t="s">
        <v>13975</v>
      </c>
    </row>
    <row r="4477">
      <c r="A4477" s="44"/>
      <c r="B4477" s="390" t="s">
        <v>13979</v>
      </c>
      <c r="C4477" s="352"/>
      <c r="D4477" s="38"/>
      <c r="E4477" s="38" t="s">
        <v>1870</v>
      </c>
      <c r="F4477" s="38" t="s">
        <v>13980</v>
      </c>
      <c r="G4477" s="38" t="s">
        <v>13975</v>
      </c>
    </row>
    <row r="4478">
      <c r="B4478" s="38" t="s">
        <v>246</v>
      </c>
      <c r="C4478" s="38">
        <v>4.0</v>
      </c>
      <c r="D4478" s="38" t="s">
        <v>8691</v>
      </c>
      <c r="E4478" s="39" t="s">
        <v>13981</v>
      </c>
      <c r="F4478" s="38" t="s">
        <v>13982</v>
      </c>
    </row>
    <row r="4479">
      <c r="B4479" s="38"/>
      <c r="C4479" s="38">
        <v>4.0</v>
      </c>
      <c r="D4479" s="38" t="s">
        <v>13983</v>
      </c>
      <c r="E4479" s="38" t="s">
        <v>13984</v>
      </c>
      <c r="F4479" s="38" t="s">
        <v>13985</v>
      </c>
    </row>
    <row r="4480">
      <c r="B4480" s="5"/>
      <c r="C4480" s="5"/>
      <c r="D4480" s="1"/>
      <c r="E4480" s="1" t="s">
        <v>13986</v>
      </c>
      <c r="F4480" s="5"/>
    </row>
    <row r="4481">
      <c r="B4481" s="38" t="s">
        <v>789</v>
      </c>
      <c r="C4481" s="38">
        <v>4.0</v>
      </c>
      <c r="D4481" s="38" t="s">
        <v>719</v>
      </c>
      <c r="E4481" s="101" t="s">
        <v>13987</v>
      </c>
      <c r="F4481" s="38" t="s">
        <v>13988</v>
      </c>
    </row>
    <row r="4482">
      <c r="B4482" s="38"/>
      <c r="C4482" s="38">
        <v>4.0</v>
      </c>
      <c r="D4482" s="38" t="s">
        <v>13989</v>
      </c>
      <c r="E4482" s="101" t="s">
        <v>13987</v>
      </c>
      <c r="F4482" s="38" t="s">
        <v>13990</v>
      </c>
      <c r="G4482" s="38" t="s">
        <v>13991</v>
      </c>
    </row>
    <row r="4483">
      <c r="B4483" s="38" t="s">
        <v>13992</v>
      </c>
      <c r="C4483" s="353" t="s">
        <v>899</v>
      </c>
      <c r="D4483" s="44"/>
      <c r="E4483" s="101" t="s">
        <v>13987</v>
      </c>
      <c r="F4483" s="44"/>
      <c r="G4483" s="38" t="s">
        <v>13991</v>
      </c>
    </row>
    <row r="4484">
      <c r="B4484" s="38"/>
      <c r="C4484" s="38" t="s">
        <v>13993</v>
      </c>
      <c r="D4484" s="38" t="s">
        <v>13994</v>
      </c>
      <c r="E4484" s="101" t="s">
        <v>13987</v>
      </c>
      <c r="F4484" s="38" t="s">
        <v>13995</v>
      </c>
    </row>
    <row r="4485">
      <c r="B4485" s="38"/>
      <c r="C4485" s="38"/>
      <c r="D4485" s="38" t="s">
        <v>13996</v>
      </c>
      <c r="E4485" s="101" t="s">
        <v>13987</v>
      </c>
      <c r="F4485" s="38"/>
      <c r="G4485" s="5"/>
    </row>
    <row r="4486">
      <c r="B4486" s="38"/>
      <c r="C4486" s="527" t="s">
        <v>13997</v>
      </c>
      <c r="D4486" s="545" t="s">
        <v>13998</v>
      </c>
      <c r="E4486" s="38" t="s">
        <v>6440</v>
      </c>
      <c r="F4486" s="38" t="s">
        <v>647</v>
      </c>
      <c r="G4486" s="38" t="s">
        <v>13999</v>
      </c>
    </row>
    <row r="4487">
      <c r="B4487" s="38" t="s">
        <v>94</v>
      </c>
      <c r="C4487" s="38">
        <v>2.0</v>
      </c>
      <c r="D4487" s="545" t="s">
        <v>3006</v>
      </c>
      <c r="E4487" s="38" t="s">
        <v>325</v>
      </c>
      <c r="F4487" s="38" t="s">
        <v>14000</v>
      </c>
      <c r="G4487" s="38" t="s">
        <v>14001</v>
      </c>
    </row>
    <row r="4488">
      <c r="B4488" s="38" t="s">
        <v>91</v>
      </c>
      <c r="C4488" s="38">
        <v>2.0</v>
      </c>
      <c r="D4488" s="545" t="s">
        <v>3006</v>
      </c>
      <c r="E4488" s="38" t="s">
        <v>325</v>
      </c>
      <c r="F4488" s="38" t="s">
        <v>14001</v>
      </c>
    </row>
    <row r="4489">
      <c r="A4489" s="465"/>
      <c r="B4489" s="38" t="s">
        <v>210</v>
      </c>
      <c r="C4489" s="38">
        <v>4.0</v>
      </c>
      <c r="D4489" s="545" t="s">
        <v>14002</v>
      </c>
      <c r="E4489" s="38" t="s">
        <v>325</v>
      </c>
      <c r="F4489" s="38" t="s">
        <v>14003</v>
      </c>
      <c r="G4489" s="38" t="s">
        <v>14004</v>
      </c>
    </row>
    <row r="4490">
      <c r="B4490" s="38"/>
      <c r="C4490" s="38"/>
      <c r="D4490" s="38" t="s">
        <v>14005</v>
      </c>
      <c r="E4490" s="38" t="s">
        <v>1015</v>
      </c>
      <c r="F4490" s="38" t="s">
        <v>14006</v>
      </c>
    </row>
    <row r="4491">
      <c r="B4491" s="38" t="s">
        <v>1333</v>
      </c>
      <c r="C4491" s="38" t="s">
        <v>1334</v>
      </c>
      <c r="D4491" s="38" t="s">
        <v>14007</v>
      </c>
      <c r="E4491" s="38" t="s">
        <v>1338</v>
      </c>
      <c r="F4491" s="38" t="s">
        <v>13867</v>
      </c>
    </row>
    <row r="4492">
      <c r="B4492" s="38"/>
      <c r="C4492" s="38" t="s">
        <v>1337</v>
      </c>
      <c r="D4492" s="38" t="s">
        <v>647</v>
      </c>
      <c r="E4492" s="38" t="s">
        <v>1338</v>
      </c>
      <c r="F4492" s="38" t="s">
        <v>13867</v>
      </c>
    </row>
    <row r="4493">
      <c r="B4493" s="38"/>
      <c r="C4493" s="38"/>
      <c r="D4493" s="38" t="s">
        <v>14008</v>
      </c>
      <c r="E4493" s="38" t="s">
        <v>2614</v>
      </c>
      <c r="F4493" s="38" t="s">
        <v>13867</v>
      </c>
    </row>
    <row r="4494">
      <c r="B4494" s="38" t="s">
        <v>14009</v>
      </c>
      <c r="C4494" s="531" t="s">
        <v>14010</v>
      </c>
      <c r="D4494" s="352" t="s">
        <v>14011</v>
      </c>
      <c r="E4494" s="38" t="s">
        <v>13033</v>
      </c>
      <c r="F4494" s="38" t="s">
        <v>14012</v>
      </c>
    </row>
    <row r="4495">
      <c r="B4495" s="38"/>
      <c r="C4495" s="38"/>
      <c r="D4495" s="38" t="s">
        <v>14013</v>
      </c>
      <c r="E4495" s="38" t="s">
        <v>13033</v>
      </c>
      <c r="F4495" s="38" t="s">
        <v>13034</v>
      </c>
    </row>
    <row r="4496">
      <c r="B4496" s="38"/>
      <c r="C4496" s="38"/>
      <c r="D4496" s="38"/>
      <c r="E4496" s="38" t="s">
        <v>13033</v>
      </c>
      <c r="F4496" s="38" t="s">
        <v>14014</v>
      </c>
    </row>
    <row r="4497">
      <c r="B4497" s="38"/>
      <c r="C4497" s="38"/>
      <c r="D4497" s="38"/>
      <c r="E4497" s="38" t="s">
        <v>13033</v>
      </c>
      <c r="F4497" s="38" t="s">
        <v>14015</v>
      </c>
      <c r="G4497" s="38" t="s">
        <v>14016</v>
      </c>
    </row>
    <row r="4498">
      <c r="B4498" s="38" t="s">
        <v>14017</v>
      </c>
      <c r="C4498" s="38"/>
      <c r="D4498" s="38" t="s">
        <v>14018</v>
      </c>
      <c r="E4498" s="38" t="s">
        <v>392</v>
      </c>
      <c r="F4498" s="38"/>
      <c r="G4498" s="38" t="s">
        <v>14016</v>
      </c>
    </row>
    <row r="4499">
      <c r="B4499" s="38" t="s">
        <v>14019</v>
      </c>
      <c r="C4499" s="38" t="s">
        <v>14020</v>
      </c>
      <c r="D4499" s="38" t="s">
        <v>14021</v>
      </c>
      <c r="E4499" s="38" t="s">
        <v>392</v>
      </c>
      <c r="F4499" s="44"/>
      <c r="G4499" s="38" t="s">
        <v>14016</v>
      </c>
    </row>
    <row r="4500">
      <c r="B4500" s="38" t="s">
        <v>22</v>
      </c>
      <c r="C4500" s="38">
        <v>4.0</v>
      </c>
      <c r="D4500" s="38" t="s">
        <v>10502</v>
      </c>
      <c r="E4500" s="38" t="s">
        <v>337</v>
      </c>
      <c r="F4500" s="38" t="s">
        <v>8267</v>
      </c>
    </row>
    <row r="4501">
      <c r="B4501" s="38" t="s">
        <v>876</v>
      </c>
      <c r="C4501" s="38">
        <v>2.0</v>
      </c>
      <c r="D4501" s="38" t="s">
        <v>402</v>
      </c>
      <c r="E4501" s="38" t="s">
        <v>10292</v>
      </c>
      <c r="F4501" s="38" t="s">
        <v>14022</v>
      </c>
    </row>
    <row r="4502">
      <c r="B4502" s="38" t="s">
        <v>789</v>
      </c>
      <c r="C4502" s="38">
        <v>2.0</v>
      </c>
      <c r="D4502" s="38" t="s">
        <v>1133</v>
      </c>
      <c r="E4502" s="85" t="s">
        <v>14023</v>
      </c>
      <c r="F4502" s="38" t="s">
        <v>4232</v>
      </c>
      <c r="G4502" s="38" t="s">
        <v>14024</v>
      </c>
    </row>
    <row r="4503">
      <c r="B4503" s="38" t="s">
        <v>789</v>
      </c>
      <c r="C4503" s="38">
        <v>2.0</v>
      </c>
      <c r="D4503" s="38" t="s">
        <v>1133</v>
      </c>
      <c r="E4503" s="85" t="s">
        <v>14023</v>
      </c>
      <c r="F4503" s="38" t="s">
        <v>14025</v>
      </c>
      <c r="G4503" s="38" t="s">
        <v>14026</v>
      </c>
    </row>
    <row r="4504">
      <c r="B4504" s="38"/>
      <c r="C4504" s="38"/>
      <c r="D4504" s="38" t="s">
        <v>14027</v>
      </c>
      <c r="E4504" s="85" t="s">
        <v>14023</v>
      </c>
      <c r="F4504" s="38" t="s">
        <v>14028</v>
      </c>
      <c r="G4504" s="44"/>
    </row>
    <row r="4505">
      <c r="B4505" s="38" t="s">
        <v>14029</v>
      </c>
      <c r="C4505" s="38"/>
      <c r="D4505" s="38"/>
      <c r="E4505" s="85" t="s">
        <v>14023</v>
      </c>
      <c r="F4505" s="38" t="s">
        <v>14030</v>
      </c>
      <c r="G4505" s="38" t="s">
        <v>14024</v>
      </c>
    </row>
    <row r="4506">
      <c r="B4506" s="38"/>
      <c r="C4506" s="38"/>
      <c r="D4506" s="545" t="s">
        <v>14031</v>
      </c>
      <c r="E4506" s="545" t="s">
        <v>11606</v>
      </c>
      <c r="F4506" s="38" t="s">
        <v>14032</v>
      </c>
      <c r="G4506" s="38" t="s">
        <v>13128</v>
      </c>
    </row>
    <row r="4507">
      <c r="B4507" s="38" t="s">
        <v>718</v>
      </c>
      <c r="C4507" s="38">
        <v>4.0</v>
      </c>
      <c r="D4507" s="545" t="s">
        <v>13219</v>
      </c>
      <c r="E4507" s="545" t="s">
        <v>11606</v>
      </c>
      <c r="F4507" s="38" t="s">
        <v>2533</v>
      </c>
      <c r="G4507" s="38" t="s">
        <v>13128</v>
      </c>
    </row>
    <row r="4508">
      <c r="B4508" s="38" t="s">
        <v>1182</v>
      </c>
      <c r="C4508" s="38">
        <v>4.0</v>
      </c>
      <c r="D4508" s="38" t="s">
        <v>211</v>
      </c>
      <c r="E4508" s="38" t="s">
        <v>337</v>
      </c>
      <c r="F4508" s="38" t="s">
        <v>14033</v>
      </c>
    </row>
    <row r="4509">
      <c r="B4509" s="38" t="s">
        <v>7023</v>
      </c>
      <c r="C4509" s="38">
        <v>2.0</v>
      </c>
      <c r="D4509" s="38" t="s">
        <v>4789</v>
      </c>
      <c r="E4509" s="38" t="s">
        <v>13627</v>
      </c>
      <c r="F4509" s="38" t="s">
        <v>14034</v>
      </c>
      <c r="G4509" s="38" t="s">
        <v>14035</v>
      </c>
    </row>
    <row r="4510">
      <c r="B4510" s="38" t="s">
        <v>439</v>
      </c>
      <c r="C4510" s="38">
        <v>2.0</v>
      </c>
      <c r="D4510" s="38" t="s">
        <v>14036</v>
      </c>
      <c r="E4510" s="38" t="s">
        <v>1716</v>
      </c>
      <c r="F4510" s="38" t="s">
        <v>14037</v>
      </c>
    </row>
    <row r="4511">
      <c r="B4511" s="38" t="s">
        <v>14038</v>
      </c>
      <c r="C4511" s="38" t="s">
        <v>14039</v>
      </c>
      <c r="D4511" s="38" t="s">
        <v>14040</v>
      </c>
      <c r="E4511" s="38" t="s">
        <v>3009</v>
      </c>
      <c r="F4511" s="38" t="s">
        <v>14041</v>
      </c>
    </row>
    <row r="4512">
      <c r="B4512" s="38" t="s">
        <v>2013</v>
      </c>
      <c r="C4512" s="38">
        <v>2.0</v>
      </c>
      <c r="D4512" s="38" t="s">
        <v>1133</v>
      </c>
      <c r="E4512" s="101" t="s">
        <v>10229</v>
      </c>
      <c r="F4512" s="38">
        <v>132.0</v>
      </c>
    </row>
    <row r="4513">
      <c r="B4513" s="38" t="s">
        <v>718</v>
      </c>
      <c r="C4513" s="38">
        <v>2.0</v>
      </c>
      <c r="D4513" s="38" t="s">
        <v>1133</v>
      </c>
      <c r="E4513" s="101" t="s">
        <v>10229</v>
      </c>
      <c r="F4513" s="38" t="s">
        <v>1212</v>
      </c>
    </row>
    <row r="4514">
      <c r="B4514" s="38" t="s">
        <v>3725</v>
      </c>
      <c r="C4514" s="38">
        <v>2.0</v>
      </c>
      <c r="D4514" s="38" t="s">
        <v>279</v>
      </c>
      <c r="E4514" s="38" t="s">
        <v>202</v>
      </c>
      <c r="F4514" s="38" t="s">
        <v>14042</v>
      </c>
    </row>
    <row r="4515">
      <c r="B4515" s="38" t="s">
        <v>103</v>
      </c>
      <c r="C4515" s="38">
        <v>1.0</v>
      </c>
      <c r="D4515" s="38" t="s">
        <v>14043</v>
      </c>
      <c r="E4515" s="38" t="s">
        <v>6605</v>
      </c>
      <c r="F4515" s="38" t="s">
        <v>13936</v>
      </c>
    </row>
    <row r="4516">
      <c r="B4516" s="38" t="s">
        <v>14044</v>
      </c>
      <c r="C4516" s="38"/>
      <c r="D4516" s="38" t="s">
        <v>14045</v>
      </c>
      <c r="E4516" s="38" t="s">
        <v>14046</v>
      </c>
      <c r="F4516" s="38"/>
      <c r="G4516" s="38" t="s">
        <v>14047</v>
      </c>
    </row>
    <row r="4517">
      <c r="B4517" s="38" t="s">
        <v>11583</v>
      </c>
      <c r="C4517" s="38" t="s">
        <v>14048</v>
      </c>
      <c r="D4517" s="38" t="s">
        <v>14049</v>
      </c>
      <c r="E4517" s="38" t="s">
        <v>14046</v>
      </c>
      <c r="F4517" s="38" t="s">
        <v>14050</v>
      </c>
      <c r="G4517" s="44"/>
    </row>
    <row r="4518">
      <c r="B4518" s="38" t="s">
        <v>14051</v>
      </c>
      <c r="C4518" s="38"/>
      <c r="D4518" s="38" t="s">
        <v>14052</v>
      </c>
      <c r="E4518" s="38" t="s">
        <v>4893</v>
      </c>
      <c r="F4518" s="38" t="s">
        <v>14053</v>
      </c>
      <c r="G4518" s="38" t="s">
        <v>14054</v>
      </c>
    </row>
    <row r="4519">
      <c r="B4519" s="38"/>
      <c r="C4519" s="38"/>
      <c r="D4519" s="38" t="s">
        <v>14055</v>
      </c>
      <c r="E4519" s="38" t="s">
        <v>14056</v>
      </c>
      <c r="F4519" s="38" t="s">
        <v>14057</v>
      </c>
      <c r="G4519" s="38" t="s">
        <v>13557</v>
      </c>
    </row>
    <row r="4520">
      <c r="B4520" s="38"/>
      <c r="C4520" s="38"/>
      <c r="D4520" s="38" t="s">
        <v>14058</v>
      </c>
      <c r="E4520" s="38" t="s">
        <v>14056</v>
      </c>
      <c r="F4520" s="38" t="s">
        <v>14059</v>
      </c>
      <c r="G4520" s="38" t="s">
        <v>13557</v>
      </c>
    </row>
    <row r="4521">
      <c r="B4521" s="38" t="s">
        <v>4403</v>
      </c>
      <c r="C4521" s="38" t="s">
        <v>1252</v>
      </c>
      <c r="D4521" s="38" t="s">
        <v>14060</v>
      </c>
      <c r="E4521" s="38" t="s">
        <v>14056</v>
      </c>
      <c r="F4521" s="38" t="s">
        <v>647</v>
      </c>
      <c r="G4521" s="38" t="s">
        <v>13557</v>
      </c>
    </row>
    <row r="4522">
      <c r="B4522" s="38" t="s">
        <v>14061</v>
      </c>
      <c r="C4522" s="38"/>
      <c r="D4522" s="38"/>
      <c r="E4522" s="38" t="s">
        <v>14062</v>
      </c>
      <c r="F4522" s="38"/>
    </row>
    <row r="4523">
      <c r="B4523" s="38" t="s">
        <v>14063</v>
      </c>
      <c r="C4523" s="38" t="s">
        <v>14064</v>
      </c>
      <c r="D4523" s="38" t="s">
        <v>14065</v>
      </c>
      <c r="E4523" s="546" t="s">
        <v>14066</v>
      </c>
      <c r="F4523" s="38" t="s">
        <v>14067</v>
      </c>
    </row>
    <row r="4524">
      <c r="B4524" s="38" t="s">
        <v>14068</v>
      </c>
      <c r="C4524" s="38"/>
      <c r="D4524" s="38" t="s">
        <v>14069</v>
      </c>
      <c r="E4524" s="546" t="s">
        <v>14066</v>
      </c>
      <c r="F4524" s="38"/>
    </row>
    <row r="4525">
      <c r="B4525" s="38" t="s">
        <v>13992</v>
      </c>
      <c r="C4525" s="38" t="s">
        <v>14070</v>
      </c>
      <c r="D4525" s="38" t="s">
        <v>14071</v>
      </c>
      <c r="E4525" s="546" t="s">
        <v>14066</v>
      </c>
      <c r="F4525" s="44"/>
    </row>
    <row r="4526">
      <c r="B4526" s="38" t="s">
        <v>14072</v>
      </c>
      <c r="C4526" s="38"/>
      <c r="D4526" s="44"/>
      <c r="E4526" s="546" t="s">
        <v>14066</v>
      </c>
      <c r="F4526" s="44"/>
    </row>
    <row r="4527">
      <c r="B4527" s="38" t="s">
        <v>14073</v>
      </c>
      <c r="C4527" s="44"/>
      <c r="D4527" s="38" t="s">
        <v>14074</v>
      </c>
      <c r="E4527" s="546" t="s">
        <v>14066</v>
      </c>
      <c r="F4527" s="38"/>
    </row>
    <row r="4528">
      <c r="B4528" s="38" t="s">
        <v>14075</v>
      </c>
      <c r="C4528" s="38" t="s">
        <v>14076</v>
      </c>
      <c r="D4528" s="38" t="s">
        <v>14077</v>
      </c>
      <c r="E4528" s="546" t="s">
        <v>14066</v>
      </c>
      <c r="F4528" s="38" t="s">
        <v>14078</v>
      </c>
    </row>
    <row r="4529">
      <c r="B4529" s="38" t="s">
        <v>14079</v>
      </c>
      <c r="C4529" s="38" t="s">
        <v>14080</v>
      </c>
      <c r="D4529" s="38"/>
      <c r="E4529" s="546" t="s">
        <v>14066</v>
      </c>
      <c r="F4529" s="38"/>
    </row>
    <row r="4530">
      <c r="B4530" s="38" t="s">
        <v>1322</v>
      </c>
      <c r="C4530" s="38">
        <v>2.0</v>
      </c>
      <c r="D4530" s="38" t="s">
        <v>14081</v>
      </c>
      <c r="E4530" s="38" t="s">
        <v>873</v>
      </c>
      <c r="F4530" s="38" t="s">
        <v>13936</v>
      </c>
    </row>
    <row r="4531">
      <c r="B4531" s="38" t="s">
        <v>2573</v>
      </c>
      <c r="C4531" s="38">
        <v>2.0</v>
      </c>
      <c r="D4531" s="38" t="s">
        <v>14081</v>
      </c>
      <c r="E4531" s="38" t="s">
        <v>873</v>
      </c>
      <c r="F4531" s="38" t="s">
        <v>13936</v>
      </c>
    </row>
    <row r="4532">
      <c r="B4532" s="38" t="s">
        <v>495</v>
      </c>
      <c r="C4532" s="38">
        <v>2.0</v>
      </c>
      <c r="D4532" s="38" t="s">
        <v>14082</v>
      </c>
      <c r="E4532" s="38" t="s">
        <v>1870</v>
      </c>
      <c r="F4532" s="38" t="s">
        <v>13975</v>
      </c>
    </row>
    <row r="4533">
      <c r="B4533" s="38" t="s">
        <v>439</v>
      </c>
      <c r="C4533" s="38">
        <v>2.0</v>
      </c>
      <c r="D4533" s="38" t="s">
        <v>14082</v>
      </c>
      <c r="E4533" s="38" t="s">
        <v>1870</v>
      </c>
      <c r="F4533" s="38" t="s">
        <v>13975</v>
      </c>
    </row>
    <row r="4534">
      <c r="B4534" s="38" t="s">
        <v>195</v>
      </c>
      <c r="C4534" s="38">
        <v>2.0</v>
      </c>
      <c r="D4534" s="38" t="s">
        <v>14083</v>
      </c>
      <c r="E4534" s="38" t="s">
        <v>9701</v>
      </c>
      <c r="F4534" s="38" t="s">
        <v>14084</v>
      </c>
    </row>
    <row r="4535">
      <c r="B4535" s="38" t="s">
        <v>199</v>
      </c>
      <c r="C4535" s="38">
        <v>2.0</v>
      </c>
      <c r="D4535" s="38" t="s">
        <v>14083</v>
      </c>
      <c r="E4535" s="38" t="s">
        <v>9701</v>
      </c>
      <c r="F4535" s="38" t="s">
        <v>14085</v>
      </c>
    </row>
    <row r="4536">
      <c r="B4536" s="38" t="s">
        <v>14086</v>
      </c>
      <c r="C4536" s="38"/>
      <c r="D4536" s="38" t="s">
        <v>14087</v>
      </c>
      <c r="E4536" s="38" t="s">
        <v>14088</v>
      </c>
      <c r="F4536" s="38" t="s">
        <v>144</v>
      </c>
    </row>
    <row r="4537">
      <c r="B4537" s="38" t="s">
        <v>14089</v>
      </c>
      <c r="C4537" s="38">
        <v>4.0</v>
      </c>
      <c r="D4537" s="38" t="s">
        <v>1133</v>
      </c>
      <c r="E4537" s="38" t="s">
        <v>974</v>
      </c>
      <c r="F4537" s="38" t="s">
        <v>14090</v>
      </c>
    </row>
    <row r="4538">
      <c r="B4538" s="38" t="s">
        <v>1322</v>
      </c>
      <c r="C4538" s="38">
        <v>2.0</v>
      </c>
      <c r="D4538" s="38" t="s">
        <v>14091</v>
      </c>
      <c r="E4538" s="101" t="s">
        <v>14092</v>
      </c>
      <c r="F4538" s="38"/>
    </row>
    <row r="4539">
      <c r="B4539" s="38" t="s">
        <v>1317</v>
      </c>
      <c r="C4539" s="38">
        <v>2.0</v>
      </c>
      <c r="D4539" s="38" t="s">
        <v>14091</v>
      </c>
      <c r="E4539" s="101" t="s">
        <v>14092</v>
      </c>
      <c r="F4539" s="38"/>
    </row>
    <row r="4540">
      <c r="B4540" s="38" t="s">
        <v>1041</v>
      </c>
      <c r="C4540" s="38">
        <v>4.0</v>
      </c>
      <c r="D4540" s="38" t="s">
        <v>14093</v>
      </c>
      <c r="E4540" s="38" t="s">
        <v>418</v>
      </c>
      <c r="F4540" s="38" t="s">
        <v>14094</v>
      </c>
    </row>
    <row r="4541">
      <c r="B4541" s="38" t="s">
        <v>3856</v>
      </c>
      <c r="C4541" s="38">
        <v>2.0</v>
      </c>
      <c r="D4541" s="38" t="s">
        <v>7155</v>
      </c>
      <c r="E4541" s="38" t="s">
        <v>12126</v>
      </c>
      <c r="F4541" s="38" t="s">
        <v>14095</v>
      </c>
    </row>
    <row r="4542">
      <c r="B4542" s="38" t="s">
        <v>3856</v>
      </c>
      <c r="C4542" s="38">
        <v>2.0</v>
      </c>
      <c r="D4542" s="38" t="s">
        <v>7155</v>
      </c>
      <c r="E4542" s="38" t="s">
        <v>12126</v>
      </c>
      <c r="F4542" s="38" t="s">
        <v>14096</v>
      </c>
    </row>
    <row r="4543">
      <c r="B4543" s="38" t="s">
        <v>14097</v>
      </c>
      <c r="C4543" s="38" t="s">
        <v>14098</v>
      </c>
      <c r="D4543" s="38" t="s">
        <v>14099</v>
      </c>
      <c r="E4543" s="38" t="s">
        <v>450</v>
      </c>
      <c r="F4543" s="38" t="s">
        <v>14100</v>
      </c>
    </row>
    <row r="4544">
      <c r="B4544" s="38" t="s">
        <v>2728</v>
      </c>
      <c r="C4544" s="38">
        <v>4.0</v>
      </c>
      <c r="D4544" s="38" t="s">
        <v>8381</v>
      </c>
      <c r="E4544" s="47" t="s">
        <v>14101</v>
      </c>
      <c r="F4544" s="38" t="s">
        <v>14102</v>
      </c>
      <c r="G4544" s="488" t="s">
        <v>14103</v>
      </c>
    </row>
    <row r="4545">
      <c r="B4545" s="38"/>
      <c r="C4545" s="38" t="s">
        <v>14104</v>
      </c>
      <c r="D4545" s="38" t="s">
        <v>14105</v>
      </c>
      <c r="E4545" s="38" t="s">
        <v>1141</v>
      </c>
      <c r="F4545" s="38" t="s">
        <v>14106</v>
      </c>
      <c r="G4545" s="38" t="s">
        <v>13754</v>
      </c>
    </row>
    <row r="4546">
      <c r="B4546" s="38"/>
      <c r="C4546" s="38"/>
      <c r="D4546" s="38" t="s">
        <v>14107</v>
      </c>
      <c r="E4546" s="38" t="s">
        <v>1072</v>
      </c>
      <c r="F4546" s="38" t="s">
        <v>14108</v>
      </c>
    </row>
    <row r="4547">
      <c r="B4547" s="38" t="s">
        <v>14109</v>
      </c>
      <c r="C4547" s="38" t="s">
        <v>14110</v>
      </c>
      <c r="D4547" s="38" t="s">
        <v>14111</v>
      </c>
      <c r="E4547" s="38" t="s">
        <v>14062</v>
      </c>
      <c r="F4547" s="38" t="s">
        <v>14112</v>
      </c>
    </row>
    <row r="4548">
      <c r="B4548" s="38"/>
      <c r="C4548" s="38"/>
      <c r="D4548" s="38" t="s">
        <v>14113</v>
      </c>
      <c r="E4548" s="38" t="s">
        <v>8926</v>
      </c>
      <c r="F4548" s="38" t="s">
        <v>4420</v>
      </c>
    </row>
    <row r="4549">
      <c r="B4549" s="38"/>
      <c r="C4549" s="38"/>
      <c r="D4549" s="38"/>
      <c r="E4549" s="38" t="s">
        <v>14062</v>
      </c>
      <c r="F4549" s="38" t="s">
        <v>14114</v>
      </c>
    </row>
    <row r="4550">
      <c r="B4550" s="38"/>
      <c r="C4550" s="38"/>
      <c r="D4550" s="38"/>
      <c r="E4550" s="38" t="s">
        <v>14062</v>
      </c>
      <c r="F4550" s="38" t="s">
        <v>14115</v>
      </c>
    </row>
    <row r="4551">
      <c r="B4551" s="59" t="s">
        <v>14116</v>
      </c>
      <c r="C4551" s="38">
        <v>2.0</v>
      </c>
      <c r="D4551" s="38" t="s">
        <v>14117</v>
      </c>
      <c r="E4551" s="38" t="s">
        <v>4741</v>
      </c>
      <c r="F4551" s="38" t="s">
        <v>14118</v>
      </c>
    </row>
    <row r="4552">
      <c r="B4552" s="59" t="s">
        <v>14119</v>
      </c>
      <c r="C4552" s="38">
        <v>2.0</v>
      </c>
      <c r="D4552" s="38" t="s">
        <v>14117</v>
      </c>
      <c r="E4552" s="38" t="s">
        <v>4741</v>
      </c>
      <c r="F4552" s="38" t="s">
        <v>14118</v>
      </c>
    </row>
    <row r="4553">
      <c r="B4553" s="38" t="s">
        <v>6162</v>
      </c>
      <c r="C4553" s="38">
        <v>4.0</v>
      </c>
      <c r="D4553" s="38" t="s">
        <v>6519</v>
      </c>
      <c r="E4553" s="38" t="s">
        <v>14120</v>
      </c>
      <c r="F4553" s="38" t="s">
        <v>14121</v>
      </c>
    </row>
    <row r="4554">
      <c r="B4554" s="38" t="s">
        <v>1892</v>
      </c>
      <c r="C4554" s="38">
        <v>4.0</v>
      </c>
      <c r="D4554" s="38" t="s">
        <v>14122</v>
      </c>
      <c r="E4554" s="38" t="s">
        <v>14123</v>
      </c>
      <c r="F4554" s="38" t="s">
        <v>14124</v>
      </c>
      <c r="G4554" s="547" t="s">
        <v>14125</v>
      </c>
    </row>
    <row r="4555">
      <c r="B4555" s="38" t="s">
        <v>58</v>
      </c>
      <c r="C4555" s="38">
        <v>2.0</v>
      </c>
      <c r="D4555" s="38" t="s">
        <v>4807</v>
      </c>
      <c r="E4555" s="38" t="s">
        <v>1017</v>
      </c>
      <c r="F4555" s="38" t="s">
        <v>1743</v>
      </c>
      <c r="G4555" s="38" t="s">
        <v>13879</v>
      </c>
    </row>
    <row r="4556">
      <c r="B4556" s="38"/>
      <c r="C4556" s="38"/>
      <c r="D4556" s="38"/>
      <c r="E4556" s="38" t="s">
        <v>1017</v>
      </c>
      <c r="F4556" s="38" t="s">
        <v>14126</v>
      </c>
      <c r="G4556" s="38" t="s">
        <v>13879</v>
      </c>
    </row>
    <row r="4557">
      <c r="B4557" s="38" t="s">
        <v>103</v>
      </c>
      <c r="C4557" s="38">
        <v>2.0</v>
      </c>
      <c r="D4557" s="38" t="s">
        <v>1042</v>
      </c>
      <c r="E4557" s="38" t="s">
        <v>13058</v>
      </c>
      <c r="F4557" s="38" t="s">
        <v>14127</v>
      </c>
    </row>
    <row r="4558">
      <c r="B4558" s="38" t="s">
        <v>1892</v>
      </c>
      <c r="C4558" s="38">
        <v>2.0</v>
      </c>
      <c r="D4558" s="38" t="s">
        <v>1042</v>
      </c>
      <c r="E4558" s="38" t="s">
        <v>13058</v>
      </c>
      <c r="F4558" s="38" t="s">
        <v>14127</v>
      </c>
    </row>
    <row r="4559">
      <c r="B4559" s="38"/>
      <c r="C4559" s="38"/>
      <c r="D4559" s="38" t="s">
        <v>14128</v>
      </c>
      <c r="E4559" s="38" t="s">
        <v>873</v>
      </c>
      <c r="F4559" s="38" t="s">
        <v>14129</v>
      </c>
    </row>
    <row r="4560">
      <c r="B4560" s="38" t="s">
        <v>14130</v>
      </c>
      <c r="C4560" s="38"/>
      <c r="D4560" s="38" t="s">
        <v>14131</v>
      </c>
      <c r="E4560" s="38" t="s">
        <v>873</v>
      </c>
      <c r="F4560" s="38" t="s">
        <v>14132</v>
      </c>
      <c r="G4560" s="38" t="s">
        <v>14133</v>
      </c>
    </row>
    <row r="4561">
      <c r="B4561" s="38" t="s">
        <v>6573</v>
      </c>
      <c r="C4561" s="38">
        <v>4.0</v>
      </c>
      <c r="D4561" s="38" t="s">
        <v>402</v>
      </c>
      <c r="E4561" s="38" t="s">
        <v>418</v>
      </c>
      <c r="F4561" s="38" t="s">
        <v>14134</v>
      </c>
      <c r="G4561" s="38" t="s">
        <v>14094</v>
      </c>
    </row>
    <row r="4562">
      <c r="B4562" s="38" t="s">
        <v>430</v>
      </c>
      <c r="C4562" s="38">
        <v>4.0</v>
      </c>
      <c r="D4562" s="38" t="s">
        <v>545</v>
      </c>
      <c r="E4562" s="38" t="s">
        <v>418</v>
      </c>
      <c r="F4562" s="38" t="s">
        <v>14135</v>
      </c>
      <c r="G4562" s="38" t="s">
        <v>14094</v>
      </c>
    </row>
    <row r="4563">
      <c r="B4563" s="38" t="s">
        <v>1407</v>
      </c>
      <c r="C4563" s="38">
        <v>2.0</v>
      </c>
      <c r="D4563" s="38" t="s">
        <v>14136</v>
      </c>
      <c r="E4563" s="38" t="s">
        <v>418</v>
      </c>
      <c r="F4563" s="38">
        <v>129.22</v>
      </c>
      <c r="G4563" s="38" t="s">
        <v>14094</v>
      </c>
    </row>
    <row r="4564">
      <c r="B4564" s="38" t="s">
        <v>430</v>
      </c>
      <c r="C4564" s="38">
        <v>2.0</v>
      </c>
      <c r="D4564" s="38" t="s">
        <v>14136</v>
      </c>
      <c r="E4564" s="38" t="s">
        <v>418</v>
      </c>
      <c r="F4564" s="38">
        <v>114.1</v>
      </c>
      <c r="G4564" s="38" t="s">
        <v>14094</v>
      </c>
    </row>
    <row r="4565">
      <c r="B4565" s="38" t="s">
        <v>5381</v>
      </c>
      <c r="C4565" s="38">
        <v>2.0</v>
      </c>
      <c r="D4565" s="38" t="s">
        <v>2457</v>
      </c>
      <c r="E4565" s="38" t="s">
        <v>5605</v>
      </c>
      <c r="F4565" s="38" t="s">
        <v>8348</v>
      </c>
    </row>
    <row r="4566">
      <c r="A4566" s="8"/>
      <c r="B4566" s="314" t="s">
        <v>14137</v>
      </c>
      <c r="C4566" s="38" t="s">
        <v>14138</v>
      </c>
      <c r="D4566" s="38" t="s">
        <v>14139</v>
      </c>
      <c r="E4566" s="38" t="s">
        <v>4918</v>
      </c>
      <c r="F4566" s="59" t="s">
        <v>14140</v>
      </c>
      <c r="G4566" s="315" t="s">
        <v>14141</v>
      </c>
      <c r="I4566" s="8"/>
      <c r="J4566" s="8"/>
    </row>
    <row r="4567">
      <c r="A4567" s="8"/>
      <c r="B4567" s="314"/>
      <c r="C4567" s="38"/>
      <c r="D4567" s="315" t="s">
        <v>14142</v>
      </c>
      <c r="E4567" s="38" t="s">
        <v>4918</v>
      </c>
      <c r="F4567" s="38" t="s">
        <v>6007</v>
      </c>
      <c r="G4567" s="315" t="s">
        <v>14141</v>
      </c>
      <c r="H4567" s="5"/>
      <c r="I4567" s="8"/>
      <c r="J4567" s="8"/>
    </row>
    <row r="4568">
      <c r="A4568" s="44"/>
      <c r="B4568" s="38"/>
      <c r="C4568" s="38"/>
      <c r="D4568" s="38">
        <v>7.303402E8</v>
      </c>
      <c r="E4568" s="38" t="s">
        <v>371</v>
      </c>
      <c r="F4568" s="38" t="s">
        <v>150</v>
      </c>
      <c r="G4568" s="44"/>
      <c r="H4568" s="38" t="s">
        <v>144</v>
      </c>
      <c r="I4568" s="8"/>
      <c r="J4568" s="8"/>
    </row>
    <row r="4569">
      <c r="A4569" s="44"/>
      <c r="B4569" s="38"/>
      <c r="C4569" s="38"/>
      <c r="D4569" s="38" t="s">
        <v>14143</v>
      </c>
      <c r="E4569" s="38" t="s">
        <v>371</v>
      </c>
      <c r="F4569" s="38" t="s">
        <v>11787</v>
      </c>
      <c r="G4569" s="38" t="s">
        <v>14144</v>
      </c>
      <c r="H4569" s="38" t="s">
        <v>144</v>
      </c>
      <c r="I4569" s="8"/>
      <c r="J4569" s="8"/>
    </row>
    <row r="4570">
      <c r="B4570" s="38"/>
      <c r="C4570" s="38"/>
      <c r="D4570" s="38"/>
      <c r="E4570" s="38" t="s">
        <v>14145</v>
      </c>
      <c r="F4570" s="38" t="s">
        <v>14146</v>
      </c>
    </row>
    <row r="4571">
      <c r="A4571" s="38" t="s">
        <v>14147</v>
      </c>
      <c r="B4571" s="38" t="s">
        <v>1322</v>
      </c>
      <c r="C4571" s="38">
        <v>1.0</v>
      </c>
      <c r="D4571" s="38" t="s">
        <v>4786</v>
      </c>
      <c r="E4571" s="38" t="s">
        <v>14148</v>
      </c>
      <c r="F4571" s="38" t="s">
        <v>14149</v>
      </c>
      <c r="G4571" s="38" t="s">
        <v>14150</v>
      </c>
      <c r="H4571" s="38" t="s">
        <v>14151</v>
      </c>
    </row>
    <row r="4572">
      <c r="A4572" s="44"/>
      <c r="B4572" s="38"/>
      <c r="C4572" s="38"/>
      <c r="D4572" s="38"/>
      <c r="E4572" s="38" t="s">
        <v>14152</v>
      </c>
      <c r="F4572" s="38" t="s">
        <v>14153</v>
      </c>
      <c r="G4572" s="38"/>
      <c r="H4572" s="38" t="s">
        <v>14151</v>
      </c>
    </row>
    <row r="4573">
      <c r="B4573" s="38"/>
      <c r="C4573" s="38" t="s">
        <v>14154</v>
      </c>
      <c r="D4573" s="44"/>
      <c r="E4573" s="38" t="s">
        <v>14155</v>
      </c>
      <c r="F4573" s="38" t="s">
        <v>14129</v>
      </c>
    </row>
    <row r="4574">
      <c r="A4574" s="502" t="s">
        <v>14156</v>
      </c>
      <c r="B4574" s="38" t="s">
        <v>14157</v>
      </c>
      <c r="C4574" s="121" t="s">
        <v>1248</v>
      </c>
      <c r="D4574" s="121" t="s">
        <v>14158</v>
      </c>
      <c r="E4574" s="38" t="s">
        <v>1253</v>
      </c>
      <c r="F4574" s="38" t="s">
        <v>1251</v>
      </c>
      <c r="G4574" s="38" t="s">
        <v>14159</v>
      </c>
    </row>
    <row r="4575">
      <c r="A4575" s="65">
        <v>45119.0</v>
      </c>
      <c r="B4575" s="38"/>
      <c r="C4575" s="38"/>
      <c r="D4575" s="121" t="s">
        <v>14160</v>
      </c>
      <c r="E4575" s="38" t="s">
        <v>1253</v>
      </c>
      <c r="F4575" s="38" t="s">
        <v>535</v>
      </c>
      <c r="G4575" s="38" t="s">
        <v>14159</v>
      </c>
    </row>
    <row r="4576">
      <c r="A4576" s="44"/>
      <c r="B4576" s="121" t="s">
        <v>14161</v>
      </c>
      <c r="C4576" s="38" t="s">
        <v>14162</v>
      </c>
      <c r="D4576" s="38" t="s">
        <v>14163</v>
      </c>
      <c r="E4576" s="38" t="s">
        <v>1170</v>
      </c>
      <c r="F4576" s="38" t="s">
        <v>14164</v>
      </c>
    </row>
    <row r="4577">
      <c r="A4577" s="44"/>
      <c r="B4577" s="38" t="s">
        <v>14165</v>
      </c>
      <c r="C4577" s="38" t="s">
        <v>14166</v>
      </c>
      <c r="D4577" s="44"/>
      <c r="E4577" s="38" t="s">
        <v>1170</v>
      </c>
      <c r="F4577" s="38" t="s">
        <v>14167</v>
      </c>
    </row>
    <row r="4578">
      <c r="A4578" s="44"/>
      <c r="B4578" s="38" t="s">
        <v>14168</v>
      </c>
      <c r="C4578" s="38" t="s">
        <v>14169</v>
      </c>
      <c r="D4578" s="38" t="s">
        <v>14170</v>
      </c>
      <c r="E4578" s="38" t="s">
        <v>1170</v>
      </c>
      <c r="F4578" s="38" t="s">
        <v>14171</v>
      </c>
    </row>
    <row r="4579">
      <c r="A4579" s="44"/>
      <c r="B4579" s="38" t="s">
        <v>14172</v>
      </c>
      <c r="C4579" s="38"/>
      <c r="D4579" s="38"/>
      <c r="E4579" s="38" t="s">
        <v>1170</v>
      </c>
      <c r="F4579" s="44"/>
    </row>
    <row r="4580">
      <c r="A4580" s="65">
        <v>45247.0</v>
      </c>
      <c r="B4580" s="38"/>
      <c r="C4580" s="38"/>
      <c r="D4580" s="38" t="s">
        <v>14173</v>
      </c>
      <c r="E4580" s="38" t="s">
        <v>1170</v>
      </c>
      <c r="F4580" s="44"/>
    </row>
    <row r="4581">
      <c r="B4581" s="38" t="s">
        <v>31</v>
      </c>
      <c r="C4581" s="38">
        <v>2.0</v>
      </c>
      <c r="D4581" s="90" t="s">
        <v>14174</v>
      </c>
      <c r="E4581" s="85" t="s">
        <v>14175</v>
      </c>
      <c r="F4581" s="38" t="s">
        <v>14176</v>
      </c>
    </row>
    <row r="4582">
      <c r="B4582" s="38" t="s">
        <v>1277</v>
      </c>
      <c r="C4582" s="38">
        <v>2.0</v>
      </c>
      <c r="D4582" s="90" t="s">
        <v>14174</v>
      </c>
      <c r="E4582" s="85" t="s">
        <v>14175</v>
      </c>
      <c r="F4582" s="38"/>
    </row>
    <row r="4583">
      <c r="B4583" s="38"/>
      <c r="C4583" s="38"/>
      <c r="D4583" s="38" t="s">
        <v>14177</v>
      </c>
      <c r="E4583" s="38" t="s">
        <v>14178</v>
      </c>
      <c r="F4583" s="38"/>
    </row>
    <row r="4584">
      <c r="B4584" s="38" t="s">
        <v>7023</v>
      </c>
      <c r="C4584" s="38">
        <v>4.0</v>
      </c>
      <c r="D4584" s="38" t="s">
        <v>14179</v>
      </c>
      <c r="E4584" s="38" t="s">
        <v>14180</v>
      </c>
      <c r="F4584" s="38" t="s">
        <v>14181</v>
      </c>
    </row>
    <row r="4585">
      <c r="B4585" s="392" t="s">
        <v>188</v>
      </c>
      <c r="C4585" s="38">
        <v>2.0</v>
      </c>
      <c r="D4585" s="90" t="s">
        <v>881</v>
      </c>
      <c r="E4585" s="38" t="s">
        <v>418</v>
      </c>
      <c r="F4585" s="38" t="s">
        <v>14182</v>
      </c>
    </row>
    <row r="4586">
      <c r="B4586" s="392" t="s">
        <v>1757</v>
      </c>
      <c r="C4586" s="38">
        <v>2.0</v>
      </c>
      <c r="D4586" s="90" t="s">
        <v>399</v>
      </c>
      <c r="E4586" s="38" t="s">
        <v>14183</v>
      </c>
      <c r="F4586" s="38" t="s">
        <v>14184</v>
      </c>
    </row>
    <row r="4587">
      <c r="B4587" s="392" t="s">
        <v>4608</v>
      </c>
      <c r="C4587" s="38">
        <v>2.0</v>
      </c>
      <c r="D4587" s="90" t="s">
        <v>399</v>
      </c>
      <c r="E4587" s="38" t="s">
        <v>14183</v>
      </c>
      <c r="F4587" s="38" t="s">
        <v>14184</v>
      </c>
    </row>
    <row r="4588">
      <c r="B4588" s="392"/>
      <c r="C4588" s="38" t="s">
        <v>14185</v>
      </c>
      <c r="D4588" s="90" t="s">
        <v>14186</v>
      </c>
      <c r="E4588" s="38" t="s">
        <v>14187</v>
      </c>
      <c r="F4588" s="38" t="s">
        <v>14188</v>
      </c>
      <c r="G4588" s="38" t="s">
        <v>14189</v>
      </c>
    </row>
    <row r="4589">
      <c r="A4589" s="84"/>
      <c r="B4589" s="548" t="s">
        <v>140</v>
      </c>
      <c r="C4589" s="131">
        <v>4.0</v>
      </c>
      <c r="D4589" s="131" t="s">
        <v>123</v>
      </c>
      <c r="E4589" s="131" t="s">
        <v>14190</v>
      </c>
      <c r="F4589" s="131" t="s">
        <v>14191</v>
      </c>
    </row>
    <row r="4590">
      <c r="B4590" s="390" t="s">
        <v>14192</v>
      </c>
      <c r="C4590" s="38" t="s">
        <v>14193</v>
      </c>
      <c r="D4590" s="90" t="s">
        <v>14194</v>
      </c>
      <c r="E4590" s="38" t="s">
        <v>1015</v>
      </c>
      <c r="F4590" s="38" t="s">
        <v>14195</v>
      </c>
    </row>
    <row r="4591">
      <c r="B4591" s="390"/>
      <c r="C4591" s="38"/>
      <c r="D4591" s="90" t="s">
        <v>14196</v>
      </c>
      <c r="E4591" s="38" t="s">
        <v>1015</v>
      </c>
      <c r="F4591" s="38" t="s">
        <v>14195</v>
      </c>
    </row>
    <row r="4592">
      <c r="A4592" s="65">
        <v>45128.0</v>
      </c>
      <c r="B4592" s="392"/>
      <c r="C4592" s="38"/>
      <c r="D4592" s="90" t="s">
        <v>14197</v>
      </c>
      <c r="E4592" s="38" t="s">
        <v>14198</v>
      </c>
      <c r="F4592" s="38" t="s">
        <v>3309</v>
      </c>
      <c r="G4592" s="38" t="s">
        <v>144</v>
      </c>
    </row>
    <row r="4593">
      <c r="A4593" s="65">
        <v>45128.0</v>
      </c>
      <c r="B4593" s="392" t="s">
        <v>14199</v>
      </c>
      <c r="C4593" s="38" t="s">
        <v>14200</v>
      </c>
      <c r="D4593" s="90" t="s">
        <v>14201</v>
      </c>
      <c r="E4593" s="38" t="s">
        <v>14202</v>
      </c>
      <c r="F4593" s="38"/>
      <c r="G4593" s="38" t="s">
        <v>144</v>
      </c>
    </row>
    <row r="4594">
      <c r="A4594" s="65"/>
      <c r="B4594" s="392"/>
      <c r="C4594" s="38"/>
      <c r="D4594" s="90"/>
      <c r="E4594" s="38" t="s">
        <v>14202</v>
      </c>
      <c r="F4594" s="38" t="s">
        <v>14203</v>
      </c>
      <c r="G4594" s="38" t="s">
        <v>144</v>
      </c>
    </row>
    <row r="4595">
      <c r="A4595" s="44"/>
      <c r="B4595" s="392" t="s">
        <v>25</v>
      </c>
      <c r="C4595" s="38">
        <v>4.0</v>
      </c>
      <c r="D4595" s="90" t="s">
        <v>402</v>
      </c>
      <c r="E4595" s="38" t="s">
        <v>6605</v>
      </c>
      <c r="F4595" s="38" t="s">
        <v>14204</v>
      </c>
      <c r="G4595" s="44"/>
    </row>
    <row r="4596">
      <c r="A4596" s="44"/>
      <c r="B4596" s="392"/>
      <c r="C4596" s="38" t="s">
        <v>14205</v>
      </c>
      <c r="D4596" s="90"/>
      <c r="E4596" s="38" t="s">
        <v>14206</v>
      </c>
      <c r="F4596" s="38" t="s">
        <v>14207</v>
      </c>
      <c r="G4596" s="38" t="s">
        <v>144</v>
      </c>
    </row>
    <row r="4597">
      <c r="A4597" s="44"/>
      <c r="B4597" s="392"/>
      <c r="C4597" s="38" t="s">
        <v>14208</v>
      </c>
      <c r="D4597" s="90"/>
      <c r="E4597" s="38" t="s">
        <v>14206</v>
      </c>
      <c r="F4597" s="38"/>
      <c r="G4597" s="38" t="s">
        <v>144</v>
      </c>
    </row>
    <row r="4598">
      <c r="B4598" s="38" t="s">
        <v>14209</v>
      </c>
      <c r="C4598" s="38" t="s">
        <v>14210</v>
      </c>
      <c r="D4598" s="38" t="s">
        <v>12035</v>
      </c>
      <c r="E4598" s="38" t="s">
        <v>12036</v>
      </c>
      <c r="F4598" s="38" t="s">
        <v>14211</v>
      </c>
    </row>
    <row r="4599">
      <c r="B4599" s="38" t="s">
        <v>12039</v>
      </c>
      <c r="C4599" s="38" t="s">
        <v>14212</v>
      </c>
      <c r="D4599" s="38" t="s">
        <v>12041</v>
      </c>
      <c r="E4599" s="38" t="s">
        <v>12036</v>
      </c>
      <c r="F4599" s="38" t="s">
        <v>14211</v>
      </c>
    </row>
    <row r="4600">
      <c r="B4600" s="392" t="s">
        <v>14213</v>
      </c>
      <c r="C4600" s="121" t="s">
        <v>14214</v>
      </c>
      <c r="D4600" s="121" t="s">
        <v>14215</v>
      </c>
      <c r="E4600" s="39" t="s">
        <v>14216</v>
      </c>
      <c r="F4600" s="38" t="s">
        <v>535</v>
      </c>
    </row>
    <row r="4601">
      <c r="B4601" s="392" t="s">
        <v>77</v>
      </c>
      <c r="C4601" s="38">
        <v>1.0</v>
      </c>
      <c r="D4601" s="90" t="s">
        <v>289</v>
      </c>
      <c r="E4601" s="38" t="s">
        <v>14217</v>
      </c>
      <c r="F4601" s="38" t="s">
        <v>14218</v>
      </c>
    </row>
    <row r="4602">
      <c r="B4602" s="392" t="s">
        <v>495</v>
      </c>
      <c r="C4602" s="38">
        <v>1.0</v>
      </c>
      <c r="D4602" s="90" t="s">
        <v>14219</v>
      </c>
      <c r="E4602" s="281" t="s">
        <v>10179</v>
      </c>
      <c r="F4602" s="38" t="s">
        <v>14220</v>
      </c>
    </row>
    <row r="4603">
      <c r="B4603" s="392"/>
      <c r="C4603" s="549" t="s">
        <v>14221</v>
      </c>
      <c r="D4603" s="90"/>
      <c r="E4603" s="38" t="s">
        <v>3009</v>
      </c>
      <c r="F4603" s="38" t="s">
        <v>6110</v>
      </c>
    </row>
    <row r="4604">
      <c r="B4604" s="392" t="s">
        <v>10489</v>
      </c>
      <c r="C4604" s="38" t="s">
        <v>14222</v>
      </c>
      <c r="D4604" s="90" t="s">
        <v>2520</v>
      </c>
      <c r="E4604" s="38" t="s">
        <v>14223</v>
      </c>
      <c r="F4604" s="38"/>
    </row>
    <row r="4605">
      <c r="B4605" s="392" t="s">
        <v>14224</v>
      </c>
      <c r="C4605" s="38"/>
      <c r="D4605" s="90"/>
      <c r="E4605" s="38" t="s">
        <v>14225</v>
      </c>
      <c r="F4605" s="38" t="s">
        <v>14226</v>
      </c>
    </row>
    <row r="4606">
      <c r="B4606" s="392" t="s">
        <v>3060</v>
      </c>
      <c r="C4606" s="38">
        <v>2.0</v>
      </c>
      <c r="D4606" s="90" t="s">
        <v>14227</v>
      </c>
      <c r="E4606" s="38" t="s">
        <v>413</v>
      </c>
      <c r="F4606" s="38" t="s">
        <v>14228</v>
      </c>
    </row>
    <row r="4607">
      <c r="B4607" s="392" t="s">
        <v>4044</v>
      </c>
      <c r="C4607" s="38">
        <v>2.0</v>
      </c>
      <c r="D4607" s="90" t="s">
        <v>14227</v>
      </c>
      <c r="E4607" s="38" t="s">
        <v>413</v>
      </c>
      <c r="F4607" s="38" t="s">
        <v>14228</v>
      </c>
    </row>
    <row r="4608">
      <c r="B4608" s="392" t="s">
        <v>153</v>
      </c>
      <c r="C4608" s="38">
        <v>2.0</v>
      </c>
      <c r="D4608" s="90" t="s">
        <v>1133</v>
      </c>
      <c r="E4608" s="38" t="s">
        <v>14229</v>
      </c>
      <c r="F4608" s="38" t="s">
        <v>14230</v>
      </c>
    </row>
    <row r="4609">
      <c r="B4609" s="392" t="s">
        <v>170</v>
      </c>
      <c r="C4609" s="38">
        <v>2.0</v>
      </c>
      <c r="D4609" s="90" t="s">
        <v>1133</v>
      </c>
      <c r="E4609" s="38" t="s">
        <v>14229</v>
      </c>
      <c r="F4609" s="38" t="s">
        <v>14231</v>
      </c>
    </row>
    <row r="4610">
      <c r="A4610" s="44"/>
      <c r="B4610" s="392"/>
      <c r="C4610" s="38"/>
      <c r="D4610" s="90" t="s">
        <v>14232</v>
      </c>
      <c r="E4610" s="38" t="s">
        <v>1736</v>
      </c>
      <c r="F4610" s="38" t="s">
        <v>144</v>
      </c>
    </row>
    <row r="4611">
      <c r="A4611" s="44"/>
      <c r="B4611" s="392" t="s">
        <v>14233</v>
      </c>
      <c r="C4611" s="38"/>
      <c r="D4611" s="38" t="s">
        <v>14234</v>
      </c>
      <c r="E4611" s="38" t="s">
        <v>14235</v>
      </c>
      <c r="F4611" s="38" t="s">
        <v>144</v>
      </c>
    </row>
    <row r="4612">
      <c r="A4612" s="1" t="s">
        <v>14236</v>
      </c>
      <c r="B4612" s="392" t="s">
        <v>41</v>
      </c>
      <c r="C4612" s="38">
        <v>4.0</v>
      </c>
      <c r="D4612" s="90" t="s">
        <v>8350</v>
      </c>
      <c r="E4612" s="38" t="s">
        <v>2571</v>
      </c>
      <c r="F4612" s="38" t="s">
        <v>14237</v>
      </c>
      <c r="G4612" s="38" t="s">
        <v>14238</v>
      </c>
    </row>
    <row r="4613">
      <c r="A4613" s="1" t="s">
        <v>14239</v>
      </c>
      <c r="B4613" s="392" t="s">
        <v>14240</v>
      </c>
      <c r="C4613" s="38" t="s">
        <v>14241</v>
      </c>
      <c r="D4613" s="90" t="s">
        <v>14242</v>
      </c>
      <c r="E4613" s="38" t="s">
        <v>2571</v>
      </c>
      <c r="F4613" s="38"/>
      <c r="G4613" s="38" t="s">
        <v>14238</v>
      </c>
    </row>
    <row r="4614">
      <c r="B4614" s="44"/>
      <c r="C4614" s="38">
        <v>5.0</v>
      </c>
      <c r="D4614" s="38" t="s">
        <v>14243</v>
      </c>
      <c r="E4614" s="38" t="s">
        <v>14244</v>
      </c>
      <c r="F4614" s="38" t="s">
        <v>14245</v>
      </c>
    </row>
    <row r="4615">
      <c r="B4615" s="392" t="s">
        <v>1407</v>
      </c>
      <c r="C4615" s="38">
        <v>4.0</v>
      </c>
      <c r="D4615" s="90" t="s">
        <v>14246</v>
      </c>
      <c r="E4615" s="38" t="s">
        <v>14244</v>
      </c>
      <c r="F4615" s="38" t="s">
        <v>14245</v>
      </c>
    </row>
    <row r="4616">
      <c r="B4616" s="392"/>
      <c r="C4616" s="38">
        <v>5.0</v>
      </c>
      <c r="D4616" s="90" t="s">
        <v>14247</v>
      </c>
      <c r="E4616" s="38" t="s">
        <v>14244</v>
      </c>
      <c r="F4616" s="38" t="s">
        <v>14245</v>
      </c>
    </row>
    <row r="4617">
      <c r="A4617" s="1" t="s">
        <v>14248</v>
      </c>
      <c r="B4617" s="390" t="s">
        <v>430</v>
      </c>
      <c r="C4617" s="38">
        <v>4.0</v>
      </c>
      <c r="D4617" s="38" t="s">
        <v>684</v>
      </c>
      <c r="E4617" s="38" t="s">
        <v>14249</v>
      </c>
      <c r="F4617" s="38" t="s">
        <v>14250</v>
      </c>
      <c r="G4617" s="109" t="s">
        <v>14251</v>
      </c>
    </row>
    <row r="4618">
      <c r="B4618" s="390" t="s">
        <v>14252</v>
      </c>
      <c r="C4618" s="38" t="s">
        <v>14253</v>
      </c>
      <c r="D4618" s="90" t="s">
        <v>14254</v>
      </c>
      <c r="E4618" s="38" t="s">
        <v>14255</v>
      </c>
      <c r="F4618" s="38" t="s">
        <v>14256</v>
      </c>
    </row>
    <row r="4619">
      <c r="B4619" s="392"/>
      <c r="C4619" s="38"/>
      <c r="D4619" s="90" t="s">
        <v>14257</v>
      </c>
      <c r="E4619" s="38" t="s">
        <v>873</v>
      </c>
      <c r="F4619" s="38" t="s">
        <v>14258</v>
      </c>
    </row>
    <row r="4620">
      <c r="B4620" s="392"/>
      <c r="C4620" s="38">
        <v>4.0</v>
      </c>
      <c r="D4620" s="90" t="s">
        <v>14259</v>
      </c>
      <c r="E4620" s="38" t="s">
        <v>9229</v>
      </c>
      <c r="F4620" s="38" t="s">
        <v>14260</v>
      </c>
    </row>
    <row r="4621">
      <c r="B4621" s="392"/>
      <c r="C4621" s="38">
        <v>4.0</v>
      </c>
      <c r="D4621" s="90" t="s">
        <v>14261</v>
      </c>
      <c r="E4621" s="38" t="s">
        <v>9229</v>
      </c>
      <c r="F4621" s="38" t="s">
        <v>14260</v>
      </c>
    </row>
    <row r="4622">
      <c r="B4622" s="392"/>
      <c r="C4622" s="38">
        <v>4.0</v>
      </c>
      <c r="D4622" s="90" t="s">
        <v>14262</v>
      </c>
      <c r="E4622" s="38" t="s">
        <v>9229</v>
      </c>
      <c r="F4622" s="38" t="s">
        <v>14260</v>
      </c>
    </row>
    <row r="4623">
      <c r="B4623" s="392"/>
      <c r="C4623" s="38"/>
      <c r="D4623" s="90" t="s">
        <v>7316</v>
      </c>
      <c r="E4623" s="38" t="s">
        <v>9229</v>
      </c>
      <c r="F4623" s="38" t="s">
        <v>14260</v>
      </c>
    </row>
    <row r="4624">
      <c r="B4624" s="550"/>
      <c r="C4624" s="5">
        <v>1.0</v>
      </c>
      <c r="D4624" s="551" t="s">
        <v>14263</v>
      </c>
      <c r="E4624" s="5" t="s">
        <v>2914</v>
      </c>
      <c r="F4624" s="5"/>
    </row>
    <row r="4625">
      <c r="B4625" s="392" t="s">
        <v>271</v>
      </c>
      <c r="C4625" s="38">
        <v>4.0</v>
      </c>
      <c r="D4625" s="90" t="s">
        <v>14264</v>
      </c>
      <c r="E4625" s="39" t="s">
        <v>14265</v>
      </c>
      <c r="F4625" s="38" t="s">
        <v>14266</v>
      </c>
    </row>
    <row r="4626">
      <c r="B4626" s="38" t="s">
        <v>14267</v>
      </c>
      <c r="C4626" s="38" t="s">
        <v>14268</v>
      </c>
      <c r="D4626" s="90"/>
      <c r="E4626" s="38" t="s">
        <v>11871</v>
      </c>
      <c r="F4626" s="38" t="s">
        <v>14269</v>
      </c>
    </row>
    <row r="4627">
      <c r="B4627" s="392" t="s">
        <v>14270</v>
      </c>
      <c r="C4627" s="38" t="s">
        <v>14271</v>
      </c>
      <c r="D4627" s="90" t="s">
        <v>14272</v>
      </c>
      <c r="E4627" s="38" t="s">
        <v>11871</v>
      </c>
      <c r="F4627" s="38" t="s">
        <v>14269</v>
      </c>
    </row>
    <row r="4628">
      <c r="B4628" s="392" t="s">
        <v>14273</v>
      </c>
      <c r="C4628" s="38" t="s">
        <v>5410</v>
      </c>
      <c r="D4628" s="90"/>
      <c r="E4628" s="38" t="s">
        <v>11871</v>
      </c>
      <c r="F4628" s="38" t="s">
        <v>14269</v>
      </c>
    </row>
    <row r="4629">
      <c r="B4629" s="392" t="s">
        <v>896</v>
      </c>
      <c r="C4629" s="38" t="s">
        <v>899</v>
      </c>
      <c r="D4629" s="90"/>
      <c r="E4629" s="38" t="s">
        <v>11871</v>
      </c>
      <c r="F4629" s="38" t="s">
        <v>14269</v>
      </c>
    </row>
    <row r="4630">
      <c r="B4630" s="392"/>
      <c r="C4630" s="38"/>
      <c r="D4630" s="90" t="s">
        <v>14274</v>
      </c>
      <c r="E4630" s="38" t="s">
        <v>11871</v>
      </c>
      <c r="F4630" s="38" t="s">
        <v>14269</v>
      </c>
    </row>
    <row r="4631">
      <c r="B4631" s="392" t="s">
        <v>22</v>
      </c>
      <c r="C4631" s="38">
        <v>4.0</v>
      </c>
      <c r="D4631" s="90" t="s">
        <v>27</v>
      </c>
      <c r="E4631" s="38" t="s">
        <v>14275</v>
      </c>
      <c r="F4631" s="38" t="s">
        <v>4369</v>
      </c>
    </row>
    <row r="4632">
      <c r="B4632" s="392" t="s">
        <v>81</v>
      </c>
      <c r="C4632" s="38">
        <v>4.0</v>
      </c>
      <c r="D4632" s="90" t="s">
        <v>684</v>
      </c>
      <c r="E4632" s="38" t="s">
        <v>418</v>
      </c>
      <c r="F4632" s="38" t="s">
        <v>14182</v>
      </c>
    </row>
    <row r="4633">
      <c r="B4633" s="392" t="s">
        <v>25</v>
      </c>
      <c r="C4633" s="38">
        <v>8.0</v>
      </c>
      <c r="D4633" s="90" t="s">
        <v>2121</v>
      </c>
      <c r="E4633" s="38" t="s">
        <v>14276</v>
      </c>
      <c r="F4633" s="38" t="s">
        <v>14277</v>
      </c>
    </row>
    <row r="4634">
      <c r="B4634" s="392" t="s">
        <v>147</v>
      </c>
      <c r="C4634" s="38">
        <v>8.0</v>
      </c>
      <c r="D4634" s="90" t="s">
        <v>27</v>
      </c>
      <c r="E4634" s="38" t="s">
        <v>14276</v>
      </c>
      <c r="F4634" s="38" t="s">
        <v>14277</v>
      </c>
    </row>
    <row r="4635">
      <c r="B4635" s="392" t="s">
        <v>3682</v>
      </c>
      <c r="C4635" s="38">
        <v>4.0</v>
      </c>
      <c r="D4635" s="90" t="s">
        <v>27</v>
      </c>
      <c r="E4635" s="38" t="s">
        <v>14276</v>
      </c>
      <c r="F4635" s="38" t="s">
        <v>14277</v>
      </c>
    </row>
    <row r="4636">
      <c r="B4636" s="392" t="s">
        <v>205</v>
      </c>
      <c r="C4636" s="38">
        <v>8.0</v>
      </c>
      <c r="D4636" s="90" t="s">
        <v>27</v>
      </c>
      <c r="E4636" s="38" t="s">
        <v>14276</v>
      </c>
      <c r="F4636" s="38" t="s">
        <v>14277</v>
      </c>
    </row>
    <row r="4637">
      <c r="B4637" s="392" t="s">
        <v>22</v>
      </c>
      <c r="C4637" s="38">
        <v>8.0</v>
      </c>
      <c r="D4637" s="90" t="s">
        <v>513</v>
      </c>
      <c r="E4637" s="38" t="s">
        <v>14276</v>
      </c>
      <c r="F4637" s="38" t="s">
        <v>14277</v>
      </c>
    </row>
    <row r="4638">
      <c r="B4638" s="392" t="s">
        <v>25</v>
      </c>
      <c r="C4638" s="38">
        <v>8.0</v>
      </c>
      <c r="D4638" s="90" t="s">
        <v>513</v>
      </c>
      <c r="E4638" s="38" t="s">
        <v>14276</v>
      </c>
      <c r="F4638" s="38" t="s">
        <v>14277</v>
      </c>
    </row>
    <row r="4639">
      <c r="B4639" s="392" t="s">
        <v>718</v>
      </c>
      <c r="C4639" s="38">
        <v>4.0</v>
      </c>
      <c r="D4639" s="90" t="s">
        <v>27</v>
      </c>
      <c r="E4639" s="38" t="s">
        <v>14276</v>
      </c>
      <c r="F4639" s="38" t="s">
        <v>14277</v>
      </c>
    </row>
    <row r="4640">
      <c r="B4640" s="392" t="s">
        <v>183</v>
      </c>
      <c r="C4640" s="38">
        <v>8.0</v>
      </c>
      <c r="D4640" s="90" t="s">
        <v>27</v>
      </c>
      <c r="E4640" s="38" t="s">
        <v>14276</v>
      </c>
      <c r="F4640" s="38" t="s">
        <v>14277</v>
      </c>
    </row>
    <row r="4641">
      <c r="B4641" s="392" t="s">
        <v>81</v>
      </c>
      <c r="C4641" s="38">
        <v>4.0</v>
      </c>
      <c r="D4641" s="90" t="s">
        <v>27</v>
      </c>
      <c r="E4641" s="38" t="s">
        <v>14276</v>
      </c>
      <c r="F4641" s="38" t="s">
        <v>14277</v>
      </c>
    </row>
    <row r="4642">
      <c r="B4642" s="392" t="s">
        <v>430</v>
      </c>
      <c r="C4642" s="38">
        <v>4.0</v>
      </c>
      <c r="D4642" s="90" t="s">
        <v>27</v>
      </c>
      <c r="E4642" s="38" t="s">
        <v>14276</v>
      </c>
      <c r="F4642" s="38" t="s">
        <v>14277</v>
      </c>
    </row>
    <row r="4643">
      <c r="B4643" s="392" t="s">
        <v>31</v>
      </c>
      <c r="C4643" s="38">
        <v>4.0</v>
      </c>
      <c r="D4643" s="90" t="s">
        <v>433</v>
      </c>
      <c r="E4643" s="38" t="s">
        <v>14276</v>
      </c>
      <c r="F4643" s="38" t="s">
        <v>14277</v>
      </c>
    </row>
    <row r="4644">
      <c r="B4644" s="392" t="s">
        <v>28</v>
      </c>
      <c r="C4644" s="38">
        <v>4.0</v>
      </c>
      <c r="D4644" s="90" t="s">
        <v>27</v>
      </c>
      <c r="E4644" s="38" t="s">
        <v>14276</v>
      </c>
      <c r="F4644" s="38" t="s">
        <v>14277</v>
      </c>
    </row>
    <row r="4645">
      <c r="B4645" s="392" t="s">
        <v>718</v>
      </c>
      <c r="C4645" s="38">
        <v>1.0</v>
      </c>
      <c r="D4645" s="90" t="s">
        <v>27</v>
      </c>
      <c r="E4645" s="38" t="s">
        <v>14276</v>
      </c>
      <c r="F4645" s="38" t="s">
        <v>14277</v>
      </c>
    </row>
    <row r="4646">
      <c r="B4646" s="392" t="s">
        <v>416</v>
      </c>
      <c r="C4646" s="38">
        <v>4.0</v>
      </c>
      <c r="D4646" s="90" t="s">
        <v>27</v>
      </c>
      <c r="E4646" s="38" t="s">
        <v>14276</v>
      </c>
      <c r="F4646" s="38" t="s">
        <v>14277</v>
      </c>
    </row>
    <row r="4647">
      <c r="A4647" s="8"/>
      <c r="B4647" s="392" t="s">
        <v>147</v>
      </c>
      <c r="C4647" s="38">
        <v>4.0</v>
      </c>
      <c r="D4647" s="90" t="s">
        <v>6747</v>
      </c>
      <c r="E4647" s="38" t="s">
        <v>418</v>
      </c>
      <c r="F4647" s="38" t="s">
        <v>14278</v>
      </c>
    </row>
    <row r="4648">
      <c r="A4648" s="8"/>
      <c r="B4648" s="392" t="s">
        <v>1513</v>
      </c>
      <c r="C4648" s="38">
        <v>4.0</v>
      </c>
      <c r="D4648" s="90" t="s">
        <v>6747</v>
      </c>
      <c r="E4648" s="38" t="s">
        <v>418</v>
      </c>
      <c r="F4648" s="38" t="s">
        <v>14278</v>
      </c>
    </row>
    <row r="4649">
      <c r="A4649" s="8"/>
      <c r="B4649" s="392" t="s">
        <v>4229</v>
      </c>
      <c r="C4649" s="38">
        <v>4.0</v>
      </c>
      <c r="D4649" s="90" t="s">
        <v>6747</v>
      </c>
      <c r="E4649" s="38" t="s">
        <v>418</v>
      </c>
      <c r="F4649" s="38" t="s">
        <v>14278</v>
      </c>
    </row>
    <row r="4650">
      <c r="A4650" s="8"/>
      <c r="B4650" s="392" t="s">
        <v>210</v>
      </c>
      <c r="C4650" s="38">
        <v>4.0</v>
      </c>
      <c r="D4650" s="90" t="s">
        <v>6747</v>
      </c>
      <c r="E4650" s="38" t="s">
        <v>418</v>
      </c>
      <c r="F4650" s="38" t="s">
        <v>14278</v>
      </c>
    </row>
    <row r="4651">
      <c r="A4651" s="8"/>
      <c r="B4651" s="392" t="s">
        <v>271</v>
      </c>
      <c r="C4651" s="38">
        <v>4.0</v>
      </c>
      <c r="D4651" s="90" t="s">
        <v>27</v>
      </c>
      <c r="E4651" s="38" t="s">
        <v>418</v>
      </c>
      <c r="F4651" s="38" t="s">
        <v>14278</v>
      </c>
    </row>
    <row r="4652">
      <c r="A4652" s="8"/>
      <c r="B4652" s="392" t="s">
        <v>205</v>
      </c>
      <c r="C4652" s="38">
        <v>12.0</v>
      </c>
      <c r="D4652" s="90" t="s">
        <v>27</v>
      </c>
      <c r="E4652" s="38" t="s">
        <v>418</v>
      </c>
      <c r="F4652" s="38" t="s">
        <v>14278</v>
      </c>
    </row>
    <row r="4653">
      <c r="A4653" s="8"/>
      <c r="B4653" s="392" t="s">
        <v>219</v>
      </c>
      <c r="C4653" s="38">
        <v>4.0</v>
      </c>
      <c r="D4653" s="90" t="s">
        <v>6747</v>
      </c>
      <c r="E4653" s="38" t="s">
        <v>418</v>
      </c>
      <c r="F4653" s="38" t="s">
        <v>14278</v>
      </c>
    </row>
    <row r="4654">
      <c r="A4654" s="8"/>
      <c r="B4654" s="392" t="s">
        <v>81</v>
      </c>
      <c r="C4654" s="38">
        <v>4.0</v>
      </c>
      <c r="D4654" s="90" t="s">
        <v>6747</v>
      </c>
      <c r="E4654" s="38" t="s">
        <v>418</v>
      </c>
      <c r="F4654" s="38" t="s">
        <v>14278</v>
      </c>
    </row>
    <row r="4655">
      <c r="A4655" s="8"/>
      <c r="B4655" s="392" t="s">
        <v>58</v>
      </c>
      <c r="C4655" s="38">
        <v>4.0</v>
      </c>
      <c r="D4655" s="90" t="s">
        <v>6747</v>
      </c>
      <c r="E4655" s="38" t="s">
        <v>418</v>
      </c>
      <c r="F4655" s="38" t="s">
        <v>14278</v>
      </c>
    </row>
    <row r="4656">
      <c r="A4656" s="8"/>
      <c r="B4656" s="392" t="s">
        <v>430</v>
      </c>
      <c r="C4656" s="38">
        <v>4.0</v>
      </c>
      <c r="D4656" s="90" t="s">
        <v>6747</v>
      </c>
      <c r="E4656" s="38" t="s">
        <v>418</v>
      </c>
      <c r="F4656" s="38" t="s">
        <v>14278</v>
      </c>
    </row>
    <row r="4657">
      <c r="A4657" s="8"/>
      <c r="B4657" s="392" t="s">
        <v>430</v>
      </c>
      <c r="C4657" s="38">
        <v>4.0</v>
      </c>
      <c r="D4657" s="90" t="s">
        <v>14279</v>
      </c>
      <c r="E4657" s="38" t="s">
        <v>418</v>
      </c>
      <c r="F4657" s="38" t="s">
        <v>14278</v>
      </c>
    </row>
    <row r="4658">
      <c r="A4658" s="8"/>
      <c r="B4658" s="392" t="s">
        <v>949</v>
      </c>
      <c r="C4658" s="38">
        <v>4.0</v>
      </c>
      <c r="D4658" s="90" t="s">
        <v>6747</v>
      </c>
      <c r="E4658" s="38" t="s">
        <v>418</v>
      </c>
      <c r="F4658" s="38" t="s">
        <v>14278</v>
      </c>
    </row>
    <row r="4659">
      <c r="A4659" s="8"/>
      <c r="B4659" s="392" t="s">
        <v>1407</v>
      </c>
      <c r="C4659" s="38">
        <v>4.0</v>
      </c>
      <c r="D4659" s="90" t="s">
        <v>14279</v>
      </c>
      <c r="E4659" s="38" t="s">
        <v>418</v>
      </c>
      <c r="F4659" s="38" t="s">
        <v>14278</v>
      </c>
    </row>
    <row r="4660">
      <c r="A4660" s="8"/>
      <c r="B4660" s="392" t="s">
        <v>147</v>
      </c>
      <c r="C4660" s="38">
        <v>4.0</v>
      </c>
      <c r="D4660" s="90" t="s">
        <v>2219</v>
      </c>
      <c r="E4660" s="38" t="s">
        <v>418</v>
      </c>
      <c r="F4660" s="38" t="s">
        <v>14278</v>
      </c>
    </row>
    <row r="4661">
      <c r="A4661" s="8"/>
      <c r="B4661" s="392" t="s">
        <v>718</v>
      </c>
      <c r="C4661" s="38">
        <v>4.0</v>
      </c>
      <c r="D4661" s="90" t="s">
        <v>2219</v>
      </c>
      <c r="E4661" s="38" t="s">
        <v>418</v>
      </c>
      <c r="F4661" s="38" t="s">
        <v>14278</v>
      </c>
    </row>
    <row r="4662">
      <c r="A4662" s="8"/>
      <c r="B4662" s="392" t="s">
        <v>1513</v>
      </c>
      <c r="C4662" s="38">
        <v>4.0</v>
      </c>
      <c r="D4662" s="90" t="s">
        <v>2219</v>
      </c>
      <c r="E4662" s="38" t="s">
        <v>418</v>
      </c>
      <c r="F4662" s="38" t="s">
        <v>14278</v>
      </c>
    </row>
    <row r="4663">
      <c r="A4663" s="8"/>
      <c r="B4663" s="392" t="s">
        <v>1432</v>
      </c>
      <c r="C4663" s="38">
        <v>4.0</v>
      </c>
      <c r="D4663" s="90" t="s">
        <v>2219</v>
      </c>
      <c r="E4663" s="38" t="s">
        <v>418</v>
      </c>
      <c r="F4663" s="38" t="s">
        <v>14278</v>
      </c>
    </row>
    <row r="4664">
      <c r="A4664" s="8"/>
      <c r="B4664" s="392" t="s">
        <v>416</v>
      </c>
      <c r="C4664" s="38">
        <v>4.0</v>
      </c>
      <c r="D4664" s="90" t="s">
        <v>2219</v>
      </c>
      <c r="E4664" s="38" t="s">
        <v>418</v>
      </c>
      <c r="F4664" s="38" t="s">
        <v>14278</v>
      </c>
    </row>
    <row r="4665">
      <c r="A4665" s="8"/>
      <c r="B4665" s="392" t="s">
        <v>41</v>
      </c>
      <c r="C4665" s="38">
        <v>4.0</v>
      </c>
      <c r="D4665" s="90" t="s">
        <v>2219</v>
      </c>
      <c r="E4665" s="38" t="s">
        <v>418</v>
      </c>
      <c r="F4665" s="38" t="s">
        <v>14278</v>
      </c>
    </row>
    <row r="4666">
      <c r="A4666" s="8"/>
      <c r="B4666" s="392" t="s">
        <v>1714</v>
      </c>
      <c r="C4666" s="38">
        <v>4.0</v>
      </c>
      <c r="D4666" s="90" t="s">
        <v>2219</v>
      </c>
      <c r="E4666" s="38" t="s">
        <v>418</v>
      </c>
      <c r="F4666" s="38" t="s">
        <v>14278</v>
      </c>
    </row>
    <row r="4667">
      <c r="A4667" s="8"/>
      <c r="B4667" s="392" t="s">
        <v>25</v>
      </c>
      <c r="C4667" s="38">
        <v>8.0</v>
      </c>
      <c r="D4667" s="90" t="s">
        <v>2219</v>
      </c>
      <c r="E4667" s="38" t="s">
        <v>418</v>
      </c>
      <c r="F4667" s="38" t="s">
        <v>14278</v>
      </c>
    </row>
    <row r="4668">
      <c r="A4668" s="8"/>
      <c r="B4668" s="392" t="s">
        <v>205</v>
      </c>
      <c r="C4668" s="38">
        <v>4.0</v>
      </c>
      <c r="D4668" s="90" t="s">
        <v>2219</v>
      </c>
      <c r="E4668" s="38" t="s">
        <v>418</v>
      </c>
      <c r="F4668" s="38" t="s">
        <v>14278</v>
      </c>
    </row>
    <row r="4669">
      <c r="A4669" s="8"/>
      <c r="B4669" s="392" t="s">
        <v>183</v>
      </c>
      <c r="C4669" s="38">
        <v>4.0</v>
      </c>
      <c r="D4669" s="90" t="s">
        <v>2219</v>
      </c>
      <c r="E4669" s="38" t="s">
        <v>418</v>
      </c>
      <c r="F4669" s="38" t="s">
        <v>14278</v>
      </c>
    </row>
    <row r="4670">
      <c r="B4670" s="392" t="s">
        <v>3056</v>
      </c>
      <c r="C4670" s="38">
        <v>4.0</v>
      </c>
      <c r="D4670" s="90" t="s">
        <v>2219</v>
      </c>
      <c r="E4670" s="38" t="s">
        <v>418</v>
      </c>
      <c r="F4670" s="38" t="s">
        <v>14278</v>
      </c>
    </row>
    <row r="4671">
      <c r="B4671" s="392" t="s">
        <v>276</v>
      </c>
      <c r="C4671" s="38">
        <v>4.0</v>
      </c>
      <c r="D4671" s="90" t="s">
        <v>2219</v>
      </c>
      <c r="E4671" s="38" t="s">
        <v>418</v>
      </c>
      <c r="F4671" s="38" t="s">
        <v>14278</v>
      </c>
    </row>
    <row r="4672">
      <c r="B4672" s="392" t="s">
        <v>85</v>
      </c>
      <c r="C4672" s="38">
        <v>4.0</v>
      </c>
      <c r="D4672" s="90" t="s">
        <v>2219</v>
      </c>
      <c r="E4672" s="38" t="s">
        <v>418</v>
      </c>
      <c r="F4672" s="38" t="s">
        <v>14278</v>
      </c>
    </row>
    <row r="4673">
      <c r="B4673" s="392" t="s">
        <v>122</v>
      </c>
      <c r="C4673" s="38">
        <v>4.0</v>
      </c>
      <c r="D4673" s="90" t="s">
        <v>2219</v>
      </c>
      <c r="E4673" s="38" t="s">
        <v>418</v>
      </c>
      <c r="F4673" s="38" t="s">
        <v>14278</v>
      </c>
    </row>
    <row r="4674">
      <c r="B4674" s="392" t="s">
        <v>210</v>
      </c>
      <c r="C4674" s="38">
        <v>4.0</v>
      </c>
      <c r="D4674" s="90" t="s">
        <v>2219</v>
      </c>
      <c r="E4674" s="38" t="s">
        <v>418</v>
      </c>
      <c r="F4674" s="38" t="s">
        <v>14278</v>
      </c>
    </row>
    <row r="4675">
      <c r="B4675" s="392" t="s">
        <v>25</v>
      </c>
      <c r="C4675" s="38">
        <v>8.0</v>
      </c>
      <c r="D4675" s="90" t="s">
        <v>2489</v>
      </c>
      <c r="E4675" s="38" t="s">
        <v>418</v>
      </c>
      <c r="F4675" s="38" t="s">
        <v>14278</v>
      </c>
    </row>
    <row r="4676">
      <c r="B4676" s="392" t="s">
        <v>81</v>
      </c>
      <c r="C4676" s="38">
        <v>4.0</v>
      </c>
      <c r="D4676" s="90" t="s">
        <v>417</v>
      </c>
      <c r="E4676" s="38" t="s">
        <v>418</v>
      </c>
      <c r="F4676" s="38" t="s">
        <v>14280</v>
      </c>
    </row>
    <row r="4677">
      <c r="B4677" s="392" t="s">
        <v>11248</v>
      </c>
      <c r="C4677" s="38">
        <v>1.0</v>
      </c>
      <c r="D4677" s="90" t="s">
        <v>315</v>
      </c>
      <c r="E4677" s="38" t="s">
        <v>418</v>
      </c>
      <c r="F4677" s="38" t="s">
        <v>14281</v>
      </c>
    </row>
    <row r="4678">
      <c r="B4678" s="392" t="s">
        <v>755</v>
      </c>
      <c r="C4678" s="38">
        <v>4.0</v>
      </c>
      <c r="D4678" s="90" t="s">
        <v>14282</v>
      </c>
      <c r="E4678" s="38" t="s">
        <v>418</v>
      </c>
      <c r="F4678" s="38" t="s">
        <v>14280</v>
      </c>
    </row>
    <row r="4679">
      <c r="B4679" s="392" t="s">
        <v>25</v>
      </c>
      <c r="C4679" s="38">
        <v>12.0</v>
      </c>
      <c r="D4679" s="90" t="s">
        <v>14282</v>
      </c>
      <c r="E4679" s="38" t="s">
        <v>418</v>
      </c>
      <c r="F4679" s="38" t="s">
        <v>14280</v>
      </c>
    </row>
    <row r="4680">
      <c r="B4680" s="392" t="s">
        <v>5596</v>
      </c>
      <c r="C4680" s="38">
        <v>4.0</v>
      </c>
      <c r="D4680" s="90" t="s">
        <v>14283</v>
      </c>
      <c r="E4680" s="38" t="s">
        <v>418</v>
      </c>
      <c r="F4680" s="38" t="s">
        <v>14284</v>
      </c>
    </row>
    <row r="4681">
      <c r="B4681" s="392" t="s">
        <v>1349</v>
      </c>
      <c r="C4681" s="38">
        <v>4.0</v>
      </c>
      <c r="D4681" s="90" t="s">
        <v>14285</v>
      </c>
      <c r="E4681" s="38" t="s">
        <v>418</v>
      </c>
      <c r="F4681" s="38" t="s">
        <v>14280</v>
      </c>
    </row>
    <row r="4682">
      <c r="B4682" s="392" t="s">
        <v>398</v>
      </c>
      <c r="C4682" s="38">
        <v>4.0</v>
      </c>
      <c r="D4682" s="90" t="s">
        <v>14285</v>
      </c>
      <c r="E4682" s="38" t="s">
        <v>418</v>
      </c>
      <c r="F4682" s="38" t="s">
        <v>14280</v>
      </c>
    </row>
    <row r="4683">
      <c r="B4683" s="392" t="s">
        <v>1575</v>
      </c>
      <c r="C4683" s="38">
        <v>4.0</v>
      </c>
      <c r="D4683" s="90" t="s">
        <v>14285</v>
      </c>
      <c r="E4683" s="38" t="s">
        <v>418</v>
      </c>
      <c r="F4683" s="38" t="s">
        <v>14280</v>
      </c>
    </row>
    <row r="4684">
      <c r="B4684" s="392" t="s">
        <v>1010</v>
      </c>
      <c r="C4684" s="38">
        <v>4.0</v>
      </c>
      <c r="D4684" s="90" t="s">
        <v>14285</v>
      </c>
      <c r="E4684" s="38" t="s">
        <v>418</v>
      </c>
      <c r="F4684" s="38" t="s">
        <v>14280</v>
      </c>
    </row>
    <row r="4685">
      <c r="B4685" s="392" t="s">
        <v>147</v>
      </c>
      <c r="C4685" s="38">
        <v>4.0</v>
      </c>
      <c r="D4685" s="90" t="s">
        <v>27</v>
      </c>
      <c r="E4685" s="38" t="s">
        <v>418</v>
      </c>
      <c r="F4685" s="38" t="s">
        <v>14280</v>
      </c>
    </row>
    <row r="4686">
      <c r="B4686" s="392" t="s">
        <v>3527</v>
      </c>
      <c r="C4686" s="38">
        <v>4.0</v>
      </c>
      <c r="D4686" s="90" t="s">
        <v>6920</v>
      </c>
      <c r="E4686" s="38" t="s">
        <v>418</v>
      </c>
      <c r="F4686" s="38" t="s">
        <v>14280</v>
      </c>
    </row>
    <row r="4687">
      <c r="B4687" s="392" t="s">
        <v>271</v>
      </c>
      <c r="C4687" s="38">
        <v>4.0</v>
      </c>
      <c r="D4687" s="90" t="s">
        <v>14286</v>
      </c>
      <c r="E4687" s="38" t="s">
        <v>418</v>
      </c>
      <c r="F4687" s="38" t="s">
        <v>14280</v>
      </c>
    </row>
    <row r="4688">
      <c r="B4688" s="392" t="s">
        <v>430</v>
      </c>
      <c r="C4688" s="38">
        <v>4.0</v>
      </c>
      <c r="D4688" s="90" t="s">
        <v>2795</v>
      </c>
      <c r="E4688" s="38" t="s">
        <v>418</v>
      </c>
      <c r="F4688" s="38" t="s">
        <v>14280</v>
      </c>
    </row>
    <row r="4689">
      <c r="B4689" s="392" t="s">
        <v>22</v>
      </c>
      <c r="C4689" s="38">
        <v>12.0</v>
      </c>
      <c r="D4689" s="90" t="s">
        <v>2032</v>
      </c>
      <c r="E4689" s="38" t="s">
        <v>418</v>
      </c>
      <c r="F4689" s="38" t="s">
        <v>14284</v>
      </c>
    </row>
    <row r="4690">
      <c r="B4690" s="392"/>
      <c r="C4690" s="38">
        <v>4.0</v>
      </c>
      <c r="D4690" s="90" t="s">
        <v>14287</v>
      </c>
      <c r="E4690" s="38" t="s">
        <v>418</v>
      </c>
      <c r="F4690" s="38" t="s">
        <v>14284</v>
      </c>
    </row>
    <row r="4691">
      <c r="B4691" s="392" t="s">
        <v>2798</v>
      </c>
      <c r="C4691" s="38">
        <v>4.0</v>
      </c>
      <c r="D4691" s="90" t="s">
        <v>14288</v>
      </c>
      <c r="E4691" s="38" t="s">
        <v>4709</v>
      </c>
      <c r="F4691" s="38" t="s">
        <v>1517</v>
      </c>
    </row>
    <row r="4692">
      <c r="B4692" s="392" t="s">
        <v>342</v>
      </c>
      <c r="C4692" s="38">
        <v>4.0</v>
      </c>
      <c r="D4692" s="90" t="s">
        <v>14289</v>
      </c>
      <c r="E4692" s="38" t="s">
        <v>325</v>
      </c>
      <c r="F4692" s="38" t="s">
        <v>14290</v>
      </c>
    </row>
    <row r="4693">
      <c r="B4693" s="392" t="s">
        <v>405</v>
      </c>
      <c r="C4693" s="38">
        <v>2.0</v>
      </c>
      <c r="D4693" s="90" t="s">
        <v>12447</v>
      </c>
      <c r="E4693" s="38" t="s">
        <v>325</v>
      </c>
      <c r="F4693" s="38" t="s">
        <v>14291</v>
      </c>
    </row>
    <row r="4694">
      <c r="B4694" s="392" t="s">
        <v>52</v>
      </c>
      <c r="C4694" s="38">
        <v>2.0</v>
      </c>
      <c r="D4694" s="90" t="s">
        <v>12447</v>
      </c>
      <c r="E4694" s="38" t="s">
        <v>325</v>
      </c>
      <c r="F4694" s="38" t="s">
        <v>14291</v>
      </c>
    </row>
    <row r="4695">
      <c r="B4695" s="38" t="s">
        <v>3023</v>
      </c>
      <c r="C4695" s="38">
        <v>2.0</v>
      </c>
      <c r="D4695" s="38" t="s">
        <v>753</v>
      </c>
      <c r="E4695" s="38" t="s">
        <v>325</v>
      </c>
      <c r="F4695" s="38" t="s">
        <v>14292</v>
      </c>
    </row>
    <row r="4696">
      <c r="B4696" s="38" t="s">
        <v>1892</v>
      </c>
      <c r="C4696" s="38">
        <v>2.0</v>
      </c>
      <c r="D4696" s="38" t="s">
        <v>753</v>
      </c>
      <c r="E4696" s="38" t="s">
        <v>325</v>
      </c>
      <c r="F4696" s="38" t="s">
        <v>14292</v>
      </c>
    </row>
    <row r="4697">
      <c r="B4697" s="392" t="s">
        <v>3752</v>
      </c>
      <c r="C4697" s="38">
        <v>4.0</v>
      </c>
      <c r="D4697" s="90" t="s">
        <v>12447</v>
      </c>
      <c r="E4697" s="38" t="s">
        <v>325</v>
      </c>
      <c r="F4697" s="38" t="s">
        <v>14293</v>
      </c>
    </row>
    <row r="4698">
      <c r="B4698" s="44"/>
      <c r="C4698" s="38" t="s">
        <v>14294</v>
      </c>
      <c r="D4698" s="90"/>
      <c r="E4698" s="38" t="s">
        <v>14295</v>
      </c>
      <c r="F4698" s="38" t="s">
        <v>14296</v>
      </c>
      <c r="G4698" s="38" t="s">
        <v>14297</v>
      </c>
    </row>
    <row r="4699">
      <c r="B4699" s="392"/>
      <c r="C4699" s="392" t="s">
        <v>14298</v>
      </c>
      <c r="D4699" s="90"/>
      <c r="E4699" s="38" t="s">
        <v>14295</v>
      </c>
      <c r="F4699" s="38" t="s">
        <v>14299</v>
      </c>
      <c r="G4699" s="38" t="s">
        <v>14297</v>
      </c>
    </row>
    <row r="4700">
      <c r="B4700" s="392"/>
      <c r="C4700" s="390" t="s">
        <v>14300</v>
      </c>
      <c r="D4700" s="44"/>
      <c r="E4700" s="38" t="s">
        <v>14295</v>
      </c>
      <c r="F4700" s="38" t="s">
        <v>14301</v>
      </c>
      <c r="G4700" s="38" t="s">
        <v>14297</v>
      </c>
    </row>
    <row r="4701">
      <c r="B4701" s="392"/>
      <c r="C4701" s="38" t="s">
        <v>14302</v>
      </c>
      <c r="D4701" s="90" t="s">
        <v>14303</v>
      </c>
      <c r="E4701" s="38" t="s">
        <v>14295</v>
      </c>
      <c r="F4701" s="90" t="s">
        <v>14304</v>
      </c>
      <c r="G4701" s="38" t="s">
        <v>14297</v>
      </c>
    </row>
    <row r="4702">
      <c r="B4702" s="392" t="s">
        <v>14305</v>
      </c>
      <c r="C4702" s="38" t="s">
        <v>647</v>
      </c>
      <c r="D4702" s="392" t="s">
        <v>1204</v>
      </c>
      <c r="E4702" s="38" t="s">
        <v>14306</v>
      </c>
      <c r="F4702" s="38"/>
    </row>
    <row r="4703">
      <c r="B4703" s="44"/>
      <c r="C4703" s="38" t="s">
        <v>14307</v>
      </c>
      <c r="D4703" s="90" t="s">
        <v>14308</v>
      </c>
      <c r="E4703" s="38" t="s">
        <v>14306</v>
      </c>
      <c r="F4703" s="121" t="s">
        <v>14309</v>
      </c>
    </row>
    <row r="4704">
      <c r="B4704" s="44"/>
      <c r="C4704" s="38" t="s">
        <v>14310</v>
      </c>
      <c r="D4704" s="90"/>
      <c r="E4704" s="38" t="s">
        <v>14306</v>
      </c>
      <c r="F4704" s="121"/>
    </row>
    <row r="4705">
      <c r="B4705" s="550" t="s">
        <v>647</v>
      </c>
      <c r="C4705" s="5" t="s">
        <v>14311</v>
      </c>
      <c r="D4705" s="551"/>
      <c r="E4705" s="5" t="s">
        <v>2914</v>
      </c>
      <c r="F4705" s="5"/>
    </row>
    <row r="4706">
      <c r="B4706" s="550" t="s">
        <v>14312</v>
      </c>
      <c r="C4706" s="5" t="s">
        <v>14313</v>
      </c>
      <c r="D4706" s="551"/>
      <c r="E4706" s="5" t="s">
        <v>2914</v>
      </c>
      <c r="F4706" s="5"/>
    </row>
    <row r="4707">
      <c r="B4707" s="550" t="s">
        <v>14314</v>
      </c>
      <c r="C4707" s="5" t="s">
        <v>14315</v>
      </c>
      <c r="D4707" s="551" t="s">
        <v>14316</v>
      </c>
      <c r="E4707" s="5" t="s">
        <v>2914</v>
      </c>
      <c r="F4707" s="5" t="s">
        <v>14317</v>
      </c>
    </row>
    <row r="4708">
      <c r="B4708" s="550" t="s">
        <v>14318</v>
      </c>
      <c r="C4708" s="5"/>
      <c r="D4708" s="551"/>
      <c r="E4708" s="5" t="s">
        <v>2914</v>
      </c>
      <c r="F4708" s="5"/>
    </row>
    <row r="4709">
      <c r="B4709" s="550" t="s">
        <v>14319</v>
      </c>
      <c r="C4709" s="5"/>
      <c r="D4709" s="551"/>
      <c r="E4709" s="5" t="s">
        <v>2914</v>
      </c>
      <c r="F4709" s="5"/>
    </row>
    <row r="4710">
      <c r="B4710" s="550"/>
      <c r="C4710" s="5" t="s">
        <v>14320</v>
      </c>
      <c r="D4710" s="551"/>
      <c r="E4710" s="5" t="s">
        <v>2914</v>
      </c>
      <c r="F4710" s="5"/>
    </row>
    <row r="4711">
      <c r="B4711" s="552" t="s">
        <v>14321</v>
      </c>
      <c r="C4711" s="5"/>
      <c r="D4711" s="551" t="s">
        <v>5359</v>
      </c>
      <c r="E4711" s="5" t="s">
        <v>2914</v>
      </c>
      <c r="F4711" s="5"/>
    </row>
    <row r="4712">
      <c r="B4712" s="552"/>
      <c r="C4712" s="5">
        <v>1.0</v>
      </c>
      <c r="D4712" s="551" t="s">
        <v>14322</v>
      </c>
      <c r="E4712" s="5" t="s">
        <v>2914</v>
      </c>
      <c r="F4712" s="5"/>
    </row>
    <row r="4713">
      <c r="B4713" s="552"/>
      <c r="C4713" s="5">
        <v>1.0</v>
      </c>
      <c r="D4713" s="551" t="s">
        <v>14323</v>
      </c>
      <c r="E4713" s="5" t="s">
        <v>2914</v>
      </c>
      <c r="F4713" s="5"/>
    </row>
    <row r="4714">
      <c r="B4714" s="552"/>
      <c r="C4714" s="5">
        <v>1.0</v>
      </c>
      <c r="D4714" s="551" t="s">
        <v>14324</v>
      </c>
      <c r="E4714" s="5" t="s">
        <v>2914</v>
      </c>
      <c r="F4714" s="5"/>
    </row>
    <row r="4715">
      <c r="B4715" s="552"/>
      <c r="C4715" s="5"/>
      <c r="D4715" s="551" t="s">
        <v>14325</v>
      </c>
      <c r="E4715" s="5" t="s">
        <v>2914</v>
      </c>
      <c r="F4715" s="5"/>
    </row>
    <row r="4716">
      <c r="B4716" s="392" t="s">
        <v>3573</v>
      </c>
      <c r="C4716" s="38" t="s">
        <v>14326</v>
      </c>
      <c r="D4716" s="390" t="s">
        <v>14327</v>
      </c>
      <c r="E4716" s="38" t="s">
        <v>14328</v>
      </c>
      <c r="F4716" s="38"/>
    </row>
    <row r="4717">
      <c r="B4717" s="392"/>
      <c r="C4717" s="38" t="s">
        <v>372</v>
      </c>
      <c r="D4717" s="90" t="s">
        <v>14329</v>
      </c>
      <c r="E4717" s="38" t="s">
        <v>14330</v>
      </c>
      <c r="F4717" s="38" t="s">
        <v>14159</v>
      </c>
    </row>
    <row r="4718">
      <c r="B4718" s="553" t="s">
        <v>14331</v>
      </c>
      <c r="C4718" s="121" t="s">
        <v>14332</v>
      </c>
      <c r="D4718" s="121" t="s">
        <v>14333</v>
      </c>
      <c r="E4718" s="38" t="s">
        <v>14334</v>
      </c>
      <c r="F4718" s="38" t="s">
        <v>14335</v>
      </c>
    </row>
    <row r="4719">
      <c r="B4719" s="392" t="s">
        <v>14336</v>
      </c>
      <c r="C4719" s="38" t="s">
        <v>1542</v>
      </c>
      <c r="D4719" s="90"/>
      <c r="E4719" s="38" t="s">
        <v>14334</v>
      </c>
      <c r="F4719" s="38" t="s">
        <v>14335</v>
      </c>
    </row>
    <row r="4720">
      <c r="B4720" s="392" t="s">
        <v>14337</v>
      </c>
      <c r="C4720" s="121" t="s">
        <v>14338</v>
      </c>
      <c r="D4720" s="554" t="s">
        <v>14339</v>
      </c>
      <c r="E4720" s="38" t="s">
        <v>14340</v>
      </c>
      <c r="F4720" s="38" t="s">
        <v>14341</v>
      </c>
    </row>
    <row r="4721">
      <c r="B4721" s="554" t="s">
        <v>14342</v>
      </c>
      <c r="C4721" s="38" t="s">
        <v>1347</v>
      </c>
      <c r="D4721" s="90" t="s">
        <v>701</v>
      </c>
      <c r="E4721" s="38" t="s">
        <v>14340</v>
      </c>
      <c r="F4721" s="38" t="s">
        <v>14341</v>
      </c>
    </row>
    <row r="4722">
      <c r="B4722" s="392" t="s">
        <v>1296</v>
      </c>
      <c r="C4722" s="38">
        <v>2.0</v>
      </c>
      <c r="D4722" s="90" t="s">
        <v>167</v>
      </c>
      <c r="E4722" s="85" t="s">
        <v>14343</v>
      </c>
      <c r="F4722" s="38" t="s">
        <v>14344</v>
      </c>
      <c r="G4722" s="38" t="s">
        <v>14345</v>
      </c>
    </row>
    <row r="4723">
      <c r="B4723" s="392"/>
      <c r="C4723" s="38">
        <v>1.0</v>
      </c>
      <c r="D4723" s="90" t="s">
        <v>14346</v>
      </c>
      <c r="E4723" s="85" t="s">
        <v>14343</v>
      </c>
      <c r="F4723" s="38"/>
      <c r="G4723" s="38" t="s">
        <v>14345</v>
      </c>
    </row>
    <row r="4724">
      <c r="B4724" s="392"/>
      <c r="C4724" s="38">
        <v>4.0</v>
      </c>
      <c r="D4724" s="90" t="s">
        <v>14347</v>
      </c>
      <c r="E4724" s="132" t="s">
        <v>9035</v>
      </c>
      <c r="F4724" s="38"/>
    </row>
    <row r="4725">
      <c r="B4725" s="38" t="s">
        <v>2276</v>
      </c>
      <c r="C4725" s="38">
        <v>1.0</v>
      </c>
      <c r="D4725" s="38" t="s">
        <v>13197</v>
      </c>
      <c r="E4725" s="38" t="s">
        <v>11171</v>
      </c>
      <c r="F4725" s="38" t="s">
        <v>14348</v>
      </c>
    </row>
    <row r="4726">
      <c r="B4726" s="392" t="s">
        <v>14349</v>
      </c>
      <c r="C4726" s="38" t="s">
        <v>14350</v>
      </c>
      <c r="D4726" s="44"/>
      <c r="E4726" s="38" t="s">
        <v>11171</v>
      </c>
      <c r="F4726" s="38" t="s">
        <v>14348</v>
      </c>
    </row>
    <row r="4727">
      <c r="B4727" s="480" t="s">
        <v>14351</v>
      </c>
      <c r="C4727" s="38" t="s">
        <v>14352</v>
      </c>
      <c r="D4727" s="90" t="s">
        <v>14353</v>
      </c>
      <c r="E4727" s="38" t="s">
        <v>11171</v>
      </c>
      <c r="F4727" s="38" t="s">
        <v>14354</v>
      </c>
    </row>
    <row r="4728">
      <c r="B4728" s="392" t="s">
        <v>14355</v>
      </c>
      <c r="C4728" s="38" t="s">
        <v>14356</v>
      </c>
      <c r="D4728" s="90" t="s">
        <v>14357</v>
      </c>
      <c r="E4728" s="38" t="s">
        <v>11171</v>
      </c>
      <c r="F4728" s="38" t="s">
        <v>14354</v>
      </c>
    </row>
    <row r="4729">
      <c r="B4729" s="392" t="s">
        <v>14358</v>
      </c>
      <c r="C4729" s="38"/>
      <c r="D4729" s="90" t="s">
        <v>14359</v>
      </c>
      <c r="E4729" s="38" t="s">
        <v>1017</v>
      </c>
      <c r="F4729" s="38" t="s">
        <v>14159</v>
      </c>
    </row>
    <row r="4730">
      <c r="B4730" s="392" t="s">
        <v>14360</v>
      </c>
      <c r="C4730" s="38" t="s">
        <v>14361</v>
      </c>
      <c r="D4730" s="90"/>
      <c r="E4730" s="38" t="s">
        <v>11831</v>
      </c>
      <c r="F4730" s="38" t="s">
        <v>14341</v>
      </c>
    </row>
    <row r="4731">
      <c r="B4731" s="392" t="s">
        <v>183</v>
      </c>
      <c r="C4731" s="38">
        <v>2.0</v>
      </c>
      <c r="D4731" s="90" t="s">
        <v>6887</v>
      </c>
      <c r="E4731" s="38" t="s">
        <v>1680</v>
      </c>
      <c r="F4731" s="38" t="s">
        <v>14182</v>
      </c>
    </row>
    <row r="4732">
      <c r="B4732" s="392" t="s">
        <v>170</v>
      </c>
      <c r="C4732" s="38">
        <v>2.0</v>
      </c>
      <c r="D4732" s="90" t="s">
        <v>6334</v>
      </c>
      <c r="E4732" s="38" t="s">
        <v>325</v>
      </c>
      <c r="F4732" s="38" t="s">
        <v>14362</v>
      </c>
    </row>
    <row r="4733">
      <c r="B4733" s="392" t="s">
        <v>166</v>
      </c>
      <c r="C4733" s="38">
        <v>2.0</v>
      </c>
      <c r="D4733" s="90" t="s">
        <v>6334</v>
      </c>
      <c r="E4733" s="38" t="s">
        <v>325</v>
      </c>
      <c r="F4733" s="38" t="s">
        <v>14362</v>
      </c>
    </row>
    <row r="4734">
      <c r="B4734" s="392" t="s">
        <v>333</v>
      </c>
      <c r="C4734" s="38">
        <v>4.0</v>
      </c>
      <c r="D4734" s="90" t="s">
        <v>6334</v>
      </c>
      <c r="E4734" s="38" t="s">
        <v>325</v>
      </c>
      <c r="F4734" s="38" t="s">
        <v>14363</v>
      </c>
    </row>
    <row r="4735">
      <c r="A4735" s="65">
        <v>45173.0</v>
      </c>
      <c r="B4735" s="392"/>
      <c r="C4735" s="38"/>
      <c r="D4735" s="90" t="s">
        <v>14364</v>
      </c>
      <c r="E4735" s="38" t="s">
        <v>4865</v>
      </c>
      <c r="F4735" s="38" t="s">
        <v>144</v>
      </c>
    </row>
    <row r="4736">
      <c r="B4736" s="392" t="s">
        <v>183</v>
      </c>
      <c r="C4736" s="38">
        <v>4.0</v>
      </c>
      <c r="D4736" s="90" t="s">
        <v>14365</v>
      </c>
      <c r="E4736" s="38" t="s">
        <v>14366</v>
      </c>
      <c r="F4736" s="38" t="s">
        <v>14367</v>
      </c>
      <c r="G4736" s="353" t="s">
        <v>14368</v>
      </c>
      <c r="H4736" s="489" t="s">
        <v>14369</v>
      </c>
    </row>
    <row r="4737">
      <c r="B4737" s="47"/>
      <c r="C4737" s="47"/>
      <c r="D4737" s="47"/>
      <c r="E4737" s="38" t="s">
        <v>14366</v>
      </c>
      <c r="F4737" s="38" t="s">
        <v>14370</v>
      </c>
      <c r="G4737" s="38" t="s">
        <v>14371</v>
      </c>
      <c r="H4737" s="4"/>
    </row>
    <row r="4739">
      <c r="B4739" s="392" t="s">
        <v>22</v>
      </c>
      <c r="C4739" s="38">
        <v>12.0</v>
      </c>
      <c r="D4739" s="90" t="s">
        <v>14372</v>
      </c>
      <c r="E4739" s="38" t="s">
        <v>1098</v>
      </c>
      <c r="F4739" s="38" t="s">
        <v>14373</v>
      </c>
    </row>
    <row r="4740">
      <c r="B4740" s="392" t="s">
        <v>982</v>
      </c>
      <c r="C4740" s="38">
        <v>4.0</v>
      </c>
      <c r="D4740" s="90" t="s">
        <v>630</v>
      </c>
      <c r="E4740" s="38" t="s">
        <v>1098</v>
      </c>
      <c r="F4740" s="38" t="s">
        <v>14374</v>
      </c>
    </row>
    <row r="4741">
      <c r="B4741" s="38" t="s">
        <v>77</v>
      </c>
      <c r="C4741" s="38">
        <v>2.0</v>
      </c>
      <c r="D4741" s="38" t="s">
        <v>433</v>
      </c>
      <c r="E4741" s="132" t="s">
        <v>14375</v>
      </c>
      <c r="F4741" s="40" t="s">
        <v>14376</v>
      </c>
    </row>
    <row r="4742">
      <c r="B4742" s="38" t="s">
        <v>25</v>
      </c>
      <c r="C4742" s="38">
        <v>4.0</v>
      </c>
      <c r="D4742" s="38" t="s">
        <v>1964</v>
      </c>
      <c r="E4742" s="132" t="s">
        <v>14377</v>
      </c>
      <c r="F4742" s="38" t="s">
        <v>13660</v>
      </c>
    </row>
    <row r="4743">
      <c r="B4743" s="392" t="s">
        <v>77</v>
      </c>
      <c r="C4743" s="38">
        <v>4.0</v>
      </c>
      <c r="D4743" s="90" t="s">
        <v>27</v>
      </c>
      <c r="E4743" s="38" t="s">
        <v>14378</v>
      </c>
      <c r="F4743" s="38" t="s">
        <v>14379</v>
      </c>
    </row>
    <row r="4744">
      <c r="B4744" s="392" t="s">
        <v>25</v>
      </c>
      <c r="C4744" s="38">
        <v>4.0</v>
      </c>
      <c r="D4744" s="38" t="s">
        <v>1964</v>
      </c>
      <c r="E4744" s="132" t="s">
        <v>8767</v>
      </c>
      <c r="F4744" s="38" t="s">
        <v>14380</v>
      </c>
    </row>
    <row r="4745">
      <c r="B4745" s="392" t="s">
        <v>25</v>
      </c>
      <c r="C4745" s="38">
        <v>4.0</v>
      </c>
      <c r="D4745" s="38" t="s">
        <v>1964</v>
      </c>
      <c r="E4745" s="132" t="s">
        <v>14381</v>
      </c>
      <c r="F4745" s="38" t="s">
        <v>14379</v>
      </c>
    </row>
    <row r="4746">
      <c r="B4746" s="392" t="s">
        <v>25</v>
      </c>
      <c r="C4746" s="38">
        <v>4.0</v>
      </c>
      <c r="D4746" s="38" t="s">
        <v>1964</v>
      </c>
      <c r="E4746" s="38" t="s">
        <v>14382</v>
      </c>
      <c r="F4746" s="38" t="s">
        <v>14383</v>
      </c>
    </row>
    <row r="4747">
      <c r="B4747" s="38"/>
      <c r="C4747" s="38"/>
      <c r="D4747" s="90"/>
      <c r="E4747" s="38" t="s">
        <v>4762</v>
      </c>
      <c r="F4747" s="38" t="s">
        <v>14384</v>
      </c>
      <c r="G4747" s="38" t="s">
        <v>14256</v>
      </c>
    </row>
    <row r="4748">
      <c r="B4748" s="38"/>
      <c r="C4748" s="38"/>
      <c r="D4748" s="90"/>
      <c r="E4748" s="38" t="s">
        <v>4762</v>
      </c>
      <c r="F4748" s="38" t="s">
        <v>14385</v>
      </c>
      <c r="G4748" s="38" t="s">
        <v>14256</v>
      </c>
    </row>
    <row r="4749">
      <c r="B4749" s="38"/>
      <c r="C4749" s="38"/>
      <c r="D4749" s="38" t="s">
        <v>14386</v>
      </c>
      <c r="E4749" s="38" t="s">
        <v>4762</v>
      </c>
      <c r="F4749" s="38" t="s">
        <v>14387</v>
      </c>
      <c r="G4749" s="38" t="s">
        <v>14256</v>
      </c>
    </row>
    <row r="4750">
      <c r="B4750" s="38"/>
      <c r="C4750" s="38"/>
      <c r="D4750" s="90" t="s">
        <v>14388</v>
      </c>
      <c r="E4750" s="38" t="s">
        <v>4762</v>
      </c>
      <c r="F4750" s="38" t="s">
        <v>14389</v>
      </c>
      <c r="G4750" s="38" t="s">
        <v>14256</v>
      </c>
    </row>
    <row r="4751">
      <c r="A4751" s="8"/>
      <c r="B4751" s="392" t="s">
        <v>1010</v>
      </c>
      <c r="C4751" s="38">
        <v>2.0</v>
      </c>
      <c r="D4751" s="90" t="s">
        <v>1109</v>
      </c>
      <c r="E4751" s="85" t="s">
        <v>14390</v>
      </c>
      <c r="F4751" s="38" t="s">
        <v>4974</v>
      </c>
    </row>
    <row r="4752">
      <c r="B4752" s="392" t="s">
        <v>41</v>
      </c>
      <c r="C4752" s="38">
        <v>4.0</v>
      </c>
      <c r="D4752" s="90" t="s">
        <v>2017</v>
      </c>
      <c r="E4752" s="38" t="s">
        <v>13498</v>
      </c>
      <c r="F4752" s="38" t="s">
        <v>14391</v>
      </c>
    </row>
    <row r="4753">
      <c r="B4753" s="392" t="s">
        <v>1400</v>
      </c>
      <c r="C4753" s="38">
        <v>4.0</v>
      </c>
      <c r="D4753" s="90" t="s">
        <v>2121</v>
      </c>
      <c r="E4753" s="38" t="s">
        <v>13498</v>
      </c>
      <c r="F4753" s="38" t="s">
        <v>14391</v>
      </c>
    </row>
    <row r="4754">
      <c r="B4754" s="392" t="s">
        <v>25</v>
      </c>
      <c r="C4754" s="38">
        <v>4.0</v>
      </c>
      <c r="D4754" s="90" t="s">
        <v>2121</v>
      </c>
      <c r="E4754" s="38" t="s">
        <v>13498</v>
      </c>
      <c r="F4754" s="38" t="s">
        <v>14391</v>
      </c>
    </row>
    <row r="4755">
      <c r="A4755" s="5"/>
      <c r="B4755" s="38" t="s">
        <v>88</v>
      </c>
      <c r="C4755" s="38">
        <v>2.0</v>
      </c>
      <c r="D4755" s="38" t="s">
        <v>14392</v>
      </c>
      <c r="E4755" s="132" t="s">
        <v>14393</v>
      </c>
      <c r="F4755" s="38" t="s">
        <v>14394</v>
      </c>
    </row>
    <row r="4756">
      <c r="A4756" s="5" t="s">
        <v>14395</v>
      </c>
      <c r="B4756" s="38" t="s">
        <v>28</v>
      </c>
      <c r="C4756" s="38">
        <v>4.0</v>
      </c>
      <c r="D4756" s="38" t="s">
        <v>402</v>
      </c>
      <c r="E4756" s="38" t="s">
        <v>13247</v>
      </c>
      <c r="F4756" s="38" t="s">
        <v>773</v>
      </c>
    </row>
    <row r="4757">
      <c r="B4757" s="392" t="s">
        <v>439</v>
      </c>
      <c r="C4757" s="38">
        <v>1.0</v>
      </c>
      <c r="D4757" s="90" t="s">
        <v>14396</v>
      </c>
      <c r="E4757" s="38" t="s">
        <v>418</v>
      </c>
      <c r="F4757" s="38" t="s">
        <v>14182</v>
      </c>
    </row>
    <row r="4758">
      <c r="B4758" s="38" t="s">
        <v>177</v>
      </c>
      <c r="C4758" s="38">
        <v>4.0</v>
      </c>
      <c r="D4758" s="38" t="s">
        <v>14397</v>
      </c>
      <c r="E4758" s="132" t="s">
        <v>974</v>
      </c>
      <c r="F4758" s="38" t="s">
        <v>14398</v>
      </c>
    </row>
    <row r="4759">
      <c r="B4759" s="392" t="s">
        <v>88</v>
      </c>
      <c r="C4759" s="38">
        <v>2.0</v>
      </c>
      <c r="D4759" s="90" t="s">
        <v>12008</v>
      </c>
      <c r="E4759" s="38" t="s">
        <v>6605</v>
      </c>
      <c r="F4759" s="38" t="s">
        <v>14399</v>
      </c>
    </row>
    <row r="4760">
      <c r="B4760" s="392" t="s">
        <v>1010</v>
      </c>
      <c r="C4760" s="38">
        <v>2.0</v>
      </c>
      <c r="D4760" s="90" t="s">
        <v>1278</v>
      </c>
      <c r="E4760" s="38" t="s">
        <v>11606</v>
      </c>
      <c r="F4760" s="38" t="s">
        <v>14400</v>
      </c>
    </row>
    <row r="4761">
      <c r="B4761" s="392" t="s">
        <v>22</v>
      </c>
      <c r="C4761" s="38">
        <v>12.0</v>
      </c>
      <c r="D4761" s="90" t="s">
        <v>14401</v>
      </c>
      <c r="E4761" s="38" t="s">
        <v>1098</v>
      </c>
      <c r="F4761" s="38" t="s">
        <v>14402</v>
      </c>
    </row>
    <row r="4762">
      <c r="B4762" s="392" t="s">
        <v>2108</v>
      </c>
      <c r="C4762" s="38">
        <v>4.0</v>
      </c>
      <c r="D4762" s="90" t="s">
        <v>14403</v>
      </c>
      <c r="E4762" s="38" t="s">
        <v>1098</v>
      </c>
      <c r="F4762" s="38" t="s">
        <v>14404</v>
      </c>
    </row>
    <row r="4763">
      <c r="B4763" s="392" t="s">
        <v>140</v>
      </c>
      <c r="C4763" s="38">
        <v>2.0</v>
      </c>
      <c r="D4763" s="90" t="s">
        <v>9288</v>
      </c>
      <c r="E4763" s="38" t="s">
        <v>14405</v>
      </c>
      <c r="F4763" s="38" t="s">
        <v>14406</v>
      </c>
      <c r="G4763" s="38" t="s">
        <v>14407</v>
      </c>
    </row>
    <row r="4764">
      <c r="B4764" s="392"/>
      <c r="C4764" s="38"/>
      <c r="D4764" s="90"/>
      <c r="E4764" s="38" t="s">
        <v>14405</v>
      </c>
      <c r="F4764" s="38"/>
      <c r="G4764" s="38" t="s">
        <v>14407</v>
      </c>
    </row>
    <row r="4765">
      <c r="B4765" s="392" t="s">
        <v>549</v>
      </c>
      <c r="C4765" s="38">
        <v>4.0</v>
      </c>
      <c r="D4765" s="90" t="s">
        <v>14408</v>
      </c>
      <c r="E4765" s="38" t="s">
        <v>2699</v>
      </c>
      <c r="F4765" s="38" t="s">
        <v>14409</v>
      </c>
    </row>
    <row r="4766">
      <c r="B4766" s="392"/>
      <c r="C4766" s="38">
        <v>2.0</v>
      </c>
      <c r="D4766" s="90" t="s">
        <v>14410</v>
      </c>
      <c r="E4766" s="38" t="s">
        <v>14411</v>
      </c>
      <c r="F4766" s="38" t="s">
        <v>14412</v>
      </c>
      <c r="G4766" s="38" t="s">
        <v>14407</v>
      </c>
    </row>
    <row r="4767">
      <c r="B4767" s="392"/>
      <c r="C4767" s="38"/>
      <c r="D4767" s="90" t="s">
        <v>14413</v>
      </c>
      <c r="E4767" s="38" t="s">
        <v>1141</v>
      </c>
      <c r="F4767" s="38" t="s">
        <v>2703</v>
      </c>
      <c r="G4767" s="38" t="s">
        <v>14226</v>
      </c>
    </row>
    <row r="4768">
      <c r="B4768" s="392"/>
      <c r="C4768" s="38"/>
      <c r="D4768" s="90" t="s">
        <v>14414</v>
      </c>
      <c r="E4768" s="38" t="s">
        <v>1141</v>
      </c>
      <c r="F4768" s="38" t="s">
        <v>14415</v>
      </c>
      <c r="G4768" s="38" t="s">
        <v>14226</v>
      </c>
    </row>
    <row r="4769">
      <c r="B4769" s="392"/>
      <c r="C4769" s="38"/>
      <c r="D4769" s="90"/>
      <c r="E4769" s="38" t="s">
        <v>1141</v>
      </c>
      <c r="F4769" s="38" t="s">
        <v>12232</v>
      </c>
      <c r="G4769" s="38" t="s">
        <v>14226</v>
      </c>
    </row>
    <row r="4770">
      <c r="B4770" s="392"/>
      <c r="C4770" s="38"/>
      <c r="D4770" s="90" t="s">
        <v>2356</v>
      </c>
      <c r="E4770" s="38" t="s">
        <v>1141</v>
      </c>
      <c r="F4770" s="38" t="s">
        <v>14416</v>
      </c>
      <c r="G4770" s="38" t="s">
        <v>14226</v>
      </c>
    </row>
    <row r="4771">
      <c r="B4771" s="392" t="s">
        <v>58</v>
      </c>
      <c r="C4771" s="38">
        <v>4.0</v>
      </c>
      <c r="D4771" s="90" t="s">
        <v>2489</v>
      </c>
      <c r="E4771" s="101" t="s">
        <v>14417</v>
      </c>
      <c r="F4771" s="38" t="s">
        <v>14418</v>
      </c>
    </row>
    <row r="4772">
      <c r="B4772" s="392" t="s">
        <v>789</v>
      </c>
      <c r="C4772" s="38">
        <v>1.0</v>
      </c>
      <c r="D4772" s="90" t="s">
        <v>1094</v>
      </c>
      <c r="E4772" s="38" t="s">
        <v>325</v>
      </c>
      <c r="F4772" s="38" t="s">
        <v>14402</v>
      </c>
    </row>
    <row r="4773">
      <c r="A4773" s="38"/>
      <c r="B4773" s="392" t="s">
        <v>333</v>
      </c>
      <c r="C4773" s="38">
        <v>4.0</v>
      </c>
      <c r="D4773" s="90" t="s">
        <v>545</v>
      </c>
      <c r="E4773" s="39" t="s">
        <v>14419</v>
      </c>
      <c r="F4773" s="38" t="s">
        <v>14420</v>
      </c>
    </row>
    <row r="4774">
      <c r="A4774" s="38" t="s">
        <v>1113</v>
      </c>
      <c r="B4774" s="392" t="s">
        <v>333</v>
      </c>
      <c r="C4774" s="38">
        <v>4.0</v>
      </c>
      <c r="D4774" s="90" t="s">
        <v>672</v>
      </c>
      <c r="E4774" s="38" t="s">
        <v>4210</v>
      </c>
      <c r="F4774" s="38" t="s">
        <v>14421</v>
      </c>
    </row>
    <row r="4775">
      <c r="A4775" s="240" t="s">
        <v>1113</v>
      </c>
      <c r="B4775" s="38" t="s">
        <v>246</v>
      </c>
      <c r="C4775" s="38">
        <v>4.0</v>
      </c>
      <c r="D4775" s="132" t="s">
        <v>6571</v>
      </c>
      <c r="E4775" s="39" t="s">
        <v>14422</v>
      </c>
      <c r="F4775" s="38" t="s">
        <v>14423</v>
      </c>
    </row>
    <row r="4776">
      <c r="A4776" s="38" t="s">
        <v>14424</v>
      </c>
      <c r="B4776" s="38" t="s">
        <v>25</v>
      </c>
      <c r="C4776" s="38">
        <v>4.0</v>
      </c>
      <c r="D4776" s="132" t="s">
        <v>2489</v>
      </c>
      <c r="E4776" s="39" t="s">
        <v>14425</v>
      </c>
      <c r="F4776" s="38"/>
    </row>
    <row r="4777">
      <c r="A4777" s="38" t="s">
        <v>1113</v>
      </c>
      <c r="B4777" s="38" t="s">
        <v>25</v>
      </c>
      <c r="C4777" s="38">
        <v>4.0</v>
      </c>
      <c r="D4777" s="132" t="s">
        <v>289</v>
      </c>
      <c r="E4777" s="39" t="s">
        <v>7330</v>
      </c>
      <c r="F4777" s="38" t="s">
        <v>14426</v>
      </c>
    </row>
    <row r="4778">
      <c r="A4778" s="38" t="s">
        <v>1113</v>
      </c>
      <c r="B4778" s="38" t="s">
        <v>28</v>
      </c>
      <c r="C4778" s="38">
        <v>4.0</v>
      </c>
      <c r="D4778" s="38" t="s">
        <v>14427</v>
      </c>
      <c r="E4778" s="38" t="s">
        <v>14428</v>
      </c>
      <c r="F4778" s="38" t="s">
        <v>14429</v>
      </c>
      <c r="G4778" s="38" t="s">
        <v>14430</v>
      </c>
    </row>
    <row r="4779">
      <c r="A4779" s="38" t="s">
        <v>1113</v>
      </c>
      <c r="B4779" s="38" t="s">
        <v>416</v>
      </c>
      <c r="C4779" s="38">
        <v>4.0</v>
      </c>
      <c r="D4779" s="38" t="s">
        <v>14431</v>
      </c>
      <c r="E4779" s="38" t="s">
        <v>14432</v>
      </c>
      <c r="F4779" s="38" t="s">
        <v>14433</v>
      </c>
      <c r="G4779" s="38" t="s">
        <v>14434</v>
      </c>
    </row>
    <row r="4780">
      <c r="A4780" s="38" t="s">
        <v>1113</v>
      </c>
      <c r="B4780" s="38" t="s">
        <v>219</v>
      </c>
      <c r="C4780" s="38">
        <v>4.0</v>
      </c>
      <c r="D4780" s="38" t="s">
        <v>14427</v>
      </c>
      <c r="E4780" s="132" t="s">
        <v>12780</v>
      </c>
      <c r="F4780" s="38" t="s">
        <v>14435</v>
      </c>
    </row>
    <row r="4781">
      <c r="A4781" s="38"/>
      <c r="B4781" s="38" t="s">
        <v>58</v>
      </c>
      <c r="C4781" s="38">
        <v>4.0</v>
      </c>
      <c r="D4781" s="38" t="s">
        <v>14427</v>
      </c>
      <c r="E4781" s="132" t="s">
        <v>14436</v>
      </c>
      <c r="F4781" s="38" t="s">
        <v>14437</v>
      </c>
    </row>
    <row r="4782">
      <c r="A4782" s="38"/>
      <c r="B4782" s="38" t="s">
        <v>58</v>
      </c>
      <c r="C4782" s="38">
        <v>1.0</v>
      </c>
      <c r="D4782" s="38" t="s">
        <v>14438</v>
      </c>
      <c r="E4782" s="132" t="s">
        <v>14439</v>
      </c>
      <c r="F4782" s="38" t="s">
        <v>14440</v>
      </c>
    </row>
    <row r="4783">
      <c r="A4783" s="4" t="s">
        <v>1113</v>
      </c>
      <c r="B4783" s="38" t="s">
        <v>25</v>
      </c>
      <c r="C4783" s="38">
        <v>4.0</v>
      </c>
      <c r="D4783" s="38" t="s">
        <v>14427</v>
      </c>
      <c r="E4783" s="38" t="s">
        <v>14441</v>
      </c>
      <c r="F4783" s="38" t="s">
        <v>14442</v>
      </c>
    </row>
    <row r="4784">
      <c r="A4784" s="47" t="s">
        <v>1113</v>
      </c>
      <c r="B4784" s="38" t="s">
        <v>512</v>
      </c>
      <c r="C4784" s="38">
        <v>2.0</v>
      </c>
      <c r="D4784" s="38" t="s">
        <v>2121</v>
      </c>
      <c r="E4784" s="38" t="s">
        <v>4280</v>
      </c>
      <c r="F4784" s="38" t="s">
        <v>1261</v>
      </c>
      <c r="G4784" s="38" t="s">
        <v>12015</v>
      </c>
    </row>
    <row r="4785">
      <c r="A4785" s="47"/>
      <c r="B4785" s="38"/>
      <c r="C4785" s="38"/>
      <c r="D4785" s="38" t="s">
        <v>14443</v>
      </c>
      <c r="E4785" s="38" t="s">
        <v>4280</v>
      </c>
      <c r="F4785" s="38" t="s">
        <v>14444</v>
      </c>
      <c r="G4785" s="38" t="s">
        <v>12015</v>
      </c>
    </row>
    <row r="4786">
      <c r="A4786" s="4" t="s">
        <v>1113</v>
      </c>
      <c r="B4786" s="38" t="s">
        <v>128</v>
      </c>
      <c r="C4786" s="38">
        <v>4.0</v>
      </c>
      <c r="D4786" s="38" t="s">
        <v>2171</v>
      </c>
      <c r="E4786" s="132" t="s">
        <v>14445</v>
      </c>
      <c r="F4786" s="38" t="s">
        <v>14446</v>
      </c>
    </row>
    <row r="4787">
      <c r="A4787" s="4" t="s">
        <v>1113</v>
      </c>
      <c r="B4787" s="38" t="s">
        <v>85</v>
      </c>
      <c r="C4787" s="38">
        <v>2.0</v>
      </c>
      <c r="D4787" s="38" t="s">
        <v>50</v>
      </c>
      <c r="E4787" s="132" t="s">
        <v>14447</v>
      </c>
      <c r="F4787" s="38" t="s">
        <v>9773</v>
      </c>
      <c r="G4787" s="44"/>
    </row>
    <row r="4788">
      <c r="A4788" s="7">
        <v>45226.0</v>
      </c>
      <c r="B4788" s="38"/>
      <c r="C4788" s="38"/>
      <c r="D4788" s="38"/>
      <c r="E4788" s="132" t="s">
        <v>9397</v>
      </c>
      <c r="F4788" s="38" t="s">
        <v>14448</v>
      </c>
      <c r="G4788" s="44"/>
    </row>
    <row r="4789">
      <c r="A4789" s="38" t="s">
        <v>14449</v>
      </c>
      <c r="B4789" s="38" t="s">
        <v>14450</v>
      </c>
      <c r="C4789" s="38" t="s">
        <v>11474</v>
      </c>
      <c r="D4789" s="38" t="s">
        <v>14451</v>
      </c>
      <c r="E4789" s="132" t="s">
        <v>9397</v>
      </c>
      <c r="F4789" s="38"/>
      <c r="G4789" s="44"/>
    </row>
    <row r="4790">
      <c r="A4790" s="38" t="s">
        <v>1113</v>
      </c>
      <c r="B4790" s="38" t="s">
        <v>122</v>
      </c>
      <c r="C4790" s="38">
        <v>4.0</v>
      </c>
      <c r="D4790" s="38" t="s">
        <v>9372</v>
      </c>
      <c r="E4790" s="132" t="s">
        <v>9907</v>
      </c>
      <c r="F4790" s="38" t="s">
        <v>14452</v>
      </c>
      <c r="G4790" s="489" t="s">
        <v>14453</v>
      </c>
    </row>
    <row r="4791">
      <c r="A4791" s="38" t="s">
        <v>1113</v>
      </c>
      <c r="B4791" s="38" t="s">
        <v>271</v>
      </c>
      <c r="C4791" s="38">
        <v>2.0</v>
      </c>
      <c r="D4791" s="38" t="s">
        <v>14454</v>
      </c>
      <c r="E4791" s="132" t="s">
        <v>14455</v>
      </c>
      <c r="F4791" s="38" t="s">
        <v>14456</v>
      </c>
    </row>
    <row r="4792">
      <c r="A4792" s="38" t="s">
        <v>1113</v>
      </c>
      <c r="B4792" s="38" t="s">
        <v>261</v>
      </c>
      <c r="C4792" s="38">
        <v>4.0</v>
      </c>
      <c r="D4792" s="38" t="s">
        <v>2795</v>
      </c>
      <c r="E4792" s="132" t="s">
        <v>14457</v>
      </c>
      <c r="F4792" s="38" t="s">
        <v>14458</v>
      </c>
    </row>
    <row r="4793">
      <c r="A4793" s="38" t="s">
        <v>1113</v>
      </c>
      <c r="B4793" s="38" t="s">
        <v>22</v>
      </c>
      <c r="C4793" s="38">
        <v>4.0</v>
      </c>
      <c r="D4793" s="38" t="s">
        <v>2121</v>
      </c>
      <c r="E4793" s="38" t="s">
        <v>14459</v>
      </c>
      <c r="F4793" s="38" t="s">
        <v>14460</v>
      </c>
    </row>
    <row r="4794">
      <c r="A4794" s="38" t="s">
        <v>1113</v>
      </c>
      <c r="B4794" s="40" t="s">
        <v>77</v>
      </c>
      <c r="C4794" s="57">
        <v>2.0</v>
      </c>
      <c r="D4794" s="38" t="s">
        <v>6192</v>
      </c>
      <c r="E4794" s="38" t="s">
        <v>14461</v>
      </c>
      <c r="F4794" s="38" t="s">
        <v>14376</v>
      </c>
    </row>
    <row r="4795">
      <c r="A4795" s="38" t="s">
        <v>1113</v>
      </c>
      <c r="B4795" s="38" t="s">
        <v>22</v>
      </c>
      <c r="C4795" s="38">
        <v>4.0</v>
      </c>
      <c r="D4795" s="40" t="s">
        <v>14462</v>
      </c>
      <c r="E4795" s="40" t="s">
        <v>14463</v>
      </c>
      <c r="F4795" s="38" t="s">
        <v>14458</v>
      </c>
    </row>
    <row r="4796">
      <c r="A4796" s="38" t="s">
        <v>1113</v>
      </c>
      <c r="B4796" s="38" t="s">
        <v>22</v>
      </c>
      <c r="C4796" s="38">
        <v>2.0</v>
      </c>
      <c r="D4796" s="40" t="s">
        <v>14464</v>
      </c>
      <c r="E4796" s="40" t="s">
        <v>11904</v>
      </c>
      <c r="F4796" s="38" t="s">
        <v>14465</v>
      </c>
    </row>
    <row r="4797">
      <c r="A4797" s="38" t="s">
        <v>1113</v>
      </c>
      <c r="B4797" s="38" t="s">
        <v>339</v>
      </c>
      <c r="C4797" s="38">
        <v>4.0</v>
      </c>
      <c r="D4797" s="38" t="s">
        <v>545</v>
      </c>
      <c r="E4797" s="132" t="s">
        <v>14466</v>
      </c>
      <c r="F4797" s="38" t="s">
        <v>14467</v>
      </c>
    </row>
    <row r="4798">
      <c r="A4798" s="38" t="s">
        <v>1113</v>
      </c>
      <c r="B4798" s="38" t="s">
        <v>430</v>
      </c>
      <c r="C4798" s="38">
        <v>4.0</v>
      </c>
      <c r="D4798" s="38" t="s">
        <v>14462</v>
      </c>
      <c r="E4798" s="132" t="s">
        <v>14468</v>
      </c>
      <c r="F4798" s="38" t="s">
        <v>14467</v>
      </c>
    </row>
    <row r="4799">
      <c r="A4799" s="38" t="s">
        <v>1113</v>
      </c>
      <c r="B4799" s="38" t="s">
        <v>205</v>
      </c>
      <c r="C4799" s="38">
        <v>4.0</v>
      </c>
      <c r="D4799" s="38" t="s">
        <v>433</v>
      </c>
      <c r="E4799" s="132" t="s">
        <v>14469</v>
      </c>
      <c r="F4799" s="38" t="s">
        <v>14467</v>
      </c>
    </row>
    <row r="4800">
      <c r="A4800" s="38" t="s">
        <v>1113</v>
      </c>
      <c r="B4800" s="38" t="s">
        <v>339</v>
      </c>
      <c r="C4800" s="38">
        <v>4.0</v>
      </c>
      <c r="D4800" s="38" t="s">
        <v>427</v>
      </c>
      <c r="E4800" s="38" t="s">
        <v>14470</v>
      </c>
      <c r="F4800" s="38" t="s">
        <v>14471</v>
      </c>
      <c r="G4800" s="504" t="s">
        <v>14472</v>
      </c>
    </row>
    <row r="4801">
      <c r="A4801" s="38"/>
      <c r="B4801" s="38" t="s">
        <v>2035</v>
      </c>
      <c r="C4801" s="38">
        <v>4.0</v>
      </c>
      <c r="D4801" s="555" t="s">
        <v>14473</v>
      </c>
      <c r="E4801" s="132" t="s">
        <v>14474</v>
      </c>
      <c r="F4801" s="38" t="s">
        <v>14475</v>
      </c>
      <c r="G4801" s="38" t="s">
        <v>14476</v>
      </c>
    </row>
    <row r="4802">
      <c r="A4802" s="38" t="s">
        <v>1113</v>
      </c>
      <c r="B4802" s="38" t="s">
        <v>58</v>
      </c>
      <c r="C4802" s="38">
        <v>4.0</v>
      </c>
      <c r="D4802" s="555" t="s">
        <v>14477</v>
      </c>
      <c r="E4802" s="132" t="s">
        <v>14474</v>
      </c>
      <c r="F4802" s="38" t="s">
        <v>14478</v>
      </c>
      <c r="G4802" s="44"/>
    </row>
    <row r="4803">
      <c r="A4803" s="38" t="s">
        <v>1113</v>
      </c>
      <c r="B4803" s="392" t="s">
        <v>875</v>
      </c>
      <c r="C4803" s="38">
        <v>4.0</v>
      </c>
      <c r="D4803" s="90" t="s">
        <v>9924</v>
      </c>
      <c r="E4803" s="38" t="s">
        <v>14479</v>
      </c>
      <c r="F4803" s="38" t="s">
        <v>14480</v>
      </c>
      <c r="G4803" s="504" t="s">
        <v>14481</v>
      </c>
    </row>
    <row r="4804">
      <c r="A4804" s="38"/>
      <c r="B4804" s="392"/>
      <c r="C4804" s="38"/>
      <c r="D4804" s="38" t="s">
        <v>13900</v>
      </c>
      <c r="E4804" s="38" t="s">
        <v>14479</v>
      </c>
      <c r="F4804" s="38" t="s">
        <v>175</v>
      </c>
      <c r="G4804" s="38" t="s">
        <v>144</v>
      </c>
    </row>
    <row r="4805">
      <c r="A4805" s="38" t="s">
        <v>1113</v>
      </c>
      <c r="B4805" s="38" t="s">
        <v>789</v>
      </c>
      <c r="C4805" s="38">
        <v>4.0</v>
      </c>
      <c r="D4805" s="90" t="s">
        <v>2219</v>
      </c>
      <c r="E4805" s="132" t="s">
        <v>6938</v>
      </c>
      <c r="F4805" s="38" t="s">
        <v>14482</v>
      </c>
      <c r="G4805" s="44"/>
    </row>
    <row r="4806">
      <c r="A4806" s="38" t="s">
        <v>1113</v>
      </c>
      <c r="B4806" s="38" t="s">
        <v>1513</v>
      </c>
      <c r="C4806" s="38">
        <v>4.0</v>
      </c>
      <c r="D4806" s="38" t="s">
        <v>14427</v>
      </c>
      <c r="E4806" s="132" t="s">
        <v>14483</v>
      </c>
      <c r="F4806" s="38" t="s">
        <v>14484</v>
      </c>
      <c r="G4806" s="504" t="s">
        <v>14485</v>
      </c>
    </row>
    <row r="4807">
      <c r="A4807" s="38" t="s">
        <v>1113</v>
      </c>
      <c r="B4807" s="38" t="s">
        <v>266</v>
      </c>
      <c r="C4807" s="38">
        <v>4.0</v>
      </c>
      <c r="D4807" s="38" t="s">
        <v>14486</v>
      </c>
      <c r="E4807" s="132" t="s">
        <v>14487</v>
      </c>
      <c r="F4807" s="38" t="s">
        <v>14488</v>
      </c>
      <c r="G4807" s="44"/>
    </row>
    <row r="4808">
      <c r="A4808" s="38" t="s">
        <v>1113</v>
      </c>
      <c r="B4808" s="38" t="s">
        <v>354</v>
      </c>
      <c r="C4808" s="38">
        <v>4.0</v>
      </c>
      <c r="D4808" s="38" t="s">
        <v>2171</v>
      </c>
      <c r="E4808" s="132" t="s">
        <v>14489</v>
      </c>
      <c r="F4808" s="38" t="s">
        <v>14490</v>
      </c>
      <c r="G4808" s="44"/>
    </row>
    <row r="4809">
      <c r="A4809" s="38" t="s">
        <v>1113</v>
      </c>
      <c r="B4809" s="38" t="s">
        <v>271</v>
      </c>
      <c r="C4809" s="38">
        <v>4.0</v>
      </c>
      <c r="D4809" s="38" t="s">
        <v>291</v>
      </c>
      <c r="E4809" s="59" t="s">
        <v>14491</v>
      </c>
      <c r="F4809" s="38" t="s">
        <v>14376</v>
      </c>
    </row>
    <row r="4810">
      <c r="A4810" s="38" t="s">
        <v>1113</v>
      </c>
      <c r="B4810" s="38" t="s">
        <v>2728</v>
      </c>
      <c r="C4810" s="38">
        <v>4.0</v>
      </c>
      <c r="D4810" s="38" t="s">
        <v>14492</v>
      </c>
      <c r="E4810" s="132" t="s">
        <v>14493</v>
      </c>
      <c r="F4810" s="38" t="s">
        <v>14494</v>
      </c>
      <c r="G4810" s="1" t="s">
        <v>14495</v>
      </c>
    </row>
    <row r="4811">
      <c r="A4811" s="38" t="s">
        <v>1113</v>
      </c>
      <c r="B4811" s="38" t="s">
        <v>85</v>
      </c>
      <c r="C4811" s="38">
        <v>4.0</v>
      </c>
      <c r="D4811" s="38" t="s">
        <v>2171</v>
      </c>
      <c r="E4811" s="132" t="s">
        <v>9035</v>
      </c>
      <c r="F4811" s="38" t="s">
        <v>14496</v>
      </c>
    </row>
    <row r="4812">
      <c r="A4812" s="38"/>
      <c r="B4812" s="38"/>
      <c r="C4812" s="38"/>
      <c r="D4812" s="38"/>
      <c r="E4812" s="132" t="s">
        <v>9035</v>
      </c>
      <c r="F4812" s="38" t="s">
        <v>14497</v>
      </c>
    </row>
    <row r="4813">
      <c r="A4813" s="38"/>
      <c r="B4813" s="38" t="s">
        <v>14498</v>
      </c>
      <c r="C4813" s="38" t="s">
        <v>14499</v>
      </c>
      <c r="D4813" s="38"/>
      <c r="E4813" s="132" t="s">
        <v>9035</v>
      </c>
      <c r="F4813" s="38" t="s">
        <v>14500</v>
      </c>
    </row>
    <row r="4814">
      <c r="A4814" s="38"/>
      <c r="B4814" s="38" t="s">
        <v>91</v>
      </c>
      <c r="C4814" s="38">
        <v>4.0</v>
      </c>
      <c r="D4814" s="38" t="s">
        <v>50</v>
      </c>
      <c r="E4814" s="132" t="s">
        <v>14501</v>
      </c>
      <c r="F4814" s="38" t="s">
        <v>175</v>
      </c>
      <c r="G4814" s="38" t="s">
        <v>14458</v>
      </c>
    </row>
    <row r="4815">
      <c r="A4815" s="38" t="s">
        <v>1113</v>
      </c>
      <c r="B4815" s="38" t="s">
        <v>354</v>
      </c>
      <c r="C4815" s="38">
        <v>2.0</v>
      </c>
      <c r="D4815" s="38" t="s">
        <v>684</v>
      </c>
      <c r="E4815" s="132" t="s">
        <v>633</v>
      </c>
      <c r="F4815" s="38" t="s">
        <v>14502</v>
      </c>
    </row>
    <row r="4816">
      <c r="A4816" s="4" t="s">
        <v>1113</v>
      </c>
      <c r="B4816" s="38" t="s">
        <v>479</v>
      </c>
      <c r="C4816" s="38">
        <v>2.0</v>
      </c>
      <c r="D4816" s="38" t="s">
        <v>684</v>
      </c>
      <c r="E4816" s="132" t="s">
        <v>14503</v>
      </c>
      <c r="F4816" s="38" t="s">
        <v>14502</v>
      </c>
    </row>
    <row r="4817">
      <c r="A4817" s="4" t="s">
        <v>1113</v>
      </c>
      <c r="B4817" s="38" t="s">
        <v>210</v>
      </c>
      <c r="C4817" s="38">
        <v>4.0</v>
      </c>
      <c r="D4817" s="38" t="s">
        <v>9388</v>
      </c>
      <c r="E4817" s="132" t="s">
        <v>11606</v>
      </c>
      <c r="F4817" s="38" t="s">
        <v>14504</v>
      </c>
    </row>
    <row r="4818">
      <c r="A4818" s="4" t="s">
        <v>1113</v>
      </c>
      <c r="B4818" s="38" t="s">
        <v>41</v>
      </c>
      <c r="C4818" s="38">
        <v>4.0</v>
      </c>
      <c r="D4818" s="38" t="s">
        <v>14505</v>
      </c>
      <c r="E4818" s="132" t="s">
        <v>3132</v>
      </c>
      <c r="F4818" s="38" t="s">
        <v>14506</v>
      </c>
      <c r="G4818" s="38" t="s">
        <v>14507</v>
      </c>
    </row>
    <row r="4819">
      <c r="B4819" s="38" t="s">
        <v>789</v>
      </c>
      <c r="C4819" s="38">
        <v>4.0</v>
      </c>
      <c r="D4819" s="38" t="s">
        <v>672</v>
      </c>
      <c r="E4819" s="38" t="s">
        <v>325</v>
      </c>
      <c r="F4819" s="38" t="s">
        <v>14508</v>
      </c>
    </row>
    <row r="4820">
      <c r="B4820" s="38" t="s">
        <v>219</v>
      </c>
      <c r="C4820" s="38">
        <v>4.0</v>
      </c>
      <c r="D4820" s="38" t="s">
        <v>2171</v>
      </c>
      <c r="E4820" s="132" t="s">
        <v>14509</v>
      </c>
      <c r="F4820" s="38" t="s">
        <v>14510</v>
      </c>
      <c r="G4820" s="38" t="s">
        <v>14511</v>
      </c>
    </row>
    <row r="4821">
      <c r="B4821" s="38" t="s">
        <v>2333</v>
      </c>
      <c r="C4821" s="38">
        <v>4.0</v>
      </c>
      <c r="D4821" s="38" t="s">
        <v>4383</v>
      </c>
      <c r="E4821" s="132" t="s">
        <v>14509</v>
      </c>
      <c r="F4821" s="38"/>
      <c r="G4821" s="38" t="s">
        <v>14511</v>
      </c>
    </row>
    <row r="4822">
      <c r="B4822" s="38" t="s">
        <v>122</v>
      </c>
      <c r="C4822" s="38">
        <v>4.0</v>
      </c>
      <c r="D4822" s="38" t="s">
        <v>6920</v>
      </c>
      <c r="E4822" s="132" t="s">
        <v>418</v>
      </c>
      <c r="F4822" s="38" t="s">
        <v>14182</v>
      </c>
    </row>
    <row r="4823">
      <c r="B4823" s="38" t="s">
        <v>266</v>
      </c>
      <c r="C4823" s="38">
        <v>4.0</v>
      </c>
      <c r="D4823" s="38" t="s">
        <v>684</v>
      </c>
      <c r="E4823" s="132" t="s">
        <v>418</v>
      </c>
      <c r="F4823" s="38" t="s">
        <v>14182</v>
      </c>
    </row>
    <row r="4824">
      <c r="B4824" s="38" t="s">
        <v>28</v>
      </c>
      <c r="C4824" s="38">
        <v>4.0</v>
      </c>
      <c r="D4824" s="38" t="s">
        <v>545</v>
      </c>
      <c r="E4824" s="132" t="s">
        <v>4478</v>
      </c>
      <c r="F4824" s="38" t="s">
        <v>14512</v>
      </c>
      <c r="G4824" s="51" t="s">
        <v>14513</v>
      </c>
    </row>
    <row r="4825">
      <c r="B4825" s="38" t="s">
        <v>214</v>
      </c>
      <c r="C4825" s="38">
        <v>4.0</v>
      </c>
      <c r="D4825" s="38" t="s">
        <v>545</v>
      </c>
      <c r="E4825" s="38" t="s">
        <v>325</v>
      </c>
      <c r="F4825" s="38" t="s">
        <v>14514</v>
      </c>
    </row>
    <row r="4826">
      <c r="B4826" s="38" t="s">
        <v>210</v>
      </c>
      <c r="C4826" s="38">
        <v>4.0</v>
      </c>
      <c r="D4826" s="38" t="s">
        <v>545</v>
      </c>
      <c r="E4826" s="38" t="s">
        <v>325</v>
      </c>
      <c r="F4826" s="38" t="s">
        <v>14514</v>
      </c>
    </row>
    <row r="4827">
      <c r="A4827" s="4"/>
      <c r="B4827" s="38" t="s">
        <v>85</v>
      </c>
      <c r="C4827" s="38">
        <v>4.0</v>
      </c>
      <c r="D4827" s="38" t="s">
        <v>2423</v>
      </c>
      <c r="E4827" s="38" t="s">
        <v>325</v>
      </c>
      <c r="F4827" s="38" t="s">
        <v>14515</v>
      </c>
    </row>
    <row r="4828">
      <c r="A4828" s="38" t="s">
        <v>14516</v>
      </c>
      <c r="B4828" s="38" t="s">
        <v>25</v>
      </c>
      <c r="C4828" s="38">
        <v>4.0</v>
      </c>
      <c r="D4828" s="38" t="s">
        <v>1964</v>
      </c>
      <c r="E4828" s="38" t="s">
        <v>14517</v>
      </c>
      <c r="F4828" s="38" t="s">
        <v>14518</v>
      </c>
    </row>
    <row r="4829">
      <c r="A4829" s="38" t="s">
        <v>14519</v>
      </c>
      <c r="B4829" s="38" t="s">
        <v>982</v>
      </c>
      <c r="C4829" s="38">
        <v>4.0</v>
      </c>
      <c r="D4829" s="38" t="s">
        <v>14520</v>
      </c>
      <c r="E4829" s="38" t="s">
        <v>1928</v>
      </c>
      <c r="F4829" s="38" t="s">
        <v>14521</v>
      </c>
      <c r="G4829" s="38" t="s">
        <v>14522</v>
      </c>
    </row>
    <row r="4830">
      <c r="A4830" s="38"/>
      <c r="B4830" s="38"/>
      <c r="C4830" s="38"/>
      <c r="D4830" s="38" t="s">
        <v>14523</v>
      </c>
      <c r="E4830" s="38" t="s">
        <v>1928</v>
      </c>
      <c r="F4830" s="38" t="s">
        <v>14524</v>
      </c>
      <c r="G4830" s="38" t="s">
        <v>14522</v>
      </c>
    </row>
    <row r="4831">
      <c r="A4831" s="38" t="s">
        <v>14519</v>
      </c>
      <c r="B4831" s="392" t="s">
        <v>1409</v>
      </c>
      <c r="C4831" s="38">
        <v>6.0</v>
      </c>
      <c r="D4831" s="90" t="s">
        <v>14525</v>
      </c>
      <c r="E4831" s="38" t="s">
        <v>325</v>
      </c>
      <c r="F4831" s="38" t="s">
        <v>14526</v>
      </c>
    </row>
    <row r="4832">
      <c r="A4832" s="38" t="s">
        <v>14519</v>
      </c>
      <c r="B4832" s="392" t="s">
        <v>1454</v>
      </c>
      <c r="C4832" s="38">
        <v>6.0</v>
      </c>
      <c r="D4832" s="90" t="s">
        <v>14527</v>
      </c>
      <c r="E4832" s="38" t="s">
        <v>325</v>
      </c>
      <c r="F4832" s="38" t="s">
        <v>14526</v>
      </c>
    </row>
    <row r="4833">
      <c r="A4833" s="38" t="s">
        <v>14519</v>
      </c>
      <c r="B4833" s="38" t="s">
        <v>153</v>
      </c>
      <c r="C4833" s="38">
        <v>2.0</v>
      </c>
      <c r="D4833" s="38" t="s">
        <v>14528</v>
      </c>
      <c r="E4833" s="132" t="s">
        <v>3059</v>
      </c>
      <c r="F4833" s="38" t="s">
        <v>14529</v>
      </c>
    </row>
    <row r="4834">
      <c r="A4834" s="38" t="s">
        <v>14519</v>
      </c>
      <c r="B4834" s="38" t="s">
        <v>94</v>
      </c>
      <c r="C4834" s="38">
        <v>2.0</v>
      </c>
      <c r="D4834" s="38" t="s">
        <v>14530</v>
      </c>
      <c r="E4834" s="132" t="s">
        <v>6755</v>
      </c>
      <c r="F4834" s="38" t="s">
        <v>14529</v>
      </c>
    </row>
    <row r="4835">
      <c r="A4835" s="38" t="s">
        <v>14519</v>
      </c>
      <c r="B4835" s="38" t="s">
        <v>195</v>
      </c>
      <c r="C4835" s="38">
        <v>2.0</v>
      </c>
      <c r="D4835" s="38" t="s">
        <v>14531</v>
      </c>
      <c r="E4835" s="132" t="s">
        <v>9701</v>
      </c>
      <c r="F4835" s="38" t="s">
        <v>14532</v>
      </c>
    </row>
    <row r="4836">
      <c r="A4836" s="38" t="s">
        <v>14519</v>
      </c>
      <c r="B4836" s="38" t="s">
        <v>199</v>
      </c>
      <c r="C4836" s="38">
        <v>2.0</v>
      </c>
      <c r="D4836" s="38" t="s">
        <v>14533</v>
      </c>
      <c r="E4836" s="132" t="s">
        <v>9701</v>
      </c>
      <c r="F4836" s="38" t="s">
        <v>14532</v>
      </c>
    </row>
    <row r="4837">
      <c r="A4837" s="38" t="s">
        <v>14519</v>
      </c>
      <c r="B4837" s="38" t="s">
        <v>416</v>
      </c>
      <c r="C4837" s="38">
        <v>4.0</v>
      </c>
      <c r="D4837" s="38" t="s">
        <v>14534</v>
      </c>
      <c r="E4837" s="132" t="s">
        <v>11606</v>
      </c>
      <c r="F4837" s="38" t="s">
        <v>14535</v>
      </c>
    </row>
    <row r="4838">
      <c r="A4838" s="38" t="s">
        <v>14519</v>
      </c>
      <c r="B4838" s="38" t="s">
        <v>460</v>
      </c>
      <c r="C4838" s="38">
        <v>2.0</v>
      </c>
      <c r="D4838" s="38" t="s">
        <v>14536</v>
      </c>
      <c r="E4838" s="38" t="s">
        <v>325</v>
      </c>
      <c r="F4838" s="486" t="s">
        <v>14537</v>
      </c>
      <c r="G4838" s="38" t="s">
        <v>14538</v>
      </c>
    </row>
    <row r="4839">
      <c r="A4839" s="38" t="s">
        <v>14519</v>
      </c>
      <c r="B4839" s="38" t="s">
        <v>52</v>
      </c>
      <c r="C4839" s="38">
        <v>2.0</v>
      </c>
      <c r="D4839" s="38" t="s">
        <v>14539</v>
      </c>
      <c r="E4839" s="38" t="s">
        <v>325</v>
      </c>
      <c r="F4839" s="38" t="s">
        <v>14540</v>
      </c>
      <c r="G4839" s="38" t="s">
        <v>14538</v>
      </c>
    </row>
    <row r="4840">
      <c r="A4840" s="38" t="s">
        <v>14519</v>
      </c>
      <c r="B4840" s="38" t="s">
        <v>14541</v>
      </c>
      <c r="C4840" s="38">
        <v>4.0</v>
      </c>
      <c r="D4840" s="38" t="s">
        <v>7093</v>
      </c>
      <c r="E4840" s="132" t="s">
        <v>14542</v>
      </c>
      <c r="F4840" s="38" t="s">
        <v>1261</v>
      </c>
      <c r="G4840" s="38" t="s">
        <v>14543</v>
      </c>
    </row>
    <row r="4841">
      <c r="A4841" s="38"/>
      <c r="B4841" s="38" t="s">
        <v>5999</v>
      </c>
      <c r="C4841" s="38">
        <v>4.0</v>
      </c>
      <c r="D4841" s="38" t="s">
        <v>9994</v>
      </c>
      <c r="E4841" s="132" t="s">
        <v>14542</v>
      </c>
      <c r="F4841" s="38" t="s">
        <v>14544</v>
      </c>
      <c r="G4841" s="38" t="s">
        <v>14543</v>
      </c>
    </row>
    <row r="4842">
      <c r="A4842" s="38" t="s">
        <v>14519</v>
      </c>
      <c r="B4842" s="38" t="s">
        <v>333</v>
      </c>
      <c r="C4842" s="38">
        <v>4.0</v>
      </c>
      <c r="D4842" s="38" t="s">
        <v>9901</v>
      </c>
      <c r="E4842" s="132" t="s">
        <v>325</v>
      </c>
      <c r="F4842" s="38" t="s">
        <v>14545</v>
      </c>
    </row>
    <row r="4843">
      <c r="A4843" s="38" t="s">
        <v>14519</v>
      </c>
      <c r="B4843" s="38" t="s">
        <v>2548</v>
      </c>
      <c r="C4843" s="38">
        <v>4.0</v>
      </c>
      <c r="D4843" s="390" t="s">
        <v>2340</v>
      </c>
      <c r="E4843" s="132" t="s">
        <v>14546</v>
      </c>
      <c r="F4843" s="38" t="s">
        <v>14547</v>
      </c>
    </row>
    <row r="4844">
      <c r="A4844" s="38" t="s">
        <v>14519</v>
      </c>
      <c r="B4844" s="38" t="s">
        <v>8113</v>
      </c>
      <c r="C4844" s="38">
        <v>4.0</v>
      </c>
      <c r="D4844" s="390" t="s">
        <v>14548</v>
      </c>
      <c r="E4844" s="132" t="s">
        <v>14549</v>
      </c>
      <c r="F4844" s="38" t="s">
        <v>14550</v>
      </c>
    </row>
    <row r="4845">
      <c r="A4845" s="38" t="s">
        <v>14519</v>
      </c>
      <c r="B4845" s="38" t="s">
        <v>308</v>
      </c>
      <c r="C4845" s="38">
        <v>4.0</v>
      </c>
      <c r="D4845" s="390" t="s">
        <v>9975</v>
      </c>
      <c r="E4845" s="47" t="s">
        <v>14551</v>
      </c>
      <c r="F4845" s="38"/>
    </row>
    <row r="4846">
      <c r="A4846" s="38"/>
      <c r="B4846" s="38" t="s">
        <v>14552</v>
      </c>
      <c r="C4846" s="38">
        <v>4.0</v>
      </c>
      <c r="D4846" s="390" t="s">
        <v>2473</v>
      </c>
      <c r="E4846" s="132" t="s">
        <v>14553</v>
      </c>
      <c r="F4846" s="38" t="s">
        <v>14554</v>
      </c>
    </row>
    <row r="4847">
      <c r="A4847" s="38" t="s">
        <v>14519</v>
      </c>
      <c r="B4847" s="38" t="s">
        <v>14555</v>
      </c>
      <c r="C4847" s="38">
        <v>2.0</v>
      </c>
      <c r="D4847" s="390" t="s">
        <v>10216</v>
      </c>
      <c r="E4847" s="132" t="s">
        <v>325</v>
      </c>
      <c r="F4847" s="38" t="s">
        <v>14556</v>
      </c>
    </row>
    <row r="4848">
      <c r="A4848" s="38" t="s">
        <v>14519</v>
      </c>
      <c r="B4848" s="38" t="s">
        <v>14557</v>
      </c>
      <c r="C4848" s="38">
        <v>2.0</v>
      </c>
      <c r="D4848" s="390" t="s">
        <v>10216</v>
      </c>
      <c r="E4848" s="132" t="s">
        <v>325</v>
      </c>
      <c r="F4848" s="38" t="s">
        <v>14556</v>
      </c>
    </row>
    <row r="4849">
      <c r="A4849" s="38" t="s">
        <v>14519</v>
      </c>
      <c r="B4849" s="38" t="s">
        <v>88</v>
      </c>
      <c r="C4849" s="38">
        <v>4.0</v>
      </c>
      <c r="D4849" s="390" t="s">
        <v>408</v>
      </c>
      <c r="E4849" s="91" t="s">
        <v>14558</v>
      </c>
      <c r="F4849" s="38" t="s">
        <v>3316</v>
      </c>
    </row>
    <row r="4850">
      <c r="A4850" s="5"/>
      <c r="B4850" s="38" t="s">
        <v>85</v>
      </c>
      <c r="C4850" s="38">
        <v>4.0</v>
      </c>
      <c r="D4850" s="390" t="s">
        <v>50</v>
      </c>
      <c r="E4850" s="132" t="s">
        <v>11151</v>
      </c>
      <c r="F4850" s="38" t="s">
        <v>6075</v>
      </c>
      <c r="G4850" s="38" t="s">
        <v>14559</v>
      </c>
    </row>
    <row r="4851">
      <c r="A4851" s="5"/>
      <c r="B4851" s="38" t="s">
        <v>85</v>
      </c>
      <c r="C4851" s="38">
        <v>8.0</v>
      </c>
      <c r="D4851" s="390" t="s">
        <v>50</v>
      </c>
      <c r="E4851" s="132" t="s">
        <v>11151</v>
      </c>
      <c r="F4851" s="38" t="s">
        <v>6075</v>
      </c>
      <c r="G4851" s="38" t="s">
        <v>14559</v>
      </c>
    </row>
    <row r="4852">
      <c r="A4852" s="5"/>
      <c r="B4852" s="38" t="s">
        <v>357</v>
      </c>
      <c r="C4852" s="38">
        <v>4.0</v>
      </c>
      <c r="D4852" s="390" t="s">
        <v>1237</v>
      </c>
      <c r="E4852" s="132" t="s">
        <v>11151</v>
      </c>
      <c r="F4852" s="38" t="s">
        <v>14560</v>
      </c>
      <c r="G4852" s="38" t="s">
        <v>14559</v>
      </c>
    </row>
    <row r="4853">
      <c r="A4853" s="5"/>
      <c r="B4853" s="38"/>
      <c r="C4853" s="38"/>
      <c r="D4853" s="390"/>
      <c r="E4853" s="132" t="s">
        <v>11151</v>
      </c>
      <c r="F4853" s="38" t="s">
        <v>14561</v>
      </c>
      <c r="G4853" s="38" t="s">
        <v>14559</v>
      </c>
    </row>
    <row r="4854">
      <c r="B4854" s="38" t="s">
        <v>22</v>
      </c>
      <c r="C4854" s="38">
        <v>1.0</v>
      </c>
      <c r="D4854" s="390" t="s">
        <v>402</v>
      </c>
      <c r="E4854" s="132" t="s">
        <v>14562</v>
      </c>
      <c r="F4854" s="38" t="s">
        <v>14563</v>
      </c>
    </row>
    <row r="4855">
      <c r="B4855" s="38"/>
      <c r="C4855" s="38" t="s">
        <v>14564</v>
      </c>
      <c r="D4855" s="390" t="s">
        <v>14565</v>
      </c>
      <c r="E4855" s="132" t="s">
        <v>14330</v>
      </c>
      <c r="F4855" s="38" t="s">
        <v>14341</v>
      </c>
    </row>
    <row r="4856">
      <c r="B4856" s="38" t="s">
        <v>14566</v>
      </c>
      <c r="C4856" s="38" t="s">
        <v>14567</v>
      </c>
      <c r="D4856" s="390" t="s">
        <v>647</v>
      </c>
      <c r="E4856" s="132" t="s">
        <v>14568</v>
      </c>
      <c r="F4856" s="38" t="s">
        <v>14341</v>
      </c>
    </row>
    <row r="4857">
      <c r="B4857" s="38"/>
      <c r="C4857" s="47" t="s">
        <v>14569</v>
      </c>
      <c r="D4857" s="47" t="s">
        <v>14570</v>
      </c>
      <c r="E4857" s="132" t="s">
        <v>14568</v>
      </c>
      <c r="F4857" s="38" t="s">
        <v>14341</v>
      </c>
    </row>
    <row r="4858">
      <c r="A4858" s="19">
        <v>45191.0</v>
      </c>
      <c r="B4858" s="51" t="s">
        <v>14571</v>
      </c>
      <c r="C4858" s="20"/>
      <c r="D4858" s="20" t="s">
        <v>535</v>
      </c>
      <c r="E4858" s="20" t="s">
        <v>10789</v>
      </c>
      <c r="F4858" s="51" t="s">
        <v>14572</v>
      </c>
    </row>
    <row r="4859">
      <c r="A4859" s="1" t="s">
        <v>14573</v>
      </c>
      <c r="B4859" s="51" t="s">
        <v>14574</v>
      </c>
      <c r="C4859" s="51" t="s">
        <v>14575</v>
      </c>
      <c r="D4859" s="1" t="s">
        <v>12031</v>
      </c>
      <c r="E4859" s="20" t="s">
        <v>10789</v>
      </c>
      <c r="F4859" s="20"/>
    </row>
    <row r="4860">
      <c r="B4860" s="5"/>
      <c r="C4860" s="5" t="s">
        <v>12030</v>
      </c>
      <c r="D4860" s="1" t="s">
        <v>12031</v>
      </c>
      <c r="E4860" s="1" t="s">
        <v>9526</v>
      </c>
      <c r="F4860" s="5"/>
    </row>
    <row r="4861">
      <c r="B4861" s="238" t="s">
        <v>14576</v>
      </c>
      <c r="C4861" s="556" t="s">
        <v>14577</v>
      </c>
      <c r="D4861" s="1" t="s">
        <v>14578</v>
      </c>
      <c r="E4861" s="1" t="s">
        <v>10783</v>
      </c>
      <c r="F4861" s="238"/>
      <c r="G4861" s="273"/>
    </row>
    <row r="4862">
      <c r="B4862" s="557">
        <v>45215.0</v>
      </c>
      <c r="C4862" s="556"/>
      <c r="D4862" s="1"/>
      <c r="E4862" s="1" t="s">
        <v>10783</v>
      </c>
      <c r="F4862" s="238" t="s">
        <v>14579</v>
      </c>
      <c r="G4862" s="273"/>
    </row>
    <row r="4863">
      <c r="B4863" s="38" t="s">
        <v>14580</v>
      </c>
      <c r="C4863" s="38" t="s">
        <v>14581</v>
      </c>
      <c r="D4863" s="305"/>
      <c r="E4863" s="38" t="s">
        <v>14582</v>
      </c>
      <c r="F4863" s="38" t="s">
        <v>14583</v>
      </c>
    </row>
    <row r="4864">
      <c r="B4864" s="38" t="s">
        <v>271</v>
      </c>
      <c r="C4864" s="38">
        <v>4.0</v>
      </c>
      <c r="D4864" s="305" t="s">
        <v>50</v>
      </c>
      <c r="E4864" s="38" t="s">
        <v>14584</v>
      </c>
      <c r="F4864" s="38" t="s">
        <v>14585</v>
      </c>
      <c r="G4864" s="38" t="s">
        <v>14586</v>
      </c>
      <c r="H4864" s="1" t="s">
        <v>14587</v>
      </c>
    </row>
    <row r="4865">
      <c r="B4865" s="38" t="s">
        <v>38</v>
      </c>
      <c r="C4865" s="38">
        <v>2.0</v>
      </c>
      <c r="D4865" s="38" t="s">
        <v>1133</v>
      </c>
      <c r="E4865" s="132" t="s">
        <v>974</v>
      </c>
      <c r="F4865" s="38" t="s">
        <v>14588</v>
      </c>
    </row>
    <row r="4866">
      <c r="B4866" s="38" t="s">
        <v>3820</v>
      </c>
      <c r="C4866" s="38">
        <v>2.0</v>
      </c>
      <c r="D4866" s="38" t="s">
        <v>1133</v>
      </c>
      <c r="E4866" s="132" t="s">
        <v>974</v>
      </c>
      <c r="F4866" s="38" t="s">
        <v>14589</v>
      </c>
    </row>
    <row r="4867">
      <c r="B4867" s="38"/>
      <c r="C4867" s="38"/>
      <c r="D4867" s="38" t="s">
        <v>14590</v>
      </c>
      <c r="E4867" s="132" t="s">
        <v>974</v>
      </c>
      <c r="F4867" s="38" t="s">
        <v>14591</v>
      </c>
      <c r="G4867" s="38" t="s">
        <v>144</v>
      </c>
    </row>
    <row r="4868">
      <c r="B4868" s="38" t="s">
        <v>416</v>
      </c>
      <c r="C4868" s="38">
        <v>1.0</v>
      </c>
      <c r="D4868" s="38" t="s">
        <v>461</v>
      </c>
      <c r="E4868" s="39" t="s">
        <v>14592</v>
      </c>
      <c r="F4868" s="38" t="s">
        <v>14593</v>
      </c>
    </row>
    <row r="4869">
      <c r="B4869" s="38" t="s">
        <v>439</v>
      </c>
      <c r="C4869" s="38">
        <v>2.0</v>
      </c>
      <c r="D4869" s="38" t="s">
        <v>14594</v>
      </c>
      <c r="E4869" s="132" t="s">
        <v>14595</v>
      </c>
      <c r="F4869" s="38" t="s">
        <v>5418</v>
      </c>
    </row>
    <row r="4870">
      <c r="B4870" s="38" t="s">
        <v>219</v>
      </c>
      <c r="C4870" s="38">
        <v>4.0</v>
      </c>
      <c r="D4870" s="38" t="s">
        <v>427</v>
      </c>
      <c r="E4870" s="39" t="s">
        <v>758</v>
      </c>
      <c r="F4870" s="38" t="s">
        <v>14596</v>
      </c>
    </row>
    <row r="4871">
      <c r="B4871" s="38" t="s">
        <v>14597</v>
      </c>
      <c r="C4871" s="38" t="s">
        <v>1188</v>
      </c>
      <c r="D4871" s="38" t="s">
        <v>14598</v>
      </c>
      <c r="E4871" s="132" t="s">
        <v>14599</v>
      </c>
      <c r="F4871" s="38" t="s">
        <v>14529</v>
      </c>
    </row>
    <row r="4872">
      <c r="B4872" s="352" t="s">
        <v>14600</v>
      </c>
      <c r="C4872" s="352" t="s">
        <v>14601</v>
      </c>
      <c r="D4872" s="38"/>
      <c r="E4872" s="132" t="s">
        <v>14599</v>
      </c>
      <c r="F4872" s="38" t="s">
        <v>14529</v>
      </c>
    </row>
    <row r="4873">
      <c r="B4873" s="352" t="s">
        <v>14602</v>
      </c>
      <c r="C4873" s="352"/>
      <c r="D4873" s="38" t="s">
        <v>14603</v>
      </c>
      <c r="E4873" s="132" t="s">
        <v>14599</v>
      </c>
      <c r="F4873" s="38" t="s">
        <v>14529</v>
      </c>
    </row>
    <row r="4874">
      <c r="B4874" s="352"/>
      <c r="C4874" s="352"/>
      <c r="D4874" s="38"/>
      <c r="E4874" s="132" t="s">
        <v>14599</v>
      </c>
      <c r="F4874" s="38" t="s">
        <v>14529</v>
      </c>
    </row>
    <row r="4875">
      <c r="B4875" s="38" t="s">
        <v>14604</v>
      </c>
      <c r="C4875" s="38" t="s">
        <v>14605</v>
      </c>
      <c r="D4875" s="352" t="s">
        <v>14606</v>
      </c>
      <c r="E4875" s="132" t="s">
        <v>14607</v>
      </c>
      <c r="F4875" s="38"/>
      <c r="G4875" s="44"/>
    </row>
    <row r="4876">
      <c r="B4876" s="121" t="s">
        <v>14608</v>
      </c>
      <c r="C4876" s="38"/>
      <c r="D4876" s="38"/>
      <c r="E4876" s="132" t="s">
        <v>14609</v>
      </c>
      <c r="F4876" s="38"/>
      <c r="G4876" s="44"/>
    </row>
    <row r="4877">
      <c r="B4877" s="121"/>
      <c r="C4877" s="38"/>
      <c r="D4877" s="38"/>
      <c r="E4877" s="132" t="s">
        <v>14609</v>
      </c>
      <c r="F4877" s="38" t="s">
        <v>14610</v>
      </c>
      <c r="G4877" s="44"/>
    </row>
    <row r="4878">
      <c r="B4878" s="38" t="s">
        <v>14611</v>
      </c>
      <c r="C4878" s="38" t="s">
        <v>14612</v>
      </c>
      <c r="D4878" s="38" t="s">
        <v>14613</v>
      </c>
      <c r="E4878" s="47" t="s">
        <v>14066</v>
      </c>
      <c r="F4878" s="38"/>
    </row>
    <row r="4879">
      <c r="B4879" s="38"/>
      <c r="C4879" s="38"/>
      <c r="D4879" s="38" t="s">
        <v>14614</v>
      </c>
      <c r="E4879" s="132" t="s">
        <v>3977</v>
      </c>
      <c r="F4879" s="38"/>
      <c r="G4879" s="38" t="s">
        <v>14615</v>
      </c>
    </row>
    <row r="4880">
      <c r="B4880" s="38"/>
      <c r="C4880" s="38">
        <v>2.0</v>
      </c>
      <c r="D4880" s="38" t="s">
        <v>408</v>
      </c>
      <c r="E4880" s="132" t="s">
        <v>3977</v>
      </c>
      <c r="F4880" s="38" t="s">
        <v>14616</v>
      </c>
      <c r="G4880" s="38" t="s">
        <v>14615</v>
      </c>
    </row>
    <row r="4881">
      <c r="B4881" s="38"/>
      <c r="C4881" s="38">
        <v>2.0</v>
      </c>
      <c r="D4881" s="38" t="s">
        <v>408</v>
      </c>
      <c r="E4881" s="132" t="s">
        <v>3977</v>
      </c>
      <c r="F4881" s="38"/>
      <c r="G4881" s="38" t="s">
        <v>14615</v>
      </c>
    </row>
    <row r="4882">
      <c r="B4882" s="353" t="s">
        <v>14617</v>
      </c>
      <c r="C4882" s="558" t="s">
        <v>14618</v>
      </c>
      <c r="D4882" s="38" t="s">
        <v>14619</v>
      </c>
      <c r="E4882" s="132" t="s">
        <v>1017</v>
      </c>
      <c r="F4882" s="38" t="s">
        <v>14620</v>
      </c>
    </row>
    <row r="4883">
      <c r="B4883" s="38" t="s">
        <v>210</v>
      </c>
      <c r="C4883" s="559">
        <v>4.0</v>
      </c>
      <c r="D4883" s="38" t="s">
        <v>672</v>
      </c>
      <c r="E4883" s="39" t="s">
        <v>14621</v>
      </c>
      <c r="F4883" s="38" t="s">
        <v>7178</v>
      </c>
      <c r="G4883" s="504" t="s">
        <v>14622</v>
      </c>
    </row>
    <row r="4884">
      <c r="A4884" s="24"/>
      <c r="B4884" s="38" t="s">
        <v>416</v>
      </c>
      <c r="C4884" s="38">
        <v>4.0</v>
      </c>
      <c r="D4884" s="38" t="s">
        <v>672</v>
      </c>
      <c r="E4884" s="132" t="s">
        <v>8364</v>
      </c>
      <c r="F4884" s="38" t="s">
        <v>14623</v>
      </c>
    </row>
    <row r="4885">
      <c r="B4885" s="38" t="s">
        <v>416</v>
      </c>
      <c r="C4885" s="38">
        <v>4.0</v>
      </c>
      <c r="D4885" s="38" t="s">
        <v>684</v>
      </c>
      <c r="E4885" s="132" t="s">
        <v>13498</v>
      </c>
      <c r="F4885" s="38" t="s">
        <v>14624</v>
      </c>
    </row>
    <row r="4886">
      <c r="B4886" s="44"/>
      <c r="C4886" s="44"/>
      <c r="D4886" s="38" t="s">
        <v>14625</v>
      </c>
      <c r="E4886" s="132" t="s">
        <v>11831</v>
      </c>
      <c r="F4886" s="38" t="s">
        <v>14626</v>
      </c>
      <c r="G4886" s="38">
        <v>100.0</v>
      </c>
    </row>
    <row r="4887">
      <c r="B4887" s="38"/>
      <c r="C4887" s="38"/>
      <c r="D4887" s="38" t="s">
        <v>14625</v>
      </c>
      <c r="E4887" s="132" t="s">
        <v>11831</v>
      </c>
      <c r="F4887" s="38" t="s">
        <v>14627</v>
      </c>
      <c r="G4887" s="38">
        <v>50.0</v>
      </c>
    </row>
    <row r="4888">
      <c r="B4888" s="38"/>
      <c r="C4888" s="38"/>
      <c r="D4888" s="38" t="s">
        <v>14625</v>
      </c>
      <c r="E4888" s="132" t="s">
        <v>11831</v>
      </c>
      <c r="F4888" s="38" t="s">
        <v>14628</v>
      </c>
      <c r="G4888" s="38">
        <v>10.0</v>
      </c>
    </row>
    <row r="4889">
      <c r="B4889" s="38"/>
      <c r="C4889" s="38"/>
      <c r="D4889" s="38" t="s">
        <v>14625</v>
      </c>
      <c r="E4889" s="132" t="s">
        <v>11831</v>
      </c>
      <c r="F4889" s="38" t="s">
        <v>14629</v>
      </c>
      <c r="G4889" s="38">
        <v>110.0</v>
      </c>
    </row>
    <row r="4890">
      <c r="B4890" s="44"/>
      <c r="C4890" s="44"/>
      <c r="D4890" s="38" t="s">
        <v>14625</v>
      </c>
      <c r="E4890" s="132" t="s">
        <v>11831</v>
      </c>
      <c r="F4890" s="38" t="s">
        <v>14630</v>
      </c>
      <c r="G4890" s="38">
        <v>40.0</v>
      </c>
    </row>
    <row r="4891">
      <c r="B4891" s="38"/>
      <c r="C4891" s="44"/>
      <c r="D4891" s="38" t="s">
        <v>14625</v>
      </c>
      <c r="E4891" s="132" t="s">
        <v>11831</v>
      </c>
      <c r="F4891" s="38" t="s">
        <v>14631</v>
      </c>
      <c r="G4891" s="38">
        <v>100.0</v>
      </c>
    </row>
    <row r="4892">
      <c r="B4892" s="38" t="s">
        <v>647</v>
      </c>
      <c r="C4892" s="38" t="s">
        <v>14632</v>
      </c>
      <c r="D4892" s="38" t="s">
        <v>1204</v>
      </c>
      <c r="E4892" s="132" t="s">
        <v>11831</v>
      </c>
      <c r="F4892" s="38" t="s">
        <v>14159</v>
      </c>
    </row>
    <row r="4893">
      <c r="B4893" s="38" t="s">
        <v>14633</v>
      </c>
      <c r="C4893" s="38"/>
      <c r="D4893" s="38" t="s">
        <v>14634</v>
      </c>
      <c r="E4893" s="132" t="s">
        <v>11831</v>
      </c>
      <c r="F4893" s="38" t="s">
        <v>14159</v>
      </c>
    </row>
    <row r="4894">
      <c r="A4894" s="44"/>
      <c r="B4894" s="47"/>
      <c r="C4894" s="47" t="s">
        <v>14635</v>
      </c>
      <c r="D4894" s="47" t="s">
        <v>14636</v>
      </c>
      <c r="E4894" s="132" t="s">
        <v>11831</v>
      </c>
      <c r="F4894" s="38" t="s">
        <v>14159</v>
      </c>
    </row>
    <row r="4895">
      <c r="A4895" s="44"/>
      <c r="B4895" s="47" t="s">
        <v>1162</v>
      </c>
      <c r="C4895" s="47">
        <v>3.0</v>
      </c>
      <c r="D4895" s="47" t="s">
        <v>13840</v>
      </c>
      <c r="E4895" s="487" t="s">
        <v>10543</v>
      </c>
      <c r="F4895" s="487" t="s">
        <v>14637</v>
      </c>
      <c r="I4895" s="1" t="s">
        <v>14638</v>
      </c>
    </row>
    <row r="4896">
      <c r="A4896" s="44"/>
      <c r="B4896" s="47" t="s">
        <v>354</v>
      </c>
      <c r="C4896" s="47">
        <v>4.0</v>
      </c>
      <c r="D4896" s="47" t="s">
        <v>684</v>
      </c>
      <c r="E4896" s="91" t="s">
        <v>14639</v>
      </c>
      <c r="F4896" s="38" t="s">
        <v>14640</v>
      </c>
    </row>
    <row r="4897">
      <c r="A4897" s="44"/>
      <c r="B4897" s="47" t="s">
        <v>430</v>
      </c>
      <c r="C4897" s="47">
        <v>4.0</v>
      </c>
      <c r="D4897" s="47" t="s">
        <v>684</v>
      </c>
      <c r="E4897" s="39" t="s">
        <v>14641</v>
      </c>
      <c r="F4897" s="38" t="s">
        <v>14642</v>
      </c>
    </row>
    <row r="4898">
      <c r="A4898" s="44"/>
      <c r="B4898" s="47" t="s">
        <v>2216</v>
      </c>
      <c r="C4898" s="47">
        <v>4.0</v>
      </c>
      <c r="D4898" s="47" t="s">
        <v>684</v>
      </c>
      <c r="E4898" s="132" t="s">
        <v>6440</v>
      </c>
      <c r="F4898" s="38" t="s">
        <v>14643</v>
      </c>
      <c r="G4898" s="38" t="s">
        <v>14644</v>
      </c>
    </row>
    <row r="4899">
      <c r="A4899" s="44"/>
      <c r="B4899" s="47"/>
      <c r="C4899" s="47"/>
      <c r="D4899" s="47"/>
      <c r="E4899" s="132" t="s">
        <v>6440</v>
      </c>
      <c r="F4899" s="38" t="s">
        <v>4578</v>
      </c>
      <c r="G4899" s="38" t="s">
        <v>14644</v>
      </c>
    </row>
    <row r="4900">
      <c r="A4900" s="47" t="s">
        <v>14645</v>
      </c>
      <c r="B4900" s="47" t="s">
        <v>28</v>
      </c>
      <c r="C4900" s="47">
        <v>4.0</v>
      </c>
      <c r="D4900" s="47" t="s">
        <v>2171</v>
      </c>
      <c r="E4900" s="47" t="s">
        <v>14646</v>
      </c>
      <c r="F4900" s="38" t="s">
        <v>7252</v>
      </c>
    </row>
    <row r="4901">
      <c r="A4901" s="44"/>
      <c r="B4901" s="47"/>
      <c r="C4901" s="47"/>
      <c r="D4901" s="47" t="s">
        <v>13697</v>
      </c>
      <c r="E4901" s="38" t="s">
        <v>14647</v>
      </c>
      <c r="F4901" s="44"/>
      <c r="G4901" s="38" t="s">
        <v>14648</v>
      </c>
    </row>
    <row r="4902">
      <c r="A4902" s="44"/>
      <c r="B4902" s="47"/>
      <c r="C4902" s="151" t="s">
        <v>14649</v>
      </c>
      <c r="D4902" s="47" t="s">
        <v>14650</v>
      </c>
      <c r="E4902" s="38" t="s">
        <v>14651</v>
      </c>
      <c r="F4902" s="38" t="s">
        <v>14652</v>
      </c>
      <c r="G4902" s="38" t="s">
        <v>14648</v>
      </c>
    </row>
    <row r="4903">
      <c r="A4903" s="44"/>
      <c r="B4903" s="47"/>
      <c r="C4903" s="47"/>
      <c r="D4903" s="47" t="s">
        <v>14650</v>
      </c>
      <c r="E4903" s="38" t="s">
        <v>14653</v>
      </c>
      <c r="F4903" s="38" t="s">
        <v>14652</v>
      </c>
      <c r="G4903" s="38" t="s">
        <v>14648</v>
      </c>
    </row>
    <row r="4904">
      <c r="A4904" s="44"/>
      <c r="B4904" s="47" t="s">
        <v>876</v>
      </c>
      <c r="C4904" s="47">
        <v>4.0</v>
      </c>
      <c r="D4904" s="47" t="s">
        <v>14654</v>
      </c>
      <c r="E4904" s="39" t="s">
        <v>12258</v>
      </c>
      <c r="F4904" s="38" t="s">
        <v>14655</v>
      </c>
    </row>
    <row r="4905">
      <c r="A4905" s="44"/>
      <c r="B4905" s="47" t="s">
        <v>14656</v>
      </c>
      <c r="C4905" s="47" t="s">
        <v>14657</v>
      </c>
      <c r="D4905" s="47" t="s">
        <v>14658</v>
      </c>
      <c r="E4905" s="132" t="s">
        <v>4466</v>
      </c>
      <c r="F4905" s="389" t="s">
        <v>14659</v>
      </c>
    </row>
    <row r="4906">
      <c r="A4906" s="44"/>
      <c r="B4906" s="47" t="s">
        <v>14660</v>
      </c>
      <c r="C4906" s="47"/>
      <c r="D4906" s="44"/>
      <c r="E4906" s="132" t="s">
        <v>14661</v>
      </c>
      <c r="F4906" s="38" t="s">
        <v>14662</v>
      </c>
    </row>
    <row r="4907">
      <c r="A4907" s="44"/>
      <c r="B4907" s="47" t="s">
        <v>28</v>
      </c>
      <c r="C4907" s="47">
        <v>4.0</v>
      </c>
      <c r="D4907" s="47" t="s">
        <v>545</v>
      </c>
      <c r="E4907" s="132" t="s">
        <v>14663</v>
      </c>
      <c r="F4907" s="38" t="s">
        <v>14624</v>
      </c>
    </row>
    <row r="4908">
      <c r="A4908" s="44"/>
      <c r="B4908" s="47" t="s">
        <v>170</v>
      </c>
      <c r="C4908" s="47">
        <v>2.0</v>
      </c>
      <c r="D4908" s="47" t="s">
        <v>14664</v>
      </c>
      <c r="E4908" s="132" t="s">
        <v>325</v>
      </c>
      <c r="F4908" s="38" t="s">
        <v>14665</v>
      </c>
      <c r="G4908" s="38" t="s">
        <v>14666</v>
      </c>
    </row>
    <row r="4909">
      <c r="A4909" s="44"/>
      <c r="B4909" s="47" t="s">
        <v>166</v>
      </c>
      <c r="C4909" s="47">
        <v>2.0</v>
      </c>
      <c r="D4909" s="47" t="s">
        <v>14664</v>
      </c>
      <c r="E4909" s="132" t="s">
        <v>325</v>
      </c>
      <c r="F4909" s="38" t="s">
        <v>14667</v>
      </c>
      <c r="G4909" s="38" t="s">
        <v>14666</v>
      </c>
    </row>
    <row r="4910">
      <c r="A4910" s="44"/>
      <c r="B4910" s="47" t="s">
        <v>6162</v>
      </c>
      <c r="C4910" s="47">
        <v>4.0</v>
      </c>
      <c r="D4910" s="47" t="s">
        <v>3135</v>
      </c>
      <c r="E4910" s="560" t="s">
        <v>14668</v>
      </c>
      <c r="F4910" s="38" t="s">
        <v>14669</v>
      </c>
    </row>
    <row r="4911">
      <c r="A4911" s="44"/>
      <c r="B4911" s="47" t="s">
        <v>2333</v>
      </c>
      <c r="C4911" s="47">
        <v>4.0</v>
      </c>
      <c r="D4911" s="47" t="s">
        <v>408</v>
      </c>
      <c r="E4911" s="39" t="s">
        <v>445</v>
      </c>
      <c r="F4911" s="38" t="s">
        <v>14670</v>
      </c>
    </row>
    <row r="4912">
      <c r="A4912" s="44"/>
      <c r="B4912" s="47" t="s">
        <v>205</v>
      </c>
      <c r="C4912" s="47">
        <v>2.0</v>
      </c>
      <c r="D4912" s="47" t="s">
        <v>6192</v>
      </c>
      <c r="E4912" s="132" t="s">
        <v>14671</v>
      </c>
      <c r="F4912" s="38" t="s">
        <v>14672</v>
      </c>
      <c r="G4912" s="38" t="s">
        <v>14673</v>
      </c>
      <c r="H4912" s="38" t="s">
        <v>14674</v>
      </c>
    </row>
    <row r="4913">
      <c r="B4913" s="38" t="s">
        <v>22</v>
      </c>
      <c r="C4913" s="38">
        <v>4.0</v>
      </c>
      <c r="D4913" s="38" t="s">
        <v>6705</v>
      </c>
      <c r="E4913" s="132" t="s">
        <v>337</v>
      </c>
      <c r="F4913" s="38" t="s">
        <v>14675</v>
      </c>
    </row>
    <row r="4914">
      <c r="B4914" s="38" t="s">
        <v>183</v>
      </c>
      <c r="C4914" s="38">
        <v>4.0</v>
      </c>
      <c r="D4914" s="38" t="s">
        <v>2032</v>
      </c>
      <c r="E4914" s="132" t="s">
        <v>14676</v>
      </c>
      <c r="F4914" s="38" t="s">
        <v>14677</v>
      </c>
    </row>
    <row r="4915">
      <c r="B4915" s="38" t="s">
        <v>183</v>
      </c>
      <c r="C4915" s="38">
        <v>4.0</v>
      </c>
      <c r="D4915" s="38" t="s">
        <v>2032</v>
      </c>
      <c r="E4915" s="132" t="s">
        <v>10050</v>
      </c>
      <c r="F4915" s="38" t="s">
        <v>4211</v>
      </c>
      <c r="G4915" s="38" t="s">
        <v>14678</v>
      </c>
    </row>
    <row r="4916">
      <c r="B4916" s="38" t="s">
        <v>876</v>
      </c>
      <c r="C4916" s="38">
        <v>4.0</v>
      </c>
      <c r="D4916" s="38" t="s">
        <v>2032</v>
      </c>
      <c r="E4916" s="132" t="s">
        <v>10050</v>
      </c>
      <c r="F4916" s="38" t="s">
        <v>4232</v>
      </c>
      <c r="G4916" s="38" t="s">
        <v>14679</v>
      </c>
    </row>
    <row r="4917">
      <c r="B4917" s="38" t="s">
        <v>2216</v>
      </c>
      <c r="C4917" s="38">
        <v>4.0</v>
      </c>
      <c r="D4917" s="38" t="s">
        <v>684</v>
      </c>
      <c r="E4917" s="132" t="s">
        <v>10050</v>
      </c>
      <c r="F4917" s="38" t="s">
        <v>14680</v>
      </c>
      <c r="G4917" s="38" t="s">
        <v>14678</v>
      </c>
    </row>
    <row r="4918">
      <c r="B4918" s="38" t="s">
        <v>718</v>
      </c>
      <c r="C4918" s="38">
        <v>4.0</v>
      </c>
      <c r="D4918" s="38" t="s">
        <v>50</v>
      </c>
      <c r="E4918" s="132" t="s">
        <v>10050</v>
      </c>
      <c r="F4918" s="38" t="s">
        <v>14681</v>
      </c>
    </row>
    <row r="4919">
      <c r="B4919" s="38" t="s">
        <v>982</v>
      </c>
      <c r="C4919" s="38">
        <v>4.0</v>
      </c>
      <c r="D4919" s="38" t="s">
        <v>630</v>
      </c>
      <c r="E4919" s="132" t="s">
        <v>14682</v>
      </c>
      <c r="F4919" s="304" t="s">
        <v>12226</v>
      </c>
      <c r="G4919" s="38" t="s">
        <v>14683</v>
      </c>
    </row>
    <row r="4920">
      <c r="B4920" s="38" t="s">
        <v>81</v>
      </c>
      <c r="C4920" s="38">
        <v>4.0</v>
      </c>
      <c r="D4920" s="38" t="s">
        <v>2173</v>
      </c>
      <c r="E4920" s="132" t="s">
        <v>14684</v>
      </c>
      <c r="F4920" s="38" t="s">
        <v>14685</v>
      </c>
      <c r="G4920" s="38" t="s">
        <v>14686</v>
      </c>
      <c r="H4920" s="109" t="s">
        <v>14687</v>
      </c>
    </row>
    <row r="4921">
      <c r="B4921" s="38" t="s">
        <v>271</v>
      </c>
      <c r="C4921" s="38">
        <v>4.0</v>
      </c>
      <c r="D4921" s="38" t="s">
        <v>2171</v>
      </c>
      <c r="E4921" s="132" t="s">
        <v>4624</v>
      </c>
      <c r="F4921" s="38" t="s">
        <v>14688</v>
      </c>
      <c r="G4921" s="38" t="s">
        <v>14689</v>
      </c>
      <c r="H4921" s="109" t="s">
        <v>14690</v>
      </c>
    </row>
    <row r="4922">
      <c r="B4922" s="38"/>
      <c r="C4922" s="38"/>
      <c r="D4922" s="38"/>
      <c r="E4922" s="132" t="s">
        <v>4624</v>
      </c>
      <c r="F4922" s="38" t="s">
        <v>14691</v>
      </c>
      <c r="G4922" s="38" t="s">
        <v>14689</v>
      </c>
      <c r="H4922" s="109" t="s">
        <v>14692</v>
      </c>
    </row>
    <row r="4923">
      <c r="B4923" s="38" t="s">
        <v>77</v>
      </c>
      <c r="C4923" s="38">
        <v>4.0</v>
      </c>
      <c r="D4923" s="38" t="s">
        <v>433</v>
      </c>
      <c r="E4923" s="132" t="s">
        <v>14217</v>
      </c>
      <c r="F4923" s="38" t="s">
        <v>14693</v>
      </c>
    </row>
    <row r="4924">
      <c r="B4924" s="38" t="s">
        <v>63</v>
      </c>
      <c r="C4924" s="38">
        <v>4.0</v>
      </c>
      <c r="D4924" s="38" t="s">
        <v>289</v>
      </c>
      <c r="E4924" s="132" t="s">
        <v>14217</v>
      </c>
      <c r="F4924" s="38" t="s">
        <v>14693</v>
      </c>
    </row>
    <row r="4925">
      <c r="B4925" s="38" t="s">
        <v>14694</v>
      </c>
      <c r="C4925" s="38">
        <v>4.0</v>
      </c>
      <c r="D4925" s="38" t="s">
        <v>408</v>
      </c>
      <c r="E4925" s="132" t="s">
        <v>14695</v>
      </c>
      <c r="F4925" s="38" t="s">
        <v>14696</v>
      </c>
    </row>
    <row r="4926">
      <c r="B4926" s="5" t="s">
        <v>876</v>
      </c>
      <c r="C4926" s="5">
        <v>4.0</v>
      </c>
      <c r="D4926" s="5" t="s">
        <v>433</v>
      </c>
      <c r="E4926" s="150" t="s">
        <v>14697</v>
      </c>
      <c r="F4926" s="5" t="s">
        <v>2533</v>
      </c>
    </row>
    <row r="4927">
      <c r="A4927" s="8"/>
      <c r="B4927" s="38" t="s">
        <v>28</v>
      </c>
      <c r="C4927" s="38">
        <v>4.0</v>
      </c>
      <c r="D4927" s="38" t="s">
        <v>2171</v>
      </c>
      <c r="E4927" s="132" t="s">
        <v>14698</v>
      </c>
      <c r="F4927" s="38" t="s">
        <v>14699</v>
      </c>
      <c r="G4927" s="4" t="s">
        <v>14700</v>
      </c>
    </row>
    <row r="4928">
      <c r="B4928" s="38" t="s">
        <v>219</v>
      </c>
      <c r="C4928" s="38">
        <v>4.0</v>
      </c>
      <c r="D4928" s="38" t="s">
        <v>2171</v>
      </c>
      <c r="E4928" s="39" t="s">
        <v>14701</v>
      </c>
      <c r="F4928" s="38" t="s">
        <v>14702</v>
      </c>
    </row>
    <row r="4929">
      <c r="B4929" s="38" t="s">
        <v>214</v>
      </c>
      <c r="C4929" s="38">
        <v>2.0</v>
      </c>
      <c r="D4929" s="38" t="s">
        <v>3135</v>
      </c>
      <c r="E4929" s="132" t="s">
        <v>325</v>
      </c>
      <c r="F4929" s="38" t="s">
        <v>14703</v>
      </c>
    </row>
    <row r="4930">
      <c r="B4930" s="38" t="s">
        <v>210</v>
      </c>
      <c r="C4930" s="38">
        <v>2.0</v>
      </c>
      <c r="D4930" s="38" t="s">
        <v>3135</v>
      </c>
      <c r="E4930" s="132" t="s">
        <v>325</v>
      </c>
      <c r="F4930" s="38" t="s">
        <v>14703</v>
      </c>
    </row>
    <row r="4931">
      <c r="B4931" s="38" t="s">
        <v>58</v>
      </c>
      <c r="C4931" s="38">
        <v>4.0</v>
      </c>
      <c r="D4931" s="38" t="s">
        <v>6519</v>
      </c>
      <c r="E4931" s="132" t="s">
        <v>2699</v>
      </c>
      <c r="F4931" s="38" t="s">
        <v>11259</v>
      </c>
      <c r="G4931" s="38" t="s">
        <v>2252</v>
      </c>
    </row>
    <row r="4932">
      <c r="B4932" s="38" t="s">
        <v>549</v>
      </c>
      <c r="C4932" s="38">
        <v>4.0</v>
      </c>
      <c r="D4932" s="38" t="s">
        <v>4807</v>
      </c>
      <c r="E4932" s="132" t="s">
        <v>14704</v>
      </c>
      <c r="F4932" s="38" t="s">
        <v>14705</v>
      </c>
      <c r="G4932" s="38" t="s">
        <v>14706</v>
      </c>
    </row>
    <row r="4933">
      <c r="B4933" s="38"/>
      <c r="C4933" s="38"/>
      <c r="D4933" s="38"/>
      <c r="E4933" s="132" t="s">
        <v>14704</v>
      </c>
      <c r="F4933" s="38" t="s">
        <v>14707</v>
      </c>
      <c r="G4933" s="38"/>
    </row>
    <row r="4934">
      <c r="B4934" s="38" t="s">
        <v>9822</v>
      </c>
      <c r="C4934" s="38">
        <v>4.0</v>
      </c>
      <c r="D4934" s="38" t="s">
        <v>2405</v>
      </c>
      <c r="E4934" s="132" t="s">
        <v>14217</v>
      </c>
      <c r="F4934" s="38" t="s">
        <v>3432</v>
      </c>
    </row>
    <row r="4935">
      <c r="B4935" s="38" t="s">
        <v>271</v>
      </c>
      <c r="C4935" s="38">
        <v>4.0</v>
      </c>
      <c r="D4935" s="38" t="s">
        <v>27</v>
      </c>
      <c r="E4935" s="39" t="s">
        <v>2461</v>
      </c>
      <c r="F4935" s="38" t="s">
        <v>14708</v>
      </c>
      <c r="G4935" s="38" t="s">
        <v>14709</v>
      </c>
    </row>
    <row r="4936">
      <c r="B4936" s="38" t="s">
        <v>28</v>
      </c>
      <c r="C4936" s="38">
        <v>2.0</v>
      </c>
      <c r="D4936" s="38" t="s">
        <v>27</v>
      </c>
      <c r="E4936" s="39" t="s">
        <v>2461</v>
      </c>
      <c r="F4936" s="38" t="s">
        <v>4979</v>
      </c>
      <c r="G4936" s="38" t="s">
        <v>14709</v>
      </c>
    </row>
    <row r="4937">
      <c r="B4937" s="38" t="s">
        <v>308</v>
      </c>
      <c r="C4937" s="38">
        <v>4.0</v>
      </c>
      <c r="D4937" s="38" t="s">
        <v>2121</v>
      </c>
      <c r="E4937" s="39" t="s">
        <v>2461</v>
      </c>
      <c r="F4937" s="38" t="s">
        <v>1808</v>
      </c>
      <c r="G4937" s="38" t="s">
        <v>14709</v>
      </c>
    </row>
    <row r="4938">
      <c r="A4938" s="8"/>
      <c r="B4938" s="38" t="s">
        <v>1714</v>
      </c>
      <c r="C4938" s="38">
        <v>4.0</v>
      </c>
      <c r="D4938" s="38" t="s">
        <v>672</v>
      </c>
      <c r="E4938" s="132" t="s">
        <v>1758</v>
      </c>
      <c r="F4938" s="38" t="s">
        <v>14710</v>
      </c>
      <c r="G4938" s="1" t="s">
        <v>14711</v>
      </c>
    </row>
    <row r="4939">
      <c r="A4939" s="8"/>
      <c r="B4939" s="38" t="s">
        <v>128</v>
      </c>
      <c r="C4939" s="38">
        <v>4.0</v>
      </c>
      <c r="D4939" s="38" t="s">
        <v>672</v>
      </c>
      <c r="E4939" s="132" t="s">
        <v>7953</v>
      </c>
      <c r="F4939" s="38" t="s">
        <v>14712</v>
      </c>
      <c r="G4939" s="38" t="s">
        <v>14713</v>
      </c>
      <c r="H4939" s="1" t="s">
        <v>14714</v>
      </c>
    </row>
    <row r="4940">
      <c r="A4940" s="8"/>
      <c r="B4940" s="38" t="s">
        <v>28</v>
      </c>
      <c r="C4940" s="38">
        <v>4.0</v>
      </c>
      <c r="D4940" s="38" t="s">
        <v>672</v>
      </c>
      <c r="E4940" s="132" t="s">
        <v>325</v>
      </c>
      <c r="F4940" s="38" t="s">
        <v>14715</v>
      </c>
    </row>
    <row r="4941">
      <c r="A4941" s="8"/>
      <c r="B4941" s="38" t="s">
        <v>85</v>
      </c>
      <c r="C4941" s="38">
        <v>4.0</v>
      </c>
      <c r="D4941" s="38" t="s">
        <v>2171</v>
      </c>
      <c r="E4941" s="39" t="s">
        <v>1401</v>
      </c>
      <c r="F4941" s="38" t="s">
        <v>14716</v>
      </c>
    </row>
    <row r="4942">
      <c r="A4942" s="8"/>
      <c r="B4942" s="38" t="s">
        <v>58</v>
      </c>
      <c r="C4942" s="38">
        <v>4.0</v>
      </c>
      <c r="D4942" s="38" t="s">
        <v>9994</v>
      </c>
      <c r="E4942" s="39" t="s">
        <v>1401</v>
      </c>
      <c r="F4942" s="38" t="s">
        <v>14716</v>
      </c>
    </row>
    <row r="4943">
      <c r="A4943" s="8"/>
      <c r="B4943" s="38" t="s">
        <v>58</v>
      </c>
      <c r="C4943" s="38">
        <v>4.0</v>
      </c>
      <c r="D4943" s="38" t="s">
        <v>408</v>
      </c>
      <c r="E4943" s="39" t="s">
        <v>1401</v>
      </c>
      <c r="F4943" s="38" t="s">
        <v>14717</v>
      </c>
    </row>
    <row r="4944">
      <c r="A4944" s="8"/>
      <c r="B4944" s="38" t="s">
        <v>246</v>
      </c>
      <c r="C4944" s="38">
        <v>4.0</v>
      </c>
      <c r="D4944" s="38" t="s">
        <v>14718</v>
      </c>
      <c r="E4944" s="39" t="s">
        <v>1401</v>
      </c>
      <c r="F4944" s="38" t="s">
        <v>14719</v>
      </c>
    </row>
    <row r="4945">
      <c r="A4945" s="8"/>
      <c r="B4945" s="38" t="s">
        <v>55</v>
      </c>
      <c r="C4945" s="38">
        <v>4.0</v>
      </c>
      <c r="D4945" s="38" t="s">
        <v>9994</v>
      </c>
      <c r="E4945" s="39" t="s">
        <v>1401</v>
      </c>
      <c r="F4945" s="38" t="s">
        <v>14716</v>
      </c>
    </row>
    <row r="4946">
      <c r="A4946" s="8"/>
      <c r="B4946" s="38" t="s">
        <v>91</v>
      </c>
      <c r="C4946" s="38">
        <v>4.0</v>
      </c>
      <c r="D4946" s="38" t="s">
        <v>672</v>
      </c>
      <c r="E4946" s="132" t="s">
        <v>14720</v>
      </c>
      <c r="F4946" s="38" t="s">
        <v>14721</v>
      </c>
    </row>
    <row r="4947">
      <c r="A4947" s="8"/>
      <c r="B4947" s="38" t="s">
        <v>411</v>
      </c>
      <c r="C4947" s="38">
        <v>4.0</v>
      </c>
      <c r="D4947" s="38" t="s">
        <v>14722</v>
      </c>
      <c r="E4947" s="91" t="s">
        <v>14723</v>
      </c>
      <c r="F4947" s="38" t="s">
        <v>14724</v>
      </c>
    </row>
    <row r="4948">
      <c r="A4948" s="8"/>
      <c r="B4948" s="38" t="s">
        <v>128</v>
      </c>
      <c r="C4948" s="38">
        <v>4.0</v>
      </c>
      <c r="D4948" s="38" t="s">
        <v>14725</v>
      </c>
      <c r="E4948" s="91" t="s">
        <v>14723</v>
      </c>
      <c r="F4948" s="38" t="s">
        <v>14726</v>
      </c>
    </row>
    <row r="4949">
      <c r="A4949" s="8"/>
      <c r="B4949" s="38"/>
      <c r="C4949" s="38"/>
      <c r="D4949" s="38"/>
      <c r="E4949" s="91" t="s">
        <v>14723</v>
      </c>
      <c r="F4949" s="38" t="s">
        <v>14727</v>
      </c>
    </row>
    <row r="4950">
      <c r="A4950" s="8"/>
      <c r="B4950" s="38"/>
      <c r="C4950" s="38"/>
      <c r="D4950" s="38"/>
      <c r="E4950" s="91" t="s">
        <v>14723</v>
      </c>
      <c r="F4950" s="38" t="s">
        <v>14728</v>
      </c>
    </row>
    <row r="4951">
      <c r="A4951" s="8"/>
      <c r="B4951" s="38" t="s">
        <v>1432</v>
      </c>
      <c r="C4951" s="38">
        <v>4.0</v>
      </c>
      <c r="D4951" s="38" t="s">
        <v>3215</v>
      </c>
      <c r="E4951" s="132" t="s">
        <v>14729</v>
      </c>
      <c r="F4951" s="38" t="s">
        <v>14730</v>
      </c>
      <c r="G4951" s="38" t="s">
        <v>14016</v>
      </c>
    </row>
    <row r="4952">
      <c r="A4952" s="8"/>
      <c r="B4952" s="38"/>
      <c r="C4952" s="38"/>
      <c r="D4952" s="38"/>
      <c r="E4952" s="132" t="s">
        <v>4077</v>
      </c>
      <c r="F4952" s="304" t="s">
        <v>14731</v>
      </c>
      <c r="G4952" s="38" t="s">
        <v>14016</v>
      </c>
    </row>
    <row r="4953">
      <c r="A4953" s="8"/>
      <c r="B4953" s="38" t="s">
        <v>22</v>
      </c>
      <c r="C4953" s="38">
        <v>2.0</v>
      </c>
      <c r="D4953" s="38" t="s">
        <v>3215</v>
      </c>
      <c r="E4953" s="132" t="s">
        <v>6969</v>
      </c>
      <c r="F4953" s="38" t="s">
        <v>14732</v>
      </c>
    </row>
    <row r="4954">
      <c r="B4954" s="38" t="s">
        <v>25</v>
      </c>
      <c r="C4954" s="38">
        <v>4.0</v>
      </c>
      <c r="D4954" s="38" t="s">
        <v>1964</v>
      </c>
      <c r="E4954" s="132" t="s">
        <v>337</v>
      </c>
      <c r="F4954" s="38" t="s">
        <v>14675</v>
      </c>
    </row>
    <row r="4955">
      <c r="B4955" s="38" t="s">
        <v>2698</v>
      </c>
      <c r="C4955" s="38">
        <v>4.0</v>
      </c>
      <c r="D4955" s="38" t="s">
        <v>14733</v>
      </c>
      <c r="E4955" s="132" t="s">
        <v>14734</v>
      </c>
      <c r="F4955" s="38" t="s">
        <v>14735</v>
      </c>
    </row>
    <row r="4956">
      <c r="B4956" s="38" t="s">
        <v>1349</v>
      </c>
      <c r="C4956" s="38">
        <v>4.0</v>
      </c>
      <c r="D4956" s="38" t="s">
        <v>14736</v>
      </c>
      <c r="E4956" s="132" t="s">
        <v>4478</v>
      </c>
      <c r="F4956" s="38" t="s">
        <v>7298</v>
      </c>
    </row>
    <row r="4957">
      <c r="B4957" s="38" t="s">
        <v>1349</v>
      </c>
      <c r="C4957" s="38">
        <v>4.0</v>
      </c>
      <c r="D4957" s="38" t="s">
        <v>6581</v>
      </c>
      <c r="E4957" s="132" t="s">
        <v>14737</v>
      </c>
      <c r="F4957" s="38" t="s">
        <v>4107</v>
      </c>
    </row>
    <row r="4958">
      <c r="B4958" s="38" t="s">
        <v>271</v>
      </c>
      <c r="C4958" s="38">
        <v>4.0</v>
      </c>
      <c r="D4958" s="38" t="s">
        <v>433</v>
      </c>
      <c r="E4958" s="132" t="s">
        <v>4478</v>
      </c>
      <c r="F4958" s="38" t="s">
        <v>14738</v>
      </c>
    </row>
    <row r="4959">
      <c r="B4959" s="38" t="s">
        <v>25</v>
      </c>
      <c r="C4959" s="38">
        <v>4.0</v>
      </c>
      <c r="D4959" s="38" t="s">
        <v>6192</v>
      </c>
      <c r="E4959" s="132" t="s">
        <v>4478</v>
      </c>
      <c r="F4959" s="38" t="s">
        <v>14739</v>
      </c>
    </row>
    <row r="4960">
      <c r="B4960" s="38" t="s">
        <v>88</v>
      </c>
      <c r="C4960" s="38">
        <v>4.0</v>
      </c>
      <c r="D4960" s="38" t="s">
        <v>14740</v>
      </c>
      <c r="E4960" s="132" t="s">
        <v>418</v>
      </c>
      <c r="F4960" s="38" t="s">
        <v>14741</v>
      </c>
      <c r="G4960" s="38" t="s">
        <v>14742</v>
      </c>
    </row>
    <row r="4961">
      <c r="B4961" s="38" t="s">
        <v>88</v>
      </c>
      <c r="C4961" s="38">
        <v>4.0</v>
      </c>
      <c r="D4961" s="38" t="s">
        <v>14740</v>
      </c>
      <c r="E4961" s="132" t="s">
        <v>418</v>
      </c>
      <c r="F4961" s="38" t="s">
        <v>14741</v>
      </c>
      <c r="G4961" s="38" t="s">
        <v>14742</v>
      </c>
    </row>
    <row r="4962">
      <c r="B4962" s="38" t="s">
        <v>271</v>
      </c>
      <c r="C4962" s="38">
        <v>2.0</v>
      </c>
      <c r="D4962" s="38" t="s">
        <v>545</v>
      </c>
      <c r="E4962" s="132" t="s">
        <v>418</v>
      </c>
      <c r="F4962" s="38"/>
      <c r="G4962" s="38" t="s">
        <v>14742</v>
      </c>
    </row>
    <row r="4963">
      <c r="B4963" s="561" t="s">
        <v>14743</v>
      </c>
      <c r="C4963" s="38">
        <v>4.0</v>
      </c>
      <c r="D4963" s="38" t="s">
        <v>14744</v>
      </c>
      <c r="E4963" s="132" t="s">
        <v>418</v>
      </c>
      <c r="F4963" s="44"/>
      <c r="G4963" s="38" t="s">
        <v>14742</v>
      </c>
    </row>
    <row r="4964">
      <c r="B4964" s="562" t="s">
        <v>14745</v>
      </c>
      <c r="C4964" s="38">
        <v>4.0</v>
      </c>
      <c r="D4964" s="38" t="s">
        <v>14744</v>
      </c>
      <c r="E4964" s="132" t="s">
        <v>418</v>
      </c>
      <c r="F4964" s="38"/>
      <c r="G4964" s="38" t="s">
        <v>14742</v>
      </c>
    </row>
    <row r="4965">
      <c r="B4965" s="392" t="s">
        <v>14746</v>
      </c>
      <c r="C4965" s="38">
        <v>4.0</v>
      </c>
      <c r="D4965" s="38" t="s">
        <v>14744</v>
      </c>
      <c r="E4965" s="132" t="s">
        <v>418</v>
      </c>
      <c r="F4965" s="38"/>
      <c r="G4965" s="38" t="s">
        <v>14742</v>
      </c>
    </row>
    <row r="4966">
      <c r="B4966" s="38" t="s">
        <v>261</v>
      </c>
      <c r="C4966" s="38">
        <v>4.0</v>
      </c>
      <c r="D4966" s="38" t="s">
        <v>2795</v>
      </c>
      <c r="E4966" s="132" t="s">
        <v>1758</v>
      </c>
      <c r="F4966" s="38" t="s">
        <v>14747</v>
      </c>
    </row>
    <row r="4967">
      <c r="B4967" s="38" t="s">
        <v>1182</v>
      </c>
      <c r="C4967" s="38">
        <v>4.0</v>
      </c>
      <c r="D4967" s="38" t="s">
        <v>2061</v>
      </c>
      <c r="E4967" s="132" t="s">
        <v>14748</v>
      </c>
      <c r="F4967" s="38" t="s">
        <v>14749</v>
      </c>
      <c r="G4967" s="38" t="s">
        <v>14750</v>
      </c>
    </row>
    <row r="4968">
      <c r="B4968" s="38" t="s">
        <v>479</v>
      </c>
      <c r="C4968" s="38">
        <v>2.0</v>
      </c>
      <c r="D4968" s="38" t="s">
        <v>684</v>
      </c>
      <c r="E4968" s="132" t="s">
        <v>325</v>
      </c>
      <c r="F4968" s="38" t="s">
        <v>14751</v>
      </c>
    </row>
    <row r="4969">
      <c r="B4969" s="38" t="s">
        <v>354</v>
      </c>
      <c r="C4969" s="38">
        <v>2.0</v>
      </c>
      <c r="D4969" s="38" t="s">
        <v>684</v>
      </c>
      <c r="E4969" s="132" t="s">
        <v>325</v>
      </c>
      <c r="F4969" s="38" t="s">
        <v>14751</v>
      </c>
    </row>
    <row r="4970">
      <c r="B4970" s="59" t="s">
        <v>14752</v>
      </c>
      <c r="C4970" s="38">
        <v>2.0</v>
      </c>
      <c r="D4970" s="38" t="s">
        <v>14753</v>
      </c>
      <c r="E4970" s="132" t="s">
        <v>325</v>
      </c>
      <c r="F4970" s="38" t="s">
        <v>14754</v>
      </c>
      <c r="G4970" s="38" t="s">
        <v>14755</v>
      </c>
    </row>
    <row r="4971">
      <c r="B4971" s="59" t="s">
        <v>14756</v>
      </c>
      <c r="C4971" s="38">
        <v>2.0</v>
      </c>
      <c r="D4971" s="38" t="s">
        <v>14753</v>
      </c>
      <c r="E4971" s="132" t="s">
        <v>325</v>
      </c>
      <c r="F4971" s="38" t="s">
        <v>14754</v>
      </c>
      <c r="G4971" s="44"/>
    </row>
    <row r="4972">
      <c r="B4972" s="59" t="s">
        <v>14757</v>
      </c>
      <c r="C4972" s="38">
        <v>4.0</v>
      </c>
      <c r="D4972" s="38" t="s">
        <v>14758</v>
      </c>
      <c r="E4972" s="132" t="s">
        <v>325</v>
      </c>
      <c r="F4972" s="38" t="s">
        <v>14754</v>
      </c>
      <c r="G4972" s="44"/>
    </row>
    <row r="4973">
      <c r="B4973" s="38"/>
      <c r="C4973" s="38">
        <v>20.0</v>
      </c>
      <c r="D4973" s="38" t="s">
        <v>14759</v>
      </c>
      <c r="E4973" s="132" t="s">
        <v>325</v>
      </c>
      <c r="F4973" s="38" t="s">
        <v>14760</v>
      </c>
      <c r="G4973" s="38" t="s">
        <v>14761</v>
      </c>
    </row>
    <row r="4974">
      <c r="B4974" s="38" t="s">
        <v>271</v>
      </c>
      <c r="C4974" s="38">
        <v>4.0</v>
      </c>
      <c r="D4974" s="38" t="s">
        <v>50</v>
      </c>
      <c r="E4974" s="132" t="s">
        <v>11410</v>
      </c>
      <c r="F4974" s="38" t="s">
        <v>6629</v>
      </c>
    </row>
    <row r="4975">
      <c r="A4975" s="44"/>
      <c r="B4975" s="38" t="s">
        <v>2365</v>
      </c>
      <c r="C4975" s="38">
        <v>4.0</v>
      </c>
      <c r="D4975" s="38" t="s">
        <v>3215</v>
      </c>
      <c r="E4975" s="132" t="s">
        <v>14762</v>
      </c>
      <c r="F4975" s="38" t="s">
        <v>14763</v>
      </c>
      <c r="G4975" s="38" t="s">
        <v>14764</v>
      </c>
    </row>
    <row r="4976">
      <c r="A4976" s="38" t="s">
        <v>14765</v>
      </c>
      <c r="B4976" s="38" t="s">
        <v>77</v>
      </c>
      <c r="C4976" s="38">
        <v>4.0</v>
      </c>
      <c r="D4976" s="38" t="s">
        <v>2171</v>
      </c>
      <c r="E4976" s="132" t="s">
        <v>4811</v>
      </c>
      <c r="F4976" s="44"/>
      <c r="G4976" s="38" t="s">
        <v>14766</v>
      </c>
    </row>
    <row r="4977">
      <c r="B4977" s="38" t="s">
        <v>333</v>
      </c>
      <c r="C4977" s="38">
        <v>4.0</v>
      </c>
      <c r="D4977" s="38" t="s">
        <v>12771</v>
      </c>
      <c r="E4977" s="132" t="s">
        <v>14767</v>
      </c>
      <c r="F4977" s="38" t="s">
        <v>14735</v>
      </c>
    </row>
    <row r="4978">
      <c r="B4978" s="38" t="s">
        <v>25</v>
      </c>
      <c r="C4978" s="38">
        <v>2.0</v>
      </c>
      <c r="D4978" s="38" t="s">
        <v>14768</v>
      </c>
      <c r="E4978" s="132" t="s">
        <v>396</v>
      </c>
      <c r="F4978" s="38" t="s">
        <v>14769</v>
      </c>
      <c r="G4978" s="38" t="s">
        <v>13899</v>
      </c>
    </row>
    <row r="4979">
      <c r="B4979" s="38" t="s">
        <v>6886</v>
      </c>
      <c r="C4979" s="38">
        <v>2.0</v>
      </c>
      <c r="D4979" s="38" t="s">
        <v>14770</v>
      </c>
      <c r="E4979" s="132" t="s">
        <v>325</v>
      </c>
      <c r="F4979" s="38" t="s">
        <v>14771</v>
      </c>
    </row>
    <row r="4980">
      <c r="B4980" s="38" t="s">
        <v>360</v>
      </c>
      <c r="C4980" s="38">
        <v>2.0</v>
      </c>
      <c r="D4980" s="38" t="s">
        <v>14770</v>
      </c>
      <c r="E4980" s="132" t="s">
        <v>325</v>
      </c>
      <c r="F4980" s="38" t="s">
        <v>14771</v>
      </c>
    </row>
    <row r="4981">
      <c r="A4981" s="4" t="s">
        <v>14772</v>
      </c>
      <c r="B4981" s="38" t="s">
        <v>183</v>
      </c>
      <c r="C4981" s="38">
        <v>4.0</v>
      </c>
      <c r="D4981" s="38" t="s">
        <v>672</v>
      </c>
      <c r="E4981" s="132" t="s">
        <v>4709</v>
      </c>
      <c r="F4981" s="38" t="s">
        <v>14773</v>
      </c>
      <c r="G4981" s="38" t="s">
        <v>14774</v>
      </c>
    </row>
    <row r="4982">
      <c r="B4982" s="38" t="s">
        <v>14775</v>
      </c>
      <c r="C4982" s="38">
        <v>4.0</v>
      </c>
      <c r="D4982" s="38" t="s">
        <v>14776</v>
      </c>
      <c r="E4982" s="39" t="s">
        <v>14777</v>
      </c>
      <c r="F4982" s="38" t="s">
        <v>14778</v>
      </c>
    </row>
    <row r="4983">
      <c r="B4983" s="38" t="s">
        <v>58</v>
      </c>
      <c r="C4983" s="38">
        <v>4.0</v>
      </c>
      <c r="D4983" s="38" t="s">
        <v>427</v>
      </c>
      <c r="E4983" s="132" t="s">
        <v>14779</v>
      </c>
      <c r="F4983" s="38" t="s">
        <v>14780</v>
      </c>
      <c r="G4983" s="504" t="s">
        <v>14781</v>
      </c>
    </row>
    <row r="4984">
      <c r="B4984" s="38" t="s">
        <v>246</v>
      </c>
      <c r="C4984" s="38">
        <v>4.0</v>
      </c>
      <c r="D4984" s="38" t="s">
        <v>2934</v>
      </c>
      <c r="E4984" s="132" t="s">
        <v>14782</v>
      </c>
      <c r="F4984" s="38" t="s">
        <v>2549</v>
      </c>
      <c r="G4984" s="1" t="s">
        <v>14783</v>
      </c>
    </row>
    <row r="4985">
      <c r="B4985" s="38" t="s">
        <v>63</v>
      </c>
      <c r="C4985" s="38">
        <v>6.0</v>
      </c>
      <c r="D4985" s="38" t="s">
        <v>3982</v>
      </c>
      <c r="E4985" s="132" t="s">
        <v>11606</v>
      </c>
      <c r="F4985" s="38" t="s">
        <v>4107</v>
      </c>
      <c r="G4985" s="44"/>
      <c r="H4985" s="38" t="s">
        <v>14784</v>
      </c>
    </row>
    <row r="4986">
      <c r="B4986" s="38" t="s">
        <v>63</v>
      </c>
      <c r="C4986" s="38">
        <v>4.0</v>
      </c>
      <c r="D4986" s="38" t="s">
        <v>14785</v>
      </c>
      <c r="E4986" s="132" t="s">
        <v>11606</v>
      </c>
      <c r="F4986" s="304" t="s">
        <v>14786</v>
      </c>
      <c r="G4986" s="44"/>
      <c r="H4986" s="38" t="s">
        <v>14784</v>
      </c>
    </row>
    <row r="4987">
      <c r="B4987" s="38" t="s">
        <v>63</v>
      </c>
      <c r="C4987" s="38">
        <v>4.0</v>
      </c>
      <c r="D4987" s="38" t="s">
        <v>3982</v>
      </c>
      <c r="E4987" s="132" t="s">
        <v>11606</v>
      </c>
      <c r="F4987" s="521" t="s">
        <v>14787</v>
      </c>
      <c r="G4987" s="44"/>
      <c r="H4987" s="38" t="s">
        <v>14784</v>
      </c>
    </row>
    <row r="4988">
      <c r="B4988" s="38" t="s">
        <v>63</v>
      </c>
      <c r="C4988" s="38">
        <v>2.0</v>
      </c>
      <c r="D4988" s="38" t="s">
        <v>3982</v>
      </c>
      <c r="E4988" s="132" t="s">
        <v>11606</v>
      </c>
      <c r="F4988" s="304" t="s">
        <v>14788</v>
      </c>
      <c r="G4988" s="38" t="s">
        <v>14789</v>
      </c>
      <c r="H4988" s="38" t="s">
        <v>14784</v>
      </c>
    </row>
    <row r="4989">
      <c r="B4989" s="38" t="s">
        <v>63</v>
      </c>
      <c r="C4989" s="38">
        <v>2.0</v>
      </c>
      <c r="D4989" s="38" t="s">
        <v>3982</v>
      </c>
      <c r="E4989" s="132" t="s">
        <v>14790</v>
      </c>
      <c r="F4989" s="304" t="s">
        <v>14791</v>
      </c>
      <c r="G4989" s="38"/>
      <c r="H4989" s="38" t="s">
        <v>14784</v>
      </c>
    </row>
    <row r="4990">
      <c r="B4990" s="38" t="s">
        <v>63</v>
      </c>
      <c r="C4990" s="38">
        <v>4.0</v>
      </c>
      <c r="D4990" s="38" t="s">
        <v>3982</v>
      </c>
      <c r="E4990" s="132" t="s">
        <v>11606</v>
      </c>
      <c r="F4990" s="304" t="s">
        <v>14792</v>
      </c>
    </row>
    <row r="4991">
      <c r="B4991" s="5" t="s">
        <v>271</v>
      </c>
      <c r="C4991" s="5">
        <v>4.0</v>
      </c>
      <c r="D4991" s="5" t="s">
        <v>6192</v>
      </c>
      <c r="E4991" s="150" t="s">
        <v>514</v>
      </c>
      <c r="F4991" s="5" t="s">
        <v>7252</v>
      </c>
    </row>
    <row r="4992">
      <c r="B4992" s="38" t="s">
        <v>1400</v>
      </c>
      <c r="C4992" s="38">
        <v>4.0</v>
      </c>
      <c r="D4992" s="38" t="s">
        <v>3131</v>
      </c>
      <c r="E4992" s="132" t="s">
        <v>2971</v>
      </c>
      <c r="F4992" s="38" t="s">
        <v>14793</v>
      </c>
      <c r="G4992" s="38" t="s">
        <v>14750</v>
      </c>
    </row>
    <row r="4993">
      <c r="B4993" s="38"/>
      <c r="C4993" s="38"/>
      <c r="D4993" s="38"/>
      <c r="E4993" s="132" t="s">
        <v>13058</v>
      </c>
      <c r="F4993" s="38" t="s">
        <v>14794</v>
      </c>
      <c r="G4993" s="38" t="s">
        <v>14795</v>
      </c>
    </row>
    <row r="4994">
      <c r="B4994" s="38" t="s">
        <v>88</v>
      </c>
      <c r="C4994" s="38">
        <v>4.0</v>
      </c>
      <c r="D4994" s="38" t="s">
        <v>6476</v>
      </c>
      <c r="E4994" s="132" t="s">
        <v>13058</v>
      </c>
      <c r="F4994" s="38" t="s">
        <v>14796</v>
      </c>
      <c r="G4994" s="38" t="s">
        <v>14795</v>
      </c>
    </row>
    <row r="4995">
      <c r="B4995" s="38" t="s">
        <v>430</v>
      </c>
      <c r="C4995" s="38">
        <v>4.0</v>
      </c>
      <c r="D4995" s="38" t="s">
        <v>6747</v>
      </c>
      <c r="E4995" s="132" t="s">
        <v>13058</v>
      </c>
      <c r="F4995" s="38" t="s">
        <v>14797</v>
      </c>
      <c r="G4995" s="38" t="s">
        <v>14798</v>
      </c>
    </row>
    <row r="4996">
      <c r="B4996" s="38" t="s">
        <v>1761</v>
      </c>
      <c r="C4996" s="38">
        <v>4.0</v>
      </c>
      <c r="D4996" s="38" t="s">
        <v>3135</v>
      </c>
      <c r="E4996" s="132" t="s">
        <v>4478</v>
      </c>
      <c r="F4996" s="38" t="s">
        <v>14799</v>
      </c>
    </row>
    <row r="4997">
      <c r="B4997" s="38" t="s">
        <v>14800</v>
      </c>
      <c r="C4997" s="38">
        <v>1.0</v>
      </c>
      <c r="D4997" s="38" t="s">
        <v>1155</v>
      </c>
      <c r="E4997" s="132" t="s">
        <v>6359</v>
      </c>
      <c r="F4997" s="38" t="s">
        <v>14801</v>
      </c>
    </row>
    <row r="4998">
      <c r="B4998" s="38" t="s">
        <v>14800</v>
      </c>
      <c r="C4998" s="38">
        <v>4.0</v>
      </c>
      <c r="D4998" s="38" t="s">
        <v>1155</v>
      </c>
      <c r="E4998" s="132" t="s">
        <v>6359</v>
      </c>
      <c r="F4998" s="38" t="s">
        <v>14802</v>
      </c>
    </row>
    <row r="4999">
      <c r="A4999" s="84"/>
      <c r="B4999" s="38" t="s">
        <v>2573</v>
      </c>
      <c r="C4999" s="38">
        <v>4.0</v>
      </c>
      <c r="D4999" s="38" t="s">
        <v>14803</v>
      </c>
      <c r="E4999" s="132" t="s">
        <v>14804</v>
      </c>
      <c r="F4999" s="38"/>
    </row>
    <row r="5000">
      <c r="B5000" s="38" t="s">
        <v>25</v>
      </c>
      <c r="C5000" s="38">
        <v>4.0</v>
      </c>
      <c r="D5000" s="38" t="s">
        <v>27</v>
      </c>
      <c r="E5000" s="132" t="s">
        <v>14805</v>
      </c>
      <c r="F5000" s="38" t="s">
        <v>14806</v>
      </c>
    </row>
    <row r="5001">
      <c r="B5001" s="38" t="s">
        <v>271</v>
      </c>
      <c r="C5001" s="38">
        <v>4.0</v>
      </c>
      <c r="D5001" s="132" t="s">
        <v>2405</v>
      </c>
      <c r="E5001" s="112" t="s">
        <v>14807</v>
      </c>
      <c r="F5001" s="38" t="s">
        <v>14808</v>
      </c>
    </row>
    <row r="5002">
      <c r="B5002" s="38" t="s">
        <v>246</v>
      </c>
      <c r="C5002" s="38">
        <v>4.0</v>
      </c>
      <c r="D5002" s="38" t="s">
        <v>3330</v>
      </c>
      <c r="E5002" s="132" t="s">
        <v>2061</v>
      </c>
      <c r="F5002" s="38" t="s">
        <v>14809</v>
      </c>
    </row>
    <row r="5003">
      <c r="A5003" s="465"/>
      <c r="B5003" s="38" t="s">
        <v>789</v>
      </c>
      <c r="C5003" s="38">
        <v>4.0</v>
      </c>
      <c r="D5003" s="38" t="s">
        <v>2423</v>
      </c>
      <c r="E5003" s="132" t="s">
        <v>14810</v>
      </c>
      <c r="F5003" s="38" t="s">
        <v>14811</v>
      </c>
    </row>
    <row r="5004">
      <c r="B5004" s="44"/>
      <c r="C5004" s="38"/>
      <c r="D5004" s="38" t="s">
        <v>11392</v>
      </c>
      <c r="E5004" s="132" t="s">
        <v>14810</v>
      </c>
      <c r="F5004" s="38" t="s">
        <v>14811</v>
      </c>
    </row>
    <row r="5005">
      <c r="B5005" s="44"/>
      <c r="C5005" s="38"/>
      <c r="D5005" s="38" t="s">
        <v>14812</v>
      </c>
      <c r="E5005" s="132" t="s">
        <v>14810</v>
      </c>
      <c r="F5005" s="38" t="s">
        <v>14811</v>
      </c>
    </row>
    <row r="5006">
      <c r="B5006" s="38" t="s">
        <v>28</v>
      </c>
      <c r="C5006" s="38">
        <v>4.0</v>
      </c>
      <c r="D5006" s="38" t="s">
        <v>3135</v>
      </c>
      <c r="E5006" s="132" t="s">
        <v>325</v>
      </c>
      <c r="F5006" s="38" t="s">
        <v>14813</v>
      </c>
    </row>
    <row r="5007">
      <c r="B5007" s="38" t="s">
        <v>261</v>
      </c>
      <c r="C5007" s="38">
        <v>2.0</v>
      </c>
      <c r="D5007" s="38" t="s">
        <v>2121</v>
      </c>
      <c r="E5007" s="132" t="s">
        <v>14814</v>
      </c>
      <c r="F5007" s="38" t="s">
        <v>14376</v>
      </c>
    </row>
    <row r="5008">
      <c r="B5008" s="38" t="s">
        <v>2728</v>
      </c>
      <c r="C5008" s="38">
        <v>4.0</v>
      </c>
      <c r="D5008" s="38" t="s">
        <v>6571</v>
      </c>
      <c r="E5008" s="132" t="s">
        <v>221</v>
      </c>
      <c r="F5008" s="38" t="s">
        <v>14815</v>
      </c>
    </row>
    <row r="5009">
      <c r="B5009" s="38"/>
      <c r="C5009" s="38">
        <v>4.0</v>
      </c>
      <c r="D5009" s="38" t="s">
        <v>14816</v>
      </c>
      <c r="E5009" s="132" t="s">
        <v>221</v>
      </c>
      <c r="F5009" s="38" t="s">
        <v>14815</v>
      </c>
    </row>
    <row r="5010">
      <c r="B5010" s="38" t="s">
        <v>88</v>
      </c>
      <c r="C5010" s="38">
        <v>4.0</v>
      </c>
      <c r="D5010" s="38" t="s">
        <v>684</v>
      </c>
      <c r="E5010" s="471" t="s">
        <v>14817</v>
      </c>
      <c r="F5010" s="38" t="s">
        <v>14818</v>
      </c>
    </row>
    <row r="5011">
      <c r="B5011" s="38" t="s">
        <v>7470</v>
      </c>
      <c r="C5011" s="38">
        <v>4.0</v>
      </c>
      <c r="D5011" s="38" t="s">
        <v>14819</v>
      </c>
      <c r="E5011" s="132" t="s">
        <v>337</v>
      </c>
      <c r="F5011" s="38" t="s">
        <v>14675</v>
      </c>
    </row>
    <row r="5012">
      <c r="B5012" s="38" t="s">
        <v>14820</v>
      </c>
      <c r="C5012" s="38" t="s">
        <v>14821</v>
      </c>
      <c r="D5012" s="38" t="s">
        <v>14822</v>
      </c>
      <c r="E5012" s="132" t="s">
        <v>337</v>
      </c>
      <c r="F5012" s="38" t="s">
        <v>14675</v>
      </c>
    </row>
    <row r="5013">
      <c r="B5013" s="38" t="s">
        <v>7578</v>
      </c>
      <c r="C5013" s="38">
        <v>4.0</v>
      </c>
      <c r="D5013" s="38" t="s">
        <v>2492</v>
      </c>
      <c r="E5013" s="132" t="s">
        <v>1773</v>
      </c>
      <c r="F5013" s="38" t="s">
        <v>14823</v>
      </c>
      <c r="G5013" s="38" t="s">
        <v>14824</v>
      </c>
    </row>
    <row r="5014">
      <c r="B5014" s="38" t="s">
        <v>77</v>
      </c>
      <c r="C5014" s="38">
        <v>4.0</v>
      </c>
      <c r="D5014" s="38" t="s">
        <v>6192</v>
      </c>
      <c r="E5014" s="132" t="s">
        <v>5357</v>
      </c>
      <c r="F5014" s="38" t="s">
        <v>14825</v>
      </c>
      <c r="G5014" s="38" t="s">
        <v>14824</v>
      </c>
    </row>
    <row r="5015">
      <c r="B5015" s="38" t="s">
        <v>177</v>
      </c>
      <c r="C5015" s="38">
        <v>4.0</v>
      </c>
      <c r="D5015" s="38" t="s">
        <v>2405</v>
      </c>
      <c r="E5015" s="132" t="s">
        <v>14826</v>
      </c>
      <c r="F5015" s="38" t="s">
        <v>6134</v>
      </c>
    </row>
    <row r="5016">
      <c r="B5016" s="38" t="s">
        <v>2216</v>
      </c>
      <c r="C5016" s="38">
        <v>4.0</v>
      </c>
      <c r="D5016" s="38" t="s">
        <v>684</v>
      </c>
      <c r="E5016" s="132" t="s">
        <v>4741</v>
      </c>
      <c r="F5016" s="38" t="s">
        <v>14827</v>
      </c>
    </row>
    <row r="5017">
      <c r="B5017" s="38" t="s">
        <v>1454</v>
      </c>
      <c r="C5017" s="38">
        <v>4.0</v>
      </c>
      <c r="D5017" s="38" t="s">
        <v>6571</v>
      </c>
      <c r="E5017" s="132" t="s">
        <v>14828</v>
      </c>
      <c r="F5017" s="38" t="s">
        <v>14829</v>
      </c>
      <c r="G5017" s="38" t="s">
        <v>14830</v>
      </c>
    </row>
    <row r="5018">
      <c r="B5018" s="38" t="s">
        <v>1010</v>
      </c>
      <c r="C5018" s="38">
        <v>4.0</v>
      </c>
      <c r="D5018" s="38" t="s">
        <v>560</v>
      </c>
      <c r="E5018" s="132" t="s">
        <v>14831</v>
      </c>
      <c r="F5018" s="38" t="s">
        <v>14832</v>
      </c>
    </row>
    <row r="5019">
      <c r="B5019" s="38" t="s">
        <v>1513</v>
      </c>
      <c r="C5019" s="38">
        <v>4.0</v>
      </c>
      <c r="D5019" s="38" t="s">
        <v>14736</v>
      </c>
      <c r="E5019" s="132" t="s">
        <v>14833</v>
      </c>
      <c r="F5019" s="38" t="s">
        <v>14834</v>
      </c>
    </row>
    <row r="5020">
      <c r="B5020" s="38" t="s">
        <v>271</v>
      </c>
      <c r="C5020" s="38">
        <v>4.0</v>
      </c>
      <c r="D5020" s="38" t="s">
        <v>672</v>
      </c>
      <c r="E5020" s="39" t="s">
        <v>14835</v>
      </c>
      <c r="F5020" s="38" t="s">
        <v>14836</v>
      </c>
    </row>
    <row r="5021">
      <c r="B5021" s="38" t="s">
        <v>205</v>
      </c>
      <c r="C5021" s="38">
        <v>4.0</v>
      </c>
      <c r="D5021" s="38" t="s">
        <v>433</v>
      </c>
      <c r="E5021" s="132" t="s">
        <v>1017</v>
      </c>
      <c r="F5021" s="38" t="s">
        <v>14159</v>
      </c>
    </row>
    <row r="5022">
      <c r="B5022" s="38" t="s">
        <v>308</v>
      </c>
      <c r="C5022" s="38">
        <v>4.0</v>
      </c>
      <c r="D5022" s="38" t="s">
        <v>6192</v>
      </c>
      <c r="E5022" s="39" t="s">
        <v>14837</v>
      </c>
      <c r="F5022" s="38" t="s">
        <v>14838</v>
      </c>
    </row>
    <row r="5023">
      <c r="B5023" s="38" t="s">
        <v>2159</v>
      </c>
      <c r="C5023" s="38">
        <v>4.0</v>
      </c>
      <c r="D5023" s="38" t="s">
        <v>14839</v>
      </c>
      <c r="E5023" s="39" t="s">
        <v>9945</v>
      </c>
      <c r="F5023" s="38" t="s">
        <v>14840</v>
      </c>
      <c r="G5023" s="38" t="s">
        <v>14841</v>
      </c>
    </row>
    <row r="5024">
      <c r="B5024" s="38" t="s">
        <v>22</v>
      </c>
      <c r="C5024" s="38">
        <v>4.0</v>
      </c>
      <c r="D5024" s="38" t="s">
        <v>6569</v>
      </c>
      <c r="E5024" s="39" t="s">
        <v>9945</v>
      </c>
      <c r="F5024" s="38" t="s">
        <v>14842</v>
      </c>
      <c r="G5024" s="38" t="s">
        <v>14841</v>
      </c>
    </row>
    <row r="5025">
      <c r="A5025" s="33" t="s">
        <v>14843</v>
      </c>
      <c r="B5025" s="38" t="s">
        <v>25</v>
      </c>
      <c r="C5025" s="38">
        <v>4.0</v>
      </c>
      <c r="D5025" s="38" t="s">
        <v>6569</v>
      </c>
      <c r="E5025" s="132" t="s">
        <v>7330</v>
      </c>
      <c r="F5025" s="38" t="s">
        <v>14844</v>
      </c>
    </row>
    <row r="5026">
      <c r="B5026" s="38"/>
      <c r="C5026" s="38"/>
      <c r="D5026" s="38"/>
      <c r="E5026" s="132" t="s">
        <v>8364</v>
      </c>
      <c r="F5026" s="38" t="s">
        <v>14845</v>
      </c>
      <c r="G5026" s="38" t="s">
        <v>14846</v>
      </c>
    </row>
    <row r="5027">
      <c r="B5027" s="304" t="s">
        <v>14847</v>
      </c>
      <c r="C5027" s="38" t="s">
        <v>14848</v>
      </c>
      <c r="D5027" s="38"/>
      <c r="E5027" s="543" t="s">
        <v>14849</v>
      </c>
      <c r="F5027" s="38" t="s">
        <v>14850</v>
      </c>
    </row>
    <row r="5028">
      <c r="B5028" s="38" t="s">
        <v>354</v>
      </c>
      <c r="C5028" s="38">
        <v>4.0</v>
      </c>
      <c r="D5028" s="38" t="s">
        <v>14851</v>
      </c>
      <c r="E5028" s="132" t="s">
        <v>396</v>
      </c>
      <c r="F5028" s="38" t="s">
        <v>14852</v>
      </c>
    </row>
    <row r="5029">
      <c r="B5029" s="38" t="s">
        <v>2159</v>
      </c>
      <c r="C5029" s="38">
        <v>4.0</v>
      </c>
      <c r="D5029" s="38" t="s">
        <v>630</v>
      </c>
      <c r="E5029" s="132" t="s">
        <v>9871</v>
      </c>
      <c r="F5029" s="38" t="s">
        <v>13718</v>
      </c>
      <c r="G5029" s="38" t="s">
        <v>14853</v>
      </c>
    </row>
    <row r="5030">
      <c r="B5030" s="38" t="s">
        <v>25</v>
      </c>
      <c r="C5030" s="38">
        <v>2.0</v>
      </c>
      <c r="D5030" s="38" t="s">
        <v>27</v>
      </c>
      <c r="E5030" s="132" t="s">
        <v>886</v>
      </c>
      <c r="F5030" s="38" t="s">
        <v>10166</v>
      </c>
      <c r="G5030" s="38" t="s">
        <v>12970</v>
      </c>
    </row>
    <row r="5031">
      <c r="A5031" s="8"/>
      <c r="B5031" s="38" t="s">
        <v>2365</v>
      </c>
      <c r="C5031" s="38">
        <v>4.0</v>
      </c>
      <c r="D5031" s="38" t="s">
        <v>50</v>
      </c>
      <c r="E5031" s="132" t="s">
        <v>1383</v>
      </c>
      <c r="F5031" s="38" t="s">
        <v>14854</v>
      </c>
      <c r="G5031" s="109" t="s">
        <v>14855</v>
      </c>
    </row>
    <row r="5032">
      <c r="B5032" s="38" t="s">
        <v>183</v>
      </c>
      <c r="C5032" s="38">
        <v>4.0</v>
      </c>
      <c r="D5032" s="38" t="s">
        <v>6192</v>
      </c>
      <c r="E5032" s="101" t="s">
        <v>14856</v>
      </c>
      <c r="F5032" s="38" t="s">
        <v>4211</v>
      </c>
    </row>
    <row r="5033">
      <c r="B5033" s="38" t="s">
        <v>3822</v>
      </c>
      <c r="C5033" s="38">
        <v>4.0</v>
      </c>
      <c r="D5033" s="38" t="s">
        <v>7155</v>
      </c>
      <c r="E5033" s="132" t="s">
        <v>14857</v>
      </c>
      <c r="F5033" s="38" t="s">
        <v>14858</v>
      </c>
      <c r="G5033" s="38" t="s">
        <v>14859</v>
      </c>
    </row>
    <row r="5034">
      <c r="B5034" s="5" t="s">
        <v>982</v>
      </c>
      <c r="C5034" s="5">
        <v>2.0</v>
      </c>
      <c r="D5034" s="5" t="s">
        <v>4012</v>
      </c>
      <c r="E5034" s="150" t="s">
        <v>325</v>
      </c>
      <c r="F5034" s="1" t="s">
        <v>14860</v>
      </c>
      <c r="G5034" s="5" t="s">
        <v>14861</v>
      </c>
    </row>
    <row r="5035">
      <c r="B5035" s="38" t="s">
        <v>357</v>
      </c>
      <c r="C5035" s="38">
        <v>4.0</v>
      </c>
      <c r="D5035" s="38" t="s">
        <v>9994</v>
      </c>
      <c r="E5035" s="39" t="s">
        <v>1401</v>
      </c>
      <c r="F5035" s="38" t="s">
        <v>14862</v>
      </c>
    </row>
    <row r="5036">
      <c r="B5036" s="38" t="s">
        <v>354</v>
      </c>
      <c r="C5036" s="38">
        <v>4.0</v>
      </c>
      <c r="D5036" s="38" t="s">
        <v>14863</v>
      </c>
      <c r="E5036" s="132" t="s">
        <v>325</v>
      </c>
      <c r="F5036" s="38" t="s">
        <v>14864</v>
      </c>
    </row>
    <row r="5037">
      <c r="B5037" s="38" t="s">
        <v>464</v>
      </c>
      <c r="C5037" s="38">
        <v>4.0</v>
      </c>
      <c r="D5037" s="38" t="s">
        <v>2421</v>
      </c>
      <c r="E5037" s="132" t="s">
        <v>14865</v>
      </c>
      <c r="F5037" s="38" t="s">
        <v>14866</v>
      </c>
    </row>
    <row r="5038">
      <c r="A5038" s="44"/>
      <c r="B5038" s="38" t="s">
        <v>81</v>
      </c>
      <c r="C5038" s="38">
        <v>4.0</v>
      </c>
      <c r="D5038" s="38" t="s">
        <v>2171</v>
      </c>
      <c r="E5038" s="39" t="s">
        <v>14867</v>
      </c>
      <c r="F5038" s="38" t="s">
        <v>14868</v>
      </c>
      <c r="G5038" s="38" t="s">
        <v>14869</v>
      </c>
    </row>
    <row r="5039">
      <c r="B5039" s="38"/>
      <c r="C5039" s="38"/>
      <c r="D5039" s="38"/>
      <c r="E5039" s="39" t="s">
        <v>14867</v>
      </c>
      <c r="F5039" s="38" t="s">
        <v>14870</v>
      </c>
      <c r="G5039" s="38" t="s">
        <v>14490</v>
      </c>
    </row>
    <row r="5040">
      <c r="B5040" s="38" t="s">
        <v>28</v>
      </c>
      <c r="C5040" s="38">
        <v>4.0</v>
      </c>
      <c r="D5040" s="38" t="s">
        <v>672</v>
      </c>
      <c r="E5040" s="132" t="s">
        <v>8850</v>
      </c>
      <c r="F5040" s="38" t="s">
        <v>14871</v>
      </c>
      <c r="G5040" s="38" t="s">
        <v>14872</v>
      </c>
    </row>
    <row r="5041">
      <c r="B5041" s="38"/>
      <c r="C5041" s="38"/>
      <c r="D5041" s="38"/>
      <c r="E5041" s="132" t="s">
        <v>8850</v>
      </c>
      <c r="F5041" s="38" t="s">
        <v>14873</v>
      </c>
      <c r="G5041" s="38" t="s">
        <v>14872</v>
      </c>
    </row>
    <row r="5042">
      <c r="A5042" s="44"/>
      <c r="B5042" s="38" t="s">
        <v>128</v>
      </c>
      <c r="C5042" s="38">
        <v>4.0</v>
      </c>
      <c r="D5042" s="38" t="s">
        <v>672</v>
      </c>
      <c r="E5042" s="132" t="s">
        <v>1758</v>
      </c>
      <c r="F5042" s="38" t="s">
        <v>14874</v>
      </c>
      <c r="G5042" s="38" t="s">
        <v>14875</v>
      </c>
      <c r="H5042" s="38" t="s">
        <v>1765</v>
      </c>
    </row>
    <row r="5043">
      <c r="B5043" s="38" t="s">
        <v>25</v>
      </c>
      <c r="C5043" s="38">
        <v>2.0</v>
      </c>
      <c r="D5043" s="38" t="s">
        <v>2421</v>
      </c>
      <c r="E5043" s="39" t="s">
        <v>3970</v>
      </c>
      <c r="F5043" s="38" t="s">
        <v>14876</v>
      </c>
    </row>
    <row r="5044">
      <c r="A5044" s="8"/>
      <c r="B5044" s="38" t="s">
        <v>1296</v>
      </c>
      <c r="C5044" s="38">
        <v>4.0</v>
      </c>
      <c r="D5044" s="38" t="s">
        <v>2004</v>
      </c>
      <c r="E5044" s="91" t="s">
        <v>14877</v>
      </c>
      <c r="F5044" s="38" t="s">
        <v>6447</v>
      </c>
    </row>
    <row r="5045">
      <c r="B5045" s="38" t="s">
        <v>416</v>
      </c>
      <c r="C5045" s="38">
        <v>4.0</v>
      </c>
      <c r="D5045" s="38" t="s">
        <v>672</v>
      </c>
      <c r="E5045" s="132" t="s">
        <v>325</v>
      </c>
      <c r="F5045" s="38" t="s">
        <v>14878</v>
      </c>
    </row>
    <row r="5046">
      <c r="B5046" s="38" t="s">
        <v>219</v>
      </c>
      <c r="C5046" s="38">
        <v>4.0</v>
      </c>
      <c r="D5046" s="38" t="s">
        <v>2171</v>
      </c>
      <c r="E5046" s="132" t="s">
        <v>9977</v>
      </c>
      <c r="F5046" s="38" t="s">
        <v>14879</v>
      </c>
      <c r="G5046" s="563" t="s">
        <v>14880</v>
      </c>
    </row>
    <row r="5047">
      <c r="B5047" s="38" t="s">
        <v>271</v>
      </c>
      <c r="C5047" s="38">
        <v>4.0</v>
      </c>
      <c r="D5047" s="38" t="s">
        <v>2171</v>
      </c>
      <c r="E5047" s="132" t="s">
        <v>7045</v>
      </c>
      <c r="F5047" s="38" t="s">
        <v>14881</v>
      </c>
      <c r="G5047" s="489" t="s">
        <v>14882</v>
      </c>
    </row>
    <row r="5048">
      <c r="B5048" s="5"/>
      <c r="C5048" s="5"/>
      <c r="D5048" s="5" t="s">
        <v>14883</v>
      </c>
      <c r="E5048" s="150" t="s">
        <v>2914</v>
      </c>
      <c r="F5048" s="5"/>
    </row>
    <row r="5049">
      <c r="B5049" s="38" t="s">
        <v>333</v>
      </c>
      <c r="C5049" s="38">
        <v>4.0</v>
      </c>
      <c r="D5049" s="38" t="s">
        <v>14884</v>
      </c>
      <c r="E5049" s="132" t="s">
        <v>325</v>
      </c>
      <c r="F5049" s="38" t="s">
        <v>14885</v>
      </c>
    </row>
    <row r="5050">
      <c r="B5050" s="38" t="s">
        <v>416</v>
      </c>
      <c r="C5050" s="38">
        <v>4.0</v>
      </c>
      <c r="D5050" s="38" t="s">
        <v>2032</v>
      </c>
      <c r="E5050" s="304" t="s">
        <v>14886</v>
      </c>
      <c r="F5050" s="38" t="s">
        <v>14887</v>
      </c>
    </row>
    <row r="5051">
      <c r="B5051" s="38" t="s">
        <v>25</v>
      </c>
      <c r="C5051" s="38">
        <v>4.0</v>
      </c>
      <c r="D5051" s="38" t="s">
        <v>27</v>
      </c>
      <c r="E5051" s="132" t="s">
        <v>4865</v>
      </c>
      <c r="F5051" s="38" t="s">
        <v>14888</v>
      </c>
    </row>
    <row r="5052">
      <c r="B5052" s="38" t="s">
        <v>22</v>
      </c>
      <c r="C5052" s="38">
        <v>4.0</v>
      </c>
      <c r="D5052" s="38" t="s">
        <v>2121</v>
      </c>
      <c r="E5052" s="132" t="s">
        <v>4865</v>
      </c>
      <c r="F5052" s="38" t="s">
        <v>14888</v>
      </c>
    </row>
    <row r="5053">
      <c r="B5053" s="38" t="s">
        <v>205</v>
      </c>
      <c r="C5053" s="38">
        <v>4.0</v>
      </c>
      <c r="D5053" s="38" t="s">
        <v>6192</v>
      </c>
      <c r="E5053" s="132" t="s">
        <v>9977</v>
      </c>
      <c r="F5053" s="38" t="s">
        <v>14889</v>
      </c>
    </row>
    <row r="5054">
      <c r="B5054" s="38"/>
      <c r="C5054" s="38"/>
      <c r="D5054" s="38"/>
      <c r="E5054" s="132" t="s">
        <v>14890</v>
      </c>
      <c r="F5054" s="38"/>
      <c r="G5054" s="38" t="s">
        <v>14891</v>
      </c>
    </row>
    <row r="5055">
      <c r="B5055" s="38"/>
      <c r="C5055" s="38"/>
      <c r="D5055" s="38"/>
      <c r="E5055" s="132" t="s">
        <v>14892</v>
      </c>
      <c r="F5055" s="38"/>
      <c r="G5055" s="38" t="s">
        <v>14891</v>
      </c>
    </row>
    <row r="5056">
      <c r="B5056" s="38" t="s">
        <v>188</v>
      </c>
      <c r="C5056" s="38">
        <v>1.0</v>
      </c>
      <c r="D5056" s="38" t="s">
        <v>14893</v>
      </c>
      <c r="E5056" s="132" t="s">
        <v>325</v>
      </c>
      <c r="F5056" s="38" t="s">
        <v>14894</v>
      </c>
    </row>
    <row r="5057">
      <c r="B5057" s="38" t="s">
        <v>3752</v>
      </c>
      <c r="C5057" s="38">
        <v>2.0</v>
      </c>
      <c r="D5057" s="38" t="s">
        <v>14895</v>
      </c>
      <c r="E5057" s="132" t="s">
        <v>325</v>
      </c>
      <c r="F5057" s="38" t="s">
        <v>14896</v>
      </c>
    </row>
    <row r="5058">
      <c r="B5058" s="38" t="s">
        <v>1322</v>
      </c>
      <c r="C5058" s="38">
        <v>2.0</v>
      </c>
      <c r="D5058" s="38" t="s">
        <v>2340</v>
      </c>
      <c r="E5058" s="39" t="s">
        <v>12842</v>
      </c>
      <c r="F5058" s="38" t="s">
        <v>14897</v>
      </c>
    </row>
    <row r="5059">
      <c r="B5059" s="38" t="s">
        <v>1317</v>
      </c>
      <c r="C5059" s="38">
        <v>2.0</v>
      </c>
      <c r="D5059" s="38" t="s">
        <v>2340</v>
      </c>
      <c r="E5059" s="39" t="s">
        <v>12842</v>
      </c>
      <c r="F5059" s="38" t="s">
        <v>14897</v>
      </c>
    </row>
    <row r="5060">
      <c r="A5060" s="44"/>
      <c r="B5060" s="38" t="s">
        <v>2329</v>
      </c>
      <c r="C5060" s="38">
        <v>4.0</v>
      </c>
      <c r="D5060" s="38" t="s">
        <v>3183</v>
      </c>
      <c r="E5060" s="132" t="s">
        <v>2450</v>
      </c>
      <c r="F5060" s="38" t="s">
        <v>14898</v>
      </c>
      <c r="G5060" s="417" t="s">
        <v>14899</v>
      </c>
    </row>
    <row r="5061">
      <c r="B5061" s="38"/>
      <c r="C5061" s="38"/>
      <c r="D5061" s="38"/>
      <c r="E5061" s="132" t="s">
        <v>14900</v>
      </c>
      <c r="F5061" s="38" t="s">
        <v>14901</v>
      </c>
    </row>
    <row r="5062">
      <c r="B5062" s="38" t="s">
        <v>3523</v>
      </c>
      <c r="C5062" s="38">
        <v>2.0</v>
      </c>
      <c r="D5062" s="38" t="s">
        <v>6476</v>
      </c>
      <c r="E5062" s="132" t="s">
        <v>1758</v>
      </c>
      <c r="F5062" s="38" t="s">
        <v>14902</v>
      </c>
      <c r="G5062" s="564" t="s">
        <v>14903</v>
      </c>
      <c r="H5062" s="38"/>
    </row>
    <row r="5063">
      <c r="B5063" s="38" t="s">
        <v>978</v>
      </c>
      <c r="C5063" s="38">
        <v>2.0</v>
      </c>
      <c r="D5063" s="38" t="s">
        <v>6476</v>
      </c>
      <c r="E5063" s="132" t="s">
        <v>1758</v>
      </c>
      <c r="F5063" s="38"/>
      <c r="G5063" s="38" t="s">
        <v>14903</v>
      </c>
      <c r="H5063" s="38"/>
    </row>
    <row r="5064">
      <c r="B5064" s="38" t="s">
        <v>2329</v>
      </c>
      <c r="C5064" s="38">
        <v>4.0</v>
      </c>
      <c r="D5064" s="38" t="s">
        <v>2538</v>
      </c>
      <c r="E5064" s="132" t="s">
        <v>14904</v>
      </c>
      <c r="F5064" s="38" t="s">
        <v>14905</v>
      </c>
    </row>
    <row r="5065">
      <c r="A5065" s="465"/>
      <c r="B5065" s="38" t="s">
        <v>188</v>
      </c>
      <c r="C5065" s="38">
        <v>2.0</v>
      </c>
      <c r="D5065" s="38" t="s">
        <v>2423</v>
      </c>
      <c r="E5065" s="132" t="s">
        <v>14906</v>
      </c>
      <c r="F5065" s="38" t="s">
        <v>14907</v>
      </c>
      <c r="G5065" s="38" t="s">
        <v>14908</v>
      </c>
    </row>
    <row r="5066">
      <c r="A5066" s="465"/>
      <c r="B5066" s="38" t="s">
        <v>107</v>
      </c>
      <c r="C5066" s="38">
        <v>2.0</v>
      </c>
      <c r="D5066" s="38" t="s">
        <v>2423</v>
      </c>
      <c r="E5066" s="132" t="s">
        <v>14906</v>
      </c>
      <c r="F5066" s="38"/>
      <c r="G5066" s="38" t="s">
        <v>14908</v>
      </c>
    </row>
    <row r="5067">
      <c r="B5067" s="38" t="s">
        <v>38</v>
      </c>
      <c r="C5067" s="38">
        <v>4.0</v>
      </c>
      <c r="D5067" s="38" t="s">
        <v>2021</v>
      </c>
      <c r="E5067" s="132" t="s">
        <v>14909</v>
      </c>
      <c r="F5067" s="38" t="s">
        <v>14910</v>
      </c>
    </row>
    <row r="5068">
      <c r="B5068" s="38" t="s">
        <v>38</v>
      </c>
      <c r="C5068" s="38">
        <v>4.0</v>
      </c>
      <c r="D5068" s="38" t="s">
        <v>2021</v>
      </c>
      <c r="E5068" s="132" t="s">
        <v>11606</v>
      </c>
      <c r="F5068" s="38" t="s">
        <v>2484</v>
      </c>
    </row>
    <row r="5069">
      <c r="B5069" s="38" t="s">
        <v>7695</v>
      </c>
      <c r="C5069" s="38">
        <v>4.0</v>
      </c>
      <c r="D5069" s="38" t="s">
        <v>27</v>
      </c>
      <c r="E5069" s="132" t="s">
        <v>6218</v>
      </c>
      <c r="F5069" s="38" t="s">
        <v>14911</v>
      </c>
    </row>
    <row r="5070">
      <c r="B5070" s="38" t="s">
        <v>147</v>
      </c>
      <c r="C5070" s="38">
        <v>2.0</v>
      </c>
      <c r="D5070" s="38" t="s">
        <v>412</v>
      </c>
      <c r="E5070" s="132" t="s">
        <v>3330</v>
      </c>
      <c r="F5070" s="38" t="s">
        <v>1261</v>
      </c>
      <c r="G5070" s="38" t="s">
        <v>14809</v>
      </c>
    </row>
    <row r="5071">
      <c r="B5071" s="38"/>
      <c r="C5071" s="38"/>
      <c r="D5071" s="38" t="s">
        <v>14912</v>
      </c>
      <c r="E5071" s="132" t="s">
        <v>3330</v>
      </c>
      <c r="F5071" s="44"/>
      <c r="G5071" s="38" t="s">
        <v>14809</v>
      </c>
    </row>
    <row r="5072">
      <c r="B5072" s="38" t="s">
        <v>25</v>
      </c>
      <c r="C5072" s="38">
        <v>4.0</v>
      </c>
      <c r="D5072" s="38" t="s">
        <v>27</v>
      </c>
      <c r="E5072" s="91" t="s">
        <v>14913</v>
      </c>
      <c r="F5072" s="38" t="s">
        <v>14914</v>
      </c>
    </row>
    <row r="5073">
      <c r="B5073" s="38"/>
      <c r="C5073" s="38"/>
      <c r="D5073" s="38"/>
      <c r="E5073" s="132" t="s">
        <v>14915</v>
      </c>
      <c r="F5073" s="38" t="s">
        <v>14916</v>
      </c>
      <c r="G5073" s="38" t="s">
        <v>14859</v>
      </c>
    </row>
    <row r="5074">
      <c r="B5074" s="38" t="s">
        <v>25</v>
      </c>
      <c r="C5074" s="38">
        <v>4.0</v>
      </c>
      <c r="D5074" s="38" t="s">
        <v>14917</v>
      </c>
      <c r="E5074" s="61" t="s">
        <v>14918</v>
      </c>
      <c r="F5074" s="38" t="s">
        <v>14919</v>
      </c>
      <c r="G5074" s="8"/>
    </row>
    <row r="5075">
      <c r="A5075" s="565" t="s">
        <v>14920</v>
      </c>
      <c r="B5075" s="38" t="s">
        <v>219</v>
      </c>
      <c r="C5075" s="38">
        <v>4.0</v>
      </c>
      <c r="D5075" s="38" t="s">
        <v>2171</v>
      </c>
      <c r="E5075" s="132" t="s">
        <v>14817</v>
      </c>
      <c r="F5075" s="38" t="s">
        <v>14921</v>
      </c>
      <c r="G5075" s="38" t="s">
        <v>14922</v>
      </c>
    </row>
    <row r="5076">
      <c r="B5076" s="38" t="s">
        <v>85</v>
      </c>
      <c r="C5076" s="38">
        <v>2.0</v>
      </c>
      <c r="D5076" s="38" t="s">
        <v>2479</v>
      </c>
      <c r="E5076" s="132" t="s">
        <v>14817</v>
      </c>
      <c r="F5076" s="38" t="s">
        <v>14923</v>
      </c>
      <c r="G5076" s="38" t="s">
        <v>14924</v>
      </c>
    </row>
    <row r="5077">
      <c r="B5077" s="38" t="s">
        <v>1575</v>
      </c>
      <c r="C5077" s="38">
        <v>2.0</v>
      </c>
      <c r="D5077" s="38" t="s">
        <v>2479</v>
      </c>
      <c r="E5077" s="132" t="s">
        <v>14817</v>
      </c>
      <c r="F5077" s="38" t="s">
        <v>14925</v>
      </c>
      <c r="G5077" s="38" t="s">
        <v>14924</v>
      </c>
    </row>
    <row r="5078">
      <c r="B5078" s="38" t="s">
        <v>2035</v>
      </c>
      <c r="C5078" s="38">
        <v>2.0</v>
      </c>
      <c r="D5078" s="38" t="s">
        <v>2538</v>
      </c>
      <c r="E5078" s="132" t="s">
        <v>14817</v>
      </c>
      <c r="F5078" s="38" t="s">
        <v>10889</v>
      </c>
      <c r="G5078" s="38" t="s">
        <v>14924</v>
      </c>
    </row>
    <row r="5079">
      <c r="B5079" s="38" t="s">
        <v>876</v>
      </c>
      <c r="C5079" s="38">
        <v>4.0</v>
      </c>
      <c r="D5079" s="38" t="s">
        <v>14926</v>
      </c>
      <c r="E5079" s="39" t="s">
        <v>14927</v>
      </c>
      <c r="F5079" s="38" t="s">
        <v>14928</v>
      </c>
    </row>
    <row r="5080">
      <c r="B5080" s="38" t="s">
        <v>28</v>
      </c>
      <c r="C5080" s="38">
        <v>4.0</v>
      </c>
      <c r="D5080" s="38" t="s">
        <v>2171</v>
      </c>
      <c r="E5080" s="132" t="s">
        <v>14929</v>
      </c>
      <c r="F5080" s="38" t="s">
        <v>14930</v>
      </c>
    </row>
    <row r="5081">
      <c r="B5081" s="38" t="s">
        <v>718</v>
      </c>
      <c r="C5081" s="38">
        <v>2.0</v>
      </c>
      <c r="D5081" s="38" t="s">
        <v>2021</v>
      </c>
      <c r="E5081" s="132" t="s">
        <v>14782</v>
      </c>
      <c r="F5081" s="38" t="s">
        <v>14931</v>
      </c>
    </row>
    <row r="5082">
      <c r="B5082" s="38" t="s">
        <v>1010</v>
      </c>
      <c r="C5082" s="38">
        <v>2.0</v>
      </c>
      <c r="D5082" s="38" t="s">
        <v>2021</v>
      </c>
      <c r="E5082" s="132" t="s">
        <v>14782</v>
      </c>
      <c r="F5082" s="38"/>
    </row>
    <row r="5083">
      <c r="B5083" s="38" t="s">
        <v>25</v>
      </c>
      <c r="C5083" s="38">
        <v>4.0</v>
      </c>
      <c r="D5083" s="38" t="s">
        <v>50</v>
      </c>
      <c r="E5083" s="47" t="s">
        <v>14932</v>
      </c>
      <c r="F5083" s="38" t="s">
        <v>14933</v>
      </c>
    </row>
    <row r="5084">
      <c r="B5084" s="38" t="s">
        <v>271</v>
      </c>
      <c r="C5084" s="38">
        <v>4.0</v>
      </c>
      <c r="D5084" s="38" t="s">
        <v>6192</v>
      </c>
      <c r="E5084" s="132" t="s">
        <v>14934</v>
      </c>
      <c r="F5084" s="38" t="s">
        <v>14735</v>
      </c>
    </row>
    <row r="5085">
      <c r="B5085" s="38" t="s">
        <v>876</v>
      </c>
      <c r="C5085" s="38">
        <v>2.0</v>
      </c>
      <c r="D5085" s="38" t="s">
        <v>433</v>
      </c>
      <c r="E5085" s="39" t="s">
        <v>14935</v>
      </c>
      <c r="F5085" s="38" t="s">
        <v>14936</v>
      </c>
    </row>
    <row r="5086">
      <c r="B5086" s="38" t="s">
        <v>14937</v>
      </c>
      <c r="C5086" s="38">
        <v>4.0</v>
      </c>
      <c r="D5086" s="38" t="s">
        <v>408</v>
      </c>
      <c r="E5086" s="101" t="s">
        <v>14938</v>
      </c>
      <c r="F5086" s="38" t="s">
        <v>14939</v>
      </c>
    </row>
    <row r="5087">
      <c r="B5087" s="38"/>
      <c r="C5087" s="38"/>
      <c r="D5087" s="85" t="s">
        <v>14940</v>
      </c>
      <c r="E5087" s="101" t="s">
        <v>14650</v>
      </c>
      <c r="F5087" s="38" t="s">
        <v>14941</v>
      </c>
      <c r="G5087" s="38" t="s">
        <v>14648</v>
      </c>
    </row>
    <row r="5088">
      <c r="B5088" s="38"/>
      <c r="C5088" s="38"/>
      <c r="D5088" s="85" t="s">
        <v>14940</v>
      </c>
      <c r="E5088" s="101" t="s">
        <v>14650</v>
      </c>
      <c r="F5088" s="38" t="s">
        <v>14942</v>
      </c>
      <c r="G5088" s="38" t="s">
        <v>14648</v>
      </c>
    </row>
    <row r="5089">
      <c r="B5089" s="38"/>
      <c r="C5089" s="38"/>
      <c r="D5089" s="85"/>
      <c r="E5089" s="508" t="s">
        <v>14943</v>
      </c>
      <c r="F5089" s="304" t="s">
        <v>14944</v>
      </c>
      <c r="G5089" s="38" t="s">
        <v>14648</v>
      </c>
    </row>
    <row r="5090">
      <c r="B5090" s="38" t="s">
        <v>339</v>
      </c>
      <c r="C5090" s="38">
        <v>4.0</v>
      </c>
      <c r="D5090" s="38" t="s">
        <v>545</v>
      </c>
      <c r="E5090" s="132" t="s">
        <v>14663</v>
      </c>
      <c r="F5090" s="38" t="s">
        <v>14945</v>
      </c>
    </row>
    <row r="5091">
      <c r="B5091" s="38" t="s">
        <v>38</v>
      </c>
      <c r="C5091" s="38">
        <v>2.0</v>
      </c>
      <c r="D5091" s="38" t="s">
        <v>4786</v>
      </c>
      <c r="E5091" s="132" t="s">
        <v>1758</v>
      </c>
      <c r="F5091" s="38"/>
      <c r="G5091" s="38" t="s">
        <v>14946</v>
      </c>
    </row>
    <row r="5092">
      <c r="B5092" s="38" t="s">
        <v>3820</v>
      </c>
      <c r="C5092" s="38">
        <v>2.0</v>
      </c>
      <c r="D5092" s="38" t="s">
        <v>4786</v>
      </c>
      <c r="E5092" s="132" t="s">
        <v>1758</v>
      </c>
      <c r="F5092" s="38" t="s">
        <v>14947</v>
      </c>
      <c r="G5092" s="38" t="s">
        <v>14946</v>
      </c>
    </row>
    <row r="5093">
      <c r="A5093" s="38" t="s">
        <v>14948</v>
      </c>
      <c r="B5093" s="390" t="s">
        <v>14949</v>
      </c>
      <c r="C5093" s="47" t="s">
        <v>14950</v>
      </c>
      <c r="D5093" s="44"/>
      <c r="E5093" s="38" t="s">
        <v>14951</v>
      </c>
      <c r="F5093" s="38" t="s">
        <v>14952</v>
      </c>
      <c r="G5093" s="38" t="s">
        <v>14953</v>
      </c>
    </row>
    <row r="5094">
      <c r="A5094" s="65">
        <v>45236.0</v>
      </c>
      <c r="B5094" s="47" t="s">
        <v>12309</v>
      </c>
      <c r="C5094" s="47" t="s">
        <v>1439</v>
      </c>
      <c r="D5094" s="44"/>
      <c r="E5094" s="47" t="s">
        <v>12307</v>
      </c>
      <c r="F5094" s="44"/>
      <c r="G5094" s="38" t="s">
        <v>14953</v>
      </c>
    </row>
    <row r="5095">
      <c r="B5095" s="38" t="s">
        <v>1409</v>
      </c>
      <c r="C5095" s="38">
        <v>2.0</v>
      </c>
      <c r="D5095" s="38" t="s">
        <v>2927</v>
      </c>
      <c r="E5095" s="132" t="s">
        <v>325</v>
      </c>
      <c r="F5095" s="38" t="s">
        <v>14954</v>
      </c>
    </row>
    <row r="5096">
      <c r="B5096" s="38" t="s">
        <v>1454</v>
      </c>
      <c r="C5096" s="38">
        <v>2.0</v>
      </c>
      <c r="D5096" s="38" t="s">
        <v>2927</v>
      </c>
      <c r="E5096" s="132" t="s">
        <v>325</v>
      </c>
      <c r="F5096" s="38" t="s">
        <v>14954</v>
      </c>
    </row>
    <row r="5097">
      <c r="B5097" s="38" t="s">
        <v>718</v>
      </c>
      <c r="C5097" s="38">
        <v>4.0</v>
      </c>
      <c r="D5097" s="38" t="s">
        <v>408</v>
      </c>
      <c r="E5097" s="132" t="s">
        <v>14955</v>
      </c>
      <c r="F5097" s="38" t="s">
        <v>7252</v>
      </c>
    </row>
    <row r="5098">
      <c r="B5098" s="38" t="s">
        <v>2798</v>
      </c>
      <c r="C5098" s="38">
        <v>4.0</v>
      </c>
      <c r="D5098" s="38" t="s">
        <v>630</v>
      </c>
      <c r="E5098" s="132" t="s">
        <v>4709</v>
      </c>
      <c r="F5098" s="38" t="s">
        <v>14956</v>
      </c>
    </row>
    <row r="5099">
      <c r="B5099" s="38" t="s">
        <v>183</v>
      </c>
      <c r="C5099" s="38">
        <v>1.0</v>
      </c>
      <c r="D5099" s="38" t="s">
        <v>545</v>
      </c>
      <c r="E5099" s="132" t="s">
        <v>5026</v>
      </c>
      <c r="F5099" s="38"/>
    </row>
    <row r="5100">
      <c r="B5100" s="38" t="s">
        <v>22</v>
      </c>
      <c r="C5100" s="38">
        <v>4.0</v>
      </c>
      <c r="D5100" s="38" t="s">
        <v>672</v>
      </c>
      <c r="E5100" s="39" t="s">
        <v>14957</v>
      </c>
      <c r="F5100" s="38" t="s">
        <v>1060</v>
      </c>
    </row>
    <row r="5101">
      <c r="B5101" s="38" t="s">
        <v>205</v>
      </c>
      <c r="C5101" s="38">
        <v>4.0</v>
      </c>
      <c r="D5101" s="38" t="s">
        <v>4326</v>
      </c>
      <c r="E5101" s="132" t="s">
        <v>337</v>
      </c>
      <c r="F5101" s="38" t="s">
        <v>14675</v>
      </c>
    </row>
    <row r="5102">
      <c r="B5102" s="38" t="s">
        <v>411</v>
      </c>
      <c r="C5102" s="38">
        <v>4.0</v>
      </c>
      <c r="D5102" s="38" t="s">
        <v>291</v>
      </c>
      <c r="E5102" s="132" t="s">
        <v>980</v>
      </c>
      <c r="F5102" s="38" t="s">
        <v>14958</v>
      </c>
    </row>
    <row r="5103">
      <c r="B5103" s="38"/>
      <c r="C5103" s="38"/>
      <c r="D5103" s="390" t="s">
        <v>14959</v>
      </c>
      <c r="E5103" s="38" t="s">
        <v>1731</v>
      </c>
      <c r="F5103" s="38" t="s">
        <v>144</v>
      </c>
    </row>
    <row r="5104">
      <c r="B5104" s="38"/>
      <c r="C5104" s="38"/>
      <c r="D5104" s="38"/>
      <c r="E5104" s="132" t="s">
        <v>14960</v>
      </c>
      <c r="F5104" s="38" t="s">
        <v>14961</v>
      </c>
    </row>
    <row r="5105">
      <c r="B5105" s="38" t="s">
        <v>4405</v>
      </c>
      <c r="C5105" s="38">
        <v>2.0</v>
      </c>
      <c r="D5105" s="38" t="s">
        <v>14962</v>
      </c>
      <c r="E5105" s="60" t="s">
        <v>14963</v>
      </c>
      <c r="F5105" s="38" t="s">
        <v>14964</v>
      </c>
    </row>
    <row r="5106">
      <c r="B5106" s="38" t="s">
        <v>22</v>
      </c>
      <c r="C5106" s="38">
        <v>4.0</v>
      </c>
      <c r="D5106" s="38" t="s">
        <v>14965</v>
      </c>
      <c r="E5106" s="132" t="s">
        <v>6589</v>
      </c>
      <c r="F5106" s="38" t="s">
        <v>14966</v>
      </c>
    </row>
    <row r="5107">
      <c r="B5107" s="38" t="s">
        <v>205</v>
      </c>
      <c r="C5107" s="38">
        <v>2.0</v>
      </c>
      <c r="D5107" s="38" t="s">
        <v>684</v>
      </c>
      <c r="E5107" s="85" t="s">
        <v>14967</v>
      </c>
      <c r="F5107" s="38" t="s">
        <v>14968</v>
      </c>
    </row>
    <row r="5108">
      <c r="B5108" s="38" t="s">
        <v>1892</v>
      </c>
      <c r="C5108" s="38">
        <v>1.0</v>
      </c>
      <c r="D5108" s="38" t="s">
        <v>753</v>
      </c>
      <c r="E5108" s="132" t="s">
        <v>325</v>
      </c>
      <c r="F5108" s="38" t="s">
        <v>14969</v>
      </c>
    </row>
    <row r="5109">
      <c r="B5109" s="38"/>
      <c r="C5109" s="38"/>
      <c r="D5109" s="38" t="s">
        <v>14970</v>
      </c>
      <c r="E5109" s="132" t="s">
        <v>974</v>
      </c>
      <c r="F5109" s="38" t="s">
        <v>218</v>
      </c>
      <c r="G5109" s="38" t="s">
        <v>144</v>
      </c>
    </row>
    <row r="5110">
      <c r="B5110" s="38" t="s">
        <v>14971</v>
      </c>
      <c r="C5110" s="38" t="s">
        <v>14972</v>
      </c>
      <c r="D5110" s="38"/>
      <c r="E5110" s="132" t="s">
        <v>974</v>
      </c>
      <c r="F5110" s="38"/>
      <c r="G5110" s="38" t="s">
        <v>144</v>
      </c>
    </row>
    <row r="5111">
      <c r="B5111" s="38"/>
      <c r="C5111" s="38"/>
      <c r="D5111" s="38"/>
      <c r="E5111" s="132" t="s">
        <v>371</v>
      </c>
      <c r="F5111" s="38" t="s">
        <v>14973</v>
      </c>
    </row>
    <row r="5112">
      <c r="B5112" s="38" t="s">
        <v>4044</v>
      </c>
      <c r="C5112" s="38">
        <v>2.0</v>
      </c>
      <c r="D5112" s="38" t="s">
        <v>408</v>
      </c>
      <c r="E5112" s="132" t="s">
        <v>1298</v>
      </c>
      <c r="F5112" s="38" t="s">
        <v>14974</v>
      </c>
    </row>
    <row r="5113">
      <c r="B5113" s="38" t="s">
        <v>3060</v>
      </c>
      <c r="C5113" s="38">
        <v>2.0</v>
      </c>
      <c r="D5113" s="38" t="s">
        <v>408</v>
      </c>
      <c r="E5113" s="132" t="s">
        <v>1298</v>
      </c>
      <c r="F5113" s="38" t="s">
        <v>14974</v>
      </c>
    </row>
    <row r="5114">
      <c r="B5114" s="38"/>
      <c r="C5114" s="38"/>
      <c r="D5114" s="38" t="s">
        <v>14975</v>
      </c>
      <c r="E5114" s="304" t="s">
        <v>4455</v>
      </c>
      <c r="F5114" s="38" t="s">
        <v>14976</v>
      </c>
      <c r="G5114" s="38" t="s">
        <v>14977</v>
      </c>
    </row>
    <row r="5115">
      <c r="A5115" s="1" t="s">
        <v>14978</v>
      </c>
      <c r="B5115" s="38" t="s">
        <v>85</v>
      </c>
      <c r="C5115" s="38">
        <v>4.0</v>
      </c>
      <c r="D5115" s="38" t="s">
        <v>14979</v>
      </c>
      <c r="E5115" s="132" t="s">
        <v>418</v>
      </c>
      <c r="F5115" s="38" t="s">
        <v>14742</v>
      </c>
    </row>
    <row r="5116">
      <c r="B5116" s="38" t="s">
        <v>25</v>
      </c>
      <c r="C5116" s="38">
        <v>2.0</v>
      </c>
      <c r="D5116" s="38" t="s">
        <v>6192</v>
      </c>
      <c r="E5116" s="132" t="s">
        <v>14980</v>
      </c>
      <c r="F5116" s="38" t="s">
        <v>14981</v>
      </c>
      <c r="G5116" s="1" t="s">
        <v>4974</v>
      </c>
    </row>
    <row r="5117">
      <c r="B5117" s="38" t="s">
        <v>58</v>
      </c>
      <c r="C5117" s="38">
        <v>4.0</v>
      </c>
      <c r="D5117" s="38" t="s">
        <v>431</v>
      </c>
      <c r="E5117" s="132" t="s">
        <v>14980</v>
      </c>
      <c r="F5117" s="38" t="s">
        <v>14982</v>
      </c>
    </row>
    <row r="5118">
      <c r="B5118" s="38" t="s">
        <v>339</v>
      </c>
      <c r="C5118" s="38">
        <v>4.0</v>
      </c>
      <c r="D5118" s="38" t="s">
        <v>6705</v>
      </c>
      <c r="E5118" s="132" t="s">
        <v>396</v>
      </c>
      <c r="F5118" s="38" t="s">
        <v>14983</v>
      </c>
    </row>
    <row r="5119">
      <c r="B5119" s="38" t="s">
        <v>2728</v>
      </c>
      <c r="C5119" s="38">
        <v>4.0</v>
      </c>
      <c r="D5119" s="38" t="s">
        <v>2506</v>
      </c>
      <c r="E5119" s="132" t="s">
        <v>14984</v>
      </c>
      <c r="F5119" s="38" t="s">
        <v>14985</v>
      </c>
      <c r="G5119" s="44"/>
    </row>
    <row r="5120">
      <c r="B5120" s="38"/>
      <c r="C5120" s="38">
        <v>4.0</v>
      </c>
      <c r="D5120" s="38" t="s">
        <v>14986</v>
      </c>
      <c r="E5120" s="132" t="s">
        <v>14984</v>
      </c>
      <c r="F5120" s="38" t="s">
        <v>14985</v>
      </c>
      <c r="G5120" s="38" t="s">
        <v>14987</v>
      </c>
    </row>
    <row r="5121">
      <c r="B5121" s="38" t="s">
        <v>333</v>
      </c>
      <c r="C5121" s="38">
        <v>1.0</v>
      </c>
      <c r="D5121" s="38" t="s">
        <v>2421</v>
      </c>
      <c r="E5121" s="47" t="s">
        <v>14988</v>
      </c>
      <c r="F5121" s="38" t="s">
        <v>14989</v>
      </c>
    </row>
    <row r="5122">
      <c r="B5122" s="38"/>
      <c r="C5122" s="38"/>
      <c r="D5122" s="38" t="s">
        <v>14990</v>
      </c>
      <c r="E5122" s="304" t="s">
        <v>14991</v>
      </c>
      <c r="F5122" s="38" t="s">
        <v>14992</v>
      </c>
      <c r="G5122" s="38" t="s">
        <v>14993</v>
      </c>
    </row>
    <row r="5123">
      <c r="B5123" s="38" t="s">
        <v>219</v>
      </c>
      <c r="C5123" s="38">
        <v>4.0</v>
      </c>
      <c r="D5123" s="38" t="s">
        <v>3101</v>
      </c>
      <c r="E5123" s="47" t="s">
        <v>14994</v>
      </c>
      <c r="F5123" s="38" t="s">
        <v>14995</v>
      </c>
    </row>
    <row r="5124">
      <c r="B5124" s="38" t="s">
        <v>789</v>
      </c>
      <c r="C5124" s="38">
        <v>4.0</v>
      </c>
      <c r="D5124" s="38" t="s">
        <v>408</v>
      </c>
      <c r="E5124" s="132" t="s">
        <v>2551</v>
      </c>
      <c r="F5124" s="38" t="s">
        <v>14996</v>
      </c>
    </row>
    <row r="5125">
      <c r="B5125" s="38" t="s">
        <v>25</v>
      </c>
      <c r="C5125" s="38">
        <v>2.0</v>
      </c>
      <c r="D5125" s="38" t="s">
        <v>27</v>
      </c>
      <c r="E5125" s="132" t="s">
        <v>13731</v>
      </c>
      <c r="F5125" s="38" t="s">
        <v>14997</v>
      </c>
    </row>
    <row r="5126">
      <c r="B5126" s="38" t="s">
        <v>1513</v>
      </c>
      <c r="C5126" s="38">
        <v>4.0</v>
      </c>
      <c r="D5126" s="38" t="s">
        <v>408</v>
      </c>
      <c r="E5126" s="132" t="s">
        <v>1773</v>
      </c>
      <c r="F5126" s="38" t="s">
        <v>14998</v>
      </c>
    </row>
    <row r="5127">
      <c r="B5127" s="38"/>
      <c r="C5127" s="38"/>
      <c r="D5127" s="38" t="s">
        <v>14999</v>
      </c>
      <c r="E5127" s="132" t="s">
        <v>15000</v>
      </c>
      <c r="F5127" s="38"/>
    </row>
    <row r="5128">
      <c r="B5128" s="38" t="s">
        <v>2728</v>
      </c>
      <c r="C5128" s="38">
        <v>4.0</v>
      </c>
      <c r="D5128" s="38" t="s">
        <v>2061</v>
      </c>
      <c r="E5128" s="132" t="s">
        <v>4851</v>
      </c>
      <c r="F5128" s="38" t="s">
        <v>1470</v>
      </c>
    </row>
    <row r="5129">
      <c r="B5129" s="38" t="s">
        <v>15001</v>
      </c>
      <c r="C5129" s="38"/>
      <c r="D5129" s="38"/>
      <c r="E5129" s="132" t="s">
        <v>1072</v>
      </c>
      <c r="F5129" s="38" t="s">
        <v>15002</v>
      </c>
    </row>
    <row r="5130">
      <c r="B5130" s="38"/>
      <c r="C5130" s="38"/>
      <c r="D5130" s="38" t="s">
        <v>15003</v>
      </c>
      <c r="E5130" s="132" t="s">
        <v>15004</v>
      </c>
      <c r="F5130" s="38" t="s">
        <v>15005</v>
      </c>
    </row>
    <row r="5131">
      <c r="B5131" s="38" t="s">
        <v>28</v>
      </c>
      <c r="C5131" s="38">
        <v>4.0</v>
      </c>
      <c r="D5131" s="38" t="s">
        <v>433</v>
      </c>
      <c r="E5131" s="132" t="s">
        <v>1758</v>
      </c>
      <c r="F5131" s="38" t="s">
        <v>6654</v>
      </c>
      <c r="G5131" s="38" t="s">
        <v>14946</v>
      </c>
    </row>
    <row r="5132">
      <c r="B5132" s="38"/>
      <c r="C5132" s="38"/>
      <c r="D5132" s="38"/>
      <c r="E5132" s="132" t="s">
        <v>1758</v>
      </c>
      <c r="F5132" s="38" t="s">
        <v>15006</v>
      </c>
      <c r="G5132" s="38" t="s">
        <v>14946</v>
      </c>
    </row>
    <row r="5133">
      <c r="B5133" s="38" t="s">
        <v>15007</v>
      </c>
      <c r="C5133" s="38" t="s">
        <v>15008</v>
      </c>
      <c r="D5133" s="38" t="s">
        <v>15009</v>
      </c>
      <c r="E5133" s="132" t="s">
        <v>11742</v>
      </c>
      <c r="F5133" s="38" t="s">
        <v>15002</v>
      </c>
    </row>
    <row r="5134">
      <c r="B5134" s="38" t="s">
        <v>4563</v>
      </c>
      <c r="C5134" s="38">
        <v>4.0</v>
      </c>
      <c r="D5134" s="38" t="s">
        <v>9443</v>
      </c>
      <c r="E5134" s="132" t="s">
        <v>15010</v>
      </c>
      <c r="F5134" s="38" t="s">
        <v>14832</v>
      </c>
    </row>
    <row r="5135">
      <c r="A5135" s="8"/>
      <c r="B5135" s="38" t="s">
        <v>91</v>
      </c>
      <c r="C5135" s="38">
        <v>4.0</v>
      </c>
      <c r="D5135" s="38" t="s">
        <v>408</v>
      </c>
      <c r="E5135" s="132" t="s">
        <v>15011</v>
      </c>
      <c r="F5135" s="38" t="s">
        <v>15012</v>
      </c>
    </row>
    <row r="5136">
      <c r="B5136" s="38" t="s">
        <v>31</v>
      </c>
      <c r="C5136" s="38">
        <v>2.0</v>
      </c>
      <c r="D5136" s="38" t="s">
        <v>15013</v>
      </c>
      <c r="E5136" s="132" t="s">
        <v>15014</v>
      </c>
      <c r="F5136" s="38" t="s">
        <v>15015</v>
      </c>
    </row>
    <row r="5137">
      <c r="B5137" s="38" t="s">
        <v>85</v>
      </c>
      <c r="C5137" s="38">
        <v>2.0</v>
      </c>
      <c r="D5137" s="38" t="s">
        <v>15013</v>
      </c>
      <c r="E5137" s="132" t="s">
        <v>15014</v>
      </c>
      <c r="F5137" s="38" t="s">
        <v>15015</v>
      </c>
    </row>
    <row r="5138">
      <c r="B5138" s="38" t="s">
        <v>128</v>
      </c>
      <c r="C5138" s="38">
        <v>4.0</v>
      </c>
      <c r="D5138" s="38" t="s">
        <v>545</v>
      </c>
      <c r="E5138" s="132" t="s">
        <v>325</v>
      </c>
      <c r="F5138" s="38" t="s">
        <v>15016</v>
      </c>
      <c r="G5138" s="38" t="s">
        <v>15017</v>
      </c>
    </row>
    <row r="5139">
      <c r="B5139" s="38" t="s">
        <v>128</v>
      </c>
      <c r="C5139" s="38">
        <v>4.0</v>
      </c>
      <c r="D5139" s="38" t="s">
        <v>50</v>
      </c>
      <c r="E5139" s="132" t="s">
        <v>325</v>
      </c>
      <c r="F5139" s="38" t="s">
        <v>5685</v>
      </c>
      <c r="G5139" s="38" t="s">
        <v>15017</v>
      </c>
    </row>
    <row r="5140">
      <c r="B5140" s="38" t="s">
        <v>982</v>
      </c>
      <c r="C5140" s="38">
        <v>4.0</v>
      </c>
      <c r="D5140" s="38" t="s">
        <v>15018</v>
      </c>
      <c r="E5140" s="39" t="s">
        <v>15019</v>
      </c>
      <c r="F5140" s="38" t="s">
        <v>15020</v>
      </c>
      <c r="G5140" s="38" t="s">
        <v>12970</v>
      </c>
    </row>
    <row r="5141">
      <c r="A5141" s="44"/>
      <c r="B5141" s="38" t="s">
        <v>2573</v>
      </c>
      <c r="C5141" s="38">
        <v>1.0</v>
      </c>
      <c r="D5141" s="38" t="s">
        <v>9901</v>
      </c>
      <c r="E5141" s="132" t="s">
        <v>15021</v>
      </c>
      <c r="F5141" s="38" t="s">
        <v>15022</v>
      </c>
      <c r="G5141" s="38" t="s">
        <v>15023</v>
      </c>
      <c r="H5141" s="38" t="s">
        <v>15024</v>
      </c>
    </row>
    <row r="5142">
      <c r="A5142" s="44"/>
      <c r="B5142" s="38"/>
      <c r="C5142" s="38"/>
      <c r="D5142" s="38"/>
      <c r="E5142" s="132" t="s">
        <v>15025</v>
      </c>
      <c r="F5142" s="38" t="s">
        <v>15026</v>
      </c>
      <c r="G5142" s="38" t="s">
        <v>15027</v>
      </c>
      <c r="H5142" s="38" t="s">
        <v>15024</v>
      </c>
    </row>
    <row r="5143">
      <c r="A5143" s="44"/>
      <c r="B5143" s="38"/>
      <c r="C5143" s="38"/>
      <c r="D5143" s="38"/>
      <c r="E5143" s="132" t="s">
        <v>873</v>
      </c>
      <c r="F5143" s="38" t="s">
        <v>15028</v>
      </c>
      <c r="G5143" s="38"/>
      <c r="H5143" s="38" t="s">
        <v>15024</v>
      </c>
    </row>
    <row r="5144">
      <c r="B5144" s="38" t="s">
        <v>153</v>
      </c>
      <c r="C5144" s="38">
        <v>4.0</v>
      </c>
      <c r="D5144" s="38" t="s">
        <v>408</v>
      </c>
      <c r="E5144" s="132" t="s">
        <v>1309</v>
      </c>
      <c r="F5144" s="38" t="s">
        <v>14662</v>
      </c>
    </row>
    <row r="5145">
      <c r="B5145" s="38" t="s">
        <v>15029</v>
      </c>
      <c r="C5145" s="38" t="s">
        <v>1188</v>
      </c>
      <c r="D5145" s="38"/>
      <c r="E5145" s="132" t="s">
        <v>1309</v>
      </c>
      <c r="F5145" s="38" t="s">
        <v>14662</v>
      </c>
    </row>
    <row r="5146">
      <c r="B5146" s="38" t="s">
        <v>15029</v>
      </c>
      <c r="C5146" s="38" t="s">
        <v>1188</v>
      </c>
      <c r="D5146" s="38"/>
      <c r="E5146" s="132" t="s">
        <v>3562</v>
      </c>
      <c r="F5146" s="38" t="s">
        <v>15030</v>
      </c>
    </row>
    <row r="5147">
      <c r="B5147" s="38"/>
      <c r="C5147" s="38" t="s">
        <v>15031</v>
      </c>
      <c r="D5147" s="38" t="s">
        <v>15032</v>
      </c>
      <c r="E5147" s="132" t="s">
        <v>3562</v>
      </c>
      <c r="F5147" s="38" t="s">
        <v>15030</v>
      </c>
    </row>
    <row r="5148">
      <c r="B5148" s="38" t="s">
        <v>271</v>
      </c>
      <c r="C5148" s="38">
        <v>2.0</v>
      </c>
      <c r="D5148" s="38" t="s">
        <v>2219</v>
      </c>
      <c r="E5148" s="132" t="s">
        <v>15033</v>
      </c>
      <c r="F5148" s="38" t="s">
        <v>2736</v>
      </c>
      <c r="G5148" s="38" t="s">
        <v>15034</v>
      </c>
    </row>
    <row r="5149">
      <c r="B5149" s="38" t="s">
        <v>1892</v>
      </c>
      <c r="C5149" s="38">
        <v>2.0</v>
      </c>
      <c r="D5149" s="38" t="s">
        <v>2423</v>
      </c>
      <c r="E5149" s="132" t="s">
        <v>7641</v>
      </c>
      <c r="F5149" s="38" t="s">
        <v>15035</v>
      </c>
      <c r="G5149" s="38" t="s">
        <v>15036</v>
      </c>
    </row>
    <row r="5150">
      <c r="B5150" s="38" t="s">
        <v>103</v>
      </c>
      <c r="C5150" s="38">
        <v>2.0</v>
      </c>
      <c r="D5150" s="38" t="s">
        <v>2423</v>
      </c>
      <c r="E5150" s="132" t="s">
        <v>7641</v>
      </c>
      <c r="F5150" s="38" t="s">
        <v>15037</v>
      </c>
      <c r="G5150" s="38" t="s">
        <v>15036</v>
      </c>
    </row>
    <row r="5151">
      <c r="B5151" s="38" t="s">
        <v>22</v>
      </c>
      <c r="C5151" s="38">
        <v>4.0</v>
      </c>
      <c r="D5151" s="38" t="s">
        <v>6192</v>
      </c>
      <c r="E5151" s="132" t="s">
        <v>15038</v>
      </c>
      <c r="F5151" s="38" t="s">
        <v>15039</v>
      </c>
    </row>
    <row r="5152">
      <c r="B5152" s="38" t="s">
        <v>22</v>
      </c>
      <c r="C5152" s="38">
        <v>2.0</v>
      </c>
      <c r="D5152" s="38" t="s">
        <v>6569</v>
      </c>
      <c r="E5152" s="132" t="s">
        <v>15040</v>
      </c>
      <c r="F5152" s="38" t="s">
        <v>175</v>
      </c>
    </row>
    <row r="5153">
      <c r="B5153" s="38" t="s">
        <v>1400</v>
      </c>
      <c r="C5153" s="38">
        <v>4.0</v>
      </c>
      <c r="D5153" s="38" t="s">
        <v>6192</v>
      </c>
      <c r="E5153" s="132" t="s">
        <v>11871</v>
      </c>
      <c r="F5153" s="38" t="s">
        <v>15041</v>
      </c>
    </row>
    <row r="5154">
      <c r="B5154" s="38" t="s">
        <v>411</v>
      </c>
      <c r="C5154" s="38">
        <v>4.0</v>
      </c>
      <c r="D5154" s="38" t="s">
        <v>27</v>
      </c>
      <c r="E5154" s="132" t="s">
        <v>15042</v>
      </c>
      <c r="F5154" s="38" t="s">
        <v>15043</v>
      </c>
    </row>
    <row r="5155">
      <c r="B5155" s="38" t="s">
        <v>183</v>
      </c>
      <c r="C5155" s="38">
        <v>4.0</v>
      </c>
      <c r="D5155" s="38" t="s">
        <v>27</v>
      </c>
      <c r="E5155" s="39" t="s">
        <v>14592</v>
      </c>
      <c r="F5155" s="38" t="s">
        <v>15044</v>
      </c>
    </row>
    <row r="5156">
      <c r="B5156" s="38" t="s">
        <v>81</v>
      </c>
      <c r="C5156" s="38">
        <v>4.0</v>
      </c>
      <c r="D5156" s="38" t="s">
        <v>2171</v>
      </c>
      <c r="E5156" s="132" t="s">
        <v>15045</v>
      </c>
      <c r="F5156" s="38" t="s">
        <v>14832</v>
      </c>
    </row>
    <row r="5157">
      <c r="B5157" s="38" t="s">
        <v>28</v>
      </c>
      <c r="C5157" s="38">
        <v>4.0</v>
      </c>
      <c r="D5157" s="38" t="s">
        <v>4030</v>
      </c>
      <c r="E5157" s="132" t="s">
        <v>15046</v>
      </c>
      <c r="F5157" s="38" t="s">
        <v>8348</v>
      </c>
    </row>
    <row r="5158">
      <c r="B5158" s="38" t="s">
        <v>416</v>
      </c>
      <c r="C5158" s="38">
        <v>4.0</v>
      </c>
      <c r="D5158" s="38" t="s">
        <v>2900</v>
      </c>
      <c r="E5158" s="132" t="s">
        <v>14782</v>
      </c>
      <c r="F5158" s="38" t="s">
        <v>15047</v>
      </c>
      <c r="G5158" s="489" t="s">
        <v>15048</v>
      </c>
    </row>
    <row r="5159">
      <c r="B5159" s="38" t="s">
        <v>512</v>
      </c>
      <c r="C5159" s="38">
        <v>4.0</v>
      </c>
      <c r="D5159" s="38" t="s">
        <v>6476</v>
      </c>
      <c r="E5159" s="132" t="s">
        <v>15049</v>
      </c>
      <c r="F5159" s="38" t="s">
        <v>2483</v>
      </c>
    </row>
    <row r="5160">
      <c r="B5160" s="352" t="s">
        <v>15050</v>
      </c>
      <c r="C5160" s="38" t="s">
        <v>535</v>
      </c>
      <c r="D5160" s="121" t="s">
        <v>15051</v>
      </c>
      <c r="E5160" s="121" t="s">
        <v>11742</v>
      </c>
      <c r="F5160" s="38" t="s">
        <v>15002</v>
      </c>
    </row>
    <row r="5161">
      <c r="B5161" s="38" t="s">
        <v>15052</v>
      </c>
      <c r="C5161" s="38">
        <v>2.0</v>
      </c>
      <c r="D5161" s="38" t="s">
        <v>8035</v>
      </c>
      <c r="E5161" s="132" t="s">
        <v>633</v>
      </c>
      <c r="F5161" s="38" t="s">
        <v>15053</v>
      </c>
    </row>
    <row r="5162">
      <c r="B5162" s="38" t="s">
        <v>58</v>
      </c>
      <c r="C5162" s="38">
        <v>2.0</v>
      </c>
      <c r="D5162" s="38" t="s">
        <v>8045</v>
      </c>
      <c r="E5162" s="47" t="s">
        <v>12805</v>
      </c>
      <c r="F5162" s="38" t="s">
        <v>15054</v>
      </c>
    </row>
    <row r="5163">
      <c r="B5163" s="38" t="s">
        <v>58</v>
      </c>
      <c r="C5163" s="38">
        <v>1.0</v>
      </c>
      <c r="D5163" s="38" t="s">
        <v>444</v>
      </c>
      <c r="E5163" s="132" t="s">
        <v>15055</v>
      </c>
      <c r="F5163" s="38" t="s">
        <v>15056</v>
      </c>
    </row>
    <row r="5164">
      <c r="A5164" s="38" t="s">
        <v>15057</v>
      </c>
      <c r="B5164" s="38" t="s">
        <v>15058</v>
      </c>
      <c r="C5164" s="284" t="s">
        <v>1200</v>
      </c>
      <c r="D5164" s="427" t="s">
        <v>15059</v>
      </c>
      <c r="E5164" s="289" t="s">
        <v>9311</v>
      </c>
      <c r="F5164" s="38" t="s">
        <v>15060</v>
      </c>
      <c r="G5164" s="38" t="s">
        <v>15061</v>
      </c>
    </row>
    <row r="5165">
      <c r="A5165" s="65">
        <v>45259.0</v>
      </c>
      <c r="B5165" s="38" t="s">
        <v>15062</v>
      </c>
      <c r="C5165" s="38"/>
      <c r="D5165" s="38" t="s">
        <v>535</v>
      </c>
      <c r="E5165" s="289" t="s">
        <v>9311</v>
      </c>
      <c r="F5165" s="38" t="s">
        <v>15060</v>
      </c>
    </row>
    <row r="5166">
      <c r="B5166" s="38" t="s">
        <v>876</v>
      </c>
      <c r="C5166" s="38">
        <v>4.0</v>
      </c>
      <c r="D5166" s="38" t="s">
        <v>27</v>
      </c>
      <c r="E5166" s="132" t="s">
        <v>418</v>
      </c>
      <c r="F5166" s="38" t="s">
        <v>15063</v>
      </c>
    </row>
    <row r="5167">
      <c r="A5167" s="44"/>
      <c r="B5167" s="38" t="s">
        <v>170</v>
      </c>
      <c r="C5167" s="38">
        <v>2.0</v>
      </c>
      <c r="D5167" s="38" t="s">
        <v>3215</v>
      </c>
      <c r="E5167" s="132" t="s">
        <v>2551</v>
      </c>
      <c r="F5167" s="38" t="s">
        <v>15064</v>
      </c>
      <c r="G5167" s="38" t="s">
        <v>15065</v>
      </c>
    </row>
    <row r="5168">
      <c r="A5168" s="44"/>
      <c r="B5168" s="38" t="s">
        <v>166</v>
      </c>
      <c r="C5168" s="38">
        <v>2.0</v>
      </c>
      <c r="D5168" s="38" t="s">
        <v>3215</v>
      </c>
      <c r="E5168" s="132" t="s">
        <v>2551</v>
      </c>
      <c r="F5168" s="44"/>
      <c r="G5168" s="38" t="s">
        <v>15065</v>
      </c>
    </row>
    <row r="5169">
      <c r="B5169" s="38"/>
      <c r="C5169" s="38"/>
      <c r="D5169" s="38"/>
      <c r="E5169" s="132" t="s">
        <v>2551</v>
      </c>
      <c r="F5169" s="38" t="s">
        <v>15066</v>
      </c>
      <c r="G5169" s="1"/>
    </row>
    <row r="5170">
      <c r="B5170" s="38" t="s">
        <v>183</v>
      </c>
      <c r="C5170" s="38">
        <v>4.0</v>
      </c>
      <c r="D5170" s="38" t="s">
        <v>433</v>
      </c>
      <c r="E5170" s="39" t="s">
        <v>6999</v>
      </c>
      <c r="F5170" s="38" t="s">
        <v>15067</v>
      </c>
    </row>
    <row r="5171">
      <c r="B5171" s="38" t="s">
        <v>271</v>
      </c>
      <c r="C5171" s="38">
        <v>2.0</v>
      </c>
      <c r="D5171" s="38" t="s">
        <v>27</v>
      </c>
      <c r="E5171" s="132" t="s">
        <v>2742</v>
      </c>
      <c r="F5171" s="38" t="s">
        <v>15068</v>
      </c>
    </row>
    <row r="5172">
      <c r="A5172" s="1" t="s">
        <v>15069</v>
      </c>
      <c r="B5172" s="38" t="s">
        <v>15070</v>
      </c>
      <c r="C5172" s="38"/>
      <c r="D5172" s="38" t="s">
        <v>15071</v>
      </c>
      <c r="E5172" s="132" t="s">
        <v>15072</v>
      </c>
      <c r="F5172" s="38"/>
    </row>
    <row r="5173">
      <c r="B5173" s="38" t="s">
        <v>14077</v>
      </c>
      <c r="C5173" s="38" t="s">
        <v>14201</v>
      </c>
      <c r="D5173" s="38"/>
      <c r="E5173" s="132" t="s">
        <v>15072</v>
      </c>
      <c r="F5173" s="38" t="s">
        <v>15073</v>
      </c>
    </row>
    <row r="5174">
      <c r="B5174" s="38" t="s">
        <v>22</v>
      </c>
      <c r="C5174" s="38">
        <v>4.0</v>
      </c>
      <c r="D5174" s="38" t="s">
        <v>6192</v>
      </c>
      <c r="E5174" s="132" t="s">
        <v>14584</v>
      </c>
      <c r="F5174" s="38" t="s">
        <v>15074</v>
      </c>
    </row>
    <row r="5175">
      <c r="B5175" s="38"/>
      <c r="C5175" s="38">
        <v>4.0</v>
      </c>
      <c r="D5175" s="38" t="s">
        <v>15075</v>
      </c>
      <c r="E5175" s="132" t="s">
        <v>15076</v>
      </c>
      <c r="F5175" s="38" t="s">
        <v>3432</v>
      </c>
    </row>
    <row r="5176">
      <c r="B5176" s="38" t="s">
        <v>25</v>
      </c>
      <c r="C5176" s="38">
        <v>4.0</v>
      </c>
      <c r="D5176" s="38" t="s">
        <v>1964</v>
      </c>
      <c r="E5176" s="132" t="s">
        <v>15076</v>
      </c>
      <c r="F5176" s="38" t="s">
        <v>3432</v>
      </c>
    </row>
    <row r="5177">
      <c r="B5177" s="38" t="s">
        <v>7159</v>
      </c>
      <c r="C5177" s="38">
        <v>4.0</v>
      </c>
      <c r="D5177" s="38" t="s">
        <v>2538</v>
      </c>
      <c r="E5177" s="132" t="s">
        <v>514</v>
      </c>
      <c r="F5177" s="38" t="s">
        <v>15077</v>
      </c>
    </row>
    <row r="5178">
      <c r="B5178" s="5"/>
      <c r="C5178" s="5"/>
      <c r="D5178" s="5" t="s">
        <v>15078</v>
      </c>
      <c r="E5178" s="150" t="s">
        <v>514</v>
      </c>
      <c r="F5178" s="5" t="s">
        <v>15079</v>
      </c>
    </row>
    <row r="5179">
      <c r="B5179" s="38"/>
      <c r="C5179" s="38"/>
      <c r="D5179" s="38"/>
      <c r="E5179" s="132" t="s">
        <v>886</v>
      </c>
      <c r="F5179" s="38" t="s">
        <v>15080</v>
      </c>
    </row>
    <row r="5180">
      <c r="B5180" s="38" t="s">
        <v>128</v>
      </c>
      <c r="C5180" s="38">
        <v>4.0</v>
      </c>
      <c r="D5180" s="38" t="s">
        <v>2171</v>
      </c>
      <c r="E5180" s="132" t="s">
        <v>418</v>
      </c>
      <c r="F5180" s="38" t="s">
        <v>15063</v>
      </c>
    </row>
    <row r="5181">
      <c r="B5181" s="38" t="s">
        <v>1296</v>
      </c>
      <c r="C5181" s="38">
        <v>2.0</v>
      </c>
      <c r="D5181" s="38" t="s">
        <v>6747</v>
      </c>
      <c r="E5181" s="132" t="s">
        <v>138</v>
      </c>
      <c r="F5181" s="38" t="s">
        <v>15081</v>
      </c>
    </row>
    <row r="5182">
      <c r="A5182" s="44"/>
      <c r="B5182" s="38" t="s">
        <v>25</v>
      </c>
      <c r="C5182" s="38">
        <v>4.0</v>
      </c>
      <c r="D5182" s="38" t="s">
        <v>2021</v>
      </c>
      <c r="E5182" s="38" t="s">
        <v>15082</v>
      </c>
      <c r="F5182" s="38" t="s">
        <v>15083</v>
      </c>
      <c r="G5182" s="44"/>
    </row>
    <row r="5183">
      <c r="A5183" s="1" t="s">
        <v>15084</v>
      </c>
      <c r="B5183" s="1" t="s">
        <v>15085</v>
      </c>
      <c r="C5183" s="1" t="s">
        <v>13004</v>
      </c>
      <c r="D5183" s="1" t="s">
        <v>15086</v>
      </c>
      <c r="E5183" s="4" t="s">
        <v>12780</v>
      </c>
      <c r="F5183" s="4" t="s">
        <v>12781</v>
      </c>
      <c r="G5183" s="1" t="s">
        <v>144</v>
      </c>
    </row>
    <row r="5184">
      <c r="A5184" s="19">
        <v>45261.0</v>
      </c>
      <c r="B5184" s="1" t="s">
        <v>15087</v>
      </c>
      <c r="C5184" s="1" t="s">
        <v>11906</v>
      </c>
      <c r="D5184" s="4" t="s">
        <v>12782</v>
      </c>
      <c r="E5184" s="4" t="s">
        <v>12780</v>
      </c>
      <c r="G5184" s="1" t="s">
        <v>144</v>
      </c>
    </row>
    <row r="5185">
      <c r="B5185" s="5"/>
      <c r="C5185" s="5"/>
      <c r="D5185" s="566" t="s">
        <v>15088</v>
      </c>
      <c r="E5185" s="150" t="s">
        <v>2914</v>
      </c>
      <c r="F5185" s="5"/>
    </row>
    <row r="5186">
      <c r="A5186" s="44"/>
      <c r="B5186" s="121" t="s">
        <v>15089</v>
      </c>
      <c r="C5186" s="553" t="s">
        <v>15090</v>
      </c>
      <c r="D5186" s="38" t="s">
        <v>13004</v>
      </c>
      <c r="E5186" s="132" t="s">
        <v>9035</v>
      </c>
      <c r="F5186" s="38" t="s">
        <v>1200</v>
      </c>
    </row>
    <row r="5187">
      <c r="A5187" s="44"/>
      <c r="B5187" s="38"/>
      <c r="C5187" s="38"/>
      <c r="D5187" s="38" t="s">
        <v>647</v>
      </c>
      <c r="E5187" s="132" t="s">
        <v>9035</v>
      </c>
      <c r="F5187" s="38" t="s">
        <v>15091</v>
      </c>
    </row>
    <row r="5188">
      <c r="A5188" s="38" t="s">
        <v>15092</v>
      </c>
      <c r="B5188" s="38" t="s">
        <v>15093</v>
      </c>
      <c r="C5188" s="38" t="s">
        <v>15094</v>
      </c>
      <c r="D5188" s="38" t="s">
        <v>15095</v>
      </c>
      <c r="E5188" s="132" t="s">
        <v>12788</v>
      </c>
      <c r="F5188" s="38" t="s">
        <v>15096</v>
      </c>
    </row>
    <row r="5189">
      <c r="A5189" s="65">
        <v>45264.0</v>
      </c>
      <c r="B5189" s="38"/>
      <c r="C5189" s="38"/>
      <c r="D5189" s="38" t="s">
        <v>12790</v>
      </c>
      <c r="E5189" s="132" t="s">
        <v>12788</v>
      </c>
      <c r="F5189" s="38"/>
    </row>
    <row r="5190">
      <c r="B5190" s="38" t="s">
        <v>1400</v>
      </c>
      <c r="C5190" s="38">
        <v>4.0</v>
      </c>
      <c r="D5190" s="38" t="s">
        <v>6192</v>
      </c>
      <c r="E5190" s="132" t="s">
        <v>15072</v>
      </c>
      <c r="F5190" s="38" t="s">
        <v>15097</v>
      </c>
    </row>
    <row r="5191">
      <c r="B5191" s="38" t="s">
        <v>1317</v>
      </c>
      <c r="C5191" s="38">
        <v>2.0</v>
      </c>
      <c r="D5191" s="38" t="s">
        <v>15098</v>
      </c>
      <c r="E5191" s="132" t="s">
        <v>413</v>
      </c>
      <c r="F5191" s="38" t="s">
        <v>175</v>
      </c>
      <c r="G5191" s="38" t="s">
        <v>15099</v>
      </c>
    </row>
    <row r="5192">
      <c r="B5192" s="38" t="s">
        <v>1322</v>
      </c>
      <c r="C5192" s="38">
        <v>2.0</v>
      </c>
      <c r="D5192" s="38" t="s">
        <v>15098</v>
      </c>
      <c r="E5192" s="132" t="s">
        <v>413</v>
      </c>
      <c r="F5192" s="38" t="s">
        <v>15100</v>
      </c>
      <c r="G5192" s="38" t="s">
        <v>15099</v>
      </c>
    </row>
    <row r="5193">
      <c r="B5193" s="38" t="s">
        <v>9708</v>
      </c>
      <c r="C5193" s="38">
        <v>4.0</v>
      </c>
      <c r="D5193" s="38" t="s">
        <v>3117</v>
      </c>
      <c r="E5193" s="132" t="s">
        <v>11606</v>
      </c>
      <c r="F5193" s="38" t="s">
        <v>15101</v>
      </c>
    </row>
    <row r="5194">
      <c r="B5194" s="38" t="s">
        <v>77</v>
      </c>
      <c r="C5194" s="38">
        <v>2.0</v>
      </c>
      <c r="D5194" s="38" t="s">
        <v>1305</v>
      </c>
      <c r="E5194" s="132" t="s">
        <v>1015</v>
      </c>
      <c r="F5194" s="38" t="s">
        <v>15102</v>
      </c>
      <c r="G5194" s="38" t="s">
        <v>15103</v>
      </c>
    </row>
    <row r="5195">
      <c r="B5195" s="38" t="s">
        <v>430</v>
      </c>
      <c r="C5195" s="38">
        <v>4.0</v>
      </c>
      <c r="D5195" s="38" t="s">
        <v>10222</v>
      </c>
      <c r="E5195" s="132" t="s">
        <v>15104</v>
      </c>
      <c r="F5195" s="38" t="s">
        <v>9867</v>
      </c>
    </row>
    <row r="5196">
      <c r="B5196" s="38" t="s">
        <v>25</v>
      </c>
      <c r="C5196" s="38">
        <v>4.0</v>
      </c>
      <c r="D5196" s="38" t="s">
        <v>545</v>
      </c>
      <c r="E5196" s="132" t="s">
        <v>15105</v>
      </c>
      <c r="F5196" s="38" t="s">
        <v>15106</v>
      </c>
    </row>
    <row r="5197">
      <c r="B5197" s="38" t="s">
        <v>15107</v>
      </c>
      <c r="C5197" s="38">
        <v>4.0</v>
      </c>
      <c r="D5197" s="38" t="s">
        <v>15098</v>
      </c>
      <c r="E5197" s="132" t="s">
        <v>4762</v>
      </c>
      <c r="F5197" s="38" t="s">
        <v>15108</v>
      </c>
    </row>
    <row r="5198">
      <c r="B5198" s="38"/>
      <c r="C5198" s="38"/>
      <c r="D5198" s="38" t="s">
        <v>15109</v>
      </c>
      <c r="E5198" s="132" t="s">
        <v>886</v>
      </c>
      <c r="F5198" s="38" t="s">
        <v>15110</v>
      </c>
    </row>
    <row r="5199">
      <c r="B5199" s="38" t="s">
        <v>25</v>
      </c>
      <c r="C5199" s="38">
        <v>2.0</v>
      </c>
      <c r="D5199" s="38" t="s">
        <v>27</v>
      </c>
      <c r="E5199" s="132" t="s">
        <v>5131</v>
      </c>
      <c r="F5199" s="38"/>
    </row>
    <row r="5200">
      <c r="B5200" s="38" t="s">
        <v>3996</v>
      </c>
      <c r="C5200" s="38">
        <v>10.0</v>
      </c>
      <c r="D5200" s="38" t="s">
        <v>7846</v>
      </c>
      <c r="E5200" s="132" t="s">
        <v>1580</v>
      </c>
      <c r="F5200" s="38" t="s">
        <v>353</v>
      </c>
      <c r="G5200" s="1" t="s">
        <v>15111</v>
      </c>
    </row>
    <row r="5201">
      <c r="B5201" s="38" t="s">
        <v>3996</v>
      </c>
      <c r="C5201" s="38">
        <v>2.0</v>
      </c>
      <c r="D5201" s="38" t="s">
        <v>15112</v>
      </c>
      <c r="E5201" s="132" t="s">
        <v>1580</v>
      </c>
      <c r="F5201" s="38" t="s">
        <v>12521</v>
      </c>
    </row>
    <row r="5202">
      <c r="B5202" s="38" t="s">
        <v>28</v>
      </c>
      <c r="C5202" s="38">
        <v>4.0</v>
      </c>
      <c r="D5202" s="38" t="s">
        <v>3135</v>
      </c>
      <c r="E5202" s="132" t="s">
        <v>2551</v>
      </c>
      <c r="F5202" s="38" t="s">
        <v>15113</v>
      </c>
    </row>
    <row r="5203">
      <c r="B5203" s="38"/>
      <c r="C5203" s="38">
        <v>4.0</v>
      </c>
      <c r="D5203" s="38" t="s">
        <v>15114</v>
      </c>
      <c r="E5203" s="132" t="s">
        <v>2551</v>
      </c>
      <c r="F5203" s="38" t="s">
        <v>15113</v>
      </c>
    </row>
    <row r="5204">
      <c r="B5204" s="38" t="s">
        <v>4666</v>
      </c>
      <c r="C5204" s="38">
        <v>4.0</v>
      </c>
      <c r="D5204" s="38" t="s">
        <v>9737</v>
      </c>
      <c r="E5204" s="132" t="s">
        <v>14553</v>
      </c>
      <c r="F5204" s="38" t="s">
        <v>15115</v>
      </c>
    </row>
    <row r="5205">
      <c r="B5205" s="38" t="s">
        <v>15116</v>
      </c>
      <c r="C5205" s="38" t="s">
        <v>15117</v>
      </c>
      <c r="D5205" s="38" t="s">
        <v>15118</v>
      </c>
      <c r="E5205" s="132" t="s">
        <v>12330</v>
      </c>
      <c r="F5205" s="38" t="s">
        <v>15119</v>
      </c>
    </row>
    <row r="5206">
      <c r="B5206" s="38" t="s">
        <v>15120</v>
      </c>
      <c r="C5206" s="38" t="s">
        <v>15121</v>
      </c>
      <c r="D5206" s="38" t="s">
        <v>15122</v>
      </c>
      <c r="E5206" s="132" t="s">
        <v>15123</v>
      </c>
      <c r="F5206" s="38" t="s">
        <v>15119</v>
      </c>
    </row>
    <row r="5207">
      <c r="B5207" s="38" t="s">
        <v>15124</v>
      </c>
      <c r="C5207" s="38" t="s">
        <v>15125</v>
      </c>
      <c r="D5207" s="38" t="s">
        <v>15126</v>
      </c>
      <c r="E5207" s="132" t="s">
        <v>15123</v>
      </c>
      <c r="F5207" s="38" t="s">
        <v>15119</v>
      </c>
    </row>
    <row r="5208">
      <c r="B5208" s="38" t="s">
        <v>15127</v>
      </c>
      <c r="C5208" s="38" t="s">
        <v>15128</v>
      </c>
      <c r="D5208" s="38" t="s">
        <v>15129</v>
      </c>
      <c r="E5208" s="132" t="s">
        <v>15123</v>
      </c>
      <c r="F5208" s="38" t="s">
        <v>15119</v>
      </c>
    </row>
    <row r="5209">
      <c r="C5209" s="38" t="s">
        <v>15130</v>
      </c>
      <c r="D5209" s="38" t="s">
        <v>15131</v>
      </c>
      <c r="E5209" s="132" t="s">
        <v>15123</v>
      </c>
      <c r="F5209" s="38" t="s">
        <v>15119</v>
      </c>
    </row>
    <row r="5210">
      <c r="B5210" s="38"/>
      <c r="C5210" s="38" t="s">
        <v>15132</v>
      </c>
      <c r="D5210" s="553" t="s">
        <v>15133</v>
      </c>
      <c r="E5210" s="91" t="s">
        <v>15134</v>
      </c>
      <c r="F5210" s="38"/>
    </row>
    <row r="5211">
      <c r="B5211" s="38"/>
      <c r="C5211" s="38"/>
      <c r="D5211" s="38" t="s">
        <v>3756</v>
      </c>
      <c r="E5211" s="91" t="s">
        <v>15134</v>
      </c>
      <c r="F5211" s="38"/>
    </row>
    <row r="5212">
      <c r="B5212" s="38" t="s">
        <v>25</v>
      </c>
      <c r="C5212" s="38">
        <v>4.0</v>
      </c>
      <c r="D5212" s="38" t="s">
        <v>1964</v>
      </c>
      <c r="E5212" s="132" t="s">
        <v>15135</v>
      </c>
      <c r="F5212" s="38" t="s">
        <v>15136</v>
      </c>
    </row>
    <row r="5213">
      <c r="B5213" s="38" t="s">
        <v>77</v>
      </c>
      <c r="C5213" s="38">
        <v>1.0</v>
      </c>
      <c r="D5213" s="38" t="s">
        <v>6192</v>
      </c>
      <c r="E5213" s="132" t="s">
        <v>15137</v>
      </c>
      <c r="F5213" s="38" t="s">
        <v>15138</v>
      </c>
      <c r="G5213" s="38" t="s">
        <v>15139</v>
      </c>
    </row>
    <row r="5214">
      <c r="B5214" s="38"/>
      <c r="C5214" s="38"/>
      <c r="D5214" s="38"/>
      <c r="E5214" s="132" t="s">
        <v>15137</v>
      </c>
      <c r="F5214" s="38" t="s">
        <v>15140</v>
      </c>
      <c r="G5214" s="38" t="s">
        <v>15139</v>
      </c>
    </row>
    <row r="5215">
      <c r="B5215" s="38" t="s">
        <v>7695</v>
      </c>
      <c r="C5215" s="38">
        <v>2.0</v>
      </c>
      <c r="D5215" s="38" t="s">
        <v>3215</v>
      </c>
      <c r="E5215" s="91" t="s">
        <v>15141</v>
      </c>
      <c r="F5215" s="38" t="s">
        <v>15142</v>
      </c>
    </row>
    <row r="5216">
      <c r="B5216" s="38"/>
      <c r="C5216" s="38"/>
      <c r="D5216" s="38" t="s">
        <v>15143</v>
      </c>
      <c r="E5216" s="132" t="s">
        <v>5648</v>
      </c>
      <c r="F5216" s="38" t="s">
        <v>15144</v>
      </c>
    </row>
    <row r="5217">
      <c r="B5217" s="38"/>
      <c r="C5217" s="38"/>
      <c r="D5217" s="38"/>
      <c r="E5217" s="132" t="s">
        <v>7641</v>
      </c>
      <c r="F5217" s="38" t="s">
        <v>15145</v>
      </c>
      <c r="G5217" s="38" t="s">
        <v>15146</v>
      </c>
    </row>
    <row r="5218">
      <c r="B5218" s="38"/>
      <c r="C5218" s="38"/>
      <c r="D5218" s="38"/>
      <c r="E5218" s="132" t="s">
        <v>7641</v>
      </c>
      <c r="F5218" s="38" t="s">
        <v>15147</v>
      </c>
      <c r="G5218" s="564" t="s">
        <v>15146</v>
      </c>
    </row>
    <row r="5219">
      <c r="B5219" s="38"/>
      <c r="C5219" s="38"/>
      <c r="D5219" s="38"/>
      <c r="E5219" s="132" t="s">
        <v>7641</v>
      </c>
      <c r="F5219" s="38" t="s">
        <v>15148</v>
      </c>
      <c r="G5219" s="38" t="s">
        <v>15146</v>
      </c>
    </row>
    <row r="5220">
      <c r="B5220" s="38" t="s">
        <v>205</v>
      </c>
      <c r="C5220" s="38">
        <v>4.0</v>
      </c>
      <c r="D5220" s="38" t="s">
        <v>6192</v>
      </c>
      <c r="E5220" s="39" t="s">
        <v>15149</v>
      </c>
      <c r="F5220" s="38" t="s">
        <v>15150</v>
      </c>
    </row>
    <row r="5221">
      <c r="B5221" s="38"/>
      <c r="C5221" s="38"/>
      <c r="D5221" s="38"/>
      <c r="E5221" s="132" t="s">
        <v>14553</v>
      </c>
      <c r="F5221" s="38" t="s">
        <v>15151</v>
      </c>
      <c r="G5221" s="38" t="s">
        <v>15152</v>
      </c>
    </row>
    <row r="5222">
      <c r="B5222" s="38"/>
      <c r="C5222" s="38"/>
      <c r="D5222" s="38"/>
      <c r="E5222" s="132" t="s">
        <v>4865</v>
      </c>
      <c r="F5222" s="38" t="s">
        <v>15153</v>
      </c>
    </row>
    <row r="5223">
      <c r="B5223" s="38" t="s">
        <v>122</v>
      </c>
      <c r="C5223" s="38">
        <v>4.0</v>
      </c>
      <c r="D5223" s="38" t="s">
        <v>15154</v>
      </c>
      <c r="E5223" s="132" t="s">
        <v>15155</v>
      </c>
      <c r="F5223" s="38"/>
    </row>
    <row r="5224">
      <c r="B5224" s="38" t="s">
        <v>416</v>
      </c>
      <c r="C5224" s="38">
        <v>4.0</v>
      </c>
      <c r="D5224" s="38" t="s">
        <v>50</v>
      </c>
      <c r="E5224" s="132" t="s">
        <v>4709</v>
      </c>
      <c r="F5224" s="38" t="s">
        <v>15156</v>
      </c>
    </row>
    <row r="5225">
      <c r="B5225" s="38"/>
      <c r="C5225" s="38">
        <v>1.0</v>
      </c>
      <c r="D5225" s="38" t="s">
        <v>15157</v>
      </c>
      <c r="E5225" s="132" t="s">
        <v>1940</v>
      </c>
      <c r="F5225" s="38" t="s">
        <v>15158</v>
      </c>
    </row>
    <row r="5226">
      <c r="B5226" s="38" t="s">
        <v>283</v>
      </c>
      <c r="C5226" s="38">
        <v>4.0</v>
      </c>
      <c r="D5226" s="38" t="s">
        <v>15159</v>
      </c>
      <c r="E5226" s="113" t="s">
        <v>15160</v>
      </c>
      <c r="F5226" s="38" t="s">
        <v>5277</v>
      </c>
    </row>
    <row r="5227">
      <c r="B5227" s="38" t="s">
        <v>2798</v>
      </c>
      <c r="C5227" s="38">
        <v>4.0</v>
      </c>
      <c r="D5227" s="38" t="s">
        <v>6871</v>
      </c>
      <c r="E5227" s="132" t="s">
        <v>15161</v>
      </c>
      <c r="F5227" s="38" t="s">
        <v>15162</v>
      </c>
    </row>
    <row r="5228">
      <c r="B5228" s="38" t="s">
        <v>2798</v>
      </c>
      <c r="C5228" s="38">
        <v>4.0</v>
      </c>
      <c r="D5228" s="38" t="s">
        <v>15163</v>
      </c>
      <c r="E5228" s="132" t="s">
        <v>15164</v>
      </c>
      <c r="F5228" s="38" t="s">
        <v>15165</v>
      </c>
    </row>
    <row r="5229">
      <c r="B5229" s="38" t="s">
        <v>949</v>
      </c>
      <c r="C5229" s="38">
        <v>4.0</v>
      </c>
      <c r="D5229" s="38" t="s">
        <v>2405</v>
      </c>
      <c r="E5229" s="132" t="s">
        <v>15166</v>
      </c>
      <c r="F5229" s="38" t="s">
        <v>15167</v>
      </c>
    </row>
    <row r="5230">
      <c r="A5230" s="1" t="s">
        <v>15168</v>
      </c>
      <c r="B5230" s="5" t="s">
        <v>15169</v>
      </c>
      <c r="C5230" s="5" t="s">
        <v>15170</v>
      </c>
      <c r="D5230" s="5" t="s">
        <v>15171</v>
      </c>
      <c r="E5230" s="150" t="s">
        <v>11266</v>
      </c>
      <c r="F5230" s="5" t="s">
        <v>15172</v>
      </c>
    </row>
    <row r="5231">
      <c r="A5231" s="19">
        <v>45299.0</v>
      </c>
      <c r="B5231" s="5"/>
      <c r="C5231" s="5"/>
      <c r="D5231" s="5" t="s">
        <v>15173</v>
      </c>
      <c r="E5231" s="150" t="s">
        <v>11266</v>
      </c>
      <c r="F5231" s="5" t="s">
        <v>4299</v>
      </c>
    </row>
    <row r="5232">
      <c r="B5232" s="5" t="s">
        <v>15174</v>
      </c>
      <c r="C5232" s="5"/>
      <c r="D5232" s="5" t="s">
        <v>15175</v>
      </c>
      <c r="E5232" s="150" t="s">
        <v>11266</v>
      </c>
      <c r="F5232" s="5" t="s">
        <v>15176</v>
      </c>
      <c r="G5232" s="1" t="s">
        <v>15177</v>
      </c>
    </row>
    <row r="5233">
      <c r="A5233" s="44"/>
      <c r="B5233" s="38" t="s">
        <v>58</v>
      </c>
      <c r="C5233" s="38">
        <v>4.0</v>
      </c>
      <c r="D5233" s="38" t="s">
        <v>9336</v>
      </c>
      <c r="E5233" s="132" t="s">
        <v>4478</v>
      </c>
      <c r="F5233" s="38" t="s">
        <v>15178</v>
      </c>
    </row>
    <row r="5234">
      <c r="B5234" s="38"/>
      <c r="C5234" s="38"/>
      <c r="D5234" s="38" t="s">
        <v>15179</v>
      </c>
      <c r="E5234" s="132" t="s">
        <v>4762</v>
      </c>
      <c r="F5234" s="38" t="s">
        <v>14256</v>
      </c>
    </row>
    <row r="5235">
      <c r="B5235" s="38" t="s">
        <v>10845</v>
      </c>
      <c r="C5235" s="38">
        <v>1.0</v>
      </c>
      <c r="D5235" s="38" t="s">
        <v>1155</v>
      </c>
      <c r="E5235" s="132" t="s">
        <v>1156</v>
      </c>
      <c r="F5235" s="22" t="s">
        <v>15180</v>
      </c>
    </row>
    <row r="5236">
      <c r="B5236" s="38" t="s">
        <v>339</v>
      </c>
      <c r="C5236" s="38">
        <v>4.0</v>
      </c>
      <c r="D5236" s="38" t="s">
        <v>545</v>
      </c>
      <c r="E5236" s="132" t="s">
        <v>325</v>
      </c>
      <c r="F5236" s="38" t="s">
        <v>15181</v>
      </c>
    </row>
    <row r="5237">
      <c r="B5237" s="38" t="s">
        <v>13868</v>
      </c>
      <c r="C5237" s="38" t="s">
        <v>15182</v>
      </c>
      <c r="D5237" s="38" t="s">
        <v>13864</v>
      </c>
      <c r="E5237" s="132" t="s">
        <v>15183</v>
      </c>
      <c r="F5237" s="38" t="s">
        <v>647</v>
      </c>
      <c r="G5237" s="38" t="s">
        <v>15184</v>
      </c>
    </row>
    <row r="5238">
      <c r="B5238" s="38" t="s">
        <v>15185</v>
      </c>
      <c r="C5238" s="121" t="s">
        <v>15186</v>
      </c>
      <c r="D5238" s="567" t="s">
        <v>15187</v>
      </c>
      <c r="E5238" s="132" t="s">
        <v>15183</v>
      </c>
      <c r="F5238" s="38" t="s">
        <v>15188</v>
      </c>
      <c r="G5238" s="38" t="s">
        <v>15184</v>
      </c>
    </row>
    <row r="5239">
      <c r="B5239" s="38" t="s">
        <v>15189</v>
      </c>
      <c r="C5239" s="38" t="s">
        <v>15190</v>
      </c>
      <c r="D5239" s="38"/>
      <c r="E5239" s="132" t="s">
        <v>15183</v>
      </c>
      <c r="F5239" s="38" t="s">
        <v>15191</v>
      </c>
      <c r="G5239" s="38" t="s">
        <v>15184</v>
      </c>
    </row>
    <row r="5240">
      <c r="B5240" s="38"/>
      <c r="C5240" s="38"/>
      <c r="D5240" s="38" t="s">
        <v>15192</v>
      </c>
      <c r="E5240" s="132" t="s">
        <v>15193</v>
      </c>
      <c r="F5240" s="38" t="s">
        <v>15194</v>
      </c>
    </row>
    <row r="5241">
      <c r="B5241" s="38" t="s">
        <v>15195</v>
      </c>
      <c r="C5241" s="38"/>
      <c r="D5241" s="38" t="s">
        <v>15196</v>
      </c>
      <c r="E5241" s="132" t="s">
        <v>13639</v>
      </c>
      <c r="F5241" s="38" t="s">
        <v>15194</v>
      </c>
    </row>
    <row r="5242">
      <c r="B5242" s="38" t="s">
        <v>183</v>
      </c>
      <c r="C5242" s="38">
        <v>2.0</v>
      </c>
      <c r="D5242" s="38" t="s">
        <v>3215</v>
      </c>
      <c r="E5242" s="132" t="s">
        <v>413</v>
      </c>
      <c r="F5242" s="38" t="s">
        <v>15197</v>
      </c>
    </row>
    <row r="5243">
      <c r="B5243" s="38" t="s">
        <v>122</v>
      </c>
      <c r="C5243" s="38">
        <v>4.0</v>
      </c>
      <c r="D5243" s="38" t="s">
        <v>15198</v>
      </c>
      <c r="E5243" s="132" t="s">
        <v>2551</v>
      </c>
      <c r="F5243" s="38" t="s">
        <v>15199</v>
      </c>
    </row>
    <row r="5244">
      <c r="A5244" s="38" t="s">
        <v>15200</v>
      </c>
      <c r="B5244" s="38" t="s">
        <v>15201</v>
      </c>
      <c r="C5244" s="38" t="s">
        <v>15202</v>
      </c>
      <c r="D5244" s="38" t="s">
        <v>15203</v>
      </c>
      <c r="E5244" s="132" t="s">
        <v>11831</v>
      </c>
      <c r="F5244" s="38" t="s">
        <v>647</v>
      </c>
      <c r="G5244" s="38" t="s">
        <v>15194</v>
      </c>
    </row>
    <row r="5245">
      <c r="A5245" s="65">
        <v>45306.0</v>
      </c>
      <c r="B5245" s="38" t="s">
        <v>15204</v>
      </c>
      <c r="C5245" s="38"/>
      <c r="D5245" s="38" t="s">
        <v>15205</v>
      </c>
      <c r="E5245" s="132" t="s">
        <v>11831</v>
      </c>
      <c r="F5245" s="38" t="s">
        <v>15206</v>
      </c>
      <c r="G5245" s="38" t="s">
        <v>15194</v>
      </c>
    </row>
    <row r="5246">
      <c r="B5246" s="38"/>
      <c r="C5246" s="38"/>
      <c r="D5246" s="38" t="s">
        <v>15207</v>
      </c>
      <c r="E5246" s="132" t="s">
        <v>1015</v>
      </c>
      <c r="F5246" s="38" t="s">
        <v>15208</v>
      </c>
    </row>
    <row r="5247">
      <c r="A5247" s="38" t="s">
        <v>15209</v>
      </c>
      <c r="B5247" s="38" t="s">
        <v>15210</v>
      </c>
      <c r="C5247" s="38" t="s">
        <v>535</v>
      </c>
      <c r="D5247" s="38" t="s">
        <v>15211</v>
      </c>
      <c r="E5247" s="38" t="s">
        <v>15212</v>
      </c>
      <c r="F5247" s="38" t="s">
        <v>15213</v>
      </c>
    </row>
    <row r="5248">
      <c r="A5248" s="65">
        <v>45306.0</v>
      </c>
      <c r="B5248" s="38"/>
      <c r="C5248" s="38"/>
      <c r="D5248" s="38" t="s">
        <v>15214</v>
      </c>
      <c r="E5248" s="47" t="s">
        <v>15215</v>
      </c>
      <c r="F5248" s="38" t="s">
        <v>15213</v>
      </c>
    </row>
    <row r="5249">
      <c r="A5249" s="44"/>
      <c r="B5249" s="38" t="s">
        <v>205</v>
      </c>
      <c r="C5249" s="38">
        <v>4.0</v>
      </c>
      <c r="D5249" s="38" t="s">
        <v>27</v>
      </c>
      <c r="E5249" s="132" t="s">
        <v>15216</v>
      </c>
      <c r="F5249" s="38"/>
    </row>
    <row r="5250">
      <c r="A5250" s="44"/>
      <c r="B5250" s="38" t="s">
        <v>718</v>
      </c>
      <c r="C5250" s="38">
        <v>4.0</v>
      </c>
      <c r="D5250" s="38" t="s">
        <v>2032</v>
      </c>
      <c r="E5250" s="132" t="s">
        <v>15217</v>
      </c>
      <c r="F5250" s="38" t="s">
        <v>15218</v>
      </c>
      <c r="G5250" s="38" t="s">
        <v>15219</v>
      </c>
    </row>
    <row r="5251">
      <c r="A5251" s="44"/>
      <c r="B5251" s="38"/>
      <c r="C5251" s="38"/>
      <c r="D5251" s="38" t="s">
        <v>15220</v>
      </c>
      <c r="E5251" s="132" t="s">
        <v>1508</v>
      </c>
      <c r="F5251" s="38" t="s">
        <v>15221</v>
      </c>
      <c r="G5251" s="38" t="s">
        <v>15222</v>
      </c>
    </row>
    <row r="5252">
      <c r="B5252" s="38" t="s">
        <v>205</v>
      </c>
      <c r="C5252" s="38">
        <v>2.0</v>
      </c>
      <c r="D5252" s="38" t="s">
        <v>10352</v>
      </c>
      <c r="E5252" s="132" t="s">
        <v>4939</v>
      </c>
      <c r="F5252" s="38" t="s">
        <v>15223</v>
      </c>
      <c r="G5252" s="38" t="s">
        <v>7233</v>
      </c>
    </row>
    <row r="5253">
      <c r="B5253" s="38" t="s">
        <v>430</v>
      </c>
      <c r="C5253" s="38">
        <v>4.0</v>
      </c>
      <c r="D5253" s="38" t="s">
        <v>9735</v>
      </c>
      <c r="E5253" s="132" t="s">
        <v>325</v>
      </c>
      <c r="F5253" s="38" t="s">
        <v>15224</v>
      </c>
    </row>
    <row r="5254">
      <c r="B5254" s="38" t="s">
        <v>354</v>
      </c>
      <c r="C5254" s="38">
        <v>4.0</v>
      </c>
      <c r="D5254" s="38" t="s">
        <v>2423</v>
      </c>
      <c r="E5254" s="132" t="s">
        <v>325</v>
      </c>
      <c r="F5254" s="38" t="s">
        <v>15225</v>
      </c>
    </row>
    <row r="5255">
      <c r="B5255" s="38" t="s">
        <v>214</v>
      </c>
      <c r="C5255" s="38">
        <v>2.0</v>
      </c>
      <c r="D5255" s="38" t="s">
        <v>2421</v>
      </c>
      <c r="E5255" s="132" t="s">
        <v>325</v>
      </c>
      <c r="F5255" s="38" t="s">
        <v>15226</v>
      </c>
    </row>
    <row r="5256">
      <c r="B5256" s="38" t="s">
        <v>210</v>
      </c>
      <c r="C5256" s="38">
        <v>2.0</v>
      </c>
      <c r="D5256" s="38" t="s">
        <v>2421</v>
      </c>
      <c r="E5256" s="132" t="s">
        <v>325</v>
      </c>
      <c r="F5256" s="38" t="s">
        <v>15226</v>
      </c>
    </row>
    <row r="5257">
      <c r="B5257" s="38" t="s">
        <v>219</v>
      </c>
      <c r="C5257" s="38">
        <v>4.0</v>
      </c>
      <c r="D5257" s="38" t="s">
        <v>6773</v>
      </c>
      <c r="E5257" s="132" t="s">
        <v>15227</v>
      </c>
      <c r="F5257" s="38" t="s">
        <v>15228</v>
      </c>
    </row>
    <row r="5258">
      <c r="B5258" s="38" t="s">
        <v>15229</v>
      </c>
      <c r="C5258" s="390" t="s">
        <v>15230</v>
      </c>
      <c r="D5258" s="38" t="s">
        <v>15231</v>
      </c>
      <c r="E5258" s="132" t="s">
        <v>15123</v>
      </c>
      <c r="F5258" s="38" t="s">
        <v>15232</v>
      </c>
      <c r="G5258" s="38" t="s">
        <v>15213</v>
      </c>
    </row>
    <row r="5259">
      <c r="B5259" s="38"/>
      <c r="C5259" s="38" t="s">
        <v>15233</v>
      </c>
      <c r="D5259" s="38"/>
      <c r="E5259" s="132" t="s">
        <v>15123</v>
      </c>
      <c r="F5259" s="44"/>
      <c r="G5259" s="38" t="s">
        <v>15213</v>
      </c>
    </row>
    <row r="5260">
      <c r="B5260" s="38"/>
      <c r="C5260" s="38">
        <v>4.0</v>
      </c>
      <c r="D5260" s="38" t="s">
        <v>15234</v>
      </c>
      <c r="E5260" s="132" t="s">
        <v>15123</v>
      </c>
      <c r="F5260" s="38"/>
      <c r="G5260" s="38" t="s">
        <v>15213</v>
      </c>
    </row>
    <row r="5261">
      <c r="A5261" s="44"/>
      <c r="B5261" s="38"/>
      <c r="C5261" s="38"/>
      <c r="D5261" s="38" t="s">
        <v>15235</v>
      </c>
      <c r="E5261" s="132" t="s">
        <v>15236</v>
      </c>
      <c r="F5261" s="38" t="s">
        <v>15237</v>
      </c>
      <c r="G5261" s="38" t="s">
        <v>15238</v>
      </c>
      <c r="H5261" s="38" t="s">
        <v>15239</v>
      </c>
    </row>
    <row r="5262">
      <c r="A5262" s="44"/>
      <c r="B5262" s="38"/>
      <c r="C5262" s="38"/>
      <c r="D5262" s="38"/>
      <c r="E5262" s="132"/>
      <c r="F5262" s="38" t="s">
        <v>15240</v>
      </c>
      <c r="G5262" s="38"/>
      <c r="H5262" s="38" t="s">
        <v>15239</v>
      </c>
    </row>
    <row r="5263">
      <c r="B5263" s="38"/>
      <c r="C5263" s="38"/>
      <c r="D5263" s="353" t="s">
        <v>15241</v>
      </c>
      <c r="E5263" s="132" t="s">
        <v>15123</v>
      </c>
      <c r="F5263" s="44"/>
      <c r="G5263" s="38" t="s">
        <v>15213</v>
      </c>
    </row>
    <row r="5264">
      <c r="B5264" s="38" t="s">
        <v>22</v>
      </c>
      <c r="C5264" s="38">
        <v>2.0</v>
      </c>
      <c r="D5264" s="38" t="s">
        <v>2121</v>
      </c>
      <c r="E5264" s="132" t="s">
        <v>15242</v>
      </c>
      <c r="F5264" s="38" t="s">
        <v>15243</v>
      </c>
      <c r="G5264" s="38" t="s">
        <v>15213</v>
      </c>
    </row>
    <row r="5265">
      <c r="B5265" s="38" t="s">
        <v>512</v>
      </c>
      <c r="C5265" s="38">
        <v>2.0</v>
      </c>
      <c r="D5265" s="38" t="s">
        <v>2909</v>
      </c>
      <c r="E5265" s="132" t="s">
        <v>11668</v>
      </c>
      <c r="F5265" s="38" t="s">
        <v>2703</v>
      </c>
    </row>
    <row r="5266">
      <c r="B5266" s="38"/>
      <c r="C5266" s="38"/>
      <c r="D5266" s="38"/>
      <c r="E5266" s="132" t="s">
        <v>1072</v>
      </c>
      <c r="F5266" s="38" t="s">
        <v>15244</v>
      </c>
      <c r="G5266" s="38" t="s">
        <v>15002</v>
      </c>
    </row>
    <row r="5267">
      <c r="B5267" s="38" t="s">
        <v>10839</v>
      </c>
      <c r="C5267" s="38">
        <v>4.0</v>
      </c>
      <c r="D5267" s="38" t="s">
        <v>12903</v>
      </c>
      <c r="E5267" s="132" t="s">
        <v>413</v>
      </c>
      <c r="F5267" s="38" t="s">
        <v>15245</v>
      </c>
    </row>
    <row r="5268">
      <c r="B5268" s="5" t="s">
        <v>15246</v>
      </c>
      <c r="C5268" s="5" t="s">
        <v>15247</v>
      </c>
      <c r="D5268" s="5" t="s">
        <v>15248</v>
      </c>
      <c r="E5268" s="150" t="s">
        <v>15249</v>
      </c>
      <c r="F5268" s="5"/>
    </row>
    <row r="5269">
      <c r="B5269" s="38" t="s">
        <v>81</v>
      </c>
      <c r="C5269" s="38">
        <v>4.0</v>
      </c>
      <c r="D5269" s="38" t="s">
        <v>15250</v>
      </c>
      <c r="E5269" s="132" t="s">
        <v>9229</v>
      </c>
      <c r="F5269" s="38" t="s">
        <v>15251</v>
      </c>
      <c r="G5269" s="38" t="s">
        <v>15252</v>
      </c>
    </row>
    <row r="5270">
      <c r="A5270" s="44"/>
      <c r="B5270" s="38" t="s">
        <v>15253</v>
      </c>
      <c r="C5270" s="121" t="s">
        <v>15254</v>
      </c>
      <c r="D5270" s="38" t="s">
        <v>15255</v>
      </c>
      <c r="E5270" s="132" t="s">
        <v>15256</v>
      </c>
      <c r="F5270" s="38" t="s">
        <v>15257</v>
      </c>
      <c r="G5270" s="38" t="s">
        <v>15258</v>
      </c>
    </row>
    <row r="5271">
      <c r="B5271" s="38" t="s">
        <v>357</v>
      </c>
      <c r="C5271" s="38">
        <v>4.0</v>
      </c>
      <c r="D5271" s="38" t="s">
        <v>337</v>
      </c>
      <c r="E5271" s="132" t="s">
        <v>684</v>
      </c>
      <c r="F5271" s="38" t="s">
        <v>15259</v>
      </c>
    </row>
    <row r="5272">
      <c r="B5272" s="38" t="s">
        <v>6737</v>
      </c>
      <c r="C5272" s="38">
        <v>2.0</v>
      </c>
      <c r="D5272" s="38" t="s">
        <v>412</v>
      </c>
      <c r="E5272" s="132" t="s">
        <v>202</v>
      </c>
      <c r="F5272" s="38" t="s">
        <v>15260</v>
      </c>
    </row>
    <row r="5273">
      <c r="A5273" s="24"/>
      <c r="B5273" s="38" t="s">
        <v>25</v>
      </c>
      <c r="C5273" s="38">
        <v>4.0</v>
      </c>
      <c r="D5273" s="38" t="s">
        <v>2489</v>
      </c>
      <c r="E5273" s="101" t="s">
        <v>4716</v>
      </c>
      <c r="F5273" s="38" t="s">
        <v>773</v>
      </c>
      <c r="G5273" s="1" t="s">
        <v>15261</v>
      </c>
    </row>
    <row r="5274">
      <c r="B5274" s="38"/>
      <c r="C5274" s="38">
        <v>4.0</v>
      </c>
      <c r="D5274" s="38" t="s">
        <v>15262</v>
      </c>
      <c r="E5274" s="101" t="s">
        <v>4716</v>
      </c>
      <c r="F5274" s="38" t="s">
        <v>1223</v>
      </c>
    </row>
    <row r="5275">
      <c r="B5275" s="38"/>
      <c r="C5275" s="38">
        <v>4.0</v>
      </c>
      <c r="D5275" s="38" t="s">
        <v>15263</v>
      </c>
      <c r="E5275" s="132" t="s">
        <v>1758</v>
      </c>
      <c r="F5275" s="38" t="s">
        <v>11571</v>
      </c>
      <c r="G5275" s="38" t="s">
        <v>15264</v>
      </c>
    </row>
    <row r="5276">
      <c r="B5276" s="38" t="s">
        <v>41</v>
      </c>
      <c r="C5276" s="38">
        <v>4.0</v>
      </c>
      <c r="D5276" s="38" t="s">
        <v>672</v>
      </c>
      <c r="E5276" s="132" t="s">
        <v>1758</v>
      </c>
      <c r="F5276" s="38" t="s">
        <v>15265</v>
      </c>
      <c r="G5276" s="38" t="s">
        <v>15264</v>
      </c>
    </row>
    <row r="5277">
      <c r="B5277" s="38"/>
      <c r="C5277" s="38"/>
      <c r="D5277" s="38"/>
      <c r="E5277" s="132" t="s">
        <v>1758</v>
      </c>
      <c r="F5277" s="38" t="s">
        <v>15266</v>
      </c>
      <c r="G5277" s="38" t="s">
        <v>15264</v>
      </c>
    </row>
    <row r="5278">
      <c r="A5278" s="44"/>
      <c r="B5278" s="529" t="s">
        <v>13474</v>
      </c>
      <c r="C5278" s="38" t="s">
        <v>13475</v>
      </c>
      <c r="D5278" s="352" t="s">
        <v>11817</v>
      </c>
      <c r="E5278" s="38" t="s">
        <v>1199</v>
      </c>
      <c r="F5278" s="38" t="s">
        <v>15267</v>
      </c>
    </row>
    <row r="5279">
      <c r="A5279" s="44"/>
      <c r="B5279" s="38" t="s">
        <v>1200</v>
      </c>
      <c r="C5279" s="38"/>
      <c r="D5279" s="38" t="s">
        <v>1201</v>
      </c>
      <c r="E5279" s="38" t="s">
        <v>1199</v>
      </c>
      <c r="F5279" s="38"/>
    </row>
    <row r="5280">
      <c r="A5280" s="44"/>
      <c r="B5280" s="38"/>
      <c r="C5280" s="38" t="s">
        <v>15268</v>
      </c>
      <c r="D5280" s="38" t="s">
        <v>15269</v>
      </c>
      <c r="E5280" s="38" t="s">
        <v>1199</v>
      </c>
      <c r="F5280" s="38"/>
    </row>
    <row r="5281">
      <c r="B5281" s="38"/>
      <c r="C5281" s="38"/>
      <c r="D5281" s="38"/>
      <c r="E5281" s="132" t="s">
        <v>974</v>
      </c>
      <c r="F5281" s="38" t="s">
        <v>15270</v>
      </c>
      <c r="G5281" s="38" t="s">
        <v>144</v>
      </c>
    </row>
    <row r="5282">
      <c r="B5282" s="38" t="s">
        <v>199</v>
      </c>
      <c r="C5282" s="38">
        <v>2.0</v>
      </c>
      <c r="D5282" s="38" t="s">
        <v>2421</v>
      </c>
      <c r="E5282" s="132" t="s">
        <v>15271</v>
      </c>
      <c r="F5282" s="38">
        <v>280.0</v>
      </c>
      <c r="G5282" s="38" t="s">
        <v>15272</v>
      </c>
    </row>
    <row r="5283">
      <c r="B5283" s="38" t="s">
        <v>755</v>
      </c>
      <c r="C5283" s="38">
        <v>2.0</v>
      </c>
      <c r="D5283" s="38" t="s">
        <v>2421</v>
      </c>
      <c r="E5283" s="132" t="s">
        <v>15271</v>
      </c>
      <c r="F5283" s="38">
        <v>295.0</v>
      </c>
      <c r="G5283" s="38" t="s">
        <v>15272</v>
      </c>
    </row>
    <row r="5284">
      <c r="B5284" s="38"/>
      <c r="C5284" s="38" t="s">
        <v>15273</v>
      </c>
      <c r="D5284" s="38" t="s">
        <v>15274</v>
      </c>
      <c r="E5284" s="132" t="s">
        <v>15271</v>
      </c>
      <c r="F5284" s="38" t="s">
        <v>15275</v>
      </c>
      <c r="G5284" s="38" t="s">
        <v>15272</v>
      </c>
    </row>
    <row r="5285">
      <c r="B5285" s="38" t="s">
        <v>15276</v>
      </c>
      <c r="C5285" s="38" t="s">
        <v>15277</v>
      </c>
      <c r="D5285" s="38" t="s">
        <v>372</v>
      </c>
      <c r="E5285" s="132" t="s">
        <v>15278</v>
      </c>
      <c r="F5285" s="38" t="s">
        <v>15279</v>
      </c>
      <c r="G5285" s="38" t="s">
        <v>15280</v>
      </c>
    </row>
    <row r="5286">
      <c r="B5286" s="38" t="s">
        <v>15281</v>
      </c>
      <c r="C5286" s="38" t="s">
        <v>15282</v>
      </c>
      <c r="D5286" s="38" t="s">
        <v>15283</v>
      </c>
      <c r="E5286" s="132" t="s">
        <v>15278</v>
      </c>
      <c r="F5286" s="38"/>
      <c r="G5286" s="38" t="s">
        <v>15280</v>
      </c>
    </row>
    <row r="5287">
      <c r="A5287" s="38" t="s">
        <v>15284</v>
      </c>
      <c r="B5287" s="567" t="s">
        <v>15285</v>
      </c>
      <c r="C5287" s="38" t="s">
        <v>15286</v>
      </c>
      <c r="D5287" s="38" t="s">
        <v>15287</v>
      </c>
      <c r="E5287" s="132" t="s">
        <v>15288</v>
      </c>
      <c r="F5287" s="38" t="s">
        <v>1242</v>
      </c>
    </row>
    <row r="5288">
      <c r="A5288" s="65">
        <v>44951.0</v>
      </c>
      <c r="B5288" s="38"/>
      <c r="C5288" s="38"/>
      <c r="D5288" s="38" t="s">
        <v>647</v>
      </c>
      <c r="E5288" s="132" t="s">
        <v>15288</v>
      </c>
      <c r="F5288" s="38" t="s">
        <v>11259</v>
      </c>
    </row>
    <row r="5289">
      <c r="A5289" s="38" t="s">
        <v>15289</v>
      </c>
      <c r="B5289" s="38" t="s">
        <v>15290</v>
      </c>
      <c r="C5289" s="38" t="s">
        <v>14241</v>
      </c>
      <c r="D5289" s="47" t="s">
        <v>15291</v>
      </c>
      <c r="E5289" s="38" t="s">
        <v>1870</v>
      </c>
      <c r="F5289" s="38" t="s">
        <v>15292</v>
      </c>
    </row>
    <row r="5290">
      <c r="A5290" s="65">
        <v>44951.0</v>
      </c>
      <c r="B5290" s="390" t="s">
        <v>13976</v>
      </c>
      <c r="C5290" s="352" t="s">
        <v>15293</v>
      </c>
      <c r="D5290" s="38" t="s">
        <v>15294</v>
      </c>
      <c r="E5290" s="38" t="s">
        <v>1870</v>
      </c>
      <c r="F5290" s="38" t="s">
        <v>15292</v>
      </c>
    </row>
    <row r="5291">
      <c r="A5291" s="44"/>
      <c r="B5291" s="390" t="s">
        <v>13979</v>
      </c>
      <c r="C5291" s="352"/>
      <c r="D5291" s="38"/>
      <c r="E5291" s="38" t="s">
        <v>1870</v>
      </c>
      <c r="F5291" s="38" t="s">
        <v>15292</v>
      </c>
    </row>
    <row r="5292">
      <c r="A5292" s="44"/>
      <c r="B5292" s="38"/>
      <c r="C5292" s="38" t="s">
        <v>15295</v>
      </c>
      <c r="D5292" s="38"/>
      <c r="E5292" s="38" t="s">
        <v>1870</v>
      </c>
      <c r="F5292" s="38" t="s">
        <v>15292</v>
      </c>
    </row>
    <row r="5293">
      <c r="B5293" s="38" t="s">
        <v>733</v>
      </c>
      <c r="C5293" s="38">
        <v>4.0</v>
      </c>
      <c r="D5293" s="38" t="s">
        <v>771</v>
      </c>
      <c r="E5293" s="132" t="s">
        <v>15296</v>
      </c>
      <c r="F5293" s="38" t="s">
        <v>15297</v>
      </c>
    </row>
    <row r="5294">
      <c r="B5294" s="38" t="s">
        <v>81</v>
      </c>
      <c r="C5294" s="38">
        <v>4.0</v>
      </c>
      <c r="D5294" s="38" t="s">
        <v>2171</v>
      </c>
      <c r="E5294" s="132" t="s">
        <v>15298</v>
      </c>
      <c r="F5294" s="38" t="s">
        <v>15299</v>
      </c>
    </row>
    <row r="5295">
      <c r="B5295" s="38" t="s">
        <v>22</v>
      </c>
      <c r="C5295" s="38">
        <v>4.0</v>
      </c>
      <c r="D5295" s="38" t="s">
        <v>2121</v>
      </c>
      <c r="E5295" s="132" t="s">
        <v>221</v>
      </c>
      <c r="F5295" s="38" t="s">
        <v>15300</v>
      </c>
    </row>
    <row r="5296">
      <c r="B5296" s="38" t="s">
        <v>25</v>
      </c>
      <c r="C5296" s="38">
        <v>2.0</v>
      </c>
      <c r="D5296" s="38" t="s">
        <v>291</v>
      </c>
      <c r="E5296" s="132" t="s">
        <v>15301</v>
      </c>
      <c r="F5296" s="38" t="s">
        <v>15302</v>
      </c>
    </row>
    <row r="5297">
      <c r="B5297" s="47" t="s">
        <v>12045</v>
      </c>
      <c r="C5297" s="492"/>
      <c r="D5297" s="38" t="s">
        <v>12047</v>
      </c>
      <c r="E5297" s="47" t="s">
        <v>1742</v>
      </c>
      <c r="F5297" s="99" t="s">
        <v>12048</v>
      </c>
      <c r="G5297" s="38" t="s">
        <v>144</v>
      </c>
    </row>
    <row r="5298">
      <c r="B5298" s="47"/>
      <c r="C5298" s="38"/>
      <c r="D5298" s="38" t="s">
        <v>15303</v>
      </c>
      <c r="E5298" s="47" t="s">
        <v>1742</v>
      </c>
      <c r="F5298" s="38" t="s">
        <v>15304</v>
      </c>
      <c r="G5298" s="38" t="s">
        <v>144</v>
      </c>
    </row>
    <row r="5299">
      <c r="B5299" s="38" t="s">
        <v>15305</v>
      </c>
      <c r="C5299" s="38" t="s">
        <v>15306</v>
      </c>
      <c r="D5299" s="38" t="s">
        <v>15307</v>
      </c>
      <c r="E5299" s="38" t="s">
        <v>15308</v>
      </c>
      <c r="F5299" s="38" t="s">
        <v>15309</v>
      </c>
    </row>
    <row r="5300">
      <c r="B5300" s="38" t="s">
        <v>15310</v>
      </c>
      <c r="C5300" s="38" t="s">
        <v>15311</v>
      </c>
      <c r="D5300" s="38"/>
      <c r="E5300" s="38" t="s">
        <v>15308</v>
      </c>
      <c r="F5300" s="44"/>
    </row>
    <row r="5301">
      <c r="B5301" s="38"/>
      <c r="C5301" s="38"/>
      <c r="D5301" s="38"/>
      <c r="E5301" s="38" t="s">
        <v>15308</v>
      </c>
      <c r="F5301" s="44"/>
    </row>
    <row r="5302">
      <c r="B5302" s="38"/>
      <c r="C5302" s="38"/>
      <c r="D5302" s="38" t="s">
        <v>15312</v>
      </c>
      <c r="E5302" s="132" t="s">
        <v>15313</v>
      </c>
      <c r="F5302" s="38" t="s">
        <v>15314</v>
      </c>
    </row>
    <row r="5303">
      <c r="B5303" s="38" t="s">
        <v>271</v>
      </c>
      <c r="C5303" s="38">
        <v>1.0</v>
      </c>
      <c r="D5303" s="38" t="s">
        <v>27</v>
      </c>
      <c r="E5303" s="568" t="s">
        <v>15315</v>
      </c>
      <c r="F5303" s="38" t="s">
        <v>15316</v>
      </c>
      <c r="G5303" s="38" t="s">
        <v>15317</v>
      </c>
    </row>
    <row r="5304">
      <c r="B5304" s="38"/>
      <c r="C5304" s="38"/>
      <c r="D5304" s="38" t="s">
        <v>15318</v>
      </c>
      <c r="E5304" s="132" t="s">
        <v>9229</v>
      </c>
      <c r="F5304" s="38" t="s">
        <v>15319</v>
      </c>
    </row>
    <row r="5305">
      <c r="A5305" s="5"/>
      <c r="B5305" s="38" t="s">
        <v>15320</v>
      </c>
      <c r="C5305" s="38" t="s">
        <v>15321</v>
      </c>
      <c r="D5305" s="38" t="s">
        <v>11779</v>
      </c>
      <c r="E5305" s="38" t="s">
        <v>1619</v>
      </c>
      <c r="F5305" s="38" t="s">
        <v>15322</v>
      </c>
    </row>
    <row r="5306">
      <c r="A5306" s="122"/>
      <c r="B5306" s="44"/>
      <c r="C5306" s="44"/>
      <c r="D5306" s="38" t="s">
        <v>15323</v>
      </c>
      <c r="E5306" s="38" t="s">
        <v>1619</v>
      </c>
      <c r="F5306" s="38" t="s">
        <v>1475</v>
      </c>
      <c r="G5306" s="8"/>
    </row>
    <row r="5307">
      <c r="B5307" s="38" t="s">
        <v>15324</v>
      </c>
      <c r="C5307" s="38">
        <v>2.0</v>
      </c>
      <c r="D5307" s="38" t="s">
        <v>15325</v>
      </c>
      <c r="E5307" s="132" t="s">
        <v>15326</v>
      </c>
      <c r="F5307" s="38" t="s">
        <v>15327</v>
      </c>
    </row>
    <row r="5308">
      <c r="B5308" s="38" t="s">
        <v>15328</v>
      </c>
      <c r="C5308" s="38">
        <v>2.0</v>
      </c>
      <c r="D5308" s="38" t="s">
        <v>15325</v>
      </c>
      <c r="E5308" s="132" t="s">
        <v>15326</v>
      </c>
      <c r="F5308" s="38" t="s">
        <v>15329</v>
      </c>
    </row>
    <row r="5309">
      <c r="B5309" s="38" t="s">
        <v>718</v>
      </c>
      <c r="C5309" s="38">
        <v>2.0</v>
      </c>
      <c r="D5309" s="38" t="s">
        <v>211</v>
      </c>
      <c r="E5309" s="132" t="s">
        <v>15326</v>
      </c>
      <c r="F5309" s="38"/>
    </row>
    <row r="5310">
      <c r="B5310" s="38" t="s">
        <v>2013</v>
      </c>
      <c r="C5310" s="38">
        <v>2.0</v>
      </c>
      <c r="D5310" s="38" t="s">
        <v>211</v>
      </c>
      <c r="E5310" s="132" t="s">
        <v>15326</v>
      </c>
      <c r="F5310" s="38"/>
    </row>
    <row r="5311">
      <c r="A5311" s="38" t="s">
        <v>15330</v>
      </c>
      <c r="B5311" s="38" t="s">
        <v>58</v>
      </c>
      <c r="C5311" s="38">
        <v>4.0</v>
      </c>
      <c r="D5311" s="38" t="s">
        <v>2171</v>
      </c>
      <c r="E5311" s="132" t="s">
        <v>15331</v>
      </c>
      <c r="F5311" s="38" t="s">
        <v>3025</v>
      </c>
      <c r="G5311" s="38" t="s">
        <v>15024</v>
      </c>
    </row>
    <row r="5312">
      <c r="A5312" s="490" t="s">
        <v>15332</v>
      </c>
      <c r="B5312" s="38"/>
      <c r="C5312" s="38">
        <v>4.0</v>
      </c>
      <c r="D5312" s="38" t="s">
        <v>174</v>
      </c>
      <c r="E5312" s="132" t="s">
        <v>15333</v>
      </c>
      <c r="F5312" s="44"/>
      <c r="G5312" s="38" t="s">
        <v>15024</v>
      </c>
    </row>
    <row r="5313">
      <c r="A5313" s="44"/>
      <c r="B5313" s="38" t="s">
        <v>15334</v>
      </c>
      <c r="C5313" s="38"/>
      <c r="D5313" s="38"/>
      <c r="E5313" s="132" t="s">
        <v>15335</v>
      </c>
      <c r="F5313" s="38" t="s">
        <v>15336</v>
      </c>
      <c r="G5313" s="38" t="s">
        <v>15337</v>
      </c>
      <c r="H5313" s="38" t="s">
        <v>15338</v>
      </c>
      <c r="I5313" s="38" t="s">
        <v>144</v>
      </c>
    </row>
    <row r="5314">
      <c r="A5314" s="44"/>
      <c r="B5314" s="38"/>
      <c r="C5314" s="38"/>
      <c r="D5314" s="38" t="s">
        <v>15339</v>
      </c>
      <c r="E5314" s="132" t="s">
        <v>15335</v>
      </c>
      <c r="F5314" s="38"/>
      <c r="G5314" s="44"/>
      <c r="H5314" s="44"/>
      <c r="I5314" s="38" t="s">
        <v>144</v>
      </c>
    </row>
    <row r="5315">
      <c r="B5315" s="5"/>
      <c r="C5315" s="5"/>
      <c r="D5315" s="5"/>
      <c r="E5315" s="150" t="s">
        <v>6378</v>
      </c>
      <c r="F5315" s="5" t="s">
        <v>15340</v>
      </c>
    </row>
    <row r="5316">
      <c r="B5316" s="38" t="s">
        <v>35</v>
      </c>
      <c r="C5316" s="38">
        <v>2.0</v>
      </c>
      <c r="D5316" s="38" t="s">
        <v>15341</v>
      </c>
      <c r="E5316" s="132" t="s">
        <v>13288</v>
      </c>
      <c r="F5316" s="38" t="s">
        <v>15342</v>
      </c>
      <c r="G5316" s="38" t="s">
        <v>15343</v>
      </c>
    </row>
    <row r="5317">
      <c r="B5317" s="38" t="s">
        <v>416</v>
      </c>
      <c r="C5317" s="38">
        <v>2.0</v>
      </c>
      <c r="D5317" s="38" t="s">
        <v>15341</v>
      </c>
      <c r="E5317" s="132" t="s">
        <v>13288</v>
      </c>
      <c r="F5317" s="38"/>
      <c r="G5317" s="38" t="s">
        <v>15343</v>
      </c>
    </row>
    <row r="5318">
      <c r="B5318" s="38" t="s">
        <v>25</v>
      </c>
      <c r="C5318" s="38">
        <v>2.0</v>
      </c>
      <c r="D5318" s="38" t="s">
        <v>6569</v>
      </c>
      <c r="E5318" s="132" t="s">
        <v>6113</v>
      </c>
      <c r="F5318" s="38" t="s">
        <v>15344</v>
      </c>
    </row>
    <row r="5319">
      <c r="B5319" s="38" t="s">
        <v>28</v>
      </c>
      <c r="C5319" s="38">
        <v>4.0</v>
      </c>
      <c r="D5319" s="38" t="s">
        <v>1389</v>
      </c>
      <c r="E5319" s="132" t="s">
        <v>15345</v>
      </c>
      <c r="F5319" s="38" t="s">
        <v>15346</v>
      </c>
    </row>
    <row r="5320">
      <c r="A5320" s="44"/>
      <c r="B5320" s="38"/>
      <c r="C5320" s="38"/>
      <c r="D5320" s="38" t="s">
        <v>15347</v>
      </c>
      <c r="E5320" s="132" t="s">
        <v>15348</v>
      </c>
      <c r="F5320" s="38" t="s">
        <v>15349</v>
      </c>
      <c r="G5320" s="38" t="s">
        <v>15350</v>
      </c>
    </row>
    <row r="5321">
      <c r="A5321" s="44"/>
      <c r="B5321" s="38"/>
      <c r="C5321" s="38"/>
      <c r="D5321" s="38"/>
      <c r="E5321" s="132" t="s">
        <v>15348</v>
      </c>
      <c r="F5321" s="38" t="s">
        <v>15351</v>
      </c>
      <c r="G5321" s="38" t="s">
        <v>15350</v>
      </c>
    </row>
    <row r="5322">
      <c r="B5322" s="38"/>
      <c r="C5322" s="38"/>
      <c r="D5322" s="38" t="s">
        <v>15352</v>
      </c>
      <c r="E5322" s="38" t="s">
        <v>15353</v>
      </c>
      <c r="F5322" s="38" t="s">
        <v>15354</v>
      </c>
      <c r="G5322" s="38" t="s">
        <v>15355</v>
      </c>
      <c r="H5322" s="38" t="s">
        <v>15356</v>
      </c>
    </row>
    <row r="5323">
      <c r="B5323" s="38"/>
      <c r="C5323" s="38">
        <v>2.0</v>
      </c>
      <c r="D5323" s="38" t="s">
        <v>36</v>
      </c>
      <c r="E5323" s="38" t="s">
        <v>15353</v>
      </c>
      <c r="F5323" s="38"/>
      <c r="G5323" s="44"/>
      <c r="H5323" s="38" t="s">
        <v>15356</v>
      </c>
    </row>
    <row r="5324">
      <c r="A5324" s="44"/>
      <c r="B5324" s="38"/>
      <c r="C5324" s="38"/>
      <c r="D5324" s="38" t="s">
        <v>15357</v>
      </c>
      <c r="E5324" s="132" t="s">
        <v>11750</v>
      </c>
      <c r="F5324" s="38" t="s">
        <v>144</v>
      </c>
    </row>
    <row r="5325">
      <c r="A5325" s="33" t="s">
        <v>12245</v>
      </c>
      <c r="B5325" s="38" t="s">
        <v>88</v>
      </c>
      <c r="C5325" s="38">
        <v>4.0</v>
      </c>
      <c r="D5325" s="38" t="s">
        <v>672</v>
      </c>
      <c r="E5325" s="132" t="s">
        <v>15358</v>
      </c>
      <c r="F5325" s="38" t="s">
        <v>15359</v>
      </c>
    </row>
    <row r="5326">
      <c r="A5326" s="44"/>
      <c r="B5326" s="38" t="s">
        <v>15360</v>
      </c>
      <c r="C5326" s="38" t="s">
        <v>15361</v>
      </c>
      <c r="D5326" s="38" t="s">
        <v>15362</v>
      </c>
      <c r="E5326" s="132" t="s">
        <v>15363</v>
      </c>
      <c r="F5326" s="38" t="s">
        <v>15364</v>
      </c>
      <c r="G5326" s="38" t="s">
        <v>15365</v>
      </c>
    </row>
    <row r="5327">
      <c r="A5327" s="44"/>
      <c r="B5327" s="38" t="s">
        <v>15366</v>
      </c>
      <c r="C5327" s="38" t="s">
        <v>15367</v>
      </c>
      <c r="D5327" s="38" t="s">
        <v>15368</v>
      </c>
      <c r="E5327" s="132" t="s">
        <v>15363</v>
      </c>
      <c r="F5327" s="38"/>
      <c r="G5327" s="38" t="s">
        <v>15365</v>
      </c>
    </row>
    <row r="5328">
      <c r="B5328" s="38" t="s">
        <v>1183</v>
      </c>
      <c r="C5328" s="38">
        <v>2.0</v>
      </c>
      <c r="D5328" s="38" t="s">
        <v>3351</v>
      </c>
      <c r="E5328" s="132" t="s">
        <v>15369</v>
      </c>
      <c r="F5328" s="38" t="s">
        <v>208</v>
      </c>
    </row>
    <row r="5329">
      <c r="A5329" s="44"/>
      <c r="B5329" s="38" t="s">
        <v>52</v>
      </c>
      <c r="C5329" s="38">
        <v>2.0</v>
      </c>
      <c r="D5329" s="38" t="s">
        <v>15370</v>
      </c>
      <c r="E5329" s="132" t="s">
        <v>325</v>
      </c>
      <c r="F5329" s="38" t="s">
        <v>15371</v>
      </c>
    </row>
    <row r="5330">
      <c r="A5330" s="44"/>
      <c r="B5330" s="38" t="s">
        <v>405</v>
      </c>
      <c r="C5330" s="38">
        <v>2.0</v>
      </c>
      <c r="D5330" s="38" t="s">
        <v>15370</v>
      </c>
      <c r="E5330" s="132" t="s">
        <v>325</v>
      </c>
      <c r="F5330" s="38" t="s">
        <v>15371</v>
      </c>
    </row>
    <row r="5331">
      <c r="A5331" s="44"/>
      <c r="B5331" s="47"/>
      <c r="C5331" s="47"/>
      <c r="D5331" s="38" t="s">
        <v>15372</v>
      </c>
      <c r="E5331" s="47" t="s">
        <v>325</v>
      </c>
      <c r="F5331" s="38" t="s">
        <v>15373</v>
      </c>
      <c r="G5331" s="38" t="s">
        <v>144</v>
      </c>
    </row>
    <row r="5332">
      <c r="B5332" s="38" t="s">
        <v>3023</v>
      </c>
      <c r="C5332" s="38">
        <v>4.0</v>
      </c>
      <c r="D5332" s="38" t="s">
        <v>15374</v>
      </c>
      <c r="E5332" s="101" t="s">
        <v>6780</v>
      </c>
      <c r="F5332" s="38" t="s">
        <v>15375</v>
      </c>
    </row>
    <row r="5333">
      <c r="B5333" s="38"/>
      <c r="C5333" s="38"/>
      <c r="D5333" s="38" t="s">
        <v>15376</v>
      </c>
      <c r="E5333" s="132" t="s">
        <v>15377</v>
      </c>
      <c r="F5333" s="38" t="s">
        <v>15378</v>
      </c>
      <c r="G5333" s="38" t="s">
        <v>15365</v>
      </c>
    </row>
    <row r="5334">
      <c r="A5334" s="5"/>
      <c r="B5334" s="38" t="s">
        <v>1714</v>
      </c>
      <c r="C5334" s="47">
        <v>2.0</v>
      </c>
      <c r="D5334" s="47" t="s">
        <v>15379</v>
      </c>
      <c r="E5334" s="38" t="s">
        <v>2971</v>
      </c>
      <c r="F5334" s="38" t="s">
        <v>15380</v>
      </c>
    </row>
    <row r="5335">
      <c r="A5335" s="5"/>
      <c r="B5335" s="569" t="s">
        <v>439</v>
      </c>
      <c r="C5335" s="47">
        <v>4.0</v>
      </c>
      <c r="D5335" s="47" t="s">
        <v>524</v>
      </c>
      <c r="E5335" s="38" t="s">
        <v>15381</v>
      </c>
      <c r="F5335" s="38"/>
    </row>
    <row r="5336">
      <c r="A5336" s="5"/>
      <c r="B5336" s="569"/>
      <c r="C5336" s="47"/>
      <c r="D5336" s="38" t="s">
        <v>15382</v>
      </c>
      <c r="E5336" s="38" t="s">
        <v>15381</v>
      </c>
      <c r="F5336" s="38" t="s">
        <v>15383</v>
      </c>
    </row>
    <row r="5337">
      <c r="B5337" s="38" t="s">
        <v>1322</v>
      </c>
      <c r="C5337" s="38">
        <v>1.0</v>
      </c>
      <c r="D5337" s="38" t="s">
        <v>399</v>
      </c>
      <c r="E5337" s="132" t="s">
        <v>413</v>
      </c>
      <c r="F5337" s="38" t="s">
        <v>15384</v>
      </c>
    </row>
    <row r="5338">
      <c r="B5338" s="38"/>
      <c r="C5338" s="38" t="s">
        <v>15385</v>
      </c>
      <c r="D5338" s="38" t="s">
        <v>15386</v>
      </c>
      <c r="E5338" s="132" t="s">
        <v>15387</v>
      </c>
      <c r="F5338" s="38"/>
    </row>
    <row r="5339">
      <c r="B5339" s="38" t="s">
        <v>47</v>
      </c>
      <c r="C5339" s="38">
        <v>2.0</v>
      </c>
      <c r="D5339" s="38" t="s">
        <v>2827</v>
      </c>
      <c r="E5339" s="38" t="s">
        <v>325</v>
      </c>
      <c r="F5339" s="38" t="s">
        <v>15388</v>
      </c>
    </row>
    <row r="5340">
      <c r="B5340" s="38" t="s">
        <v>43</v>
      </c>
      <c r="C5340" s="38">
        <v>2.0</v>
      </c>
      <c r="D5340" s="38" t="s">
        <v>2827</v>
      </c>
      <c r="E5340" s="38" t="s">
        <v>325</v>
      </c>
      <c r="F5340" s="38" t="s">
        <v>15388</v>
      </c>
    </row>
    <row r="5341">
      <c r="A5341" s="44"/>
      <c r="B5341" s="38" t="s">
        <v>85</v>
      </c>
      <c r="C5341" s="38">
        <v>4.0</v>
      </c>
      <c r="D5341" s="38" t="s">
        <v>15389</v>
      </c>
      <c r="E5341" s="132" t="s">
        <v>15390</v>
      </c>
      <c r="F5341" s="38" t="s">
        <v>15391</v>
      </c>
    </row>
    <row r="5342">
      <c r="B5342" s="38" t="s">
        <v>357</v>
      </c>
      <c r="C5342" s="38">
        <v>4.0</v>
      </c>
      <c r="D5342" s="38" t="s">
        <v>2492</v>
      </c>
      <c r="E5342" s="132" t="s">
        <v>15392</v>
      </c>
      <c r="F5342" s="38" t="s">
        <v>15393</v>
      </c>
    </row>
    <row r="5343">
      <c r="A5343" s="44"/>
      <c r="B5343" s="114" t="s">
        <v>13322</v>
      </c>
      <c r="C5343" s="40" t="s">
        <v>15394</v>
      </c>
      <c r="D5343" s="114" t="s">
        <v>13324</v>
      </c>
      <c r="E5343" s="114" t="s">
        <v>11042</v>
      </c>
      <c r="F5343" s="114" t="s">
        <v>13325</v>
      </c>
      <c r="G5343" s="38" t="s">
        <v>144</v>
      </c>
    </row>
    <row r="5344">
      <c r="A5344" s="44"/>
      <c r="B5344" s="305" t="s">
        <v>1606</v>
      </c>
      <c r="C5344" s="305" t="s">
        <v>15395</v>
      </c>
      <c r="D5344" s="38" t="s">
        <v>13774</v>
      </c>
      <c r="E5344" s="38" t="s">
        <v>13775</v>
      </c>
      <c r="F5344" s="38" t="s">
        <v>15396</v>
      </c>
      <c r="G5344" s="38" t="s">
        <v>144</v>
      </c>
    </row>
    <row r="5345">
      <c r="A5345" s="44"/>
      <c r="B5345" s="44"/>
      <c r="C5345" s="47" t="s">
        <v>15397</v>
      </c>
      <c r="D5345" s="47" t="s">
        <v>15398</v>
      </c>
      <c r="E5345" s="38" t="s">
        <v>13549</v>
      </c>
      <c r="F5345" s="38" t="s">
        <v>15399</v>
      </c>
      <c r="G5345" s="38" t="s">
        <v>144</v>
      </c>
    </row>
    <row r="5346">
      <c r="A5346" s="44"/>
      <c r="B5346" s="44"/>
      <c r="C5346" s="38" t="s">
        <v>15400</v>
      </c>
      <c r="D5346" s="38" t="s">
        <v>13552</v>
      </c>
      <c r="E5346" s="38" t="s">
        <v>13549</v>
      </c>
      <c r="F5346" s="38" t="s">
        <v>15401</v>
      </c>
      <c r="G5346" s="38" t="s">
        <v>144</v>
      </c>
    </row>
    <row r="5347">
      <c r="B5347" s="38" t="s">
        <v>63</v>
      </c>
      <c r="C5347" s="38">
        <v>2.0</v>
      </c>
      <c r="D5347" s="38" t="s">
        <v>15402</v>
      </c>
      <c r="E5347" s="132" t="s">
        <v>1017</v>
      </c>
      <c r="F5347" s="38" t="s">
        <v>15403</v>
      </c>
    </row>
    <row r="5348">
      <c r="B5348" s="38" t="s">
        <v>8384</v>
      </c>
      <c r="C5348" s="38">
        <v>8.0</v>
      </c>
      <c r="D5348" s="38" t="s">
        <v>905</v>
      </c>
      <c r="E5348" s="132" t="s">
        <v>5372</v>
      </c>
      <c r="F5348" s="38" t="s">
        <v>15404</v>
      </c>
    </row>
    <row r="5349">
      <c r="B5349" s="38" t="s">
        <v>8384</v>
      </c>
      <c r="C5349" s="38">
        <v>4.0</v>
      </c>
      <c r="D5349" s="38" t="s">
        <v>905</v>
      </c>
      <c r="E5349" s="132" t="s">
        <v>5372</v>
      </c>
      <c r="F5349" s="38" t="s">
        <v>15405</v>
      </c>
    </row>
    <row r="5350">
      <c r="B5350" s="38" t="s">
        <v>875</v>
      </c>
      <c r="C5350" s="38">
        <v>2.0</v>
      </c>
      <c r="D5350" s="38" t="s">
        <v>3135</v>
      </c>
      <c r="E5350" s="132" t="s">
        <v>2551</v>
      </c>
      <c r="F5350" s="38" t="s">
        <v>15406</v>
      </c>
    </row>
    <row r="5351">
      <c r="B5351" s="38" t="s">
        <v>1327</v>
      </c>
      <c r="C5351" s="38">
        <v>2.0</v>
      </c>
      <c r="D5351" s="38" t="s">
        <v>3135</v>
      </c>
      <c r="E5351" s="132" t="s">
        <v>2551</v>
      </c>
      <c r="F5351" s="38" t="s">
        <v>15406</v>
      </c>
    </row>
    <row r="5352">
      <c r="B5352" s="38" t="s">
        <v>308</v>
      </c>
      <c r="C5352" s="38">
        <v>1.0</v>
      </c>
      <c r="D5352" s="38" t="s">
        <v>13195</v>
      </c>
      <c r="E5352" s="132" t="s">
        <v>2742</v>
      </c>
      <c r="F5352" s="38" t="s">
        <v>15407</v>
      </c>
    </row>
    <row r="5353">
      <c r="B5353" s="38" t="s">
        <v>1454</v>
      </c>
      <c r="C5353" s="38">
        <v>2.0</v>
      </c>
      <c r="D5353" s="38" t="s">
        <v>2827</v>
      </c>
      <c r="E5353" s="132" t="s">
        <v>325</v>
      </c>
      <c r="F5353" s="38" t="s">
        <v>15408</v>
      </c>
    </row>
    <row r="5354">
      <c r="B5354" s="38" t="s">
        <v>1409</v>
      </c>
      <c r="C5354" s="38">
        <v>2.0</v>
      </c>
      <c r="D5354" s="38" t="s">
        <v>2827</v>
      </c>
      <c r="E5354" s="132" t="s">
        <v>325</v>
      </c>
      <c r="F5354" s="38" t="s">
        <v>15409</v>
      </c>
    </row>
    <row r="5355">
      <c r="B5355" s="38" t="s">
        <v>755</v>
      </c>
      <c r="C5355" s="38">
        <v>1.0</v>
      </c>
      <c r="D5355" s="38" t="s">
        <v>6296</v>
      </c>
      <c r="E5355" s="39" t="s">
        <v>15410</v>
      </c>
      <c r="F5355" s="38" t="s">
        <v>15411</v>
      </c>
    </row>
    <row r="5356">
      <c r="B5356" s="38" t="s">
        <v>25</v>
      </c>
      <c r="C5356" s="38">
        <v>4.0</v>
      </c>
      <c r="D5356" s="38" t="s">
        <v>15412</v>
      </c>
      <c r="E5356" s="132" t="s">
        <v>2551</v>
      </c>
      <c r="F5356" s="38" t="s">
        <v>15413</v>
      </c>
    </row>
    <row r="5357">
      <c r="B5357" s="38" t="s">
        <v>94</v>
      </c>
      <c r="C5357" s="38">
        <v>2.0</v>
      </c>
      <c r="D5357" s="38" t="s">
        <v>408</v>
      </c>
      <c r="E5357" s="132" t="s">
        <v>325</v>
      </c>
      <c r="F5357" s="38" t="s">
        <v>15414</v>
      </c>
    </row>
    <row r="5358">
      <c r="B5358" s="38" t="s">
        <v>91</v>
      </c>
      <c r="C5358" s="38">
        <v>2.0</v>
      </c>
      <c r="D5358" s="38" t="s">
        <v>408</v>
      </c>
      <c r="E5358" s="132" t="s">
        <v>325</v>
      </c>
      <c r="F5358" s="38" t="s">
        <v>15414</v>
      </c>
    </row>
    <row r="5359">
      <c r="B5359" s="38" t="s">
        <v>15415</v>
      </c>
      <c r="C5359" s="38">
        <v>1.0</v>
      </c>
      <c r="D5359" s="38" t="s">
        <v>11225</v>
      </c>
      <c r="E5359" s="132" t="s">
        <v>15416</v>
      </c>
      <c r="F5359" s="38" t="s">
        <v>15417</v>
      </c>
    </row>
    <row r="5360">
      <c r="B5360" s="38" t="s">
        <v>4129</v>
      </c>
      <c r="C5360" s="38">
        <v>1.0</v>
      </c>
      <c r="D5360" s="38" t="s">
        <v>11225</v>
      </c>
      <c r="E5360" s="132" t="s">
        <v>15416</v>
      </c>
      <c r="F5360" s="38"/>
    </row>
    <row r="5361">
      <c r="B5361" s="38" t="s">
        <v>25</v>
      </c>
      <c r="C5361" s="38">
        <v>4.0</v>
      </c>
      <c r="D5361" s="38" t="s">
        <v>289</v>
      </c>
      <c r="E5361" s="132" t="s">
        <v>6997</v>
      </c>
      <c r="F5361" s="38" t="s">
        <v>15418</v>
      </c>
    </row>
    <row r="5362">
      <c r="B5362" s="38" t="s">
        <v>1454</v>
      </c>
      <c r="C5362" s="38">
        <v>2.0</v>
      </c>
      <c r="D5362" s="38" t="s">
        <v>2827</v>
      </c>
      <c r="E5362" s="132" t="s">
        <v>325</v>
      </c>
      <c r="F5362" s="353" t="s">
        <v>15419</v>
      </c>
    </row>
    <row r="5363">
      <c r="B5363" s="38" t="s">
        <v>1409</v>
      </c>
      <c r="C5363" s="38">
        <v>2.0</v>
      </c>
      <c r="D5363" s="38" t="s">
        <v>2827</v>
      </c>
      <c r="E5363" s="132" t="s">
        <v>325</v>
      </c>
      <c r="F5363" s="38" t="s">
        <v>15420</v>
      </c>
    </row>
    <row r="5364">
      <c r="B5364" s="47" t="s">
        <v>789</v>
      </c>
      <c r="C5364" s="47">
        <v>4.0</v>
      </c>
      <c r="D5364" s="47" t="s">
        <v>15421</v>
      </c>
      <c r="E5364" s="47" t="s">
        <v>15422</v>
      </c>
      <c r="F5364" s="38" t="s">
        <v>15423</v>
      </c>
    </row>
    <row r="5365">
      <c r="B5365" s="47" t="s">
        <v>38</v>
      </c>
      <c r="C5365" s="47">
        <v>4.0</v>
      </c>
      <c r="D5365" s="47" t="s">
        <v>15421</v>
      </c>
      <c r="E5365" s="47" t="s">
        <v>14955</v>
      </c>
      <c r="F5365" s="47" t="s">
        <v>15424</v>
      </c>
    </row>
    <row r="5366">
      <c r="B5366" s="44"/>
      <c r="C5366" s="47" t="s">
        <v>15425</v>
      </c>
      <c r="D5366" s="47" t="s">
        <v>15426</v>
      </c>
      <c r="E5366" s="47" t="s">
        <v>15427</v>
      </c>
      <c r="F5366" s="47" t="s">
        <v>15428</v>
      </c>
      <c r="G5366" s="38" t="s">
        <v>144</v>
      </c>
    </row>
    <row r="5367">
      <c r="B5367" s="44"/>
      <c r="C5367" s="38" t="s">
        <v>15429</v>
      </c>
      <c r="D5367" s="38" t="s">
        <v>15430</v>
      </c>
      <c r="E5367" s="42" t="s">
        <v>15431</v>
      </c>
      <c r="F5367" s="117"/>
      <c r="G5367" s="38" t="s">
        <v>144</v>
      </c>
    </row>
    <row r="5368">
      <c r="B5368" s="44"/>
      <c r="C5368" s="47"/>
      <c r="D5368" s="47"/>
      <c r="E5368" s="47" t="s">
        <v>15427</v>
      </c>
      <c r="F5368" s="38" t="s">
        <v>15432</v>
      </c>
      <c r="G5368" s="38" t="s">
        <v>144</v>
      </c>
    </row>
    <row r="5369">
      <c r="B5369" s="44"/>
      <c r="C5369" s="47"/>
      <c r="D5369" s="47"/>
      <c r="E5369" s="47" t="s">
        <v>15427</v>
      </c>
      <c r="F5369" s="38" t="s">
        <v>15432</v>
      </c>
      <c r="G5369" s="38" t="s">
        <v>144</v>
      </c>
    </row>
    <row r="5370">
      <c r="B5370" s="44"/>
      <c r="C5370" s="47" t="s">
        <v>15433</v>
      </c>
      <c r="D5370" s="47" t="s">
        <v>15434</v>
      </c>
      <c r="E5370" s="47" t="s">
        <v>15435</v>
      </c>
      <c r="F5370" s="47" t="s">
        <v>535</v>
      </c>
      <c r="G5370" s="38" t="s">
        <v>15292</v>
      </c>
    </row>
    <row r="5371">
      <c r="B5371" s="47" t="s">
        <v>15436</v>
      </c>
      <c r="C5371" s="47" t="s">
        <v>15437</v>
      </c>
      <c r="D5371" s="44"/>
      <c r="E5371" s="47" t="s">
        <v>1570</v>
      </c>
      <c r="F5371" s="47" t="s">
        <v>15438</v>
      </c>
      <c r="G5371" s="38" t="s">
        <v>15439</v>
      </c>
    </row>
    <row r="5372">
      <c r="B5372" s="47" t="s">
        <v>12039</v>
      </c>
      <c r="C5372" s="47" t="s">
        <v>15440</v>
      </c>
      <c r="D5372" s="47" t="s">
        <v>1347</v>
      </c>
      <c r="E5372" s="47" t="s">
        <v>1570</v>
      </c>
      <c r="F5372" s="47" t="s">
        <v>1568</v>
      </c>
      <c r="G5372" s="38" t="s">
        <v>15439</v>
      </c>
    </row>
    <row r="5373">
      <c r="B5373" s="47"/>
      <c r="C5373" s="38">
        <v>4.50906457E8</v>
      </c>
      <c r="D5373" s="47"/>
      <c r="E5373" s="47" t="s">
        <v>1570</v>
      </c>
      <c r="F5373" s="38" t="s">
        <v>15441</v>
      </c>
      <c r="G5373" s="38" t="s">
        <v>15439</v>
      </c>
    </row>
    <row r="5374">
      <c r="B5374" s="47"/>
      <c r="C5374" s="38"/>
      <c r="D5374" s="47"/>
      <c r="E5374" s="47" t="s">
        <v>1570</v>
      </c>
      <c r="F5374" s="38" t="s">
        <v>15442</v>
      </c>
      <c r="G5374" s="38" t="s">
        <v>15439</v>
      </c>
    </row>
    <row r="5375">
      <c r="B5375" s="38"/>
      <c r="C5375" s="38"/>
      <c r="D5375" s="38" t="s">
        <v>15443</v>
      </c>
      <c r="E5375" s="132" t="s">
        <v>371</v>
      </c>
      <c r="F5375" s="38" t="s">
        <v>15444</v>
      </c>
    </row>
    <row r="5376">
      <c r="A5376" s="4"/>
      <c r="B5376" s="569" t="s">
        <v>38</v>
      </c>
      <c r="C5376" s="38">
        <v>2.0</v>
      </c>
      <c r="D5376" s="117" t="s">
        <v>1133</v>
      </c>
      <c r="E5376" s="132" t="s">
        <v>371</v>
      </c>
      <c r="F5376" s="38" t="s">
        <v>15444</v>
      </c>
    </row>
    <row r="5377">
      <c r="A5377" s="4"/>
      <c r="B5377" s="569" t="s">
        <v>3820</v>
      </c>
      <c r="C5377" s="38">
        <v>2.0</v>
      </c>
      <c r="D5377" s="117" t="s">
        <v>1133</v>
      </c>
      <c r="E5377" s="132" t="s">
        <v>371</v>
      </c>
      <c r="F5377" s="38" t="s">
        <v>15444</v>
      </c>
    </row>
    <row r="5378">
      <c r="B5378" s="38" t="s">
        <v>2035</v>
      </c>
      <c r="C5378" s="38">
        <v>4.0</v>
      </c>
      <c r="D5378" s="38" t="s">
        <v>15445</v>
      </c>
      <c r="E5378" s="132" t="s">
        <v>15446</v>
      </c>
      <c r="F5378" s="38" t="s">
        <v>15447</v>
      </c>
    </row>
    <row r="5379">
      <c r="B5379" s="59" t="s">
        <v>122</v>
      </c>
      <c r="C5379" s="38">
        <v>4.0</v>
      </c>
      <c r="D5379" s="38" t="s">
        <v>15448</v>
      </c>
      <c r="E5379" s="38" t="s">
        <v>8810</v>
      </c>
      <c r="F5379" s="38" t="s">
        <v>15449</v>
      </c>
    </row>
    <row r="5380">
      <c r="B5380" s="47" t="s">
        <v>15450</v>
      </c>
      <c r="C5380" s="47" t="s">
        <v>15451</v>
      </c>
      <c r="D5380" s="47" t="s">
        <v>15452</v>
      </c>
      <c r="E5380" s="47" t="s">
        <v>15453</v>
      </c>
      <c r="F5380" s="47"/>
      <c r="G5380" s="38" t="s">
        <v>15454</v>
      </c>
    </row>
    <row r="5381">
      <c r="B5381" s="47"/>
      <c r="C5381" s="47" t="s">
        <v>1347</v>
      </c>
      <c r="D5381" s="47" t="s">
        <v>1542</v>
      </c>
      <c r="E5381" s="47" t="s">
        <v>15453</v>
      </c>
      <c r="F5381" s="47"/>
      <c r="G5381" s="38" t="s">
        <v>15454</v>
      </c>
    </row>
    <row r="5382">
      <c r="B5382" s="47"/>
      <c r="C5382" s="47"/>
      <c r="D5382" s="47"/>
      <c r="E5382" s="47" t="s">
        <v>15453</v>
      </c>
      <c r="F5382" s="304" t="s">
        <v>15455</v>
      </c>
      <c r="G5382" s="38" t="s">
        <v>15454</v>
      </c>
    </row>
    <row r="5383">
      <c r="B5383" s="38" t="s">
        <v>430</v>
      </c>
      <c r="C5383" s="38">
        <v>4.0</v>
      </c>
      <c r="D5383" s="38" t="s">
        <v>294</v>
      </c>
      <c r="E5383" s="38" t="s">
        <v>543</v>
      </c>
      <c r="F5383" s="38" t="s">
        <v>15456</v>
      </c>
    </row>
    <row r="5384">
      <c r="B5384" s="38"/>
      <c r="C5384" s="38"/>
      <c r="D5384" s="38" t="s">
        <v>7876</v>
      </c>
      <c r="E5384" s="132" t="s">
        <v>543</v>
      </c>
      <c r="F5384" s="38" t="s">
        <v>15456</v>
      </c>
    </row>
    <row r="5385">
      <c r="A5385" s="19">
        <v>45342.0</v>
      </c>
      <c r="B5385" s="5" t="s">
        <v>15457</v>
      </c>
      <c r="C5385" s="5" t="s">
        <v>15458</v>
      </c>
      <c r="D5385" s="5" t="s">
        <v>15459</v>
      </c>
      <c r="E5385" s="150" t="s">
        <v>15460</v>
      </c>
      <c r="F5385" s="5"/>
    </row>
    <row r="5386">
      <c r="B5386" s="5" t="s">
        <v>15461</v>
      </c>
      <c r="C5386" s="5" t="s">
        <v>15462</v>
      </c>
      <c r="D5386" s="5" t="s">
        <v>1475</v>
      </c>
      <c r="E5386" s="150" t="s">
        <v>15460</v>
      </c>
      <c r="F5386" s="5"/>
    </row>
    <row r="5387">
      <c r="B5387" s="5"/>
      <c r="C5387" s="5"/>
      <c r="D5387" s="5"/>
      <c r="E5387" s="150" t="s">
        <v>15460</v>
      </c>
      <c r="F5387" s="5" t="s">
        <v>15463</v>
      </c>
    </row>
    <row r="5388">
      <c r="A5388" s="44"/>
      <c r="B5388" s="38" t="s">
        <v>97</v>
      </c>
      <c r="C5388" s="38">
        <v>2.0</v>
      </c>
      <c r="D5388" s="38" t="s">
        <v>15464</v>
      </c>
      <c r="E5388" s="132" t="s">
        <v>15465</v>
      </c>
      <c r="F5388" s="38" t="s">
        <v>15466</v>
      </c>
    </row>
    <row r="5389">
      <c r="A5389" s="44"/>
      <c r="B5389" s="38" t="s">
        <v>4608</v>
      </c>
      <c r="C5389" s="38">
        <v>2.0</v>
      </c>
      <c r="D5389" s="38" t="s">
        <v>15464</v>
      </c>
      <c r="E5389" s="132" t="s">
        <v>15465</v>
      </c>
      <c r="F5389" s="38" t="s">
        <v>15467</v>
      </c>
    </row>
    <row r="5390">
      <c r="B5390" s="38" t="s">
        <v>763</v>
      </c>
      <c r="C5390" s="38">
        <v>1.0</v>
      </c>
      <c r="D5390" s="38" t="s">
        <v>684</v>
      </c>
      <c r="E5390" s="132" t="s">
        <v>15468</v>
      </c>
      <c r="F5390" s="38" t="s">
        <v>15314</v>
      </c>
    </row>
    <row r="5391">
      <c r="B5391" s="38" t="s">
        <v>205</v>
      </c>
      <c r="C5391" s="38">
        <v>4.0</v>
      </c>
      <c r="D5391" s="38" t="s">
        <v>3937</v>
      </c>
      <c r="E5391" s="132" t="s">
        <v>15469</v>
      </c>
      <c r="F5391" s="38" t="s">
        <v>218</v>
      </c>
    </row>
    <row r="5392">
      <c r="B5392" s="570" t="s">
        <v>15470</v>
      </c>
      <c r="C5392" s="38"/>
      <c r="D5392" s="305" t="s">
        <v>15471</v>
      </c>
      <c r="E5392" s="38" t="s">
        <v>15472</v>
      </c>
      <c r="F5392" s="38" t="s">
        <v>15473</v>
      </c>
    </row>
    <row r="5393">
      <c r="B5393" s="38" t="s">
        <v>733</v>
      </c>
      <c r="C5393" s="38">
        <v>4.0</v>
      </c>
      <c r="D5393" s="38" t="s">
        <v>8381</v>
      </c>
      <c r="E5393" s="132" t="s">
        <v>15474</v>
      </c>
      <c r="F5393" s="38" t="s">
        <v>15475</v>
      </c>
    </row>
    <row r="5394">
      <c r="B5394" s="38" t="s">
        <v>15476</v>
      </c>
      <c r="C5394" s="38" t="s">
        <v>15477</v>
      </c>
      <c r="D5394" s="38" t="s">
        <v>15478</v>
      </c>
      <c r="E5394" s="132" t="s">
        <v>15479</v>
      </c>
      <c r="F5394" s="38" t="s">
        <v>15480</v>
      </c>
    </row>
    <row r="5395">
      <c r="B5395" s="38" t="s">
        <v>1296</v>
      </c>
      <c r="C5395" s="38">
        <v>1.0</v>
      </c>
      <c r="D5395" s="38" t="s">
        <v>15481</v>
      </c>
      <c r="E5395" s="132" t="s">
        <v>15482</v>
      </c>
      <c r="F5395" s="38" t="s">
        <v>15483</v>
      </c>
    </row>
    <row r="5396">
      <c r="B5396" s="38" t="s">
        <v>2573</v>
      </c>
      <c r="C5396" s="38">
        <v>1.0</v>
      </c>
      <c r="D5396" s="38" t="s">
        <v>1847</v>
      </c>
      <c r="E5396" s="132" t="s">
        <v>15484</v>
      </c>
      <c r="F5396" s="38" t="s">
        <v>15485</v>
      </c>
    </row>
    <row r="5397">
      <c r="B5397" s="38" t="s">
        <v>354</v>
      </c>
      <c r="C5397" s="38">
        <v>4.0</v>
      </c>
      <c r="D5397" s="38" t="s">
        <v>8381</v>
      </c>
      <c r="E5397" s="132" t="s">
        <v>15486</v>
      </c>
      <c r="F5397" s="38" t="s">
        <v>15487</v>
      </c>
    </row>
    <row r="5398">
      <c r="B5398" s="38" t="s">
        <v>718</v>
      </c>
      <c r="C5398" s="38">
        <v>4.0</v>
      </c>
      <c r="D5398" s="38" t="s">
        <v>13629</v>
      </c>
      <c r="E5398" s="132" t="s">
        <v>15488</v>
      </c>
      <c r="F5398" s="38" t="s">
        <v>6654</v>
      </c>
    </row>
    <row r="5399">
      <c r="B5399" s="38" t="s">
        <v>205</v>
      </c>
      <c r="C5399" s="38">
        <v>4.0</v>
      </c>
      <c r="D5399" s="38" t="s">
        <v>13157</v>
      </c>
      <c r="E5399" s="132" t="s">
        <v>15489</v>
      </c>
      <c r="F5399" s="38" t="s">
        <v>15490</v>
      </c>
    </row>
    <row r="5400">
      <c r="B5400" s="38" t="s">
        <v>15491</v>
      </c>
      <c r="C5400" s="38" t="s">
        <v>15492</v>
      </c>
      <c r="D5400" s="38" t="s">
        <v>1542</v>
      </c>
      <c r="E5400" s="132" t="s">
        <v>1206</v>
      </c>
      <c r="F5400" s="38"/>
    </row>
    <row r="5401">
      <c r="B5401" s="38" t="s">
        <v>205</v>
      </c>
      <c r="C5401" s="38">
        <v>4.0</v>
      </c>
      <c r="D5401" s="38" t="s">
        <v>1382</v>
      </c>
      <c r="E5401" s="132" t="s">
        <v>15493</v>
      </c>
      <c r="F5401" s="38" t="s">
        <v>15494</v>
      </c>
      <c r="G5401" s="1" t="s">
        <v>15495</v>
      </c>
    </row>
    <row r="5402">
      <c r="A5402" s="38" t="s">
        <v>1113</v>
      </c>
      <c r="B5402" s="38" t="s">
        <v>271</v>
      </c>
      <c r="C5402" s="38">
        <v>4.0</v>
      </c>
      <c r="D5402" s="38" t="s">
        <v>26</v>
      </c>
      <c r="E5402" s="59" t="s">
        <v>15496</v>
      </c>
      <c r="F5402" s="38" t="s">
        <v>15497</v>
      </c>
    </row>
    <row r="5403">
      <c r="A5403" s="38" t="s">
        <v>1113</v>
      </c>
      <c r="B5403" s="38" t="s">
        <v>77</v>
      </c>
      <c r="C5403" s="38">
        <v>2.0</v>
      </c>
      <c r="D5403" s="38" t="s">
        <v>289</v>
      </c>
      <c r="E5403" s="108" t="s">
        <v>6186</v>
      </c>
      <c r="F5403" s="38" t="s">
        <v>15498</v>
      </c>
    </row>
    <row r="5404">
      <c r="A5404" s="38" t="s">
        <v>1113</v>
      </c>
      <c r="B5404" s="38" t="s">
        <v>271</v>
      </c>
      <c r="C5404" s="38">
        <v>2.0</v>
      </c>
      <c r="D5404" s="38" t="s">
        <v>289</v>
      </c>
      <c r="E5404" s="108" t="s">
        <v>15499</v>
      </c>
      <c r="F5404" s="38" t="s">
        <v>15497</v>
      </c>
    </row>
    <row r="5405">
      <c r="A5405" s="38" t="s">
        <v>1113</v>
      </c>
      <c r="B5405" s="38" t="s">
        <v>333</v>
      </c>
      <c r="C5405" s="38">
        <v>2.0</v>
      </c>
      <c r="D5405" s="38" t="s">
        <v>4348</v>
      </c>
      <c r="E5405" s="108" t="s">
        <v>15500</v>
      </c>
      <c r="F5405" s="40" t="s">
        <v>15501</v>
      </c>
    </row>
    <row r="5406">
      <c r="A5406" s="38" t="s">
        <v>1113</v>
      </c>
      <c r="B5406" s="38" t="s">
        <v>77</v>
      </c>
      <c r="C5406" s="38">
        <v>2.0</v>
      </c>
      <c r="D5406" s="38" t="s">
        <v>289</v>
      </c>
      <c r="E5406" s="108" t="s">
        <v>15502</v>
      </c>
      <c r="F5406" s="38" t="s">
        <v>15498</v>
      </c>
    </row>
    <row r="5407">
      <c r="A5407" s="38" t="s">
        <v>1113</v>
      </c>
      <c r="B5407" s="38" t="s">
        <v>25</v>
      </c>
      <c r="C5407" s="38">
        <v>2.0</v>
      </c>
      <c r="D5407" s="38" t="s">
        <v>289</v>
      </c>
      <c r="E5407" s="108" t="s">
        <v>11907</v>
      </c>
      <c r="F5407" s="38" t="s">
        <v>15501</v>
      </c>
    </row>
    <row r="5408">
      <c r="A5408" s="38" t="s">
        <v>1113</v>
      </c>
      <c r="B5408" s="38" t="s">
        <v>22</v>
      </c>
      <c r="C5408" s="38">
        <v>4.0</v>
      </c>
      <c r="D5408" s="38" t="s">
        <v>289</v>
      </c>
      <c r="E5408" s="108" t="s">
        <v>15503</v>
      </c>
      <c r="F5408" s="38" t="s">
        <v>15501</v>
      </c>
    </row>
    <row r="5409">
      <c r="A5409" s="38" t="s">
        <v>1113</v>
      </c>
      <c r="B5409" s="38" t="s">
        <v>271</v>
      </c>
      <c r="C5409" s="38">
        <v>4.0</v>
      </c>
      <c r="D5409" s="38" t="s">
        <v>289</v>
      </c>
      <c r="E5409" s="108" t="s">
        <v>6178</v>
      </c>
      <c r="F5409" s="38" t="s">
        <v>15497</v>
      </c>
    </row>
    <row r="5410">
      <c r="A5410" s="38" t="s">
        <v>1113</v>
      </c>
      <c r="B5410" s="38" t="s">
        <v>28</v>
      </c>
      <c r="C5410" s="38">
        <v>2.0</v>
      </c>
      <c r="D5410" s="38" t="s">
        <v>289</v>
      </c>
      <c r="E5410" s="132" t="s">
        <v>15504</v>
      </c>
      <c r="F5410" s="38" t="s">
        <v>15501</v>
      </c>
    </row>
    <row r="5411">
      <c r="A5411" s="38" t="s">
        <v>1113</v>
      </c>
      <c r="B5411" s="38" t="s">
        <v>1513</v>
      </c>
      <c r="C5411" s="38">
        <v>2.0</v>
      </c>
      <c r="D5411" s="107" t="s">
        <v>1114</v>
      </c>
      <c r="E5411" s="132" t="s">
        <v>15505</v>
      </c>
      <c r="F5411" s="38" t="s">
        <v>15506</v>
      </c>
    </row>
    <row r="5412">
      <c r="A5412" s="47" t="s">
        <v>1113</v>
      </c>
      <c r="B5412" s="47" t="s">
        <v>1006</v>
      </c>
      <c r="C5412" s="47">
        <v>4.0</v>
      </c>
      <c r="D5412" s="47" t="s">
        <v>1109</v>
      </c>
      <c r="E5412" s="47" t="s">
        <v>6188</v>
      </c>
      <c r="F5412" s="38" t="s">
        <v>281</v>
      </c>
    </row>
    <row r="5413">
      <c r="A5413" s="38" t="s">
        <v>1113</v>
      </c>
      <c r="B5413" s="38" t="s">
        <v>77</v>
      </c>
      <c r="C5413" s="38">
        <v>4.0</v>
      </c>
      <c r="D5413" s="38" t="s">
        <v>289</v>
      </c>
      <c r="E5413" s="132" t="s">
        <v>5968</v>
      </c>
      <c r="F5413" s="38" t="s">
        <v>15317</v>
      </c>
    </row>
    <row r="5414">
      <c r="A5414" s="38" t="s">
        <v>1113</v>
      </c>
      <c r="B5414" s="38" t="s">
        <v>271</v>
      </c>
      <c r="C5414" s="38">
        <v>4.0</v>
      </c>
      <c r="D5414" s="38" t="s">
        <v>289</v>
      </c>
      <c r="E5414" s="132" t="s">
        <v>6172</v>
      </c>
      <c r="F5414" s="38" t="s">
        <v>15497</v>
      </c>
    </row>
    <row r="5415">
      <c r="A5415" s="38" t="s">
        <v>1113</v>
      </c>
      <c r="B5415" s="38" t="s">
        <v>1010</v>
      </c>
      <c r="C5415" s="38">
        <v>2.0</v>
      </c>
      <c r="D5415" s="38" t="s">
        <v>1109</v>
      </c>
      <c r="E5415" s="132" t="s">
        <v>8300</v>
      </c>
      <c r="F5415" s="38" t="s">
        <v>15507</v>
      </c>
    </row>
    <row r="5416">
      <c r="A5416" s="38" t="s">
        <v>1113</v>
      </c>
      <c r="B5416" s="38" t="s">
        <v>31</v>
      </c>
      <c r="C5416" s="38">
        <v>2.0</v>
      </c>
      <c r="D5416" s="38" t="s">
        <v>1109</v>
      </c>
      <c r="E5416" s="108" t="s">
        <v>9384</v>
      </c>
      <c r="F5416" s="38" t="s">
        <v>15498</v>
      </c>
    </row>
    <row r="5417">
      <c r="A5417" s="38" t="s">
        <v>1113</v>
      </c>
      <c r="B5417" s="38" t="s">
        <v>2798</v>
      </c>
      <c r="C5417" s="38">
        <v>4.0</v>
      </c>
      <c r="D5417" s="38" t="s">
        <v>15508</v>
      </c>
      <c r="E5417" s="132" t="s">
        <v>15161</v>
      </c>
      <c r="F5417" s="38" t="s">
        <v>15509</v>
      </c>
    </row>
    <row r="5418">
      <c r="A5418" s="38" t="s">
        <v>1113</v>
      </c>
      <c r="B5418" s="38" t="s">
        <v>789</v>
      </c>
      <c r="C5418" s="38">
        <v>4.0</v>
      </c>
      <c r="D5418" s="38" t="s">
        <v>1382</v>
      </c>
      <c r="E5418" s="47" t="s">
        <v>15215</v>
      </c>
      <c r="F5418" s="38" t="s">
        <v>15403</v>
      </c>
      <c r="G5418" s="1" t="s">
        <v>15510</v>
      </c>
    </row>
    <row r="5419">
      <c r="A5419" s="38" t="s">
        <v>1113</v>
      </c>
      <c r="B5419" s="38" t="s">
        <v>77</v>
      </c>
      <c r="C5419" s="38">
        <v>4.0</v>
      </c>
      <c r="D5419" s="38" t="s">
        <v>15511</v>
      </c>
      <c r="E5419" s="132" t="s">
        <v>15512</v>
      </c>
      <c r="F5419" s="38" t="s">
        <v>15513</v>
      </c>
    </row>
    <row r="5420">
      <c r="A5420" s="38" t="s">
        <v>1113</v>
      </c>
      <c r="B5420" s="38" t="s">
        <v>85</v>
      </c>
      <c r="C5420" s="38">
        <v>4.0</v>
      </c>
      <c r="D5420" s="38" t="s">
        <v>15514</v>
      </c>
      <c r="E5420" s="132" t="s">
        <v>9035</v>
      </c>
      <c r="F5420" s="38" t="s">
        <v>15515</v>
      </c>
    </row>
    <row r="5421">
      <c r="A5421" s="38" t="s">
        <v>1113</v>
      </c>
      <c r="B5421" s="38" t="s">
        <v>25</v>
      </c>
      <c r="C5421" s="38">
        <v>4.0</v>
      </c>
      <c r="D5421" s="38" t="s">
        <v>15516</v>
      </c>
      <c r="E5421" s="39" t="s">
        <v>15517</v>
      </c>
      <c r="F5421" s="38" t="s">
        <v>15518</v>
      </c>
    </row>
    <row r="5422">
      <c r="A5422" s="38" t="s">
        <v>1113</v>
      </c>
      <c r="B5422" s="38" t="s">
        <v>876</v>
      </c>
      <c r="C5422" s="38">
        <v>4.0</v>
      </c>
      <c r="D5422" s="47" t="s">
        <v>15519</v>
      </c>
      <c r="E5422" s="132" t="s">
        <v>15520</v>
      </c>
      <c r="F5422" s="38" t="s">
        <v>15521</v>
      </c>
      <c r="G5422" s="38" t="s">
        <v>15522</v>
      </c>
    </row>
    <row r="5423">
      <c r="A5423" s="38" t="s">
        <v>1113</v>
      </c>
      <c r="B5423" s="38" t="s">
        <v>416</v>
      </c>
      <c r="C5423" s="38">
        <v>4.0</v>
      </c>
      <c r="D5423" s="38" t="s">
        <v>15523</v>
      </c>
      <c r="E5423" s="39" t="s">
        <v>15524</v>
      </c>
      <c r="F5423" s="38" t="s">
        <v>3990</v>
      </c>
      <c r="G5423" s="1" t="s">
        <v>15525</v>
      </c>
    </row>
    <row r="5424">
      <c r="A5424" s="38" t="s">
        <v>1113</v>
      </c>
      <c r="B5424" s="38" t="s">
        <v>271</v>
      </c>
      <c r="C5424" s="38">
        <v>4.0</v>
      </c>
      <c r="D5424" s="38" t="s">
        <v>15526</v>
      </c>
      <c r="E5424" s="132" t="s">
        <v>15527</v>
      </c>
      <c r="F5424" s="38" t="s">
        <v>15528</v>
      </c>
      <c r="G5424" s="5"/>
    </row>
    <row r="5425">
      <c r="A5425" s="38" t="s">
        <v>1113</v>
      </c>
      <c r="B5425" s="38" t="s">
        <v>63</v>
      </c>
      <c r="C5425" s="38">
        <v>4.0</v>
      </c>
      <c r="D5425" s="38" t="s">
        <v>15529</v>
      </c>
      <c r="E5425" s="132" t="s">
        <v>15530</v>
      </c>
      <c r="F5425" s="38" t="s">
        <v>404</v>
      </c>
      <c r="G5425" s="38" t="s">
        <v>175</v>
      </c>
    </row>
    <row r="5426">
      <c r="A5426" s="38"/>
      <c r="B5426" s="38" t="s">
        <v>22</v>
      </c>
      <c r="C5426" s="38">
        <v>4.0</v>
      </c>
      <c r="D5426" s="38" t="s">
        <v>1102</v>
      </c>
      <c r="E5426" s="132" t="s">
        <v>15531</v>
      </c>
      <c r="F5426" s="38" t="s">
        <v>175</v>
      </c>
      <c r="G5426" s="44"/>
    </row>
    <row r="5427">
      <c r="A5427" s="38" t="s">
        <v>1113</v>
      </c>
      <c r="B5427" s="38" t="s">
        <v>718</v>
      </c>
      <c r="C5427" s="38">
        <v>4.0</v>
      </c>
      <c r="D5427" s="38" t="s">
        <v>123</v>
      </c>
      <c r="E5427" s="132" t="s">
        <v>15532</v>
      </c>
      <c r="F5427" s="38" t="s">
        <v>15056</v>
      </c>
      <c r="G5427" s="1" t="s">
        <v>15533</v>
      </c>
    </row>
    <row r="5428">
      <c r="A5428" s="38" t="s">
        <v>1113</v>
      </c>
      <c r="B5428" s="38" t="s">
        <v>85</v>
      </c>
      <c r="C5428" s="38">
        <v>2.0</v>
      </c>
      <c r="D5428" s="38" t="s">
        <v>15534</v>
      </c>
      <c r="E5428" s="132" t="s">
        <v>15535</v>
      </c>
      <c r="F5428" s="38" t="s">
        <v>4954</v>
      </c>
      <c r="G5428" s="38" t="s">
        <v>15536</v>
      </c>
    </row>
    <row r="5429">
      <c r="A5429" s="38" t="s">
        <v>1113</v>
      </c>
      <c r="B5429" s="38" t="s">
        <v>25</v>
      </c>
      <c r="C5429" s="38">
        <v>4.0</v>
      </c>
      <c r="D5429" s="38" t="s">
        <v>15537</v>
      </c>
      <c r="E5429" s="132" t="s">
        <v>15538</v>
      </c>
      <c r="F5429" s="38" t="s">
        <v>2645</v>
      </c>
      <c r="G5429" s="38" t="s">
        <v>15536</v>
      </c>
    </row>
    <row r="5430">
      <c r="A5430" s="38" t="s">
        <v>1113</v>
      </c>
      <c r="B5430" s="38" t="s">
        <v>205</v>
      </c>
      <c r="C5430" s="38">
        <v>4.0</v>
      </c>
      <c r="D5430" s="38" t="s">
        <v>3937</v>
      </c>
      <c r="E5430" s="132" t="s">
        <v>15539</v>
      </c>
      <c r="F5430" s="38" t="s">
        <v>15540</v>
      </c>
      <c r="G5430" s="38" t="s">
        <v>15365</v>
      </c>
    </row>
    <row r="5431">
      <c r="A5431" s="38" t="s">
        <v>1113</v>
      </c>
      <c r="B5431" s="38" t="s">
        <v>81</v>
      </c>
      <c r="C5431" s="38">
        <v>4.0</v>
      </c>
      <c r="D5431" s="59" t="s">
        <v>15541</v>
      </c>
      <c r="E5431" s="132" t="s">
        <v>6434</v>
      </c>
      <c r="F5431" s="38" t="s">
        <v>15542</v>
      </c>
    </row>
    <row r="5432">
      <c r="A5432" s="38" t="s">
        <v>1113</v>
      </c>
      <c r="B5432" s="38" t="s">
        <v>3527</v>
      </c>
      <c r="C5432" s="47">
        <v>2.0</v>
      </c>
      <c r="D5432" s="47" t="s">
        <v>15543</v>
      </c>
      <c r="E5432" s="38" t="s">
        <v>2971</v>
      </c>
      <c r="F5432" s="38" t="s">
        <v>15380</v>
      </c>
    </row>
    <row r="5433">
      <c r="A5433" s="38" t="s">
        <v>1113</v>
      </c>
      <c r="B5433" s="38" t="s">
        <v>58</v>
      </c>
      <c r="C5433" s="38">
        <v>4.0</v>
      </c>
      <c r="D5433" s="38" t="s">
        <v>15544</v>
      </c>
      <c r="E5433" s="132" t="s">
        <v>15545</v>
      </c>
      <c r="F5433" s="38" t="s">
        <v>1261</v>
      </c>
      <c r="G5433" s="38" t="s">
        <v>15365</v>
      </c>
    </row>
    <row r="5434">
      <c r="A5434" s="38" t="s">
        <v>1113</v>
      </c>
      <c r="B5434" s="38" t="s">
        <v>342</v>
      </c>
      <c r="C5434" s="38">
        <v>4.0</v>
      </c>
      <c r="D5434" s="38" t="s">
        <v>15546</v>
      </c>
      <c r="E5434" s="132" t="s">
        <v>15123</v>
      </c>
      <c r="F5434" s="38" t="s">
        <v>15365</v>
      </c>
    </row>
    <row r="5435">
      <c r="A5435" s="38"/>
      <c r="B5435" s="38"/>
      <c r="C5435" s="38"/>
      <c r="D5435" s="38"/>
      <c r="E5435" s="132" t="s">
        <v>15123</v>
      </c>
      <c r="F5435" s="38" t="s">
        <v>15547</v>
      </c>
      <c r="G5435" s="38" t="s">
        <v>15548</v>
      </c>
    </row>
    <row r="5436">
      <c r="A5436" s="38" t="s">
        <v>1113</v>
      </c>
      <c r="B5436" s="38" t="s">
        <v>63</v>
      </c>
      <c r="C5436" s="38">
        <v>11.0</v>
      </c>
      <c r="D5436" s="38" t="s">
        <v>15549</v>
      </c>
      <c r="E5436" s="132" t="s">
        <v>11606</v>
      </c>
      <c r="F5436" s="38" t="s">
        <v>15550</v>
      </c>
      <c r="G5436" s="10" t="s">
        <v>15551</v>
      </c>
    </row>
    <row r="5437">
      <c r="A5437" s="571"/>
      <c r="B5437" s="5" t="s">
        <v>63</v>
      </c>
      <c r="C5437" s="5">
        <v>4.0</v>
      </c>
      <c r="D5437" s="5" t="s">
        <v>15549</v>
      </c>
      <c r="E5437" s="150" t="s">
        <v>11606</v>
      </c>
      <c r="F5437" s="5" t="s">
        <v>15552</v>
      </c>
      <c r="G5437" s="10"/>
    </row>
    <row r="5438">
      <c r="A5438" s="38"/>
      <c r="B5438" s="38" t="s">
        <v>63</v>
      </c>
      <c r="C5438" s="38">
        <v>4.0</v>
      </c>
      <c r="D5438" s="38" t="s">
        <v>15549</v>
      </c>
      <c r="E5438" s="132" t="s">
        <v>15553</v>
      </c>
      <c r="F5438" s="38" t="s">
        <v>15554</v>
      </c>
      <c r="G5438" s="42" t="s">
        <v>15555</v>
      </c>
    </row>
    <row r="5439">
      <c r="A5439" s="38"/>
      <c r="B5439" s="38" t="s">
        <v>63</v>
      </c>
      <c r="C5439" s="38">
        <v>1.0</v>
      </c>
      <c r="D5439" s="38" t="s">
        <v>15549</v>
      </c>
      <c r="E5439" s="132" t="s">
        <v>15553</v>
      </c>
      <c r="F5439" s="38" t="s">
        <v>15556</v>
      </c>
      <c r="G5439" s="42" t="s">
        <v>15555</v>
      </c>
    </row>
    <row r="5440">
      <c r="A5440" s="38" t="s">
        <v>1113</v>
      </c>
      <c r="B5440" s="47" t="s">
        <v>1183</v>
      </c>
      <c r="C5440" s="47">
        <v>2.0</v>
      </c>
      <c r="D5440" s="47" t="s">
        <v>167</v>
      </c>
      <c r="E5440" s="47" t="s">
        <v>758</v>
      </c>
      <c r="F5440" s="38" t="s">
        <v>15557</v>
      </c>
      <c r="G5440" s="10"/>
    </row>
    <row r="5441">
      <c r="A5441" s="38" t="s">
        <v>1113</v>
      </c>
      <c r="B5441" s="47" t="s">
        <v>875</v>
      </c>
      <c r="C5441" s="47">
        <v>4.0</v>
      </c>
      <c r="D5441" s="38" t="s">
        <v>1133</v>
      </c>
      <c r="E5441" s="47" t="s">
        <v>15558</v>
      </c>
      <c r="F5441" s="38" t="s">
        <v>15559</v>
      </c>
      <c r="G5441" s="10"/>
    </row>
    <row r="5442">
      <c r="A5442" s="8"/>
      <c r="B5442" s="47" t="s">
        <v>5105</v>
      </c>
      <c r="C5442" s="47">
        <v>4.0</v>
      </c>
      <c r="D5442" s="47" t="s">
        <v>211</v>
      </c>
      <c r="E5442" s="47" t="s">
        <v>2287</v>
      </c>
      <c r="F5442" s="47" t="s">
        <v>15560</v>
      </c>
      <c r="G5442" s="42" t="s">
        <v>15561</v>
      </c>
    </row>
    <row r="5443">
      <c r="A5443" s="8"/>
      <c r="B5443" s="47"/>
      <c r="C5443" s="47"/>
      <c r="D5443" s="47"/>
      <c r="E5443" s="47" t="s">
        <v>2287</v>
      </c>
      <c r="F5443" s="38" t="s">
        <v>15562</v>
      </c>
      <c r="G5443" s="42" t="s">
        <v>15563</v>
      </c>
    </row>
    <row r="5444">
      <c r="A5444" s="8"/>
      <c r="B5444" s="47"/>
      <c r="C5444" s="47"/>
      <c r="D5444" s="47"/>
      <c r="E5444" s="47" t="s">
        <v>2287</v>
      </c>
      <c r="F5444" s="38" t="s">
        <v>15564</v>
      </c>
      <c r="G5444" s="10"/>
    </row>
    <row r="5445">
      <c r="A5445" s="8"/>
      <c r="B5445" s="47"/>
      <c r="C5445" s="47"/>
      <c r="D5445" s="44"/>
      <c r="E5445" s="47" t="s">
        <v>2287</v>
      </c>
      <c r="F5445" s="38" t="s">
        <v>15565</v>
      </c>
      <c r="G5445" s="10"/>
    </row>
    <row r="5446">
      <c r="A5446" s="8"/>
      <c r="B5446" s="47"/>
      <c r="C5446" s="47"/>
      <c r="D5446" s="44"/>
      <c r="E5446" s="47" t="s">
        <v>2287</v>
      </c>
      <c r="F5446" s="38" t="s">
        <v>15566</v>
      </c>
      <c r="G5446" s="10"/>
    </row>
    <row r="5447">
      <c r="A5447" s="8"/>
      <c r="B5447" s="47"/>
      <c r="C5447" s="47"/>
      <c r="D5447" s="38"/>
      <c r="E5447" s="47" t="s">
        <v>2287</v>
      </c>
      <c r="F5447" s="38" t="s">
        <v>15567</v>
      </c>
      <c r="G5447" s="10"/>
    </row>
    <row r="5448">
      <c r="A5448" s="8"/>
      <c r="B5448" s="38" t="s">
        <v>122</v>
      </c>
      <c r="C5448" s="47">
        <v>4.0</v>
      </c>
      <c r="D5448" s="38" t="s">
        <v>294</v>
      </c>
      <c r="E5448" s="38" t="s">
        <v>7128</v>
      </c>
      <c r="F5448" s="38" t="s">
        <v>15568</v>
      </c>
      <c r="G5448" s="10"/>
    </row>
    <row r="5449">
      <c r="A5449" s="38" t="s">
        <v>1113</v>
      </c>
      <c r="B5449" s="38" t="s">
        <v>416</v>
      </c>
      <c r="C5449" s="47">
        <v>4.0</v>
      </c>
      <c r="D5449" s="38" t="s">
        <v>343</v>
      </c>
      <c r="E5449" s="38" t="s">
        <v>15569</v>
      </c>
      <c r="F5449" s="38" t="s">
        <v>15570</v>
      </c>
      <c r="G5449" s="10"/>
    </row>
    <row r="5450">
      <c r="A5450" s="44"/>
      <c r="B5450" s="47" t="s">
        <v>4434</v>
      </c>
      <c r="C5450" s="47">
        <v>2.0</v>
      </c>
      <c r="D5450" s="47" t="s">
        <v>1133</v>
      </c>
      <c r="E5450" s="47" t="s">
        <v>2551</v>
      </c>
      <c r="F5450" s="38" t="s">
        <v>15571</v>
      </c>
      <c r="G5450" s="10"/>
    </row>
    <row r="5451">
      <c r="A5451" s="47" t="s">
        <v>1113</v>
      </c>
      <c r="B5451" s="47" t="s">
        <v>103</v>
      </c>
      <c r="C5451" s="47">
        <v>2.0</v>
      </c>
      <c r="D5451" s="47" t="s">
        <v>1133</v>
      </c>
      <c r="E5451" s="47" t="s">
        <v>2551</v>
      </c>
      <c r="F5451" s="38" t="s">
        <v>15571</v>
      </c>
      <c r="G5451" s="10"/>
    </row>
    <row r="5452">
      <c r="A5452" s="44"/>
      <c r="B5452" s="38" t="s">
        <v>4044</v>
      </c>
      <c r="C5452" s="38">
        <v>2.0</v>
      </c>
      <c r="D5452" s="38" t="s">
        <v>15572</v>
      </c>
      <c r="E5452" s="39" t="s">
        <v>15573</v>
      </c>
      <c r="F5452" s="38">
        <v>370.0</v>
      </c>
      <c r="G5452" s="42" t="s">
        <v>15574</v>
      </c>
    </row>
    <row r="5453">
      <c r="A5453" s="44"/>
      <c r="B5453" s="38" t="s">
        <v>3060</v>
      </c>
      <c r="C5453" s="38">
        <v>2.0</v>
      </c>
      <c r="D5453" s="38" t="s">
        <v>15575</v>
      </c>
      <c r="E5453" s="39" t="s">
        <v>15573</v>
      </c>
      <c r="F5453" s="38" t="s">
        <v>15576</v>
      </c>
      <c r="G5453" s="42" t="s">
        <v>15574</v>
      </c>
    </row>
    <row r="5454">
      <c r="B5454" s="38" t="s">
        <v>47</v>
      </c>
      <c r="C5454" s="38">
        <v>1.0</v>
      </c>
      <c r="D5454" s="38" t="s">
        <v>1563</v>
      </c>
      <c r="E5454" s="38" t="s">
        <v>15577</v>
      </c>
      <c r="F5454" s="117" t="s">
        <v>15578</v>
      </c>
      <c r="G5454" s="10"/>
    </row>
    <row r="5455">
      <c r="B5455" s="38" t="s">
        <v>6737</v>
      </c>
      <c r="C5455" s="38">
        <v>2.0</v>
      </c>
      <c r="D5455" s="38" t="s">
        <v>412</v>
      </c>
      <c r="E5455" s="38" t="s">
        <v>202</v>
      </c>
      <c r="F5455" s="38" t="s">
        <v>15579</v>
      </c>
      <c r="G5455" s="10"/>
    </row>
    <row r="5456">
      <c r="B5456" s="38" t="s">
        <v>4563</v>
      </c>
      <c r="C5456" s="38">
        <v>4.0</v>
      </c>
      <c r="D5456" s="38" t="s">
        <v>8231</v>
      </c>
      <c r="E5456" s="47" t="s">
        <v>15010</v>
      </c>
      <c r="F5456" s="38" t="s">
        <v>15580</v>
      </c>
      <c r="G5456" s="10"/>
    </row>
    <row r="5457">
      <c r="B5457" s="47" t="s">
        <v>122</v>
      </c>
      <c r="C5457" s="47">
        <v>2.0</v>
      </c>
      <c r="D5457" s="47" t="s">
        <v>15581</v>
      </c>
      <c r="E5457" s="47" t="s">
        <v>418</v>
      </c>
      <c r="F5457" s="38" t="s">
        <v>15582</v>
      </c>
      <c r="G5457" s="4"/>
    </row>
    <row r="5458">
      <c r="B5458" s="47" t="s">
        <v>199</v>
      </c>
      <c r="C5458" s="47">
        <v>4.0</v>
      </c>
      <c r="D5458" s="47" t="s">
        <v>7189</v>
      </c>
      <c r="E5458" s="47" t="s">
        <v>15583</v>
      </c>
      <c r="F5458" s="38" t="s">
        <v>15584</v>
      </c>
      <c r="G5458" s="4"/>
    </row>
    <row r="5459">
      <c r="B5459" s="47" t="s">
        <v>52</v>
      </c>
      <c r="C5459" s="47">
        <v>4.0</v>
      </c>
      <c r="D5459" s="47" t="s">
        <v>171</v>
      </c>
      <c r="E5459" s="47" t="s">
        <v>15585</v>
      </c>
      <c r="F5459" s="38" t="s">
        <v>15586</v>
      </c>
      <c r="G5459" s="4"/>
    </row>
    <row r="5460">
      <c r="B5460" s="47" t="s">
        <v>3958</v>
      </c>
      <c r="C5460" s="47">
        <v>2.0</v>
      </c>
      <c r="D5460" s="47" t="s">
        <v>15587</v>
      </c>
      <c r="E5460" s="47" t="s">
        <v>15588</v>
      </c>
      <c r="F5460" s="38" t="s">
        <v>15589</v>
      </c>
      <c r="G5460" s="4"/>
    </row>
    <row r="5461">
      <c r="B5461" s="47" t="s">
        <v>283</v>
      </c>
      <c r="C5461" s="47">
        <v>2.0</v>
      </c>
      <c r="D5461" s="47" t="s">
        <v>15587</v>
      </c>
      <c r="E5461" s="47" t="s">
        <v>15588</v>
      </c>
      <c r="F5461" s="38" t="s">
        <v>15589</v>
      </c>
      <c r="G5461" s="4"/>
    </row>
    <row r="5462">
      <c r="B5462" s="47" t="s">
        <v>3822</v>
      </c>
      <c r="C5462" s="47">
        <v>2.0</v>
      </c>
      <c r="D5462" s="47" t="s">
        <v>315</v>
      </c>
      <c r="E5462" s="47" t="s">
        <v>371</v>
      </c>
      <c r="F5462" s="38" t="s">
        <v>15590</v>
      </c>
      <c r="G5462" s="4"/>
    </row>
    <row r="5463">
      <c r="B5463" s="47" t="s">
        <v>153</v>
      </c>
      <c r="C5463" s="47">
        <v>2.0</v>
      </c>
      <c r="D5463" s="47" t="s">
        <v>315</v>
      </c>
      <c r="E5463" s="47" t="s">
        <v>371</v>
      </c>
      <c r="F5463" s="38" t="s">
        <v>15591</v>
      </c>
      <c r="G5463" s="4"/>
    </row>
    <row r="5464">
      <c r="B5464" s="47"/>
      <c r="C5464" s="47"/>
      <c r="D5464" s="47"/>
      <c r="E5464" s="47" t="s">
        <v>371</v>
      </c>
      <c r="F5464" s="38" t="s">
        <v>15592</v>
      </c>
      <c r="G5464" s="42" t="s">
        <v>144</v>
      </c>
    </row>
    <row r="5465">
      <c r="B5465" s="47" t="s">
        <v>31</v>
      </c>
      <c r="C5465" s="47">
        <v>4.0</v>
      </c>
      <c r="D5465" s="47" t="s">
        <v>123</v>
      </c>
      <c r="E5465" s="47" t="s">
        <v>4709</v>
      </c>
      <c r="F5465" s="38" t="s">
        <v>15483</v>
      </c>
      <c r="G5465" s="4"/>
    </row>
    <row r="5466">
      <c r="B5466" s="47" t="s">
        <v>15593</v>
      </c>
      <c r="C5466" s="47">
        <v>4.0</v>
      </c>
      <c r="D5466" s="47" t="s">
        <v>15594</v>
      </c>
      <c r="E5466" s="47" t="s">
        <v>873</v>
      </c>
      <c r="F5466" s="47" t="s">
        <v>1767</v>
      </c>
      <c r="G5466" s="38" t="s">
        <v>15595</v>
      </c>
    </row>
    <row r="5467">
      <c r="B5467" s="47" t="s">
        <v>10845</v>
      </c>
      <c r="C5467" s="47">
        <v>4.0</v>
      </c>
      <c r="D5467" s="47" t="s">
        <v>15596</v>
      </c>
      <c r="E5467" s="47" t="s">
        <v>873</v>
      </c>
      <c r="F5467" s="47" t="s">
        <v>14825</v>
      </c>
      <c r="G5467" s="38" t="s">
        <v>15595</v>
      </c>
    </row>
    <row r="5468">
      <c r="B5468" s="47" t="s">
        <v>4739</v>
      </c>
      <c r="C5468" s="47">
        <v>4.0</v>
      </c>
      <c r="D5468" s="47" t="s">
        <v>1305</v>
      </c>
      <c r="E5468" s="47" t="s">
        <v>15597</v>
      </c>
      <c r="F5468" s="47" t="s">
        <v>15598</v>
      </c>
      <c r="G5468" s="38" t="s">
        <v>15599</v>
      </c>
    </row>
    <row r="5469">
      <c r="B5469" s="47" t="s">
        <v>2276</v>
      </c>
      <c r="C5469" s="47">
        <v>2.0</v>
      </c>
      <c r="D5469" s="47" t="s">
        <v>2931</v>
      </c>
      <c r="E5469" s="47" t="s">
        <v>15597</v>
      </c>
      <c r="F5469" s="47" t="s">
        <v>15600</v>
      </c>
      <c r="G5469" s="38" t="s">
        <v>15599</v>
      </c>
    </row>
    <row r="5470">
      <c r="B5470" s="47" t="s">
        <v>978</v>
      </c>
      <c r="C5470" s="47">
        <v>2.0</v>
      </c>
      <c r="D5470" s="47" t="s">
        <v>2931</v>
      </c>
      <c r="E5470" s="47" t="s">
        <v>15597</v>
      </c>
      <c r="F5470" s="47"/>
      <c r="G5470" s="38" t="s">
        <v>15599</v>
      </c>
    </row>
    <row r="5471">
      <c r="B5471" s="38" t="s">
        <v>2333</v>
      </c>
      <c r="C5471" s="38">
        <v>4.0</v>
      </c>
      <c r="D5471" s="38" t="s">
        <v>15601</v>
      </c>
      <c r="E5471" s="91" t="s">
        <v>15602</v>
      </c>
      <c r="F5471" s="38" t="s">
        <v>15603</v>
      </c>
      <c r="G5471" s="4"/>
    </row>
    <row r="5472">
      <c r="B5472" s="38" t="s">
        <v>439</v>
      </c>
      <c r="C5472" s="38">
        <v>4.0</v>
      </c>
      <c r="D5472" s="38" t="s">
        <v>8513</v>
      </c>
      <c r="E5472" s="91" t="s">
        <v>15604</v>
      </c>
      <c r="F5472" s="38" t="s">
        <v>15605</v>
      </c>
      <c r="G5472" s="4"/>
    </row>
    <row r="5473">
      <c r="B5473" s="569" t="s">
        <v>4061</v>
      </c>
      <c r="C5473" s="38">
        <v>4.0</v>
      </c>
      <c r="D5473" s="117" t="s">
        <v>2097</v>
      </c>
      <c r="E5473" s="39" t="s">
        <v>15606</v>
      </c>
      <c r="F5473" s="117" t="s">
        <v>15607</v>
      </c>
      <c r="G5473" s="10"/>
    </row>
    <row r="5474">
      <c r="B5474" s="569" t="s">
        <v>15608</v>
      </c>
      <c r="C5474" s="38" t="s">
        <v>15609</v>
      </c>
      <c r="D5474" s="117" t="s">
        <v>15610</v>
      </c>
      <c r="E5474" s="38" t="s">
        <v>15611</v>
      </c>
      <c r="F5474" s="117" t="s">
        <v>15612</v>
      </c>
      <c r="G5474" s="42" t="s">
        <v>144</v>
      </c>
    </row>
    <row r="5475">
      <c r="B5475" s="569" t="s">
        <v>15613</v>
      </c>
      <c r="C5475" s="38" t="s">
        <v>15614</v>
      </c>
      <c r="D5475" s="117"/>
      <c r="E5475" s="38" t="s">
        <v>15611</v>
      </c>
      <c r="F5475" s="117"/>
      <c r="G5475" s="42" t="s">
        <v>144</v>
      </c>
    </row>
    <row r="5476">
      <c r="B5476" s="569"/>
      <c r="C5476" s="38" t="s">
        <v>15615</v>
      </c>
      <c r="D5476" s="117" t="s">
        <v>15616</v>
      </c>
      <c r="E5476" s="38" t="s">
        <v>15611</v>
      </c>
      <c r="F5476" s="117" t="s">
        <v>15617</v>
      </c>
      <c r="G5476" s="42" t="s">
        <v>144</v>
      </c>
    </row>
    <row r="5477">
      <c r="B5477" s="569"/>
      <c r="C5477" s="47"/>
      <c r="D5477" s="117" t="s">
        <v>15618</v>
      </c>
      <c r="E5477" s="42" t="s">
        <v>1017</v>
      </c>
      <c r="F5477" s="117" t="s">
        <v>15619</v>
      </c>
      <c r="G5477" s="42" t="s">
        <v>15365</v>
      </c>
    </row>
    <row r="5478">
      <c r="B5478" s="569"/>
      <c r="C5478" s="47"/>
      <c r="D5478" s="117"/>
      <c r="E5478" s="42" t="s">
        <v>1017</v>
      </c>
      <c r="F5478" s="117" t="s">
        <v>15620</v>
      </c>
      <c r="G5478" s="42" t="s">
        <v>15365</v>
      </c>
    </row>
    <row r="5479">
      <c r="B5479" s="569" t="s">
        <v>88</v>
      </c>
      <c r="C5479" s="38">
        <v>4.0</v>
      </c>
      <c r="D5479" s="42" t="s">
        <v>123</v>
      </c>
      <c r="E5479" s="42" t="s">
        <v>1784</v>
      </c>
      <c r="F5479" s="42" t="s">
        <v>15621</v>
      </c>
      <c r="G5479" s="10"/>
    </row>
    <row r="5480">
      <c r="B5480" s="569" t="s">
        <v>1714</v>
      </c>
      <c r="C5480" s="38">
        <v>2.0</v>
      </c>
      <c r="D5480" s="572" t="s">
        <v>15622</v>
      </c>
      <c r="E5480" s="42" t="s">
        <v>754</v>
      </c>
      <c r="F5480" s="117" t="s">
        <v>15623</v>
      </c>
      <c r="G5480" s="10"/>
    </row>
    <row r="5481">
      <c r="B5481" s="569" t="s">
        <v>3792</v>
      </c>
      <c r="C5481" s="38">
        <v>1.0</v>
      </c>
      <c r="D5481" s="572" t="s">
        <v>15622</v>
      </c>
      <c r="E5481" s="42" t="s">
        <v>754</v>
      </c>
      <c r="F5481" s="117" t="s">
        <v>15623</v>
      </c>
      <c r="G5481" s="10"/>
    </row>
    <row r="5482">
      <c r="B5482" s="569" t="s">
        <v>205</v>
      </c>
      <c r="C5482" s="38">
        <v>4.0</v>
      </c>
      <c r="D5482" s="117" t="s">
        <v>15624</v>
      </c>
      <c r="E5482" s="42" t="s">
        <v>7330</v>
      </c>
      <c r="F5482" s="117" t="s">
        <v>1261</v>
      </c>
      <c r="G5482" s="10"/>
    </row>
    <row r="5483">
      <c r="B5483" s="569" t="s">
        <v>153</v>
      </c>
      <c r="C5483" s="38">
        <v>2.0</v>
      </c>
      <c r="D5483" s="117" t="s">
        <v>1133</v>
      </c>
      <c r="E5483" s="42" t="s">
        <v>371</v>
      </c>
      <c r="F5483" s="42" t="s">
        <v>15625</v>
      </c>
      <c r="G5483" s="1" t="s">
        <v>15626</v>
      </c>
    </row>
    <row r="5484">
      <c r="B5484" s="569" t="s">
        <v>3820</v>
      </c>
      <c r="C5484" s="38">
        <v>2.0</v>
      </c>
      <c r="D5484" s="117" t="s">
        <v>1133</v>
      </c>
      <c r="E5484" s="42" t="s">
        <v>371</v>
      </c>
      <c r="F5484" s="42" t="s">
        <v>15625</v>
      </c>
      <c r="G5484" s="1" t="s">
        <v>15626</v>
      </c>
    </row>
    <row r="5485">
      <c r="B5485" s="117" t="s">
        <v>15627</v>
      </c>
      <c r="C5485" s="47"/>
      <c r="D5485" s="117" t="s">
        <v>15628</v>
      </c>
      <c r="E5485" s="42" t="s">
        <v>371</v>
      </c>
      <c r="F5485" s="117" t="s">
        <v>15629</v>
      </c>
      <c r="G5485" s="42" t="s">
        <v>144</v>
      </c>
    </row>
    <row r="5486">
      <c r="B5486" s="569" t="s">
        <v>219</v>
      </c>
      <c r="C5486" s="38">
        <v>2.0</v>
      </c>
      <c r="D5486" s="117" t="s">
        <v>15630</v>
      </c>
      <c r="E5486" s="42" t="s">
        <v>15631</v>
      </c>
      <c r="F5486" s="117" t="s">
        <v>15632</v>
      </c>
      <c r="G5486" s="42" t="s">
        <v>15309</v>
      </c>
    </row>
    <row r="5487">
      <c r="B5487" s="569" t="s">
        <v>77</v>
      </c>
      <c r="C5487" s="38">
        <v>4.0</v>
      </c>
      <c r="D5487" s="117" t="s">
        <v>229</v>
      </c>
      <c r="E5487" s="91" t="s">
        <v>15633</v>
      </c>
      <c r="F5487" s="117" t="s">
        <v>3876</v>
      </c>
      <c r="G5487" s="10"/>
    </row>
    <row r="5488">
      <c r="B5488" s="569" t="s">
        <v>22</v>
      </c>
      <c r="C5488" s="38">
        <v>4.0</v>
      </c>
      <c r="D5488" s="42" t="s">
        <v>402</v>
      </c>
      <c r="E5488" s="39" t="s">
        <v>15634</v>
      </c>
      <c r="F5488" s="42" t="s">
        <v>15635</v>
      </c>
      <c r="G5488" s="10"/>
    </row>
    <row r="5489">
      <c r="B5489" s="569" t="s">
        <v>246</v>
      </c>
      <c r="C5489" s="38">
        <v>2.0</v>
      </c>
      <c r="D5489" s="117" t="s">
        <v>15636</v>
      </c>
      <c r="E5489" s="42" t="s">
        <v>7641</v>
      </c>
      <c r="F5489" s="117" t="s">
        <v>15637</v>
      </c>
      <c r="G5489" s="42" t="s">
        <v>15571</v>
      </c>
    </row>
    <row r="5490">
      <c r="B5490" s="569" t="s">
        <v>25</v>
      </c>
      <c r="C5490" s="38">
        <v>4.0</v>
      </c>
      <c r="D5490" s="117" t="s">
        <v>86</v>
      </c>
      <c r="E5490" s="573" t="s">
        <v>15638</v>
      </c>
      <c r="F5490" s="573"/>
      <c r="G5490" s="10"/>
    </row>
    <row r="5491">
      <c r="B5491" s="569"/>
      <c r="C5491" s="47"/>
      <c r="D5491" s="42"/>
      <c r="E5491" s="42" t="s">
        <v>15639</v>
      </c>
      <c r="F5491" s="42" t="s">
        <v>15456</v>
      </c>
      <c r="G5491" s="10"/>
    </row>
    <row r="5492">
      <c r="B5492" s="569"/>
      <c r="C5492" s="38">
        <v>1.0</v>
      </c>
      <c r="D5492" s="117" t="s">
        <v>15640</v>
      </c>
      <c r="E5492" s="42" t="s">
        <v>15641</v>
      </c>
      <c r="F5492" s="117" t="s">
        <v>15642</v>
      </c>
      <c r="G5492" s="10"/>
    </row>
    <row r="5493">
      <c r="B5493" s="569" t="s">
        <v>1400</v>
      </c>
      <c r="C5493" s="38">
        <v>4.0</v>
      </c>
      <c r="D5493" s="117" t="s">
        <v>553</v>
      </c>
      <c r="E5493" s="42" t="s">
        <v>11871</v>
      </c>
      <c r="F5493" s="117" t="s">
        <v>15643</v>
      </c>
      <c r="G5493" s="10"/>
    </row>
    <row r="5494">
      <c r="B5494" s="569"/>
      <c r="C5494" s="47"/>
      <c r="D5494" s="117"/>
      <c r="E5494" s="42" t="s">
        <v>15644</v>
      </c>
      <c r="F5494" s="117" t="s">
        <v>15645</v>
      </c>
      <c r="G5494" s="42" t="s">
        <v>14846</v>
      </c>
    </row>
    <row r="5495">
      <c r="B5495" s="569" t="s">
        <v>271</v>
      </c>
      <c r="C5495" s="38">
        <v>4.0</v>
      </c>
      <c r="D5495" s="117" t="s">
        <v>15646</v>
      </c>
      <c r="E5495" s="42" t="s">
        <v>15647</v>
      </c>
      <c r="F5495" s="117"/>
      <c r="G5495" s="10"/>
    </row>
    <row r="5496">
      <c r="B5496" s="569" t="s">
        <v>1159</v>
      </c>
      <c r="C5496" s="38">
        <v>2.0</v>
      </c>
      <c r="D5496" s="117" t="s">
        <v>1133</v>
      </c>
      <c r="E5496" s="42" t="s">
        <v>7045</v>
      </c>
      <c r="F5496" s="117" t="s">
        <v>15648</v>
      </c>
      <c r="G5496" s="10"/>
    </row>
    <row r="5497">
      <c r="B5497" s="569" t="s">
        <v>5999</v>
      </c>
      <c r="C5497" s="38">
        <v>2.0</v>
      </c>
      <c r="D5497" s="42" t="s">
        <v>15649</v>
      </c>
      <c r="E5497" s="574" t="s">
        <v>9855</v>
      </c>
      <c r="F5497" s="42" t="s">
        <v>15650</v>
      </c>
      <c r="G5497" s="10"/>
    </row>
    <row r="5498">
      <c r="B5498" s="569" t="s">
        <v>266</v>
      </c>
      <c r="C5498" s="38">
        <v>4.0</v>
      </c>
      <c r="D5498" s="42" t="s">
        <v>15651</v>
      </c>
      <c r="E5498" s="42" t="s">
        <v>15652</v>
      </c>
      <c r="F5498" s="42" t="s">
        <v>15653</v>
      </c>
      <c r="G5498" s="10"/>
    </row>
    <row r="5499">
      <c r="B5499" s="569" t="s">
        <v>549</v>
      </c>
      <c r="C5499" s="38">
        <v>4.0</v>
      </c>
      <c r="D5499" s="42" t="s">
        <v>15654</v>
      </c>
      <c r="E5499" s="42" t="s">
        <v>15655</v>
      </c>
      <c r="F5499" s="42" t="s">
        <v>15656</v>
      </c>
      <c r="G5499" s="10"/>
    </row>
    <row r="5500">
      <c r="B5500" s="569" t="s">
        <v>183</v>
      </c>
      <c r="C5500" s="38">
        <v>4.0</v>
      </c>
      <c r="D5500" s="42" t="s">
        <v>924</v>
      </c>
      <c r="E5500" s="42" t="s">
        <v>15657</v>
      </c>
      <c r="F5500" s="42" t="s">
        <v>15658</v>
      </c>
      <c r="G5500" s="10"/>
    </row>
    <row r="5501">
      <c r="B5501" s="569" t="s">
        <v>271</v>
      </c>
      <c r="C5501" s="38">
        <v>4.0</v>
      </c>
      <c r="D5501" s="117" t="s">
        <v>3988</v>
      </c>
      <c r="E5501" s="42" t="s">
        <v>7045</v>
      </c>
      <c r="F5501" s="117" t="s">
        <v>15659</v>
      </c>
      <c r="G5501" s="42" t="s">
        <v>15648</v>
      </c>
    </row>
    <row r="5502">
      <c r="B5502" s="575" t="s">
        <v>1296</v>
      </c>
      <c r="C5502" s="131">
        <v>4.0</v>
      </c>
      <c r="D5502" s="576" t="s">
        <v>206</v>
      </c>
      <c r="E5502" s="577" t="s">
        <v>12911</v>
      </c>
      <c r="F5502" s="576" t="s">
        <v>15660</v>
      </c>
      <c r="G5502" s="578" t="s">
        <v>15661</v>
      </c>
    </row>
    <row r="5503">
      <c r="B5503" s="575" t="s">
        <v>1264</v>
      </c>
      <c r="C5503" s="131">
        <v>4.0</v>
      </c>
      <c r="D5503" s="576" t="s">
        <v>15662</v>
      </c>
      <c r="E5503" s="577" t="s">
        <v>15663</v>
      </c>
      <c r="F5503" s="576" t="s">
        <v>15664</v>
      </c>
      <c r="G5503" s="578" t="s">
        <v>15661</v>
      </c>
    </row>
    <row r="5504">
      <c r="B5504" s="569" t="s">
        <v>2798</v>
      </c>
      <c r="C5504" s="38">
        <v>2.0</v>
      </c>
      <c r="D5504" s="42" t="s">
        <v>6913</v>
      </c>
      <c r="E5504" s="42" t="s">
        <v>4709</v>
      </c>
      <c r="F5504" s="42" t="s">
        <v>15483</v>
      </c>
      <c r="G5504" s="10"/>
    </row>
    <row r="5505">
      <c r="B5505" s="569" t="s">
        <v>2276</v>
      </c>
      <c r="C5505" s="38">
        <v>2.0</v>
      </c>
      <c r="D5505" s="117" t="s">
        <v>5608</v>
      </c>
      <c r="E5505" s="39" t="s">
        <v>190</v>
      </c>
      <c r="F5505" s="117" t="s">
        <v>15665</v>
      </c>
      <c r="G5505" s="10"/>
    </row>
    <row r="5506">
      <c r="B5506" s="569" t="s">
        <v>978</v>
      </c>
      <c r="C5506" s="38">
        <v>2.0</v>
      </c>
      <c r="D5506" s="117" t="s">
        <v>5608</v>
      </c>
      <c r="E5506" s="39" t="s">
        <v>190</v>
      </c>
      <c r="F5506" s="117" t="s">
        <v>15665</v>
      </c>
      <c r="G5506" s="10"/>
    </row>
    <row r="5507">
      <c r="B5507" s="569" t="s">
        <v>22</v>
      </c>
      <c r="C5507" s="38">
        <v>4.0</v>
      </c>
      <c r="D5507" s="117" t="s">
        <v>289</v>
      </c>
      <c r="E5507" s="38" t="s">
        <v>15666</v>
      </c>
      <c r="F5507" s="117" t="s">
        <v>15314</v>
      </c>
      <c r="G5507" s="10"/>
    </row>
    <row r="5508">
      <c r="B5508" s="70" t="s">
        <v>7159</v>
      </c>
      <c r="C5508" s="5">
        <v>4.0</v>
      </c>
      <c r="D5508" s="579" t="s">
        <v>1305</v>
      </c>
      <c r="E5508" s="9" t="s">
        <v>514</v>
      </c>
      <c r="F5508" s="579" t="s">
        <v>15667</v>
      </c>
      <c r="G5508" s="10" t="s">
        <v>15668</v>
      </c>
    </row>
    <row r="5509">
      <c r="B5509" s="4"/>
      <c r="C5509" s="4"/>
      <c r="E5509" s="4" t="s">
        <v>514</v>
      </c>
      <c r="F5509" s="1" t="s">
        <v>15669</v>
      </c>
      <c r="G5509" s="10"/>
    </row>
    <row r="5510">
      <c r="A5510" s="44"/>
      <c r="B5510" s="569" t="s">
        <v>4552</v>
      </c>
      <c r="C5510" s="38">
        <v>6.0</v>
      </c>
      <c r="D5510" s="117" t="s">
        <v>15670</v>
      </c>
      <c r="E5510" s="42" t="s">
        <v>7270</v>
      </c>
      <c r="F5510" s="117">
        <v>78.5</v>
      </c>
      <c r="G5510" s="42" t="s">
        <v>15671</v>
      </c>
    </row>
    <row r="5511">
      <c r="A5511" s="44"/>
      <c r="B5511" s="569" t="s">
        <v>4126</v>
      </c>
      <c r="C5511" s="38">
        <v>1.0</v>
      </c>
      <c r="D5511" s="117" t="s">
        <v>11228</v>
      </c>
      <c r="E5511" s="42" t="s">
        <v>7270</v>
      </c>
      <c r="F5511" s="117" t="s">
        <v>11259</v>
      </c>
      <c r="G5511" s="42"/>
    </row>
    <row r="5512">
      <c r="B5512" s="42" t="s">
        <v>15672</v>
      </c>
      <c r="C5512" s="38"/>
      <c r="D5512" s="38" t="s">
        <v>15673</v>
      </c>
      <c r="E5512" s="42" t="s">
        <v>1940</v>
      </c>
      <c r="F5512" s="42" t="s">
        <v>15674</v>
      </c>
      <c r="G5512" s="10"/>
    </row>
    <row r="5513">
      <c r="B5513" s="569"/>
      <c r="C5513" s="47"/>
      <c r="D5513" s="42" t="s">
        <v>15675</v>
      </c>
      <c r="E5513" s="42" t="s">
        <v>1940</v>
      </c>
      <c r="F5513" s="42"/>
      <c r="G5513" s="10"/>
    </row>
    <row r="5514">
      <c r="B5514" s="47" t="s">
        <v>15676</v>
      </c>
      <c r="C5514" s="47" t="s">
        <v>15677</v>
      </c>
      <c r="D5514" s="117" t="s">
        <v>15678</v>
      </c>
      <c r="E5514" s="42" t="s">
        <v>1940</v>
      </c>
      <c r="F5514" s="117"/>
      <c r="G5514" s="42" t="s">
        <v>15439</v>
      </c>
    </row>
    <row r="5515">
      <c r="B5515" s="569"/>
      <c r="C5515" s="47"/>
      <c r="D5515" s="44"/>
      <c r="E5515" s="42" t="s">
        <v>1940</v>
      </c>
      <c r="F5515" s="117" t="s">
        <v>15679</v>
      </c>
      <c r="G5515" s="42" t="s">
        <v>15439</v>
      </c>
    </row>
    <row r="5516">
      <c r="B5516" s="44"/>
      <c r="C5516" s="47"/>
      <c r="D5516" s="304" t="s">
        <v>15680</v>
      </c>
      <c r="E5516" s="42" t="s">
        <v>15681</v>
      </c>
      <c r="F5516" s="38" t="s">
        <v>15682</v>
      </c>
      <c r="G5516" s="10"/>
    </row>
    <row r="5517">
      <c r="B5517" s="304"/>
      <c r="C5517" s="580" t="s">
        <v>15683</v>
      </c>
      <c r="D5517" s="581" t="s">
        <v>15684</v>
      </c>
      <c r="E5517" s="42" t="s">
        <v>15681</v>
      </c>
      <c r="F5517" s="42" t="s">
        <v>15685</v>
      </c>
    </row>
    <row r="5518">
      <c r="B5518" s="569" t="s">
        <v>205</v>
      </c>
      <c r="C5518" s="38">
        <v>4.0</v>
      </c>
      <c r="D5518" s="117" t="s">
        <v>294</v>
      </c>
      <c r="E5518" s="42" t="s">
        <v>15686</v>
      </c>
      <c r="F5518" s="117" t="s">
        <v>15456</v>
      </c>
      <c r="G5518" s="10"/>
    </row>
    <row r="5519">
      <c r="B5519" s="569" t="s">
        <v>25</v>
      </c>
      <c r="C5519" s="38">
        <v>2.0</v>
      </c>
      <c r="D5519" s="117" t="s">
        <v>9295</v>
      </c>
      <c r="E5519" s="42" t="s">
        <v>2026</v>
      </c>
      <c r="F5519" s="117"/>
      <c r="G5519" s="10"/>
    </row>
    <row r="5520">
      <c r="B5520" s="569" t="s">
        <v>25</v>
      </c>
      <c r="C5520" s="38">
        <v>4.0</v>
      </c>
      <c r="D5520" s="117" t="s">
        <v>9295</v>
      </c>
      <c r="E5520" s="38" t="s">
        <v>11177</v>
      </c>
      <c r="F5520" s="117" t="s">
        <v>15687</v>
      </c>
      <c r="G5520" s="10"/>
    </row>
    <row r="5521">
      <c r="B5521" s="569" t="s">
        <v>205</v>
      </c>
      <c r="C5521" s="38">
        <v>4.0</v>
      </c>
      <c r="D5521" s="117" t="s">
        <v>15688</v>
      </c>
      <c r="E5521" s="42" t="s">
        <v>4478</v>
      </c>
      <c r="F5521" s="117" t="s">
        <v>15689</v>
      </c>
      <c r="G5521" s="10"/>
    </row>
    <row r="5522">
      <c r="B5522" s="569"/>
      <c r="C5522" s="47"/>
      <c r="D5522" s="117"/>
      <c r="E5522" s="42" t="s">
        <v>4817</v>
      </c>
      <c r="F5522" s="117" t="s">
        <v>15690</v>
      </c>
      <c r="G5522" s="42" t="s">
        <v>15691</v>
      </c>
    </row>
    <row r="5523">
      <c r="B5523" s="569" t="s">
        <v>1432</v>
      </c>
      <c r="C5523" s="38">
        <v>4.0</v>
      </c>
      <c r="D5523" s="42" t="s">
        <v>206</v>
      </c>
      <c r="E5523" s="42" t="s">
        <v>2588</v>
      </c>
      <c r="F5523" s="42" t="s">
        <v>4211</v>
      </c>
      <c r="G5523" s="42" t="s">
        <v>15692</v>
      </c>
    </row>
    <row r="5524">
      <c r="B5524" s="569" t="s">
        <v>430</v>
      </c>
      <c r="C5524" s="38">
        <v>2.0</v>
      </c>
      <c r="D5524" s="42" t="s">
        <v>15693</v>
      </c>
      <c r="E5524" s="42" t="s">
        <v>15694</v>
      </c>
      <c r="F5524" s="42" t="s">
        <v>175</v>
      </c>
      <c r="G5524" s="42" t="s">
        <v>15692</v>
      </c>
    </row>
    <row r="5525">
      <c r="B5525" s="569"/>
      <c r="C5525" s="38"/>
      <c r="D5525" s="42"/>
      <c r="E5525" s="42" t="s">
        <v>2658</v>
      </c>
      <c r="F5525" s="304" t="s">
        <v>15695</v>
      </c>
      <c r="G5525" s="42" t="s">
        <v>15692</v>
      </c>
    </row>
    <row r="5526">
      <c r="B5526" s="47" t="s">
        <v>1513</v>
      </c>
      <c r="C5526" s="47">
        <v>4.0</v>
      </c>
      <c r="D5526" s="47" t="s">
        <v>15654</v>
      </c>
      <c r="E5526" s="47" t="s">
        <v>15696</v>
      </c>
      <c r="F5526" s="47" t="s">
        <v>15697</v>
      </c>
      <c r="G5526" s="10"/>
    </row>
    <row r="5527">
      <c r="B5527" s="569" t="s">
        <v>28</v>
      </c>
      <c r="C5527" s="38">
        <v>4.0</v>
      </c>
      <c r="D5527" s="117" t="s">
        <v>8045</v>
      </c>
      <c r="E5527" s="42" t="s">
        <v>15698</v>
      </c>
      <c r="F5527" s="117" t="s">
        <v>15699</v>
      </c>
      <c r="G5527" s="10"/>
    </row>
    <row r="5528">
      <c r="B5528" s="569" t="s">
        <v>2365</v>
      </c>
      <c r="C5528" s="38">
        <v>4.0</v>
      </c>
      <c r="D5528" s="117" t="s">
        <v>10680</v>
      </c>
      <c r="E5528" s="42" t="s">
        <v>15700</v>
      </c>
      <c r="F5528" s="117" t="s">
        <v>15701</v>
      </c>
      <c r="G5528" s="10"/>
    </row>
    <row r="5529">
      <c r="B5529" s="569" t="s">
        <v>58</v>
      </c>
      <c r="C5529" s="38">
        <v>4.0</v>
      </c>
      <c r="D5529" s="117" t="s">
        <v>2097</v>
      </c>
      <c r="E5529" s="42" t="s">
        <v>15702</v>
      </c>
      <c r="F5529" s="117" t="s">
        <v>15703</v>
      </c>
      <c r="G5529" s="10"/>
    </row>
    <row r="5530">
      <c r="B5530" s="569"/>
      <c r="C5530" s="47"/>
      <c r="D5530" s="117"/>
      <c r="E5530" s="42" t="s">
        <v>1017</v>
      </c>
      <c r="F5530" s="117" t="s">
        <v>15704</v>
      </c>
      <c r="G5530" s="42" t="s">
        <v>15365</v>
      </c>
    </row>
    <row r="5531">
      <c r="B5531" s="569"/>
      <c r="C5531" s="47"/>
      <c r="D5531" s="117"/>
      <c r="E5531" s="42" t="s">
        <v>1017</v>
      </c>
      <c r="F5531" s="117" t="s">
        <v>15705</v>
      </c>
      <c r="G5531" s="42" t="s">
        <v>15365</v>
      </c>
    </row>
    <row r="5532">
      <c r="B5532" s="569"/>
      <c r="C5532" s="47"/>
      <c r="D5532" s="117"/>
      <c r="E5532" s="42" t="s">
        <v>1814</v>
      </c>
      <c r="F5532" s="117" t="s">
        <v>15706</v>
      </c>
      <c r="G5532" s="42" t="s">
        <v>15707</v>
      </c>
    </row>
    <row r="5533">
      <c r="A5533" s="44"/>
      <c r="B5533" s="569" t="s">
        <v>972</v>
      </c>
      <c r="C5533" s="38">
        <v>2.0</v>
      </c>
      <c r="D5533" s="117" t="s">
        <v>15708</v>
      </c>
      <c r="E5533" s="42" t="s">
        <v>15709</v>
      </c>
      <c r="F5533" s="42" t="s">
        <v>15710</v>
      </c>
      <c r="G5533" s="42" t="s">
        <v>15711</v>
      </c>
      <c r="H5533" s="38" t="s">
        <v>15712</v>
      </c>
    </row>
    <row r="5534">
      <c r="B5534" s="569" t="s">
        <v>1761</v>
      </c>
      <c r="C5534" s="38">
        <v>4.0</v>
      </c>
      <c r="D5534" s="117" t="s">
        <v>15713</v>
      </c>
      <c r="E5534" s="39" t="s">
        <v>15714</v>
      </c>
      <c r="F5534" s="117" t="s">
        <v>15715</v>
      </c>
      <c r="G5534" s="10"/>
    </row>
    <row r="5535">
      <c r="B5535" s="569" t="s">
        <v>12925</v>
      </c>
      <c r="C5535" s="38">
        <v>4.0</v>
      </c>
      <c r="D5535" s="117" t="s">
        <v>1359</v>
      </c>
      <c r="E5535" s="91" t="s">
        <v>15716</v>
      </c>
      <c r="F5535" s="117" t="s">
        <v>15717</v>
      </c>
      <c r="G5535" s="42" t="s">
        <v>15718</v>
      </c>
    </row>
    <row r="5536">
      <c r="B5536" s="569" t="s">
        <v>25</v>
      </c>
      <c r="C5536" s="38">
        <v>4.0</v>
      </c>
      <c r="D5536" s="117" t="s">
        <v>289</v>
      </c>
      <c r="E5536" s="38" t="s">
        <v>14382</v>
      </c>
      <c r="F5536" s="117" t="s">
        <v>175</v>
      </c>
      <c r="G5536" s="42" t="s">
        <v>15365</v>
      </c>
    </row>
    <row r="5537">
      <c r="B5537" s="569" t="s">
        <v>205</v>
      </c>
      <c r="C5537" s="38">
        <v>1.0</v>
      </c>
      <c r="D5537" s="42" t="s">
        <v>289</v>
      </c>
      <c r="E5537" s="42" t="s">
        <v>7330</v>
      </c>
      <c r="F5537" s="42" t="s">
        <v>208</v>
      </c>
      <c r="G5537" s="10"/>
    </row>
    <row r="5538">
      <c r="B5538" s="569" t="s">
        <v>205</v>
      </c>
      <c r="C5538" s="38">
        <v>1.0</v>
      </c>
      <c r="D5538" s="42" t="s">
        <v>289</v>
      </c>
      <c r="E5538" s="42" t="s">
        <v>7330</v>
      </c>
      <c r="F5538" s="42" t="s">
        <v>7215</v>
      </c>
      <c r="G5538" s="10"/>
    </row>
    <row r="5539">
      <c r="B5539" s="47" t="s">
        <v>103</v>
      </c>
      <c r="C5539" s="47">
        <v>1.0</v>
      </c>
      <c r="D5539" s="47" t="s">
        <v>14043</v>
      </c>
      <c r="E5539" s="38" t="s">
        <v>11581</v>
      </c>
      <c r="F5539" s="38" t="s">
        <v>15719</v>
      </c>
      <c r="G5539" s="10"/>
    </row>
    <row r="5540">
      <c r="B5540" s="569" t="s">
        <v>219</v>
      </c>
      <c r="C5540" s="38">
        <v>4.0</v>
      </c>
      <c r="D5540" s="117" t="s">
        <v>15720</v>
      </c>
      <c r="E5540" s="42" t="s">
        <v>1516</v>
      </c>
      <c r="F5540" s="117" t="s">
        <v>15721</v>
      </c>
      <c r="G5540" s="10"/>
    </row>
    <row r="5541">
      <c r="B5541" s="569"/>
      <c r="C5541" s="47"/>
      <c r="D5541" s="526" t="s">
        <v>15722</v>
      </c>
      <c r="E5541" s="42" t="s">
        <v>15723</v>
      </c>
      <c r="F5541" s="42" t="s">
        <v>15280</v>
      </c>
      <c r="G5541" s="10"/>
    </row>
    <row r="5542">
      <c r="B5542" s="569"/>
      <c r="C5542" s="47"/>
      <c r="D5542" s="526" t="s">
        <v>15724</v>
      </c>
      <c r="E5542" s="42" t="s">
        <v>15723</v>
      </c>
      <c r="F5542" s="42" t="s">
        <v>15280</v>
      </c>
      <c r="G5542" s="10"/>
    </row>
    <row r="5543">
      <c r="B5543" s="569" t="s">
        <v>3822</v>
      </c>
      <c r="C5543" s="38">
        <v>4.0</v>
      </c>
      <c r="D5543" s="117" t="s">
        <v>134</v>
      </c>
      <c r="E5543" s="39" t="s">
        <v>15725</v>
      </c>
      <c r="F5543" s="38" t="s">
        <v>15726</v>
      </c>
      <c r="G5543" s="42" t="s">
        <v>15727</v>
      </c>
    </row>
    <row r="5544">
      <c r="B5544" s="569"/>
      <c r="C5544" s="38">
        <v>4.0</v>
      </c>
      <c r="D5544" s="59" t="s">
        <v>15728</v>
      </c>
      <c r="E5544" s="39" t="s">
        <v>15725</v>
      </c>
      <c r="F5544" s="117" t="s">
        <v>15729</v>
      </c>
      <c r="G5544" s="42" t="s">
        <v>15727</v>
      </c>
    </row>
    <row r="5545">
      <c r="B5545" s="569"/>
      <c r="C5545" s="47"/>
      <c r="D5545" s="117"/>
      <c r="E5545" s="39" t="s">
        <v>15725</v>
      </c>
      <c r="F5545" s="117" t="s">
        <v>15730</v>
      </c>
      <c r="G5545" s="42" t="s">
        <v>15727</v>
      </c>
    </row>
    <row r="5546">
      <c r="B5546" s="569"/>
      <c r="C5546" s="47"/>
      <c r="D5546" s="117"/>
      <c r="E5546" s="39" t="s">
        <v>15725</v>
      </c>
      <c r="F5546" s="154" t="s">
        <v>15731</v>
      </c>
      <c r="G5546" s="42" t="s">
        <v>15732</v>
      </c>
    </row>
    <row r="5547">
      <c r="B5547" s="569"/>
      <c r="C5547" s="47"/>
      <c r="D5547" s="117"/>
      <c r="E5547" s="39" t="s">
        <v>15725</v>
      </c>
      <c r="F5547" s="154" t="s">
        <v>15733</v>
      </c>
      <c r="G5547" s="42" t="s">
        <v>15732</v>
      </c>
    </row>
    <row r="5548">
      <c r="B5548" s="569" t="s">
        <v>1271</v>
      </c>
      <c r="C5548" s="38">
        <v>4.0</v>
      </c>
      <c r="D5548" s="117" t="s">
        <v>15734</v>
      </c>
      <c r="E5548" s="42" t="s">
        <v>6781</v>
      </c>
      <c r="F5548" s="117" t="s">
        <v>2484</v>
      </c>
      <c r="G5548" s="10"/>
    </row>
    <row r="5549">
      <c r="B5549" s="569" t="s">
        <v>394</v>
      </c>
      <c r="C5549" s="38">
        <v>4.0</v>
      </c>
      <c r="D5549" s="117" t="s">
        <v>882</v>
      </c>
      <c r="E5549" s="39" t="s">
        <v>15735</v>
      </c>
      <c r="F5549" s="117" t="s">
        <v>15736</v>
      </c>
      <c r="G5549" s="42" t="s">
        <v>15737</v>
      </c>
    </row>
    <row r="5550">
      <c r="B5550" s="569" t="s">
        <v>188</v>
      </c>
      <c r="C5550" s="38">
        <v>2.0</v>
      </c>
      <c r="D5550" s="117" t="s">
        <v>1094</v>
      </c>
      <c r="E5550" s="42" t="s">
        <v>7953</v>
      </c>
      <c r="F5550" s="117" t="s">
        <v>15738</v>
      </c>
      <c r="G5550" s="42" t="s">
        <v>15739</v>
      </c>
    </row>
    <row r="5551">
      <c r="B5551" s="569" t="s">
        <v>107</v>
      </c>
      <c r="C5551" s="38">
        <v>2.0</v>
      </c>
      <c r="D5551" s="117" t="s">
        <v>1094</v>
      </c>
      <c r="E5551" s="42" t="s">
        <v>7953</v>
      </c>
      <c r="F5551" s="117"/>
      <c r="G5551" s="42" t="s">
        <v>15739</v>
      </c>
    </row>
    <row r="5552">
      <c r="B5552" s="569"/>
      <c r="C5552" s="47"/>
      <c r="D5552" s="117" t="s">
        <v>15740</v>
      </c>
      <c r="E5552" s="42" t="s">
        <v>974</v>
      </c>
      <c r="F5552" s="117" t="s">
        <v>15741</v>
      </c>
      <c r="G5552" s="42" t="s">
        <v>144</v>
      </c>
    </row>
    <row r="5553">
      <c r="B5553" s="569"/>
      <c r="C5553" s="47"/>
      <c r="D5553" s="117"/>
      <c r="E5553" s="42" t="s">
        <v>974</v>
      </c>
      <c r="F5553" s="117" t="s">
        <v>15742</v>
      </c>
      <c r="G5553" s="42" t="s">
        <v>144</v>
      </c>
    </row>
    <row r="5554">
      <c r="B5554" s="582"/>
      <c r="C5554" s="1" t="s">
        <v>15743</v>
      </c>
      <c r="D5554" s="4" t="s">
        <v>15443</v>
      </c>
      <c r="E5554" s="4" t="s">
        <v>371</v>
      </c>
      <c r="F5554" s="10" t="s">
        <v>15744</v>
      </c>
      <c r="G5554" s="10" t="s">
        <v>144</v>
      </c>
    </row>
    <row r="5555">
      <c r="B5555" s="569" t="s">
        <v>28</v>
      </c>
      <c r="C5555" s="38">
        <v>4.0</v>
      </c>
      <c r="D5555" s="117" t="s">
        <v>289</v>
      </c>
      <c r="E5555" s="42" t="s">
        <v>15745</v>
      </c>
      <c r="F5555" s="117" t="s">
        <v>15746</v>
      </c>
      <c r="G5555" s="10"/>
    </row>
    <row r="5556">
      <c r="B5556" s="569" t="s">
        <v>147</v>
      </c>
      <c r="C5556" s="38">
        <v>2.0</v>
      </c>
      <c r="D5556" s="117" t="s">
        <v>402</v>
      </c>
      <c r="E5556" s="42" t="s">
        <v>5705</v>
      </c>
      <c r="F5556" s="117" t="s">
        <v>15747</v>
      </c>
      <c r="G5556" s="10"/>
    </row>
    <row r="5557">
      <c r="A5557" s="44"/>
      <c r="B5557" s="569" t="s">
        <v>15748</v>
      </c>
      <c r="C5557" s="38" t="s">
        <v>15749</v>
      </c>
      <c r="D5557" s="117" t="s">
        <v>15750</v>
      </c>
      <c r="E5557" s="42" t="s">
        <v>1141</v>
      </c>
      <c r="F5557" s="117" t="s">
        <v>15751</v>
      </c>
      <c r="G5557" s="42" t="s">
        <v>15752</v>
      </c>
    </row>
    <row r="5558">
      <c r="B5558" s="38" t="s">
        <v>55</v>
      </c>
      <c r="C5558" s="38">
        <v>4.0</v>
      </c>
      <c r="D5558" s="42" t="s">
        <v>15753</v>
      </c>
      <c r="E5558" s="47" t="s">
        <v>1401</v>
      </c>
      <c r="F5558" s="42" t="s">
        <v>15754</v>
      </c>
      <c r="G5558" s="10"/>
    </row>
    <row r="5559">
      <c r="B5559" s="1" t="s">
        <v>38</v>
      </c>
      <c r="C5559" s="1">
        <v>2.0</v>
      </c>
      <c r="D5559" s="152" t="s">
        <v>15654</v>
      </c>
      <c r="E5559" s="10" t="s">
        <v>974</v>
      </c>
      <c r="F5559" s="152" t="s">
        <v>15755</v>
      </c>
      <c r="G5559" s="10" t="s">
        <v>144</v>
      </c>
    </row>
    <row r="5560">
      <c r="B5560" s="1" t="s">
        <v>3820</v>
      </c>
      <c r="C5560" s="1">
        <v>2.0</v>
      </c>
      <c r="D5560" s="152" t="s">
        <v>15654</v>
      </c>
      <c r="E5560" s="10" t="s">
        <v>974</v>
      </c>
      <c r="F5560" s="152" t="s">
        <v>15744</v>
      </c>
      <c r="G5560" s="10" t="s">
        <v>144</v>
      </c>
    </row>
    <row r="5561">
      <c r="B5561" s="44"/>
      <c r="C5561" s="47"/>
      <c r="D5561" s="117"/>
      <c r="E5561" s="42" t="s">
        <v>974</v>
      </c>
      <c r="F5561" s="38" t="s">
        <v>15756</v>
      </c>
      <c r="G5561" s="42" t="s">
        <v>144</v>
      </c>
    </row>
    <row r="5562">
      <c r="B5562" s="38" t="s">
        <v>25</v>
      </c>
      <c r="C5562" s="38">
        <v>2.0</v>
      </c>
      <c r="D5562" s="117" t="s">
        <v>289</v>
      </c>
      <c r="E5562" s="38" t="s">
        <v>15757</v>
      </c>
      <c r="F5562" s="117" t="s">
        <v>15758</v>
      </c>
      <c r="G5562" s="42" t="s">
        <v>15759</v>
      </c>
    </row>
    <row r="5563">
      <c r="B5563" s="38"/>
      <c r="C5563" s="38"/>
      <c r="D5563" s="117"/>
      <c r="E5563" s="371" t="s">
        <v>15760</v>
      </c>
      <c r="F5563" s="117" t="s">
        <v>15761</v>
      </c>
      <c r="G5563" s="42" t="s">
        <v>15759</v>
      </c>
    </row>
    <row r="5564">
      <c r="B5564" s="38"/>
      <c r="C5564" s="38"/>
      <c r="D5564" s="117"/>
      <c r="E5564" s="583" t="s">
        <v>14943</v>
      </c>
      <c r="F5564" s="304" t="s">
        <v>15762</v>
      </c>
      <c r="G5564" s="42" t="s">
        <v>15759</v>
      </c>
    </row>
    <row r="5565">
      <c r="B5565" s="38"/>
      <c r="C5565" s="38"/>
      <c r="D5565" s="117"/>
      <c r="E5565" s="371" t="s">
        <v>15760</v>
      </c>
      <c r="F5565" s="304" t="s">
        <v>15763</v>
      </c>
      <c r="G5565" s="42" t="s">
        <v>15759</v>
      </c>
    </row>
    <row r="5566">
      <c r="B5566" s="38" t="s">
        <v>439</v>
      </c>
      <c r="C5566" s="38">
        <v>1.0</v>
      </c>
      <c r="D5566" s="117" t="s">
        <v>8973</v>
      </c>
      <c r="E5566" s="42" t="s">
        <v>15764</v>
      </c>
      <c r="F5566" s="117" t="s">
        <v>7178</v>
      </c>
      <c r="G5566" s="10"/>
    </row>
    <row r="5567">
      <c r="B5567" s="38" t="s">
        <v>495</v>
      </c>
      <c r="C5567" s="38">
        <v>4.0</v>
      </c>
      <c r="D5567" s="117" t="s">
        <v>134</v>
      </c>
      <c r="E5567" s="42" t="s">
        <v>525</v>
      </c>
      <c r="F5567" s="117" t="s">
        <v>15765</v>
      </c>
      <c r="G5567" s="42" t="s">
        <v>15766</v>
      </c>
    </row>
    <row r="5568">
      <c r="B5568" s="38" t="s">
        <v>15767</v>
      </c>
      <c r="C5568" s="38" t="s">
        <v>15768</v>
      </c>
      <c r="D5568" s="117"/>
      <c r="E5568" s="42" t="s">
        <v>525</v>
      </c>
      <c r="F5568" s="117" t="s">
        <v>15769</v>
      </c>
      <c r="G5568" s="38" t="s">
        <v>15766</v>
      </c>
    </row>
    <row r="5569">
      <c r="B5569" s="38"/>
      <c r="C5569" s="44"/>
      <c r="D5569" s="117" t="s">
        <v>15770</v>
      </c>
      <c r="E5569" s="42" t="s">
        <v>525</v>
      </c>
      <c r="F5569" s="44"/>
      <c r="G5569" s="38" t="s">
        <v>15766</v>
      </c>
      <c r="H5569" s="1"/>
    </row>
    <row r="5570">
      <c r="B5570" s="44"/>
      <c r="C5570" s="44"/>
      <c r="D5570" s="117" t="s">
        <v>15771</v>
      </c>
      <c r="E5570" s="42" t="s">
        <v>525</v>
      </c>
      <c r="F5570" s="117" t="s">
        <v>15772</v>
      </c>
      <c r="G5570" s="42"/>
    </row>
    <row r="5571">
      <c r="B5571" s="44"/>
      <c r="C5571" s="59" t="s">
        <v>15773</v>
      </c>
      <c r="D5571" s="59" t="s">
        <v>15774</v>
      </c>
      <c r="E5571" s="42" t="s">
        <v>525</v>
      </c>
      <c r="F5571" s="117"/>
      <c r="G5571" s="38" t="s">
        <v>15766</v>
      </c>
    </row>
    <row r="5572">
      <c r="B5572" s="584"/>
      <c r="C5572" s="59"/>
      <c r="D5572" s="59"/>
      <c r="E5572" s="42" t="s">
        <v>525</v>
      </c>
      <c r="F5572" s="117" t="s">
        <v>15775</v>
      </c>
      <c r="G5572" s="38" t="s">
        <v>15766</v>
      </c>
    </row>
    <row r="5573">
      <c r="B5573" s="584"/>
      <c r="C5573" s="59"/>
      <c r="D5573" s="59"/>
      <c r="E5573" s="42" t="s">
        <v>525</v>
      </c>
      <c r="F5573" s="117" t="s">
        <v>15776</v>
      </c>
      <c r="G5573" s="42"/>
      <c r="H5573" s="1"/>
    </row>
    <row r="5574">
      <c r="B5574" s="584"/>
      <c r="C5574" s="59"/>
      <c r="D5574" s="59"/>
      <c r="E5574" s="42" t="s">
        <v>525</v>
      </c>
      <c r="F5574" s="117" t="s">
        <v>15777</v>
      </c>
      <c r="G5574" s="42"/>
      <c r="H5574" s="1"/>
    </row>
    <row r="5575">
      <c r="B5575" s="584"/>
      <c r="C5575" s="59"/>
      <c r="D5575" s="59"/>
      <c r="E5575" s="42" t="s">
        <v>525</v>
      </c>
      <c r="F5575" s="117" t="s">
        <v>15778</v>
      </c>
      <c r="G5575" s="42"/>
      <c r="H5575" s="1"/>
    </row>
    <row r="5576">
      <c r="B5576" s="38" t="s">
        <v>31</v>
      </c>
      <c r="C5576" s="38">
        <v>4.0</v>
      </c>
      <c r="D5576" s="117" t="s">
        <v>294</v>
      </c>
      <c r="E5576" s="42" t="s">
        <v>15779</v>
      </c>
      <c r="F5576" s="117" t="s">
        <v>15780</v>
      </c>
      <c r="G5576" s="10"/>
    </row>
    <row r="5577">
      <c r="B5577" s="38" t="s">
        <v>266</v>
      </c>
      <c r="C5577" s="38">
        <v>4.0</v>
      </c>
      <c r="D5577" s="42" t="s">
        <v>15781</v>
      </c>
      <c r="E5577" s="42" t="s">
        <v>15782</v>
      </c>
      <c r="F5577" s="42" t="s">
        <v>15783</v>
      </c>
      <c r="G5577" s="10"/>
    </row>
    <row r="5578">
      <c r="B5578" s="38" t="s">
        <v>1454</v>
      </c>
      <c r="C5578" s="38">
        <v>4.0</v>
      </c>
      <c r="D5578" s="42" t="s">
        <v>15784</v>
      </c>
      <c r="E5578" s="91" t="s">
        <v>15785</v>
      </c>
      <c r="F5578" s="42" t="s">
        <v>15786</v>
      </c>
      <c r="G5578" s="10"/>
    </row>
    <row r="5579">
      <c r="B5579" s="38" t="s">
        <v>1513</v>
      </c>
      <c r="C5579" s="38">
        <v>4.0</v>
      </c>
      <c r="D5579" s="42" t="s">
        <v>340</v>
      </c>
      <c r="E5579" s="39" t="s">
        <v>15787</v>
      </c>
      <c r="F5579" s="42" t="s">
        <v>15788</v>
      </c>
      <c r="G5579" s="10"/>
    </row>
    <row r="5580">
      <c r="B5580" s="38" t="s">
        <v>1096</v>
      </c>
      <c r="C5580" s="38">
        <v>2.0</v>
      </c>
      <c r="D5580" s="42" t="s">
        <v>719</v>
      </c>
      <c r="E5580" s="91" t="s">
        <v>15789</v>
      </c>
      <c r="F5580" s="42" t="s">
        <v>15790</v>
      </c>
      <c r="G5580" s="10"/>
    </row>
    <row r="5581">
      <c r="B5581" s="38" t="s">
        <v>1159</v>
      </c>
      <c r="C5581" s="38">
        <v>2.0</v>
      </c>
      <c r="D5581" s="42" t="s">
        <v>719</v>
      </c>
      <c r="E5581" s="91" t="s">
        <v>15789</v>
      </c>
      <c r="F5581" s="42" t="s">
        <v>15790</v>
      </c>
      <c r="G5581" s="10"/>
    </row>
    <row r="5582">
      <c r="B5582" s="38" t="s">
        <v>2728</v>
      </c>
      <c r="C5582" s="38">
        <v>4.0</v>
      </c>
      <c r="D5582" s="42" t="s">
        <v>9295</v>
      </c>
      <c r="E5582" s="112" t="s">
        <v>15791</v>
      </c>
      <c r="F5582" s="42" t="s">
        <v>15536</v>
      </c>
      <c r="G5582" s="10"/>
    </row>
    <row r="5583">
      <c r="B5583" s="44"/>
      <c r="C5583" s="47"/>
      <c r="D5583" s="117"/>
      <c r="E5583" s="353" t="s">
        <v>11151</v>
      </c>
      <c r="F5583" s="117" t="s">
        <v>15792</v>
      </c>
      <c r="G5583" s="42" t="s">
        <v>15536</v>
      </c>
    </row>
    <row r="5584">
      <c r="B5584" s="38" t="s">
        <v>128</v>
      </c>
      <c r="C5584" s="38">
        <v>4.0</v>
      </c>
      <c r="D5584" s="117" t="s">
        <v>15793</v>
      </c>
      <c r="E5584" s="39" t="s">
        <v>15794</v>
      </c>
      <c r="F5584" s="38" t="s">
        <v>15795</v>
      </c>
      <c r="G5584" s="10"/>
    </row>
    <row r="5585">
      <c r="B5585" s="44"/>
      <c r="C5585" s="47"/>
      <c r="D5585" s="304" t="s">
        <v>15796</v>
      </c>
      <c r="E5585" s="583" t="s">
        <v>15797</v>
      </c>
      <c r="F5585" s="117" t="s">
        <v>15798</v>
      </c>
      <c r="G5585" s="42" t="s">
        <v>15799</v>
      </c>
    </row>
    <row r="5586">
      <c r="B5586" s="38" t="s">
        <v>77</v>
      </c>
      <c r="C5586" s="38">
        <v>4.0</v>
      </c>
      <c r="D5586" s="117" t="s">
        <v>289</v>
      </c>
      <c r="E5586" s="39" t="s">
        <v>15800</v>
      </c>
      <c r="F5586" s="117" t="s">
        <v>15801</v>
      </c>
      <c r="G5586" s="10"/>
    </row>
    <row r="5587">
      <c r="B5587" s="38" t="s">
        <v>12313</v>
      </c>
      <c r="C5587" s="38">
        <v>1.0</v>
      </c>
      <c r="D5587" s="585" t="s">
        <v>15802</v>
      </c>
      <c r="E5587" s="39" t="s">
        <v>15803</v>
      </c>
      <c r="F5587" s="42" t="s">
        <v>15804</v>
      </c>
      <c r="G5587" s="10"/>
    </row>
    <row r="5588">
      <c r="B5588" s="38" t="s">
        <v>15805</v>
      </c>
      <c r="C5588" s="38">
        <v>1.0</v>
      </c>
      <c r="D5588" s="585" t="s">
        <v>15806</v>
      </c>
      <c r="E5588" s="39" t="s">
        <v>15803</v>
      </c>
      <c r="F5588" s="42" t="s">
        <v>15804</v>
      </c>
      <c r="G5588" s="10"/>
    </row>
    <row r="5589">
      <c r="B5589" s="44"/>
      <c r="C5589" s="38">
        <v>1.0</v>
      </c>
      <c r="D5589" s="42" t="s">
        <v>15807</v>
      </c>
      <c r="E5589" s="39" t="s">
        <v>15803</v>
      </c>
      <c r="F5589" s="42" t="s">
        <v>15804</v>
      </c>
      <c r="G5589" s="10"/>
    </row>
    <row r="5590">
      <c r="B5590" s="44"/>
      <c r="C5590" s="38">
        <v>1.0</v>
      </c>
      <c r="D5590" s="42" t="s">
        <v>15807</v>
      </c>
      <c r="E5590" s="39" t="s">
        <v>15803</v>
      </c>
      <c r="F5590" s="42" t="s">
        <v>15804</v>
      </c>
      <c r="G5590" s="10"/>
    </row>
    <row r="5591">
      <c r="B5591" s="38" t="s">
        <v>899</v>
      </c>
      <c r="C5591" s="47" t="s">
        <v>11481</v>
      </c>
      <c r="D5591" s="586" t="s">
        <v>15808</v>
      </c>
      <c r="E5591" s="42" t="s">
        <v>1294</v>
      </c>
      <c r="F5591" s="42" t="s">
        <v>15809</v>
      </c>
      <c r="G5591" s="10"/>
    </row>
    <row r="5592">
      <c r="B5592" s="44"/>
      <c r="C5592" s="47"/>
      <c r="D5592" s="38" t="s">
        <v>15810</v>
      </c>
      <c r="E5592" s="42" t="s">
        <v>1294</v>
      </c>
      <c r="F5592" s="117"/>
      <c r="G5592" s="42" t="s">
        <v>15548</v>
      </c>
    </row>
    <row r="5593">
      <c r="B5593" s="44"/>
      <c r="C5593" s="44"/>
      <c r="D5593" s="47" t="s">
        <v>11480</v>
      </c>
      <c r="E5593" s="42" t="s">
        <v>1294</v>
      </c>
      <c r="F5593" s="117"/>
      <c r="G5593" s="42" t="s">
        <v>15548</v>
      </c>
    </row>
    <row r="5594">
      <c r="B5594" s="44"/>
      <c r="C5594" s="44"/>
      <c r="D5594" s="117" t="s">
        <v>896</v>
      </c>
      <c r="E5594" s="42" t="s">
        <v>1294</v>
      </c>
      <c r="F5594" s="117"/>
      <c r="G5594" s="42" t="s">
        <v>15548</v>
      </c>
    </row>
    <row r="5595">
      <c r="B5595" s="44"/>
      <c r="C5595" s="38"/>
      <c r="D5595" s="117" t="s">
        <v>15778</v>
      </c>
      <c r="E5595" s="42" t="s">
        <v>1294</v>
      </c>
      <c r="F5595" s="117" t="s">
        <v>15811</v>
      </c>
      <c r="G5595" s="42" t="s">
        <v>15548</v>
      </c>
    </row>
    <row r="5596">
      <c r="B5596" s="38" t="s">
        <v>31</v>
      </c>
      <c r="C5596" s="38">
        <v>4.0</v>
      </c>
      <c r="D5596" s="42" t="s">
        <v>1382</v>
      </c>
      <c r="E5596" s="42" t="s">
        <v>9701</v>
      </c>
      <c r="F5596" s="42" t="s">
        <v>15812</v>
      </c>
      <c r="G5596" s="10"/>
    </row>
    <row r="5597">
      <c r="B5597" s="38" t="s">
        <v>103</v>
      </c>
      <c r="C5597" s="38">
        <v>4.0</v>
      </c>
      <c r="D5597" s="117" t="s">
        <v>15813</v>
      </c>
      <c r="E5597" s="42" t="s">
        <v>7641</v>
      </c>
      <c r="F5597" s="117" t="s">
        <v>15814</v>
      </c>
      <c r="G5597" s="10"/>
    </row>
    <row r="5598">
      <c r="A5598" s="44"/>
      <c r="B5598" s="38" t="s">
        <v>5848</v>
      </c>
      <c r="C5598" s="38">
        <v>2.0</v>
      </c>
      <c r="D5598" s="587" t="s">
        <v>15815</v>
      </c>
      <c r="E5598" s="101" t="s">
        <v>15816</v>
      </c>
      <c r="F5598" s="117" t="s">
        <v>15817</v>
      </c>
      <c r="G5598" s="42" t="s">
        <v>15152</v>
      </c>
    </row>
    <row r="5599">
      <c r="B5599" s="38" t="s">
        <v>15818</v>
      </c>
      <c r="C5599" s="586" t="s">
        <v>15819</v>
      </c>
      <c r="D5599" s="586" t="s">
        <v>15820</v>
      </c>
      <c r="E5599" s="42" t="s">
        <v>13955</v>
      </c>
      <c r="F5599" s="42" t="s">
        <v>15821</v>
      </c>
      <c r="G5599" s="10"/>
    </row>
    <row r="5600">
      <c r="A5600" s="38" t="s">
        <v>15822</v>
      </c>
      <c r="B5600" s="44"/>
      <c r="C5600" s="38" t="s">
        <v>15823</v>
      </c>
      <c r="D5600" s="86" t="s">
        <v>15824</v>
      </c>
      <c r="E5600" s="42" t="s">
        <v>14334</v>
      </c>
      <c r="F5600" s="117" t="s">
        <v>15825</v>
      </c>
      <c r="G5600" s="42" t="s">
        <v>15826</v>
      </c>
    </row>
    <row r="5601">
      <c r="A5601" s="65">
        <v>45420.0</v>
      </c>
      <c r="B5601" s="44"/>
      <c r="C5601" s="47"/>
      <c r="D5601" s="117" t="s">
        <v>15827</v>
      </c>
      <c r="E5601" s="42" t="s">
        <v>14334</v>
      </c>
      <c r="F5601" s="117" t="s">
        <v>15828</v>
      </c>
      <c r="G5601" s="42" t="s">
        <v>15826</v>
      </c>
    </row>
    <row r="5602">
      <c r="B5602" s="38" t="s">
        <v>183</v>
      </c>
      <c r="C5602" s="38">
        <v>4.0</v>
      </c>
      <c r="D5602" s="42" t="s">
        <v>402</v>
      </c>
      <c r="E5602" s="42" t="s">
        <v>15829</v>
      </c>
      <c r="F5602" s="42" t="s">
        <v>15830</v>
      </c>
      <c r="G5602" s="10"/>
    </row>
    <row r="5603">
      <c r="B5603" s="1" t="s">
        <v>718</v>
      </c>
      <c r="C5603" s="1">
        <v>4.0</v>
      </c>
      <c r="D5603" s="152" t="s">
        <v>123</v>
      </c>
      <c r="E5603" s="10" t="s">
        <v>2914</v>
      </c>
      <c r="F5603" s="152" t="s">
        <v>15831</v>
      </c>
      <c r="G5603" s="10"/>
    </row>
    <row r="5604">
      <c r="B5604" s="44"/>
      <c r="C5604" s="38" t="s">
        <v>15832</v>
      </c>
      <c r="D5604" s="38" t="s">
        <v>15833</v>
      </c>
      <c r="E5604" s="38" t="s">
        <v>541</v>
      </c>
      <c r="F5604" s="38" t="s">
        <v>15834</v>
      </c>
    </row>
    <row r="5605">
      <c r="B5605" s="47" t="s">
        <v>439</v>
      </c>
      <c r="C5605" s="47">
        <v>4.0</v>
      </c>
      <c r="D5605" s="47" t="s">
        <v>1820</v>
      </c>
      <c r="E5605" s="47" t="s">
        <v>15835</v>
      </c>
      <c r="F5605" s="38" t="s">
        <v>15836</v>
      </c>
      <c r="G5605" s="10"/>
    </row>
    <row r="5606">
      <c r="B5606" s="38" t="s">
        <v>31</v>
      </c>
      <c r="C5606" s="38">
        <v>4.0</v>
      </c>
      <c r="D5606" s="117" t="s">
        <v>123</v>
      </c>
      <c r="E5606" s="42" t="s">
        <v>1017</v>
      </c>
      <c r="F5606" s="38" t="s">
        <v>175</v>
      </c>
      <c r="G5606" s="42" t="s">
        <v>15809</v>
      </c>
    </row>
    <row r="5607">
      <c r="B5607" s="38"/>
      <c r="C5607" s="38"/>
      <c r="D5607" s="117"/>
      <c r="E5607" s="42" t="s">
        <v>1017</v>
      </c>
      <c r="F5607" s="117" t="s">
        <v>15837</v>
      </c>
      <c r="G5607" s="42" t="s">
        <v>15809</v>
      </c>
    </row>
    <row r="5608">
      <c r="B5608" s="38"/>
      <c r="C5608" s="38"/>
      <c r="D5608" s="117" t="s">
        <v>15838</v>
      </c>
      <c r="E5608" s="42" t="s">
        <v>1017</v>
      </c>
      <c r="F5608" s="117" t="s">
        <v>15839</v>
      </c>
      <c r="G5608" s="42" t="s">
        <v>15809</v>
      </c>
    </row>
    <row r="5609">
      <c r="C5609" s="1" t="s">
        <v>15840</v>
      </c>
      <c r="D5609" s="152" t="s">
        <v>15841</v>
      </c>
      <c r="E5609" s="10" t="s">
        <v>2914</v>
      </c>
      <c r="F5609" s="152"/>
      <c r="G5609" s="10"/>
    </row>
    <row r="5610">
      <c r="B5610" s="38" t="s">
        <v>4552</v>
      </c>
      <c r="C5610" s="38">
        <v>1.0</v>
      </c>
      <c r="D5610" s="117" t="s">
        <v>8967</v>
      </c>
      <c r="E5610" s="47" t="s">
        <v>11012</v>
      </c>
      <c r="F5610" s="117" t="s">
        <v>15842</v>
      </c>
      <c r="G5610" s="42"/>
    </row>
    <row r="5611">
      <c r="B5611" s="38" t="s">
        <v>15843</v>
      </c>
      <c r="C5611" s="38">
        <v>2.0</v>
      </c>
      <c r="D5611" s="117" t="s">
        <v>8967</v>
      </c>
      <c r="E5611" s="47" t="s">
        <v>11012</v>
      </c>
      <c r="F5611" s="117" t="s">
        <v>15844</v>
      </c>
      <c r="G5611" s="42"/>
    </row>
    <row r="5612">
      <c r="B5612" s="38"/>
      <c r="C5612" s="38">
        <v>2.0</v>
      </c>
      <c r="D5612" s="42" t="s">
        <v>15845</v>
      </c>
      <c r="E5612" s="38" t="s">
        <v>15846</v>
      </c>
      <c r="F5612" s="42" t="s">
        <v>2252</v>
      </c>
      <c r="G5612" s="10"/>
    </row>
    <row r="5613">
      <c r="B5613" s="44"/>
      <c r="C5613" s="38">
        <v>4.0</v>
      </c>
      <c r="D5613" s="42" t="s">
        <v>15847</v>
      </c>
      <c r="E5613" s="38" t="s">
        <v>873</v>
      </c>
      <c r="F5613" s="117" t="s">
        <v>15848</v>
      </c>
      <c r="G5613" s="42" t="s">
        <v>15849</v>
      </c>
    </row>
    <row r="5614">
      <c r="B5614" s="38" t="s">
        <v>15850</v>
      </c>
      <c r="C5614" s="38">
        <v>4.0</v>
      </c>
      <c r="D5614" s="117" t="s">
        <v>15851</v>
      </c>
      <c r="E5614" s="38" t="s">
        <v>873</v>
      </c>
      <c r="F5614" s="117" t="s">
        <v>15852</v>
      </c>
      <c r="G5614" s="42" t="s">
        <v>15849</v>
      </c>
    </row>
    <row r="5615">
      <c r="B5615" s="44"/>
      <c r="C5615" s="47"/>
      <c r="D5615" s="117" t="s">
        <v>15853</v>
      </c>
      <c r="E5615" s="42" t="s">
        <v>15854</v>
      </c>
      <c r="F5615" s="117" t="s">
        <v>15855</v>
      </c>
      <c r="G5615" s="42" t="s">
        <v>144</v>
      </c>
    </row>
    <row r="5616">
      <c r="C5616" s="4"/>
      <c r="D5616" s="152" t="s">
        <v>15856</v>
      </c>
      <c r="E5616" s="10" t="s">
        <v>15857</v>
      </c>
      <c r="F5616" s="152"/>
      <c r="G5616" s="10"/>
    </row>
    <row r="5617">
      <c r="B5617" s="390" t="s">
        <v>15858</v>
      </c>
      <c r="C5617" s="86" t="s">
        <v>15859</v>
      </c>
      <c r="D5617" s="44"/>
      <c r="E5617" s="38" t="s">
        <v>15860</v>
      </c>
      <c r="F5617" s="86" t="s">
        <v>15861</v>
      </c>
      <c r="G5617" s="42" t="s">
        <v>15548</v>
      </c>
    </row>
    <row r="5618">
      <c r="B5618" s="44"/>
      <c r="C5618" s="38" t="s">
        <v>15862</v>
      </c>
      <c r="D5618" s="38"/>
      <c r="E5618" s="38" t="s">
        <v>15860</v>
      </c>
      <c r="F5618" s="117"/>
      <c r="G5618" s="42" t="s">
        <v>15548</v>
      </c>
    </row>
    <row r="5619">
      <c r="B5619" s="390" t="s">
        <v>15863</v>
      </c>
      <c r="C5619" s="44"/>
      <c r="D5619" s="38" t="s">
        <v>15864</v>
      </c>
      <c r="E5619" s="38" t="s">
        <v>15860</v>
      </c>
      <c r="F5619" s="117" t="s">
        <v>15865</v>
      </c>
      <c r="G5619" s="42" t="s">
        <v>15548</v>
      </c>
    </row>
    <row r="5620">
      <c r="B5620" s="44"/>
      <c r="C5620" s="38">
        <v>4.0</v>
      </c>
      <c r="D5620" s="42" t="s">
        <v>15866</v>
      </c>
      <c r="E5620" s="42" t="s">
        <v>7330</v>
      </c>
      <c r="F5620" s="42"/>
      <c r="G5620" s="10"/>
    </row>
    <row r="5621">
      <c r="B5621" s="38" t="s">
        <v>28</v>
      </c>
      <c r="C5621" s="38">
        <v>4.0</v>
      </c>
      <c r="D5621" s="42" t="s">
        <v>1109</v>
      </c>
      <c r="E5621" s="42" t="s">
        <v>7330</v>
      </c>
      <c r="F5621" s="42"/>
      <c r="G5621" s="10"/>
    </row>
    <row r="5622">
      <c r="A5622" s="42" t="s">
        <v>447</v>
      </c>
      <c r="B5622" s="44" t="s">
        <v>13544</v>
      </c>
      <c r="C5622" s="38" t="s">
        <v>15867</v>
      </c>
      <c r="D5622" s="47" t="s">
        <v>13547</v>
      </c>
      <c r="E5622" s="47" t="s">
        <v>450</v>
      </c>
      <c r="F5622" s="38" t="s">
        <v>15868</v>
      </c>
      <c r="G5622" s="10"/>
    </row>
    <row r="5623">
      <c r="A5623" s="44"/>
      <c r="B5623" s="38" t="s">
        <v>15869</v>
      </c>
      <c r="C5623" s="38" t="s">
        <v>4420</v>
      </c>
      <c r="D5623" s="42" t="s">
        <v>15870</v>
      </c>
      <c r="E5623" s="47" t="s">
        <v>450</v>
      </c>
      <c r="F5623" s="38" t="s">
        <v>15868</v>
      </c>
      <c r="G5623" s="10"/>
    </row>
    <row r="5624">
      <c r="A5624" s="44"/>
      <c r="B5624" s="38"/>
      <c r="C5624" s="38"/>
      <c r="D5624" s="47"/>
      <c r="E5624" s="47" t="s">
        <v>450</v>
      </c>
      <c r="F5624" s="38" t="s">
        <v>15868</v>
      </c>
      <c r="G5624" s="10"/>
    </row>
    <row r="5625">
      <c r="A5625" s="44"/>
      <c r="B5625" s="38"/>
      <c r="C5625" s="42" t="s">
        <v>15871</v>
      </c>
      <c r="D5625" s="47"/>
      <c r="E5625" s="47" t="s">
        <v>450</v>
      </c>
      <c r="F5625" s="38" t="s">
        <v>15868</v>
      </c>
      <c r="G5625" s="10"/>
    </row>
    <row r="5626">
      <c r="A5626" s="44"/>
      <c r="B5626" s="38"/>
      <c r="C5626" s="38"/>
      <c r="D5626" s="47"/>
      <c r="E5626" s="47" t="s">
        <v>450</v>
      </c>
      <c r="F5626" s="38" t="s">
        <v>15868</v>
      </c>
      <c r="G5626" s="10"/>
    </row>
    <row r="5627">
      <c r="A5627" s="44"/>
      <c r="B5627" s="44"/>
      <c r="C5627" s="44"/>
      <c r="D5627" s="44"/>
      <c r="E5627" s="47" t="s">
        <v>450</v>
      </c>
      <c r="F5627" s="42" t="s">
        <v>15868</v>
      </c>
      <c r="G5627" s="10"/>
    </row>
    <row r="5628">
      <c r="B5628" s="44"/>
      <c r="C5628" s="38">
        <v>2.0</v>
      </c>
      <c r="D5628" s="42" t="s">
        <v>15872</v>
      </c>
      <c r="E5628" s="42" t="s">
        <v>5705</v>
      </c>
      <c r="F5628" s="42" t="s">
        <v>15873</v>
      </c>
      <c r="G5628" s="10"/>
    </row>
    <row r="5629">
      <c r="B5629" s="1" t="s">
        <v>15874</v>
      </c>
      <c r="C5629" s="1">
        <v>1.0</v>
      </c>
      <c r="D5629" s="152" t="s">
        <v>8045</v>
      </c>
      <c r="E5629" s="10" t="s">
        <v>514</v>
      </c>
      <c r="F5629" s="152" t="s">
        <v>4644</v>
      </c>
      <c r="G5629" s="10"/>
    </row>
    <row r="5630">
      <c r="C5630" s="1" t="s">
        <v>15875</v>
      </c>
      <c r="D5630" s="152" t="s">
        <v>15876</v>
      </c>
      <c r="E5630" s="10" t="s">
        <v>2914</v>
      </c>
      <c r="F5630" s="152"/>
      <c r="G5630" s="10"/>
    </row>
    <row r="5631">
      <c r="C5631" s="1"/>
      <c r="D5631" s="152"/>
      <c r="E5631" s="10" t="s">
        <v>2914</v>
      </c>
      <c r="F5631" s="152" t="s">
        <v>15877</v>
      </c>
      <c r="G5631" s="10"/>
    </row>
    <row r="5632">
      <c r="C5632" s="1"/>
      <c r="D5632" s="152"/>
      <c r="E5632" s="10" t="s">
        <v>2914</v>
      </c>
      <c r="F5632" s="152" t="s">
        <v>15878</v>
      </c>
      <c r="G5632" s="10"/>
    </row>
    <row r="5633">
      <c r="B5633" s="38" t="s">
        <v>8151</v>
      </c>
      <c r="C5633" s="38">
        <v>2.0</v>
      </c>
      <c r="D5633" s="42" t="s">
        <v>15879</v>
      </c>
      <c r="E5633" s="42" t="s">
        <v>15880</v>
      </c>
      <c r="F5633" s="42" t="s">
        <v>15881</v>
      </c>
      <c r="G5633" s="10"/>
    </row>
    <row r="5634">
      <c r="B5634" s="44"/>
      <c r="C5634" s="47"/>
      <c r="D5634" s="117" t="s">
        <v>15882</v>
      </c>
      <c r="E5634" s="38" t="s">
        <v>15883</v>
      </c>
      <c r="F5634" s="38" t="s">
        <v>15884</v>
      </c>
      <c r="G5634" s="10"/>
    </row>
    <row r="5635">
      <c r="B5635" s="38" t="s">
        <v>2013</v>
      </c>
      <c r="C5635" s="38">
        <v>2.0</v>
      </c>
      <c r="D5635" s="117" t="s">
        <v>13601</v>
      </c>
      <c r="E5635" s="42" t="s">
        <v>11736</v>
      </c>
      <c r="F5635" s="117" t="s">
        <v>15885</v>
      </c>
      <c r="G5635" s="10"/>
    </row>
    <row r="5636">
      <c r="B5636" s="38" t="s">
        <v>718</v>
      </c>
      <c r="C5636" s="38">
        <v>2.0</v>
      </c>
      <c r="D5636" s="117" t="s">
        <v>13601</v>
      </c>
      <c r="E5636" s="42" t="s">
        <v>11736</v>
      </c>
      <c r="F5636" s="117"/>
      <c r="G5636" s="10"/>
    </row>
    <row r="5637">
      <c r="A5637" s="44"/>
      <c r="B5637" s="38" t="s">
        <v>58</v>
      </c>
      <c r="C5637" s="38">
        <v>2.0</v>
      </c>
      <c r="D5637" s="117" t="s">
        <v>1305</v>
      </c>
      <c r="E5637" s="42" t="s">
        <v>15886</v>
      </c>
      <c r="F5637" s="117" t="s">
        <v>15887</v>
      </c>
      <c r="G5637" s="42" t="s">
        <v>15888</v>
      </c>
    </row>
    <row r="5638">
      <c r="A5638" s="44"/>
      <c r="B5638" s="44"/>
      <c r="C5638" s="38" t="s">
        <v>15889</v>
      </c>
      <c r="D5638" s="117" t="s">
        <v>15890</v>
      </c>
      <c r="E5638" s="47" t="s">
        <v>1309</v>
      </c>
      <c r="F5638" s="117" t="s">
        <v>15891</v>
      </c>
      <c r="G5638" s="42" t="s">
        <v>15892</v>
      </c>
    </row>
    <row r="5639">
      <c r="A5639" s="44"/>
      <c r="B5639" s="44"/>
      <c r="C5639" s="47"/>
      <c r="D5639" s="117" t="s">
        <v>15893</v>
      </c>
      <c r="E5639" s="47" t="s">
        <v>1309</v>
      </c>
      <c r="F5639" s="117" t="s">
        <v>701</v>
      </c>
      <c r="G5639" s="42" t="s">
        <v>15892</v>
      </c>
    </row>
    <row r="5640">
      <c r="A5640" s="44"/>
      <c r="B5640" s="38" t="s">
        <v>1188</v>
      </c>
      <c r="C5640" s="38" t="s">
        <v>15894</v>
      </c>
      <c r="D5640" s="117" t="s">
        <v>15895</v>
      </c>
      <c r="E5640" s="38" t="s">
        <v>15896</v>
      </c>
      <c r="F5640" s="117"/>
      <c r="G5640" s="42" t="s">
        <v>15892</v>
      </c>
    </row>
    <row r="5641">
      <c r="B5641" s="38" t="s">
        <v>10986</v>
      </c>
      <c r="C5641" s="38">
        <v>4.0</v>
      </c>
      <c r="D5641" s="117" t="s">
        <v>15897</v>
      </c>
      <c r="E5641" s="42" t="s">
        <v>15898</v>
      </c>
      <c r="F5641" s="117" t="s">
        <v>15899</v>
      </c>
      <c r="G5641" s="10"/>
    </row>
    <row r="5642">
      <c r="B5642" s="44"/>
      <c r="C5642" s="47"/>
      <c r="D5642" s="117"/>
      <c r="E5642" s="42" t="s">
        <v>15900</v>
      </c>
      <c r="F5642" s="117" t="s">
        <v>15901</v>
      </c>
      <c r="G5642" s="10"/>
    </row>
    <row r="5643">
      <c r="B5643" s="38" t="s">
        <v>15902</v>
      </c>
      <c r="C5643" s="586" t="s">
        <v>15903</v>
      </c>
      <c r="D5643" s="586" t="s">
        <v>15904</v>
      </c>
      <c r="E5643" s="47" t="s">
        <v>15696</v>
      </c>
      <c r="F5643" s="42" t="s">
        <v>15905</v>
      </c>
      <c r="G5643" s="10"/>
    </row>
    <row r="5644">
      <c r="B5644" s="44"/>
      <c r="C5644" s="47"/>
      <c r="D5644" s="42" t="s">
        <v>2047</v>
      </c>
      <c r="E5644" s="47" t="s">
        <v>15696</v>
      </c>
      <c r="F5644" s="42" t="s">
        <v>15905</v>
      </c>
      <c r="G5644" s="10"/>
    </row>
    <row r="5645">
      <c r="A5645" s="38" t="s">
        <v>15906</v>
      </c>
      <c r="B5645" s="44"/>
      <c r="C5645" s="38" t="s">
        <v>15907</v>
      </c>
      <c r="D5645" s="117" t="s">
        <v>15890</v>
      </c>
      <c r="E5645" s="38" t="s">
        <v>15908</v>
      </c>
      <c r="F5645" s="117"/>
      <c r="G5645" s="42" t="s">
        <v>15909</v>
      </c>
    </row>
    <row r="5646">
      <c r="A5646" s="65">
        <v>45432.0</v>
      </c>
      <c r="B5646" s="44"/>
      <c r="C5646" s="47"/>
      <c r="D5646" s="117" t="s">
        <v>15893</v>
      </c>
      <c r="E5646" s="38" t="s">
        <v>15908</v>
      </c>
      <c r="F5646" s="117" t="s">
        <v>701</v>
      </c>
      <c r="G5646" s="42" t="s">
        <v>15909</v>
      </c>
    </row>
    <row r="5647">
      <c r="A5647" s="44"/>
      <c r="B5647" s="38" t="s">
        <v>1188</v>
      </c>
      <c r="C5647" s="38" t="s">
        <v>15894</v>
      </c>
      <c r="D5647" s="117" t="s">
        <v>15895</v>
      </c>
      <c r="E5647" s="38" t="s">
        <v>15908</v>
      </c>
      <c r="F5647" s="117" t="s">
        <v>15910</v>
      </c>
      <c r="G5647" s="42" t="s">
        <v>15909</v>
      </c>
    </row>
    <row r="5648">
      <c r="B5648" s="44"/>
      <c r="C5648" s="47"/>
      <c r="D5648" s="117" t="s">
        <v>15911</v>
      </c>
      <c r="E5648" s="42" t="s">
        <v>325</v>
      </c>
      <c r="F5648" s="117" t="s">
        <v>15912</v>
      </c>
      <c r="G5648" s="10"/>
    </row>
    <row r="5649">
      <c r="C5649" s="4"/>
      <c r="D5649" s="152" t="s">
        <v>15913</v>
      </c>
      <c r="E5649" s="10" t="s">
        <v>325</v>
      </c>
      <c r="F5649" s="152"/>
      <c r="G5649" s="10"/>
    </row>
    <row r="5650">
      <c r="B5650" s="38" t="s">
        <v>85</v>
      </c>
      <c r="C5650" s="38">
        <v>4.0</v>
      </c>
      <c r="D5650" s="117" t="s">
        <v>1109</v>
      </c>
      <c r="E5650" s="42" t="s">
        <v>7641</v>
      </c>
      <c r="F5650" s="117" t="s">
        <v>15901</v>
      </c>
      <c r="G5650" s="10"/>
    </row>
    <row r="5651">
      <c r="B5651" s="47" t="s">
        <v>2573</v>
      </c>
      <c r="C5651" s="47">
        <v>4.0</v>
      </c>
      <c r="D5651" s="47" t="s">
        <v>1133</v>
      </c>
      <c r="E5651" s="47" t="s">
        <v>15723</v>
      </c>
      <c r="F5651" s="47" t="s">
        <v>15914</v>
      </c>
      <c r="G5651" s="47" t="s">
        <v>15915</v>
      </c>
    </row>
    <row r="5652">
      <c r="B5652" s="44"/>
      <c r="C5652" s="38">
        <v>4.0</v>
      </c>
      <c r="D5652" s="42" t="s">
        <v>15916</v>
      </c>
      <c r="E5652" s="42" t="s">
        <v>15917</v>
      </c>
      <c r="F5652" s="42" t="s">
        <v>15918</v>
      </c>
      <c r="G5652" s="10"/>
    </row>
    <row r="5653">
      <c r="B5653" s="38" t="s">
        <v>789</v>
      </c>
      <c r="C5653" s="38">
        <v>4.0</v>
      </c>
      <c r="D5653" s="42" t="s">
        <v>13219</v>
      </c>
      <c r="E5653" s="42" t="s">
        <v>11606</v>
      </c>
      <c r="F5653" s="42"/>
      <c r="G5653" s="10"/>
    </row>
    <row r="5654">
      <c r="B5654" s="44"/>
      <c r="C5654" s="38">
        <v>4.0</v>
      </c>
      <c r="D5654" s="42" t="s">
        <v>15919</v>
      </c>
      <c r="E5654" s="588" t="s">
        <v>15920</v>
      </c>
      <c r="F5654" s="42" t="s">
        <v>15921</v>
      </c>
      <c r="G5654" s="10"/>
    </row>
    <row r="5655">
      <c r="B5655" s="38" t="s">
        <v>15107</v>
      </c>
      <c r="C5655" s="38">
        <v>1.0</v>
      </c>
      <c r="D5655" s="117" t="s">
        <v>15922</v>
      </c>
      <c r="E5655" s="47" t="s">
        <v>15923</v>
      </c>
      <c r="F5655" s="38" t="s">
        <v>15924</v>
      </c>
      <c r="G5655" s="10"/>
    </row>
    <row r="5656">
      <c r="B5656" s="38" t="s">
        <v>4044</v>
      </c>
      <c r="C5656" s="38">
        <v>2.0</v>
      </c>
      <c r="D5656" s="42" t="s">
        <v>6296</v>
      </c>
      <c r="E5656" s="589" t="s">
        <v>15925</v>
      </c>
      <c r="F5656" s="42" t="s">
        <v>15926</v>
      </c>
      <c r="G5656" s="10"/>
    </row>
    <row r="5657">
      <c r="B5657" s="38" t="s">
        <v>876</v>
      </c>
      <c r="C5657" s="38">
        <v>4.0</v>
      </c>
      <c r="D5657" s="42" t="s">
        <v>206</v>
      </c>
      <c r="E5657" s="589" t="s">
        <v>15927</v>
      </c>
      <c r="F5657" s="42" t="s">
        <v>15454</v>
      </c>
      <c r="G5657" s="10"/>
    </row>
    <row r="5658">
      <c r="B5658" s="1" t="s">
        <v>3878</v>
      </c>
      <c r="C5658" s="1">
        <v>2.0</v>
      </c>
      <c r="D5658" s="152" t="s">
        <v>216</v>
      </c>
      <c r="E5658" s="590" t="s">
        <v>217</v>
      </c>
      <c r="F5658" s="152" t="s">
        <v>15928</v>
      </c>
      <c r="G5658" s="10" t="s">
        <v>1417</v>
      </c>
    </row>
    <row r="5659">
      <c r="C5659" s="4"/>
      <c r="D5659" s="152"/>
      <c r="E5659" s="590" t="s">
        <v>217</v>
      </c>
      <c r="F5659" s="152" t="s">
        <v>15929</v>
      </c>
      <c r="G5659" s="10"/>
    </row>
    <row r="5660">
      <c r="C5660" s="4"/>
      <c r="D5660" s="152"/>
      <c r="E5660" s="590" t="s">
        <v>217</v>
      </c>
      <c r="F5660" s="152" t="s">
        <v>15930</v>
      </c>
      <c r="G5660" s="10"/>
    </row>
    <row r="5661">
      <c r="C5661" s="4"/>
      <c r="D5661" s="152"/>
      <c r="E5661" s="590" t="s">
        <v>217</v>
      </c>
      <c r="F5661" s="152" t="s">
        <v>15931</v>
      </c>
      <c r="G5661" s="10"/>
    </row>
    <row r="5662">
      <c r="C5662" s="4"/>
      <c r="D5662" s="152"/>
      <c r="E5662" s="590" t="s">
        <v>217</v>
      </c>
      <c r="F5662" s="152" t="s">
        <v>15932</v>
      </c>
      <c r="G5662" s="10"/>
    </row>
    <row r="5663">
      <c r="C5663" s="4"/>
      <c r="D5663" s="152"/>
      <c r="E5663" s="590" t="s">
        <v>217</v>
      </c>
      <c r="F5663" s="152" t="s">
        <v>15933</v>
      </c>
      <c r="G5663" s="10"/>
    </row>
    <row r="5664">
      <c r="B5664" s="38" t="s">
        <v>1432</v>
      </c>
      <c r="C5664" s="38">
        <v>2.0</v>
      </c>
      <c r="D5664" s="42" t="s">
        <v>15934</v>
      </c>
      <c r="E5664" s="42" t="s">
        <v>4817</v>
      </c>
      <c r="F5664" s="42" t="s">
        <v>15935</v>
      </c>
      <c r="G5664" s="10"/>
    </row>
    <row r="5665">
      <c r="B5665" s="38" t="s">
        <v>205</v>
      </c>
      <c r="C5665" s="38">
        <v>2.0</v>
      </c>
      <c r="D5665" s="117" t="s">
        <v>13601</v>
      </c>
      <c r="E5665" s="39" t="s">
        <v>15936</v>
      </c>
      <c r="F5665" s="117" t="s">
        <v>4974</v>
      </c>
      <c r="G5665" s="10"/>
    </row>
    <row r="5666">
      <c r="B5666" s="38" t="s">
        <v>2159</v>
      </c>
      <c r="C5666" s="38">
        <v>4.0</v>
      </c>
      <c r="D5666" s="42" t="s">
        <v>11182</v>
      </c>
      <c r="E5666" s="42" t="s">
        <v>15937</v>
      </c>
      <c r="F5666" s="42" t="s">
        <v>15938</v>
      </c>
      <c r="G5666" s="10"/>
    </row>
    <row r="5667">
      <c r="B5667" s="1" t="s">
        <v>1182</v>
      </c>
      <c r="C5667" s="1">
        <v>2.0</v>
      </c>
      <c r="D5667" s="152" t="s">
        <v>216</v>
      </c>
      <c r="E5667" s="10" t="s">
        <v>15939</v>
      </c>
      <c r="F5667" s="152" t="s">
        <v>218</v>
      </c>
      <c r="G5667" s="10"/>
    </row>
    <row r="5668">
      <c r="A5668" s="1">
        <v>56145.0</v>
      </c>
      <c r="B5668" s="38" t="s">
        <v>166</v>
      </c>
      <c r="C5668" s="38">
        <v>2.0</v>
      </c>
      <c r="D5668" s="42" t="s">
        <v>672</v>
      </c>
      <c r="E5668" s="42" t="s">
        <v>325</v>
      </c>
      <c r="F5668" s="42" t="s">
        <v>15940</v>
      </c>
      <c r="G5668" s="10" t="s">
        <v>13170</v>
      </c>
    </row>
    <row r="5669">
      <c r="A5669" s="1">
        <v>56145.0</v>
      </c>
      <c r="B5669" s="38" t="s">
        <v>170</v>
      </c>
      <c r="C5669" s="38">
        <v>2.0</v>
      </c>
      <c r="D5669" s="42" t="s">
        <v>2900</v>
      </c>
      <c r="E5669" s="42" t="s">
        <v>325</v>
      </c>
      <c r="F5669" s="42" t="s">
        <v>15940</v>
      </c>
      <c r="G5669" s="10"/>
    </row>
    <row r="5670">
      <c r="B5670" s="44"/>
      <c r="C5670" s="44"/>
      <c r="D5670" s="117" t="s">
        <v>15941</v>
      </c>
      <c r="E5670" s="42" t="s">
        <v>5261</v>
      </c>
      <c r="F5670" s="305" t="s">
        <v>15942</v>
      </c>
      <c r="G5670" s="42" t="s">
        <v>144</v>
      </c>
    </row>
    <row r="5671">
      <c r="B5671" s="86" t="s">
        <v>15943</v>
      </c>
      <c r="C5671" s="86" t="s">
        <v>15944</v>
      </c>
      <c r="D5671" s="117" t="s">
        <v>15945</v>
      </c>
      <c r="E5671" s="42" t="s">
        <v>5261</v>
      </c>
      <c r="F5671" s="117"/>
      <c r="G5671" s="42" t="s">
        <v>144</v>
      </c>
    </row>
    <row r="5672">
      <c r="A5672" s="44"/>
      <c r="B5672" s="47" t="s">
        <v>15946</v>
      </c>
      <c r="C5672" s="38">
        <v>2.0</v>
      </c>
      <c r="D5672" s="395" t="s">
        <v>15947</v>
      </c>
      <c r="E5672" s="42" t="s">
        <v>325</v>
      </c>
      <c r="F5672" s="38"/>
      <c r="G5672" s="42" t="s">
        <v>15948</v>
      </c>
    </row>
    <row r="5673">
      <c r="A5673" s="44"/>
      <c r="B5673" s="47" t="s">
        <v>15949</v>
      </c>
      <c r="C5673" s="38">
        <v>2.0</v>
      </c>
      <c r="D5673" s="395" t="s">
        <v>15950</v>
      </c>
      <c r="E5673" s="42" t="s">
        <v>325</v>
      </c>
      <c r="F5673" s="38"/>
      <c r="G5673" s="42" t="s">
        <v>15948</v>
      </c>
    </row>
    <row r="5674">
      <c r="A5674" s="44"/>
      <c r="B5674" s="47" t="s">
        <v>15951</v>
      </c>
      <c r="C5674" s="38">
        <v>2.0</v>
      </c>
      <c r="D5674" s="85" t="s">
        <v>15952</v>
      </c>
      <c r="E5674" s="42" t="s">
        <v>15953</v>
      </c>
      <c r="F5674" s="38" t="s">
        <v>15954</v>
      </c>
      <c r="G5674" s="42" t="s">
        <v>15955</v>
      </c>
    </row>
    <row r="5675">
      <c r="A5675" s="44"/>
      <c r="B5675" s="47" t="s">
        <v>15956</v>
      </c>
      <c r="C5675" s="38">
        <v>2.0</v>
      </c>
      <c r="D5675" s="85" t="s">
        <v>15957</v>
      </c>
      <c r="E5675" s="42" t="s">
        <v>15953</v>
      </c>
      <c r="F5675" s="38" t="s">
        <v>15954</v>
      </c>
      <c r="G5675" s="42" t="s">
        <v>15955</v>
      </c>
    </row>
    <row r="5676">
      <c r="A5676" s="44"/>
      <c r="B5676" s="38" t="s">
        <v>22</v>
      </c>
      <c r="C5676" s="38">
        <v>2.0</v>
      </c>
      <c r="D5676" s="85" t="s">
        <v>15958</v>
      </c>
      <c r="E5676" s="38" t="s">
        <v>138</v>
      </c>
      <c r="F5676" s="38" t="s">
        <v>15959</v>
      </c>
      <c r="G5676" s="10"/>
    </row>
    <row r="5677">
      <c r="A5677" s="44"/>
      <c r="B5677" s="38" t="s">
        <v>183</v>
      </c>
      <c r="C5677" s="38">
        <v>2.0</v>
      </c>
      <c r="D5677" s="38" t="s">
        <v>15960</v>
      </c>
      <c r="E5677" s="38" t="s">
        <v>11606</v>
      </c>
      <c r="F5677" s="38" t="s">
        <v>15961</v>
      </c>
      <c r="G5677" s="10"/>
    </row>
    <row r="5678">
      <c r="A5678" s="44"/>
      <c r="B5678" s="38" t="s">
        <v>58</v>
      </c>
      <c r="C5678" s="38">
        <v>4.0</v>
      </c>
      <c r="D5678" s="117" t="s">
        <v>15962</v>
      </c>
      <c r="E5678" s="38" t="s">
        <v>1017</v>
      </c>
      <c r="F5678" s="38" t="s">
        <v>10695</v>
      </c>
      <c r="G5678" s="42"/>
      <c r="H5678" s="38" t="s">
        <v>15963</v>
      </c>
    </row>
    <row r="5679">
      <c r="A5679" s="44"/>
      <c r="B5679" s="38" t="s">
        <v>22</v>
      </c>
      <c r="C5679" s="38">
        <v>4.0</v>
      </c>
      <c r="D5679" s="117" t="s">
        <v>15964</v>
      </c>
      <c r="E5679" s="38" t="s">
        <v>1017</v>
      </c>
      <c r="F5679" s="38" t="s">
        <v>8774</v>
      </c>
      <c r="G5679" s="42"/>
      <c r="H5679" s="38" t="s">
        <v>15963</v>
      </c>
    </row>
    <row r="5680">
      <c r="A5680" s="44"/>
      <c r="B5680" s="38" t="s">
        <v>22</v>
      </c>
      <c r="C5680" s="38">
        <v>2.0</v>
      </c>
      <c r="D5680" s="117" t="s">
        <v>15964</v>
      </c>
      <c r="E5680" s="38" t="s">
        <v>1017</v>
      </c>
      <c r="F5680" s="38" t="s">
        <v>8774</v>
      </c>
      <c r="G5680" s="42" t="s">
        <v>15965</v>
      </c>
      <c r="H5680" s="38" t="s">
        <v>15963</v>
      </c>
    </row>
    <row r="5681">
      <c r="A5681" s="44"/>
      <c r="B5681" s="38" t="s">
        <v>22</v>
      </c>
      <c r="C5681" s="38">
        <v>2.0</v>
      </c>
      <c r="D5681" s="117" t="s">
        <v>15964</v>
      </c>
      <c r="E5681" s="38" t="s">
        <v>1017</v>
      </c>
      <c r="F5681" s="38" t="s">
        <v>8774</v>
      </c>
      <c r="G5681" s="42"/>
      <c r="H5681" s="38" t="s">
        <v>15963</v>
      </c>
    </row>
    <row r="5682">
      <c r="A5682" s="44"/>
      <c r="B5682" s="38" t="s">
        <v>7159</v>
      </c>
      <c r="C5682" s="38">
        <v>4.0</v>
      </c>
      <c r="D5682" s="117" t="s">
        <v>15966</v>
      </c>
      <c r="E5682" s="38" t="s">
        <v>15967</v>
      </c>
      <c r="F5682" s="38" t="s">
        <v>15968</v>
      </c>
      <c r="G5682" s="10"/>
    </row>
    <row r="5683">
      <c r="A5683" s="44"/>
      <c r="B5683" s="38" t="s">
        <v>13886</v>
      </c>
      <c r="C5683" s="38">
        <v>2.0</v>
      </c>
      <c r="D5683" s="85" t="s">
        <v>15969</v>
      </c>
      <c r="E5683" s="42" t="s">
        <v>12461</v>
      </c>
      <c r="F5683" s="38" t="s">
        <v>15970</v>
      </c>
      <c r="G5683" s="10"/>
    </row>
    <row r="5684">
      <c r="A5684" s="44"/>
      <c r="B5684" s="38" t="s">
        <v>1454</v>
      </c>
      <c r="C5684" s="38">
        <v>2.0</v>
      </c>
      <c r="D5684" s="47" t="s">
        <v>15971</v>
      </c>
      <c r="E5684" s="42" t="s">
        <v>15972</v>
      </c>
      <c r="F5684" s="47" t="s">
        <v>15973</v>
      </c>
      <c r="G5684" s="42" t="s">
        <v>15974</v>
      </c>
    </row>
    <row r="5685">
      <c r="A5685" s="44"/>
      <c r="B5685" s="38" t="s">
        <v>1409</v>
      </c>
      <c r="C5685" s="38">
        <v>2.0</v>
      </c>
      <c r="D5685" s="47" t="s">
        <v>15971</v>
      </c>
      <c r="E5685" s="42" t="s">
        <v>325</v>
      </c>
      <c r="F5685" s="44"/>
      <c r="G5685" s="42" t="s">
        <v>15974</v>
      </c>
    </row>
    <row r="5686">
      <c r="A5686" s="44"/>
      <c r="B5686" s="38" t="s">
        <v>43</v>
      </c>
      <c r="C5686" s="38">
        <v>4.0</v>
      </c>
      <c r="D5686" s="117" t="s">
        <v>15975</v>
      </c>
      <c r="E5686" s="42" t="s">
        <v>325</v>
      </c>
      <c r="F5686" s="38" t="s">
        <v>15976</v>
      </c>
      <c r="G5686" s="10"/>
    </row>
    <row r="5687">
      <c r="A5687" s="44"/>
      <c r="B5687" s="38" t="s">
        <v>47</v>
      </c>
      <c r="C5687" s="38">
        <v>4.0</v>
      </c>
      <c r="D5687" s="42" t="s">
        <v>15975</v>
      </c>
      <c r="E5687" s="42" t="s">
        <v>325</v>
      </c>
      <c r="F5687" s="38" t="s">
        <v>15977</v>
      </c>
      <c r="G5687" s="10"/>
    </row>
    <row r="5688">
      <c r="A5688" s="44"/>
      <c r="B5688" s="38" t="s">
        <v>52</v>
      </c>
      <c r="C5688" s="38">
        <v>2.0</v>
      </c>
      <c r="D5688" s="117" t="s">
        <v>12994</v>
      </c>
      <c r="E5688" s="42" t="s">
        <v>325</v>
      </c>
      <c r="F5688" s="47" t="s">
        <v>15978</v>
      </c>
      <c r="G5688" s="10"/>
    </row>
    <row r="5689">
      <c r="A5689" s="44"/>
      <c r="B5689" s="38" t="s">
        <v>405</v>
      </c>
      <c r="C5689" s="38">
        <v>2.0</v>
      </c>
      <c r="D5689" s="117" t="s">
        <v>12994</v>
      </c>
      <c r="E5689" s="42" t="s">
        <v>325</v>
      </c>
      <c r="F5689" s="47" t="s">
        <v>15978</v>
      </c>
      <c r="G5689" s="10"/>
    </row>
    <row r="5690">
      <c r="A5690" s="44"/>
      <c r="B5690" s="38" t="s">
        <v>52</v>
      </c>
      <c r="C5690" s="38">
        <v>2.0</v>
      </c>
      <c r="D5690" s="117" t="s">
        <v>12994</v>
      </c>
      <c r="E5690" s="42" t="s">
        <v>325</v>
      </c>
      <c r="F5690" s="38" t="s">
        <v>15979</v>
      </c>
      <c r="G5690" s="10"/>
    </row>
    <row r="5691">
      <c r="A5691" s="44"/>
      <c r="B5691" s="38" t="s">
        <v>405</v>
      </c>
      <c r="C5691" s="38">
        <v>2.0</v>
      </c>
      <c r="D5691" s="117" t="s">
        <v>12994</v>
      </c>
      <c r="E5691" s="42" t="s">
        <v>325</v>
      </c>
      <c r="F5691" s="38" t="s">
        <v>15979</v>
      </c>
      <c r="G5691" s="10"/>
    </row>
    <row r="5692">
      <c r="A5692" s="44"/>
      <c r="B5692" s="38" t="s">
        <v>52</v>
      </c>
      <c r="C5692" s="38">
        <v>2.0</v>
      </c>
      <c r="D5692" s="117" t="s">
        <v>12994</v>
      </c>
      <c r="E5692" s="42" t="s">
        <v>325</v>
      </c>
      <c r="F5692" s="38" t="s">
        <v>15980</v>
      </c>
      <c r="G5692" s="10"/>
    </row>
    <row r="5693">
      <c r="A5693" s="44"/>
      <c r="B5693" s="38" t="s">
        <v>405</v>
      </c>
      <c r="C5693" s="38">
        <v>2.0</v>
      </c>
      <c r="D5693" s="117" t="s">
        <v>12994</v>
      </c>
      <c r="E5693" s="42" t="s">
        <v>325</v>
      </c>
      <c r="F5693" s="38" t="s">
        <v>15980</v>
      </c>
      <c r="G5693" s="10"/>
    </row>
    <row r="5694">
      <c r="A5694" s="44"/>
      <c r="B5694" s="38" t="s">
        <v>52</v>
      </c>
      <c r="C5694" s="38">
        <v>2.0</v>
      </c>
      <c r="D5694" s="117" t="s">
        <v>12994</v>
      </c>
      <c r="E5694" s="42" t="s">
        <v>325</v>
      </c>
      <c r="F5694" s="38" t="s">
        <v>15981</v>
      </c>
      <c r="G5694" s="10"/>
    </row>
    <row r="5695">
      <c r="A5695" s="44"/>
      <c r="B5695" s="38" t="s">
        <v>405</v>
      </c>
      <c r="C5695" s="38">
        <v>2.0</v>
      </c>
      <c r="D5695" s="117" t="s">
        <v>12994</v>
      </c>
      <c r="E5695" s="42" t="s">
        <v>325</v>
      </c>
      <c r="F5695" s="38" t="s">
        <v>15981</v>
      </c>
      <c r="G5695" s="10"/>
    </row>
    <row r="5696">
      <c r="A5696" s="44"/>
      <c r="B5696" s="38" t="s">
        <v>58</v>
      </c>
      <c r="C5696" s="38">
        <v>4.0</v>
      </c>
      <c r="D5696" s="38" t="s">
        <v>15982</v>
      </c>
      <c r="E5696" s="42" t="s">
        <v>325</v>
      </c>
      <c r="F5696" s="38" t="s">
        <v>15983</v>
      </c>
      <c r="G5696" s="10" t="s">
        <v>15984</v>
      </c>
    </row>
    <row r="5697">
      <c r="A5697" s="38" t="s">
        <v>1040</v>
      </c>
      <c r="B5697" s="38" t="s">
        <v>276</v>
      </c>
      <c r="C5697" s="38">
        <v>4.0</v>
      </c>
      <c r="D5697" s="38" t="s">
        <v>15985</v>
      </c>
      <c r="E5697" s="42" t="s">
        <v>15986</v>
      </c>
      <c r="F5697" s="38" t="s">
        <v>15987</v>
      </c>
      <c r="G5697" s="10"/>
    </row>
    <row r="5698">
      <c r="A5698" s="38" t="s">
        <v>1040</v>
      </c>
      <c r="B5698" s="38" t="s">
        <v>430</v>
      </c>
      <c r="C5698" s="38">
        <v>4.0</v>
      </c>
      <c r="D5698" s="117" t="s">
        <v>15988</v>
      </c>
      <c r="E5698" s="42" t="s">
        <v>15989</v>
      </c>
      <c r="F5698" s="38" t="s">
        <v>15987</v>
      </c>
      <c r="G5698" s="10"/>
    </row>
    <row r="5699">
      <c r="A5699" s="38" t="s">
        <v>1040</v>
      </c>
      <c r="B5699" s="38" t="s">
        <v>1137</v>
      </c>
      <c r="C5699" s="38">
        <v>4.0</v>
      </c>
      <c r="D5699" s="117" t="s">
        <v>2526</v>
      </c>
      <c r="E5699" s="39" t="s">
        <v>15990</v>
      </c>
      <c r="F5699" s="47" t="s">
        <v>6075</v>
      </c>
      <c r="G5699" s="10"/>
    </row>
    <row r="5700">
      <c r="A5700" s="38" t="s">
        <v>1040</v>
      </c>
      <c r="B5700" s="38" t="s">
        <v>308</v>
      </c>
      <c r="C5700" s="38">
        <v>4.0</v>
      </c>
      <c r="D5700" s="117" t="s">
        <v>15991</v>
      </c>
      <c r="E5700" s="39" t="s">
        <v>15992</v>
      </c>
      <c r="F5700" s="47" t="s">
        <v>6606</v>
      </c>
      <c r="G5700" s="10"/>
    </row>
    <row r="5701">
      <c r="A5701" s="38" t="s">
        <v>1040</v>
      </c>
      <c r="B5701" s="38" t="s">
        <v>85</v>
      </c>
      <c r="C5701" s="38">
        <v>4.0</v>
      </c>
      <c r="D5701" s="38" t="s">
        <v>737</v>
      </c>
      <c r="E5701" s="38" t="s">
        <v>15993</v>
      </c>
      <c r="F5701" s="38" t="s">
        <v>15994</v>
      </c>
      <c r="G5701" s="42" t="s">
        <v>15995</v>
      </c>
    </row>
    <row r="5702">
      <c r="A5702" s="38" t="s">
        <v>133</v>
      </c>
      <c r="B5702" s="47" t="s">
        <v>97</v>
      </c>
      <c r="C5702" s="47">
        <v>2.0</v>
      </c>
      <c r="D5702" s="47" t="s">
        <v>672</v>
      </c>
      <c r="E5702" s="47" t="s">
        <v>6776</v>
      </c>
      <c r="F5702" s="47" t="s">
        <v>15996</v>
      </c>
      <c r="G5702" s="42" t="s">
        <v>15997</v>
      </c>
    </row>
    <row r="5703">
      <c r="A5703" s="38" t="s">
        <v>133</v>
      </c>
      <c r="B5703" s="47" t="s">
        <v>623</v>
      </c>
      <c r="C5703" s="47">
        <v>2.0</v>
      </c>
      <c r="D5703" s="47" t="s">
        <v>672</v>
      </c>
      <c r="E5703" s="47" t="s">
        <v>6776</v>
      </c>
      <c r="F5703" s="47"/>
      <c r="G5703" s="42" t="s">
        <v>15997</v>
      </c>
    </row>
    <row r="5704">
      <c r="A5704" s="38" t="s">
        <v>1040</v>
      </c>
      <c r="B5704" s="38" t="s">
        <v>342</v>
      </c>
      <c r="C5704" s="38">
        <v>2.0</v>
      </c>
      <c r="D5704" s="42" t="s">
        <v>408</v>
      </c>
      <c r="E5704" s="42" t="s">
        <v>15998</v>
      </c>
      <c r="F5704" s="42" t="s">
        <v>15999</v>
      </c>
      <c r="G5704" s="10"/>
    </row>
    <row r="5705">
      <c r="A5705" s="4" t="s">
        <v>16000</v>
      </c>
      <c r="B5705" s="38" t="s">
        <v>128</v>
      </c>
      <c r="C5705" s="38">
        <v>2.0</v>
      </c>
      <c r="D5705" s="117" t="s">
        <v>684</v>
      </c>
      <c r="E5705" s="42" t="s">
        <v>2424</v>
      </c>
      <c r="F5705" s="117" t="s">
        <v>16001</v>
      </c>
      <c r="G5705" s="10" t="s">
        <v>132</v>
      </c>
    </row>
    <row r="5706">
      <c r="A5706" s="4" t="s">
        <v>16000</v>
      </c>
      <c r="B5706" s="38" t="s">
        <v>1183</v>
      </c>
      <c r="C5706" s="38">
        <v>2.0</v>
      </c>
      <c r="D5706" s="117" t="s">
        <v>684</v>
      </c>
      <c r="E5706" s="42" t="s">
        <v>325</v>
      </c>
      <c r="F5706" s="117" t="s">
        <v>16001</v>
      </c>
      <c r="G5706" s="10" t="s">
        <v>132</v>
      </c>
    </row>
    <row r="5707">
      <c r="A5707" s="4" t="s">
        <v>16002</v>
      </c>
      <c r="B5707" s="38" t="s">
        <v>333</v>
      </c>
      <c r="C5707" s="38">
        <v>4.0</v>
      </c>
      <c r="D5707" s="117" t="s">
        <v>672</v>
      </c>
      <c r="E5707" s="42" t="s">
        <v>325</v>
      </c>
      <c r="F5707" s="117" t="s">
        <v>16003</v>
      </c>
      <c r="G5707" s="10" t="s">
        <v>971</v>
      </c>
    </row>
    <row r="5708">
      <c r="A5708" s="500" t="s">
        <v>16004</v>
      </c>
      <c r="B5708" s="38" t="s">
        <v>9011</v>
      </c>
      <c r="C5708" s="38">
        <v>4.0</v>
      </c>
      <c r="D5708" s="117" t="s">
        <v>672</v>
      </c>
      <c r="E5708" s="42" t="s">
        <v>325</v>
      </c>
      <c r="F5708" s="117" t="s">
        <v>16005</v>
      </c>
      <c r="G5708" s="10"/>
    </row>
    <row r="5709">
      <c r="A5709" s="38" t="s">
        <v>1113</v>
      </c>
      <c r="B5709" s="38" t="s">
        <v>3682</v>
      </c>
      <c r="C5709" s="38">
        <v>2.0</v>
      </c>
      <c r="D5709" s="42" t="s">
        <v>433</v>
      </c>
      <c r="E5709" s="42" t="s">
        <v>4077</v>
      </c>
      <c r="F5709" s="42" t="s">
        <v>16006</v>
      </c>
      <c r="G5709" s="10"/>
    </row>
    <row r="5710">
      <c r="A5710" s="38" t="s">
        <v>1113</v>
      </c>
      <c r="B5710" s="38" t="s">
        <v>85</v>
      </c>
      <c r="C5710" s="38">
        <v>2.0</v>
      </c>
      <c r="D5710" s="42" t="s">
        <v>16007</v>
      </c>
      <c r="E5710" s="38" t="s">
        <v>3663</v>
      </c>
      <c r="F5710" s="42"/>
      <c r="G5710" s="10"/>
    </row>
    <row r="5711">
      <c r="A5711" s="38" t="s">
        <v>133</v>
      </c>
      <c r="B5711" s="38" t="s">
        <v>183</v>
      </c>
      <c r="C5711" s="38">
        <v>4.0</v>
      </c>
      <c r="D5711" s="42" t="s">
        <v>16008</v>
      </c>
      <c r="E5711" s="42" t="s">
        <v>16009</v>
      </c>
      <c r="F5711" s="42" t="s">
        <v>16010</v>
      </c>
      <c r="G5711" s="10"/>
    </row>
    <row r="5712">
      <c r="A5712" s="38" t="s">
        <v>133</v>
      </c>
      <c r="B5712" s="38" t="s">
        <v>25</v>
      </c>
      <c r="C5712" s="38">
        <v>4.0</v>
      </c>
      <c r="D5712" s="38" t="s">
        <v>16011</v>
      </c>
      <c r="E5712" s="38" t="s">
        <v>16012</v>
      </c>
      <c r="F5712" s="38" t="s">
        <v>11259</v>
      </c>
      <c r="G5712" s="10" t="s">
        <v>144</v>
      </c>
    </row>
    <row r="5713">
      <c r="A5713" s="38" t="s">
        <v>133</v>
      </c>
      <c r="B5713" s="38" t="s">
        <v>122</v>
      </c>
      <c r="C5713" s="38">
        <v>4.0</v>
      </c>
      <c r="D5713" s="38" t="s">
        <v>16013</v>
      </c>
      <c r="E5713" s="38" t="s">
        <v>16014</v>
      </c>
      <c r="F5713" s="38" t="s">
        <v>5638</v>
      </c>
      <c r="G5713" s="10" t="s">
        <v>144</v>
      </c>
    </row>
    <row r="5714">
      <c r="A5714" s="1" t="s">
        <v>16015</v>
      </c>
      <c r="B5714" s="38" t="s">
        <v>177</v>
      </c>
      <c r="C5714" s="38">
        <v>4.0</v>
      </c>
      <c r="D5714" s="47" t="s">
        <v>16016</v>
      </c>
      <c r="E5714" s="38" t="s">
        <v>16017</v>
      </c>
      <c r="F5714" s="38" t="s">
        <v>16018</v>
      </c>
      <c r="G5714" s="1" t="s">
        <v>16019</v>
      </c>
      <c r="H5714" s="1" t="s">
        <v>221</v>
      </c>
    </row>
    <row r="5715">
      <c r="A5715" s="38" t="s">
        <v>1113</v>
      </c>
      <c r="B5715" s="38" t="s">
        <v>416</v>
      </c>
      <c r="C5715" s="38">
        <v>1.0</v>
      </c>
      <c r="D5715" s="38" t="s">
        <v>16020</v>
      </c>
      <c r="E5715" s="38" t="s">
        <v>3625</v>
      </c>
      <c r="F5715" s="38" t="s">
        <v>16021</v>
      </c>
    </row>
    <row r="5716">
      <c r="A5716" s="38" t="s">
        <v>1113</v>
      </c>
      <c r="B5716" s="38" t="s">
        <v>122</v>
      </c>
      <c r="C5716" s="38">
        <v>4.0</v>
      </c>
      <c r="D5716" s="42" t="s">
        <v>16022</v>
      </c>
      <c r="E5716" s="39" t="s">
        <v>15517</v>
      </c>
      <c r="F5716" s="42" t="s">
        <v>5373</v>
      </c>
      <c r="G5716" s="10"/>
    </row>
    <row r="5717">
      <c r="A5717" s="4" t="s">
        <v>16023</v>
      </c>
      <c r="B5717" s="38" t="s">
        <v>1159</v>
      </c>
      <c r="C5717" s="38">
        <v>4.0</v>
      </c>
      <c r="D5717" s="42" t="s">
        <v>16024</v>
      </c>
      <c r="E5717" s="91" t="s">
        <v>2324</v>
      </c>
      <c r="F5717" s="42" t="s">
        <v>16025</v>
      </c>
      <c r="G5717" s="10" t="s">
        <v>1220</v>
      </c>
    </row>
    <row r="5718">
      <c r="A5718" s="38" t="s">
        <v>1113</v>
      </c>
      <c r="B5718" s="38" t="s">
        <v>81</v>
      </c>
      <c r="C5718" s="38">
        <v>4.0</v>
      </c>
      <c r="D5718" s="117" t="s">
        <v>7038</v>
      </c>
      <c r="E5718" s="40" t="s">
        <v>16026</v>
      </c>
      <c r="F5718" s="40" t="s">
        <v>16027</v>
      </c>
      <c r="G5718" s="10"/>
    </row>
    <row r="5719">
      <c r="A5719" s="4" t="s">
        <v>16028</v>
      </c>
      <c r="B5719" s="38" t="s">
        <v>9822</v>
      </c>
      <c r="C5719" s="38">
        <v>4.0</v>
      </c>
      <c r="D5719" s="117" t="s">
        <v>16029</v>
      </c>
      <c r="E5719" s="42" t="s">
        <v>16030</v>
      </c>
      <c r="F5719" s="117" t="s">
        <v>16031</v>
      </c>
      <c r="G5719" s="10" t="s">
        <v>132</v>
      </c>
    </row>
    <row r="5720">
      <c r="A5720" s="38" t="s">
        <v>1113</v>
      </c>
      <c r="B5720" s="38" t="s">
        <v>77</v>
      </c>
      <c r="C5720" s="38">
        <v>4.0</v>
      </c>
      <c r="D5720" s="117" t="s">
        <v>433</v>
      </c>
      <c r="E5720" s="42" t="s">
        <v>16032</v>
      </c>
      <c r="F5720" s="117" t="s">
        <v>16027</v>
      </c>
      <c r="G5720" s="10"/>
    </row>
    <row r="5721">
      <c r="A5721" s="38" t="s">
        <v>1113</v>
      </c>
      <c r="B5721" s="38" t="s">
        <v>271</v>
      </c>
      <c r="C5721" s="38">
        <v>4.0</v>
      </c>
      <c r="D5721" s="117" t="s">
        <v>433</v>
      </c>
      <c r="E5721" s="42" t="s">
        <v>16033</v>
      </c>
      <c r="F5721" s="38" t="s">
        <v>16034</v>
      </c>
      <c r="G5721" s="10"/>
    </row>
    <row r="5722">
      <c r="A5722" s="38" t="s">
        <v>1113</v>
      </c>
      <c r="B5722" s="38" t="s">
        <v>85</v>
      </c>
      <c r="C5722" s="38">
        <v>4.0</v>
      </c>
      <c r="D5722" s="42" t="s">
        <v>433</v>
      </c>
      <c r="E5722" s="42" t="s">
        <v>16035</v>
      </c>
      <c r="F5722" s="42" t="s">
        <v>16036</v>
      </c>
      <c r="G5722" s="10"/>
    </row>
    <row r="5723">
      <c r="A5723" s="4" t="s">
        <v>16037</v>
      </c>
      <c r="B5723" s="38" t="s">
        <v>246</v>
      </c>
      <c r="C5723" s="38">
        <v>4.0</v>
      </c>
      <c r="D5723" s="117" t="s">
        <v>6571</v>
      </c>
      <c r="E5723" s="55" t="s">
        <v>16038</v>
      </c>
      <c r="F5723" s="55" t="s">
        <v>16027</v>
      </c>
      <c r="G5723" s="10" t="s">
        <v>1220</v>
      </c>
    </row>
    <row r="5724">
      <c r="A5724" s="38" t="s">
        <v>1113</v>
      </c>
      <c r="B5724" s="38" t="s">
        <v>271</v>
      </c>
      <c r="C5724" s="38">
        <v>4.0</v>
      </c>
      <c r="D5724" s="42" t="s">
        <v>433</v>
      </c>
      <c r="E5724" s="42" t="s">
        <v>16039</v>
      </c>
      <c r="F5724" s="42" t="s">
        <v>16031</v>
      </c>
      <c r="G5724" s="10"/>
    </row>
    <row r="5725">
      <c r="A5725" s="38" t="s">
        <v>1113</v>
      </c>
      <c r="B5725" s="38" t="s">
        <v>77</v>
      </c>
      <c r="C5725" s="38">
        <v>4.0</v>
      </c>
      <c r="D5725" s="117" t="s">
        <v>433</v>
      </c>
      <c r="E5725" s="42" t="s">
        <v>16040</v>
      </c>
      <c r="F5725" s="117" t="s">
        <v>16036</v>
      </c>
      <c r="G5725" s="10"/>
    </row>
    <row r="5726">
      <c r="A5726" s="38" t="s">
        <v>1113</v>
      </c>
      <c r="B5726" s="38" t="s">
        <v>81</v>
      </c>
      <c r="C5726" s="38">
        <v>4.0</v>
      </c>
      <c r="D5726" s="42" t="s">
        <v>7038</v>
      </c>
      <c r="E5726" s="42" t="s">
        <v>16041</v>
      </c>
      <c r="F5726" s="42" t="s">
        <v>16034</v>
      </c>
      <c r="G5726" s="10"/>
    </row>
    <row r="5727">
      <c r="A5727" s="38" t="s">
        <v>1113</v>
      </c>
      <c r="B5727" s="38" t="s">
        <v>81</v>
      </c>
      <c r="C5727" s="38">
        <v>4.0</v>
      </c>
      <c r="D5727" s="117" t="s">
        <v>7038</v>
      </c>
      <c r="E5727" s="42" t="s">
        <v>16042</v>
      </c>
      <c r="F5727" s="40" t="s">
        <v>16034</v>
      </c>
      <c r="G5727" s="10"/>
    </row>
    <row r="5728">
      <c r="A5728" s="173" t="s">
        <v>16043</v>
      </c>
      <c r="B5728" s="38" t="s">
        <v>876</v>
      </c>
      <c r="C5728" s="38">
        <v>4.0</v>
      </c>
      <c r="D5728" s="38" t="s">
        <v>16044</v>
      </c>
      <c r="E5728" s="42" t="s">
        <v>16045</v>
      </c>
      <c r="F5728" s="42" t="s">
        <v>16031</v>
      </c>
      <c r="G5728" s="10" t="s">
        <v>132</v>
      </c>
    </row>
    <row r="5729">
      <c r="A5729" s="2" t="s">
        <v>1113</v>
      </c>
      <c r="B5729" s="1" t="s">
        <v>22</v>
      </c>
      <c r="C5729" s="1">
        <v>2.0</v>
      </c>
      <c r="D5729" s="1" t="s">
        <v>16046</v>
      </c>
      <c r="E5729" s="1" t="s">
        <v>16047</v>
      </c>
      <c r="F5729" s="152" t="s">
        <v>1743</v>
      </c>
      <c r="G5729" s="10"/>
    </row>
    <row r="5730">
      <c r="A5730" s="2"/>
      <c r="B5730" s="22" t="s">
        <v>16048</v>
      </c>
      <c r="C5730" s="22" t="s">
        <v>16049</v>
      </c>
      <c r="E5730" s="1" t="s">
        <v>16047</v>
      </c>
      <c r="F5730" s="1" t="s">
        <v>16050</v>
      </c>
      <c r="G5730" s="10"/>
    </row>
    <row r="5731">
      <c r="A5731" s="2"/>
      <c r="B5731" s="1"/>
      <c r="C5731" s="1"/>
      <c r="D5731" s="1"/>
      <c r="E5731" s="1" t="s">
        <v>6378</v>
      </c>
      <c r="F5731" s="152" t="s">
        <v>16051</v>
      </c>
      <c r="G5731" s="10"/>
    </row>
    <row r="5732">
      <c r="A5732" s="38"/>
      <c r="B5732" s="38" t="s">
        <v>22</v>
      </c>
      <c r="C5732" s="38">
        <v>2.0</v>
      </c>
      <c r="D5732" s="38" t="s">
        <v>2121</v>
      </c>
      <c r="E5732" s="38" t="s">
        <v>16052</v>
      </c>
      <c r="F5732" s="42" t="s">
        <v>15999</v>
      </c>
      <c r="G5732" s="10"/>
    </row>
    <row r="5733">
      <c r="A5733" s="38" t="s">
        <v>1113</v>
      </c>
      <c r="B5733" s="38" t="s">
        <v>25</v>
      </c>
      <c r="C5733" s="38">
        <v>4.0</v>
      </c>
      <c r="D5733" s="38" t="s">
        <v>27</v>
      </c>
      <c r="E5733" s="38" t="s">
        <v>16053</v>
      </c>
      <c r="F5733" s="38" t="s">
        <v>6740</v>
      </c>
      <c r="G5733" s="10"/>
    </row>
    <row r="5734">
      <c r="A5734" s="38" t="s">
        <v>1113</v>
      </c>
      <c r="B5734" s="38" t="s">
        <v>205</v>
      </c>
      <c r="C5734" s="38">
        <v>4.0</v>
      </c>
      <c r="D5734" s="117" t="s">
        <v>545</v>
      </c>
      <c r="E5734" s="39" t="s">
        <v>16054</v>
      </c>
      <c r="F5734" s="117" t="s">
        <v>16055</v>
      </c>
      <c r="G5734" s="10"/>
    </row>
    <row r="5735">
      <c r="A5735" s="38" t="s">
        <v>1113</v>
      </c>
      <c r="B5735" s="38" t="s">
        <v>411</v>
      </c>
      <c r="C5735" s="38">
        <v>4.0</v>
      </c>
      <c r="D5735" s="117" t="s">
        <v>545</v>
      </c>
      <c r="E5735" s="42" t="s">
        <v>325</v>
      </c>
      <c r="F5735" s="117" t="s">
        <v>16056</v>
      </c>
      <c r="G5735" s="10"/>
    </row>
    <row r="5736">
      <c r="A5736" s="38" t="s">
        <v>1113</v>
      </c>
      <c r="B5736" s="38" t="s">
        <v>214</v>
      </c>
      <c r="C5736" s="38">
        <v>2.0</v>
      </c>
      <c r="D5736" s="117" t="s">
        <v>545</v>
      </c>
      <c r="E5736" s="38" t="s">
        <v>325</v>
      </c>
      <c r="F5736" s="38" t="s">
        <v>16057</v>
      </c>
    </row>
    <row r="5737">
      <c r="A5737" s="38" t="s">
        <v>1113</v>
      </c>
      <c r="B5737" s="38" t="s">
        <v>210</v>
      </c>
      <c r="C5737" s="38">
        <v>2.0</v>
      </c>
      <c r="D5737" s="117" t="s">
        <v>545</v>
      </c>
      <c r="E5737" s="38" t="s">
        <v>325</v>
      </c>
      <c r="F5737" s="38" t="s">
        <v>16057</v>
      </c>
    </row>
    <row r="5738">
      <c r="A5738" s="38"/>
      <c r="B5738" s="38" t="s">
        <v>214</v>
      </c>
      <c r="C5738" s="38">
        <v>2.0</v>
      </c>
      <c r="D5738" s="117" t="s">
        <v>545</v>
      </c>
      <c r="E5738" s="38" t="s">
        <v>16058</v>
      </c>
      <c r="F5738" s="38" t="s">
        <v>16059</v>
      </c>
      <c r="G5738" s="38" t="s">
        <v>16060</v>
      </c>
    </row>
    <row r="5739">
      <c r="A5739" s="38"/>
      <c r="B5739" s="38" t="s">
        <v>210</v>
      </c>
      <c r="C5739" s="38">
        <v>2.0</v>
      </c>
      <c r="D5739" s="117" t="s">
        <v>545</v>
      </c>
      <c r="E5739" s="38" t="s">
        <v>16058</v>
      </c>
      <c r="F5739" s="591" t="s">
        <v>16061</v>
      </c>
      <c r="G5739" s="38" t="s">
        <v>16060</v>
      </c>
    </row>
    <row r="5740">
      <c r="A5740" s="38" t="s">
        <v>133</v>
      </c>
      <c r="B5740" s="38" t="s">
        <v>77</v>
      </c>
      <c r="C5740" s="38">
        <v>4.0</v>
      </c>
      <c r="D5740" s="42" t="s">
        <v>50</v>
      </c>
      <c r="E5740" s="39" t="s">
        <v>2050</v>
      </c>
      <c r="F5740" s="42" t="s">
        <v>16062</v>
      </c>
      <c r="G5740" s="10"/>
    </row>
    <row r="5741">
      <c r="A5741" s="38" t="s">
        <v>133</v>
      </c>
      <c r="B5741" s="38" t="s">
        <v>85</v>
      </c>
      <c r="C5741" s="38">
        <v>4.0</v>
      </c>
      <c r="D5741" s="117" t="s">
        <v>16063</v>
      </c>
      <c r="E5741" s="42" t="s">
        <v>16064</v>
      </c>
      <c r="F5741" s="42" t="s">
        <v>2252</v>
      </c>
      <c r="G5741" s="10"/>
    </row>
    <row r="5742">
      <c r="A5742" s="38" t="s">
        <v>1113</v>
      </c>
      <c r="B5742" s="38" t="s">
        <v>4563</v>
      </c>
      <c r="C5742" s="38">
        <v>4.0</v>
      </c>
      <c r="D5742" s="117" t="s">
        <v>16065</v>
      </c>
      <c r="E5742" s="39" t="s">
        <v>16066</v>
      </c>
      <c r="F5742" s="117" t="s">
        <v>16067</v>
      </c>
      <c r="G5742" s="42" t="s">
        <v>16068</v>
      </c>
    </row>
    <row r="5743">
      <c r="A5743" s="38" t="s">
        <v>133</v>
      </c>
      <c r="B5743" s="38" t="s">
        <v>210</v>
      </c>
      <c r="C5743" s="38">
        <v>4.0</v>
      </c>
      <c r="D5743" s="42" t="s">
        <v>16069</v>
      </c>
      <c r="E5743" s="42" t="s">
        <v>2546</v>
      </c>
      <c r="F5743" s="42"/>
      <c r="G5743" s="10"/>
    </row>
    <row r="5744">
      <c r="A5744" s="38" t="s">
        <v>1113</v>
      </c>
      <c r="B5744" s="38" t="s">
        <v>876</v>
      </c>
      <c r="C5744" s="38">
        <v>4.0</v>
      </c>
      <c r="D5744" s="117" t="s">
        <v>2389</v>
      </c>
      <c r="E5744" s="42" t="s">
        <v>16070</v>
      </c>
      <c r="F5744" s="117" t="s">
        <v>175</v>
      </c>
      <c r="G5744" s="42" t="s">
        <v>16071</v>
      </c>
    </row>
    <row r="5745">
      <c r="A5745" s="38" t="s">
        <v>133</v>
      </c>
      <c r="B5745" s="38" t="s">
        <v>261</v>
      </c>
      <c r="C5745" s="38">
        <v>4.0</v>
      </c>
      <c r="D5745" s="117" t="s">
        <v>8060</v>
      </c>
      <c r="E5745" s="91" t="s">
        <v>16072</v>
      </c>
      <c r="F5745" s="117" t="s">
        <v>16073</v>
      </c>
      <c r="G5745" s="10"/>
    </row>
    <row r="5746">
      <c r="A5746" s="38" t="s">
        <v>133</v>
      </c>
      <c r="B5746" s="38" t="s">
        <v>103</v>
      </c>
      <c r="C5746" s="38">
        <v>4.0</v>
      </c>
      <c r="D5746" s="38" t="s">
        <v>672</v>
      </c>
      <c r="E5746" s="42" t="s">
        <v>873</v>
      </c>
      <c r="F5746" s="117" t="s">
        <v>16074</v>
      </c>
      <c r="G5746" s="42" t="s">
        <v>16075</v>
      </c>
    </row>
    <row r="5747">
      <c r="A5747" s="38"/>
      <c r="B5747" s="38" t="s">
        <v>103</v>
      </c>
      <c r="C5747" s="38">
        <v>0.0</v>
      </c>
      <c r="D5747" s="38" t="s">
        <v>672</v>
      </c>
      <c r="E5747" s="42" t="s">
        <v>16076</v>
      </c>
      <c r="F5747" s="117" t="s">
        <v>16077</v>
      </c>
      <c r="G5747" s="42" t="s">
        <v>501</v>
      </c>
    </row>
    <row r="5748">
      <c r="A5748" s="4">
        <v>53816.0</v>
      </c>
      <c r="B5748" s="38" t="s">
        <v>271</v>
      </c>
      <c r="C5748" s="38">
        <v>4.0</v>
      </c>
      <c r="D5748" s="38" t="s">
        <v>2671</v>
      </c>
      <c r="E5748" s="38" t="s">
        <v>16078</v>
      </c>
      <c r="F5748" s="38" t="s">
        <v>16079</v>
      </c>
      <c r="G5748" s="10" t="s">
        <v>16080</v>
      </c>
    </row>
    <row r="5749">
      <c r="A5749" s="2">
        <v>44038.0</v>
      </c>
      <c r="B5749" s="38" t="s">
        <v>266</v>
      </c>
      <c r="C5749" s="38">
        <v>4.0</v>
      </c>
      <c r="D5749" s="117" t="s">
        <v>6571</v>
      </c>
      <c r="E5749" s="42" t="s">
        <v>1873</v>
      </c>
      <c r="F5749" s="117" t="s">
        <v>16081</v>
      </c>
      <c r="G5749" s="10" t="s">
        <v>16082</v>
      </c>
    </row>
    <row r="5750">
      <c r="A5750" s="38" t="s">
        <v>133</v>
      </c>
      <c r="B5750" s="38" t="s">
        <v>183</v>
      </c>
      <c r="C5750" s="38">
        <v>2.0</v>
      </c>
      <c r="D5750" s="38" t="s">
        <v>672</v>
      </c>
      <c r="E5750" s="47" t="s">
        <v>16083</v>
      </c>
      <c r="F5750" s="117" t="s">
        <v>16084</v>
      </c>
      <c r="G5750" s="42" t="s">
        <v>2252</v>
      </c>
    </row>
    <row r="5751">
      <c r="A5751" s="38" t="s">
        <v>133</v>
      </c>
      <c r="B5751" s="38" t="s">
        <v>411</v>
      </c>
      <c r="C5751" s="38">
        <v>2.0</v>
      </c>
      <c r="D5751" s="38" t="s">
        <v>672</v>
      </c>
      <c r="E5751" s="47" t="s">
        <v>16083</v>
      </c>
      <c r="F5751" s="117"/>
      <c r="G5751" s="42"/>
    </row>
    <row r="5752">
      <c r="A5752" s="38" t="s">
        <v>133</v>
      </c>
      <c r="B5752" s="38" t="s">
        <v>4061</v>
      </c>
      <c r="C5752" s="38">
        <v>4.0</v>
      </c>
      <c r="D5752" s="117" t="s">
        <v>684</v>
      </c>
      <c r="E5752" s="42" t="s">
        <v>1141</v>
      </c>
      <c r="F5752" s="117" t="s">
        <v>16085</v>
      </c>
      <c r="G5752" s="42" t="s">
        <v>16086</v>
      </c>
    </row>
    <row r="5753">
      <c r="A5753" s="592" t="s">
        <v>16087</v>
      </c>
      <c r="B5753" s="38" t="s">
        <v>31</v>
      </c>
      <c r="C5753" s="38">
        <v>4.0</v>
      </c>
      <c r="D5753" s="38" t="s">
        <v>14965</v>
      </c>
      <c r="E5753" s="42" t="s">
        <v>9701</v>
      </c>
      <c r="F5753" s="42" t="s">
        <v>16088</v>
      </c>
      <c r="G5753" s="10" t="s">
        <v>16089</v>
      </c>
    </row>
    <row r="5754">
      <c r="A5754" s="56"/>
      <c r="B5754" s="38" t="s">
        <v>22</v>
      </c>
      <c r="C5754" s="38">
        <v>4.0</v>
      </c>
      <c r="D5754" s="117" t="s">
        <v>2121</v>
      </c>
      <c r="E5754" s="42" t="s">
        <v>16090</v>
      </c>
      <c r="F5754" s="117" t="s">
        <v>16091</v>
      </c>
      <c r="G5754" s="10"/>
    </row>
    <row r="5755">
      <c r="A5755" s="2" t="s">
        <v>16092</v>
      </c>
      <c r="B5755" s="38" t="s">
        <v>1183</v>
      </c>
      <c r="C5755" s="38">
        <v>2.0</v>
      </c>
      <c r="D5755" s="117" t="s">
        <v>16093</v>
      </c>
      <c r="E5755" s="42" t="s">
        <v>418</v>
      </c>
      <c r="F5755" s="117" t="s">
        <v>16094</v>
      </c>
      <c r="G5755" s="10"/>
    </row>
    <row r="5756">
      <c r="A5756" s="2" t="s">
        <v>16092</v>
      </c>
      <c r="B5756" s="38" t="s">
        <v>128</v>
      </c>
      <c r="C5756" s="38">
        <v>2.0</v>
      </c>
      <c r="D5756" s="117" t="s">
        <v>16093</v>
      </c>
      <c r="E5756" s="42" t="s">
        <v>418</v>
      </c>
      <c r="F5756" s="117" t="s">
        <v>16094</v>
      </c>
      <c r="G5756" s="10" t="s">
        <v>221</v>
      </c>
    </row>
    <row r="5757">
      <c r="A5757" s="8"/>
      <c r="B5757" s="38" t="s">
        <v>22</v>
      </c>
      <c r="C5757" s="38">
        <v>4.0</v>
      </c>
      <c r="D5757" s="42" t="s">
        <v>6192</v>
      </c>
      <c r="E5757" s="42" t="s">
        <v>7371</v>
      </c>
      <c r="F5757" s="42" t="s">
        <v>16095</v>
      </c>
      <c r="G5757" s="10"/>
    </row>
    <row r="5758">
      <c r="B5758" s="38" t="s">
        <v>4405</v>
      </c>
      <c r="C5758" s="38">
        <v>4.0</v>
      </c>
      <c r="D5758" s="42" t="s">
        <v>13157</v>
      </c>
      <c r="E5758" s="42" t="s">
        <v>16096</v>
      </c>
      <c r="F5758" s="42"/>
      <c r="G5758" s="10"/>
    </row>
    <row r="5759">
      <c r="B5759" s="38" t="s">
        <v>1296</v>
      </c>
      <c r="C5759" s="38">
        <v>4.0</v>
      </c>
      <c r="D5759" s="42" t="s">
        <v>272</v>
      </c>
      <c r="E5759" s="42" t="s">
        <v>16097</v>
      </c>
      <c r="F5759" s="42" t="s">
        <v>15915</v>
      </c>
      <c r="G5759" s="10"/>
    </row>
    <row r="5760">
      <c r="B5760" s="38" t="s">
        <v>25</v>
      </c>
      <c r="C5760" s="38">
        <v>1.0</v>
      </c>
      <c r="D5760" s="38" t="s">
        <v>545</v>
      </c>
      <c r="E5760" s="42" t="s">
        <v>16098</v>
      </c>
      <c r="F5760" s="117"/>
      <c r="G5760" s="10"/>
    </row>
    <row r="5761">
      <c r="B5761" s="38" t="s">
        <v>7845</v>
      </c>
      <c r="C5761" s="38">
        <v>4.0</v>
      </c>
      <c r="D5761" s="38" t="s">
        <v>16099</v>
      </c>
      <c r="E5761" s="42" t="s">
        <v>16100</v>
      </c>
      <c r="F5761" s="42" t="s">
        <v>10198</v>
      </c>
      <c r="G5761" s="10"/>
    </row>
    <row r="5762">
      <c r="B5762" s="44"/>
      <c r="C5762" s="47"/>
      <c r="D5762" s="47" t="s">
        <v>16101</v>
      </c>
      <c r="E5762" s="47" t="s">
        <v>16102</v>
      </c>
      <c r="F5762" s="42"/>
      <c r="G5762" s="10"/>
    </row>
    <row r="5763">
      <c r="B5763" s="38" t="s">
        <v>16103</v>
      </c>
      <c r="C5763" s="47" t="s">
        <v>16104</v>
      </c>
      <c r="D5763" s="47" t="s">
        <v>16105</v>
      </c>
      <c r="E5763" s="47" t="s">
        <v>16106</v>
      </c>
      <c r="F5763" s="117"/>
      <c r="G5763" s="10"/>
    </row>
    <row r="5764">
      <c r="A5764" s="44"/>
      <c r="B5764" s="38" t="s">
        <v>85</v>
      </c>
      <c r="C5764" s="38">
        <v>4.0</v>
      </c>
      <c r="D5764" s="38" t="s">
        <v>123</v>
      </c>
      <c r="E5764" s="42" t="s">
        <v>16107</v>
      </c>
      <c r="F5764" s="42" t="s">
        <v>16108</v>
      </c>
      <c r="G5764" s="10"/>
    </row>
    <row r="5765">
      <c r="A5765" s="65">
        <v>45483.0</v>
      </c>
      <c r="B5765" s="38"/>
      <c r="C5765" s="38"/>
      <c r="D5765" s="38"/>
      <c r="E5765" s="42" t="s">
        <v>16107</v>
      </c>
      <c r="F5765" s="42" t="s">
        <v>16109</v>
      </c>
      <c r="G5765" s="10"/>
    </row>
    <row r="5766">
      <c r="A5766" s="44"/>
      <c r="B5766" s="114" t="s">
        <v>16110</v>
      </c>
      <c r="C5766" s="114" t="s">
        <v>16111</v>
      </c>
      <c r="D5766" s="114" t="s">
        <v>16112</v>
      </c>
      <c r="E5766" s="42" t="s">
        <v>16107</v>
      </c>
      <c r="F5766" s="42"/>
      <c r="G5766" s="10"/>
    </row>
    <row r="5767">
      <c r="A5767" s="44"/>
      <c r="B5767" s="38" t="s">
        <v>16113</v>
      </c>
      <c r="C5767" s="114" t="s">
        <v>724</v>
      </c>
      <c r="D5767" s="114" t="s">
        <v>16114</v>
      </c>
      <c r="E5767" s="42" t="s">
        <v>16107</v>
      </c>
      <c r="F5767" s="42"/>
      <c r="G5767" s="10"/>
    </row>
    <row r="5768">
      <c r="B5768" s="38" t="s">
        <v>1471</v>
      </c>
      <c r="C5768" s="38" t="s">
        <v>1472</v>
      </c>
      <c r="D5768" s="38" t="s">
        <v>16115</v>
      </c>
      <c r="E5768" s="38" t="s">
        <v>392</v>
      </c>
      <c r="F5768" s="117"/>
      <c r="G5768" s="42" t="s">
        <v>16116</v>
      </c>
    </row>
    <row r="5769">
      <c r="B5769" s="44"/>
      <c r="C5769" s="38" t="s">
        <v>16117</v>
      </c>
      <c r="D5769" s="47"/>
      <c r="E5769" s="38" t="s">
        <v>392</v>
      </c>
      <c r="F5769" s="117" t="s">
        <v>1542</v>
      </c>
      <c r="G5769" s="42" t="s">
        <v>16116</v>
      </c>
    </row>
    <row r="5770">
      <c r="B5770" s="38" t="s">
        <v>4044</v>
      </c>
      <c r="C5770" s="38">
        <v>1.0</v>
      </c>
      <c r="D5770" s="38" t="s">
        <v>16118</v>
      </c>
      <c r="E5770" s="47" t="s">
        <v>16119</v>
      </c>
      <c r="F5770" s="117" t="s">
        <v>16120</v>
      </c>
      <c r="G5770" s="10"/>
    </row>
    <row r="5771">
      <c r="B5771" s="38" t="s">
        <v>2333</v>
      </c>
      <c r="C5771" s="38">
        <v>4.0</v>
      </c>
      <c r="D5771" s="38" t="s">
        <v>882</v>
      </c>
      <c r="E5771" s="42" t="s">
        <v>873</v>
      </c>
      <c r="F5771" s="42" t="s">
        <v>16121</v>
      </c>
      <c r="G5771" s="10"/>
    </row>
    <row r="5772">
      <c r="A5772" s="44"/>
      <c r="B5772" s="38" t="s">
        <v>3752</v>
      </c>
      <c r="C5772" s="38">
        <v>1.0</v>
      </c>
      <c r="D5772" s="38" t="s">
        <v>1094</v>
      </c>
      <c r="E5772" s="42" t="s">
        <v>1098</v>
      </c>
      <c r="F5772" s="117" t="s">
        <v>16122</v>
      </c>
      <c r="G5772" s="42" t="s">
        <v>16123</v>
      </c>
    </row>
    <row r="5773">
      <c r="A5773" s="44"/>
      <c r="B5773" s="38" t="s">
        <v>3752</v>
      </c>
      <c r="C5773" s="38">
        <v>1.0</v>
      </c>
      <c r="D5773" s="38" t="s">
        <v>1094</v>
      </c>
      <c r="E5773" s="42" t="s">
        <v>1098</v>
      </c>
      <c r="F5773" s="117" t="s">
        <v>16124</v>
      </c>
      <c r="G5773" s="42" t="s">
        <v>16123</v>
      </c>
    </row>
    <row r="5774">
      <c r="B5774" s="38" t="s">
        <v>354</v>
      </c>
      <c r="C5774" s="38">
        <v>4.0</v>
      </c>
      <c r="D5774" s="38" t="s">
        <v>2021</v>
      </c>
      <c r="E5774" s="101" t="s">
        <v>16125</v>
      </c>
      <c r="F5774" s="117" t="s">
        <v>1470</v>
      </c>
      <c r="G5774" s="42"/>
    </row>
    <row r="5775">
      <c r="B5775" s="38" t="s">
        <v>1010</v>
      </c>
      <c r="C5775" s="38">
        <v>4.0</v>
      </c>
      <c r="D5775" s="38" t="s">
        <v>1382</v>
      </c>
      <c r="E5775" s="42" t="s">
        <v>16126</v>
      </c>
      <c r="F5775" s="117" t="s">
        <v>1822</v>
      </c>
      <c r="G5775" s="10"/>
    </row>
    <row r="5776">
      <c r="B5776" s="38" t="s">
        <v>38</v>
      </c>
      <c r="C5776" s="38">
        <v>4.0</v>
      </c>
      <c r="D5776" s="117" t="s">
        <v>13601</v>
      </c>
      <c r="E5776" s="42" t="s">
        <v>15072</v>
      </c>
      <c r="F5776" s="44"/>
      <c r="G5776" s="117">
        <v>780.0</v>
      </c>
    </row>
    <row r="5777">
      <c r="B5777" s="44"/>
      <c r="C5777" s="47" t="s">
        <v>16127</v>
      </c>
      <c r="D5777" s="38" t="s">
        <v>16128</v>
      </c>
      <c r="E5777" s="132" t="s">
        <v>16129</v>
      </c>
      <c r="F5777" s="38" t="s">
        <v>16130</v>
      </c>
      <c r="G5777" s="38">
        <v>97.0</v>
      </c>
    </row>
    <row r="5778">
      <c r="B5778" s="44"/>
      <c r="C5778" s="38"/>
      <c r="D5778" s="38" t="s">
        <v>16131</v>
      </c>
      <c r="E5778" s="132" t="s">
        <v>16129</v>
      </c>
      <c r="F5778" s="38" t="s">
        <v>16132</v>
      </c>
      <c r="G5778" s="38">
        <v>120.0</v>
      </c>
    </row>
    <row r="5779">
      <c r="B5779" s="44"/>
      <c r="C5779" s="353" t="s">
        <v>16133</v>
      </c>
      <c r="D5779" s="47" t="s">
        <v>16134</v>
      </c>
      <c r="E5779" s="42" t="s">
        <v>16135</v>
      </c>
      <c r="F5779" s="44"/>
      <c r="G5779" s="38">
        <v>160.0</v>
      </c>
    </row>
    <row r="5780">
      <c r="B5780" s="44"/>
      <c r="C5780" s="38" t="s">
        <v>16136</v>
      </c>
      <c r="D5780" s="38" t="s">
        <v>16137</v>
      </c>
      <c r="E5780" s="42" t="s">
        <v>16135</v>
      </c>
      <c r="F5780" s="44"/>
      <c r="G5780" s="117">
        <v>129.0</v>
      </c>
    </row>
    <row r="5781">
      <c r="B5781" s="38" t="s">
        <v>16138</v>
      </c>
      <c r="C5781" s="38" t="s">
        <v>16139</v>
      </c>
      <c r="D5781" s="38" t="s">
        <v>14098</v>
      </c>
      <c r="E5781" s="42" t="s">
        <v>16135</v>
      </c>
      <c r="F5781" s="44"/>
      <c r="G5781" s="117">
        <v>39.0</v>
      </c>
    </row>
    <row r="5782">
      <c r="B5782" s="38"/>
      <c r="C5782" s="38"/>
      <c r="D5782" s="38" t="s">
        <v>16140</v>
      </c>
      <c r="E5782" s="42" t="s">
        <v>16135</v>
      </c>
      <c r="F5782" s="44"/>
      <c r="G5782" s="117">
        <v>30.0</v>
      </c>
    </row>
    <row r="5783">
      <c r="B5783" s="38"/>
      <c r="C5783" s="38" t="s">
        <v>16141</v>
      </c>
      <c r="D5783" s="38" t="s">
        <v>16142</v>
      </c>
      <c r="E5783" s="42" t="s">
        <v>16135</v>
      </c>
      <c r="F5783" s="44"/>
      <c r="G5783" s="117">
        <v>35.0</v>
      </c>
    </row>
    <row r="5784">
      <c r="B5784" s="38"/>
      <c r="C5784" s="38"/>
      <c r="D5784" s="38" t="s">
        <v>16143</v>
      </c>
      <c r="E5784" s="42" t="s">
        <v>16135</v>
      </c>
      <c r="F5784" s="44"/>
      <c r="G5784" s="117">
        <v>80.0</v>
      </c>
    </row>
    <row r="5785">
      <c r="B5785" s="38"/>
      <c r="C5785" s="38" t="s">
        <v>16144</v>
      </c>
      <c r="D5785" s="117" t="s">
        <v>16145</v>
      </c>
      <c r="E5785" s="42" t="s">
        <v>16135</v>
      </c>
      <c r="F5785" s="44"/>
      <c r="G5785" s="117">
        <v>140.0</v>
      </c>
    </row>
    <row r="5786">
      <c r="B5786" s="38"/>
      <c r="C5786" s="38"/>
      <c r="D5786" s="117"/>
      <c r="E5786" s="42" t="s">
        <v>16135</v>
      </c>
      <c r="F5786" s="117" t="s">
        <v>16146</v>
      </c>
      <c r="G5786" s="42">
        <v>60.0</v>
      </c>
    </row>
    <row r="5787">
      <c r="B5787" s="38"/>
      <c r="C5787" s="38"/>
      <c r="D5787" s="117"/>
      <c r="E5787" s="42" t="s">
        <v>16135</v>
      </c>
      <c r="F5787" s="117" t="s">
        <v>16147</v>
      </c>
      <c r="G5787" s="42">
        <v>190.0</v>
      </c>
    </row>
    <row r="5788">
      <c r="B5788" s="38"/>
      <c r="C5788" s="38"/>
      <c r="D5788" s="117"/>
      <c r="E5788" s="42" t="s">
        <v>16135</v>
      </c>
      <c r="F5788" s="117" t="s">
        <v>16148</v>
      </c>
      <c r="G5788" s="42">
        <v>50.0</v>
      </c>
    </row>
    <row r="5789">
      <c r="B5789" s="38"/>
      <c r="C5789" s="38"/>
      <c r="D5789" s="117"/>
      <c r="E5789" s="42" t="s">
        <v>16135</v>
      </c>
      <c r="F5789" s="117" t="s">
        <v>16149</v>
      </c>
      <c r="G5789" s="42">
        <v>65.0</v>
      </c>
    </row>
    <row r="5790">
      <c r="B5790" s="38"/>
      <c r="C5790" s="38"/>
      <c r="D5790" s="117"/>
      <c r="E5790" s="42" t="s">
        <v>16135</v>
      </c>
      <c r="F5790" s="117" t="s">
        <v>4420</v>
      </c>
      <c r="G5790" s="42">
        <v>100.0</v>
      </c>
    </row>
    <row r="5791">
      <c r="B5791" s="38"/>
      <c r="C5791" s="38"/>
      <c r="D5791" s="117"/>
      <c r="E5791" s="42" t="s">
        <v>16135</v>
      </c>
      <c r="F5791" s="117" t="s">
        <v>16150</v>
      </c>
      <c r="G5791" s="42">
        <v>50.0</v>
      </c>
    </row>
    <row r="5792">
      <c r="B5792" s="38"/>
      <c r="C5792" s="38"/>
      <c r="D5792" s="117"/>
      <c r="E5792" s="42" t="s">
        <v>16135</v>
      </c>
      <c r="F5792" s="38" t="s">
        <v>16151</v>
      </c>
      <c r="G5792" s="42">
        <v>85.0</v>
      </c>
    </row>
    <row r="5793">
      <c r="B5793" s="38" t="s">
        <v>16152</v>
      </c>
      <c r="C5793" s="38" t="s">
        <v>16153</v>
      </c>
      <c r="D5793" s="38" t="s">
        <v>16154</v>
      </c>
      <c r="E5793" s="39" t="s">
        <v>16155</v>
      </c>
      <c r="F5793" s="117" t="s">
        <v>16156</v>
      </c>
      <c r="G5793" s="42" t="s">
        <v>16157</v>
      </c>
    </row>
    <row r="5794">
      <c r="B5794" s="44"/>
      <c r="C5794" s="47"/>
      <c r="D5794" s="38" t="s">
        <v>16158</v>
      </c>
      <c r="E5794" s="39" t="s">
        <v>16155</v>
      </c>
      <c r="F5794" s="117" t="s">
        <v>16159</v>
      </c>
      <c r="G5794" s="42" t="s">
        <v>16157</v>
      </c>
    </row>
    <row r="5795">
      <c r="B5795" s="44"/>
      <c r="C5795" s="47"/>
      <c r="D5795" s="38"/>
      <c r="E5795" s="39" t="s">
        <v>16155</v>
      </c>
      <c r="F5795" s="117" t="s">
        <v>16160</v>
      </c>
      <c r="G5795" s="42" t="s">
        <v>16157</v>
      </c>
    </row>
    <row r="5796">
      <c r="B5796" s="44"/>
      <c r="C5796" s="47"/>
      <c r="D5796" s="38" t="s">
        <v>16161</v>
      </c>
      <c r="E5796" s="42" t="s">
        <v>720</v>
      </c>
      <c r="F5796" s="117" t="s">
        <v>1388</v>
      </c>
      <c r="G5796" s="42" t="s">
        <v>16162</v>
      </c>
    </row>
    <row r="5797">
      <c r="B5797" s="38" t="s">
        <v>789</v>
      </c>
      <c r="C5797" s="38">
        <v>4.0</v>
      </c>
      <c r="D5797" s="38" t="s">
        <v>167</v>
      </c>
      <c r="E5797" s="39" t="s">
        <v>15990</v>
      </c>
      <c r="F5797" s="117" t="s">
        <v>338</v>
      </c>
      <c r="G5797" s="10"/>
    </row>
    <row r="5798">
      <c r="A5798" s="44"/>
      <c r="B5798" s="44"/>
      <c r="C5798" s="47"/>
      <c r="D5798" s="38" t="s">
        <v>16163</v>
      </c>
      <c r="E5798" s="42" t="s">
        <v>16164</v>
      </c>
      <c r="F5798" s="117" t="s">
        <v>16165</v>
      </c>
      <c r="G5798" s="42" t="s">
        <v>15892</v>
      </c>
    </row>
    <row r="5799">
      <c r="A5799" s="44"/>
      <c r="B5799" s="44"/>
      <c r="C5799" s="47"/>
      <c r="D5799" s="38" t="s">
        <v>16166</v>
      </c>
      <c r="E5799" s="42" t="s">
        <v>16164</v>
      </c>
      <c r="F5799" s="117" t="s">
        <v>16167</v>
      </c>
      <c r="G5799" s="42" t="s">
        <v>15892</v>
      </c>
    </row>
    <row r="5800">
      <c r="B5800" s="38" t="s">
        <v>43</v>
      </c>
      <c r="C5800" s="38">
        <v>2.0</v>
      </c>
      <c r="D5800" s="38" t="s">
        <v>6073</v>
      </c>
      <c r="E5800" s="39" t="s">
        <v>5294</v>
      </c>
      <c r="F5800" s="42" t="s">
        <v>16168</v>
      </c>
      <c r="G5800" s="10"/>
    </row>
    <row r="5801">
      <c r="B5801" s="38" t="s">
        <v>875</v>
      </c>
      <c r="C5801" s="38">
        <v>2.0</v>
      </c>
      <c r="D5801" s="38" t="s">
        <v>1133</v>
      </c>
      <c r="E5801" s="42" t="s">
        <v>396</v>
      </c>
      <c r="F5801" s="117" t="s">
        <v>16169</v>
      </c>
      <c r="G5801" s="42" t="s">
        <v>13902</v>
      </c>
    </row>
    <row r="5802">
      <c r="B5802" s="44"/>
      <c r="C5802" s="38">
        <v>1.0</v>
      </c>
      <c r="D5802" s="38" t="s">
        <v>16170</v>
      </c>
      <c r="E5802" s="42" t="s">
        <v>9229</v>
      </c>
      <c r="F5802" s="42" t="s">
        <v>16171</v>
      </c>
      <c r="G5802" s="10"/>
    </row>
    <row r="5803">
      <c r="B5803" s="586" t="s">
        <v>16172</v>
      </c>
      <c r="C5803" s="38" t="s">
        <v>16173</v>
      </c>
      <c r="D5803" s="38" t="s">
        <v>2511</v>
      </c>
      <c r="E5803" s="38" t="s">
        <v>16174</v>
      </c>
      <c r="F5803" s="42"/>
      <c r="G5803" s="10"/>
    </row>
    <row r="5804">
      <c r="B5804" s="44"/>
      <c r="C5804" s="47"/>
      <c r="D5804" s="38" t="s">
        <v>16175</v>
      </c>
      <c r="E5804" s="38" t="s">
        <v>16174</v>
      </c>
      <c r="F5804" s="42"/>
      <c r="G5804" s="10"/>
    </row>
    <row r="5805">
      <c r="C5805" s="4"/>
      <c r="D5805" s="4"/>
      <c r="E5805" s="10" t="s">
        <v>974</v>
      </c>
      <c r="F5805" s="152" t="s">
        <v>16176</v>
      </c>
      <c r="G5805" s="10" t="s">
        <v>144</v>
      </c>
    </row>
    <row r="5806">
      <c r="B5806" s="38" t="s">
        <v>41</v>
      </c>
      <c r="C5806" s="38">
        <v>4.0</v>
      </c>
      <c r="D5806" s="38" t="s">
        <v>15654</v>
      </c>
      <c r="E5806" s="42" t="s">
        <v>2386</v>
      </c>
      <c r="F5806" s="42" t="s">
        <v>16177</v>
      </c>
      <c r="G5806" s="10"/>
    </row>
    <row r="5807">
      <c r="B5807" s="44"/>
      <c r="C5807" s="47"/>
      <c r="D5807" s="38" t="s">
        <v>16178</v>
      </c>
      <c r="E5807" s="42" t="s">
        <v>9397</v>
      </c>
      <c r="F5807" s="42" t="s">
        <v>16179</v>
      </c>
      <c r="G5807" s="10"/>
    </row>
    <row r="5808">
      <c r="C5808" s="47" t="s">
        <v>16180</v>
      </c>
      <c r="D5808" s="527" t="s">
        <v>16181</v>
      </c>
      <c r="E5808" s="42" t="s">
        <v>16182</v>
      </c>
      <c r="F5808" s="117"/>
      <c r="G5808" s="10"/>
    </row>
    <row r="5809">
      <c r="B5809" s="38" t="s">
        <v>789</v>
      </c>
      <c r="C5809" s="38">
        <v>6.0</v>
      </c>
      <c r="D5809" s="38" t="s">
        <v>13219</v>
      </c>
      <c r="E5809" s="38" t="s">
        <v>11606</v>
      </c>
      <c r="F5809" s="44"/>
      <c r="G5809" s="10"/>
    </row>
    <row r="5810">
      <c r="B5810" s="44"/>
      <c r="C5810" s="593" t="s">
        <v>16183</v>
      </c>
      <c r="D5810" s="124">
        <v>577400.0</v>
      </c>
      <c r="E5810" s="42" t="s">
        <v>16184</v>
      </c>
      <c r="F5810" s="42" t="s">
        <v>1470</v>
      </c>
      <c r="G5810" s="10"/>
    </row>
    <row r="5811">
      <c r="B5811" s="1" t="s">
        <v>16185</v>
      </c>
      <c r="C5811" s="1">
        <v>4.0</v>
      </c>
      <c r="D5811" s="1" t="s">
        <v>3926</v>
      </c>
      <c r="E5811" s="10" t="s">
        <v>371</v>
      </c>
      <c r="F5811" s="152" t="s">
        <v>16186</v>
      </c>
      <c r="G5811" s="10" t="s">
        <v>144</v>
      </c>
    </row>
    <row r="5812">
      <c r="B5812" s="1"/>
      <c r="C5812" s="1"/>
      <c r="D5812" s="1"/>
      <c r="E5812" s="10" t="s">
        <v>371</v>
      </c>
      <c r="F5812" s="152" t="s">
        <v>16187</v>
      </c>
      <c r="G5812" s="10" t="s">
        <v>144</v>
      </c>
    </row>
    <row r="5813">
      <c r="B5813" s="38" t="s">
        <v>4405</v>
      </c>
      <c r="C5813" s="38">
        <v>4.0</v>
      </c>
      <c r="D5813" s="38" t="s">
        <v>123</v>
      </c>
      <c r="E5813" s="42" t="s">
        <v>16188</v>
      </c>
      <c r="F5813" s="117" t="s">
        <v>16189</v>
      </c>
      <c r="G5813" s="10"/>
    </row>
    <row r="5814">
      <c r="B5814" s="44"/>
      <c r="C5814" s="38">
        <v>1.0</v>
      </c>
      <c r="D5814" s="85" t="s">
        <v>16190</v>
      </c>
      <c r="E5814" s="38" t="s">
        <v>16191</v>
      </c>
      <c r="F5814" s="42" t="s">
        <v>16192</v>
      </c>
      <c r="G5814" s="10"/>
    </row>
    <row r="5815">
      <c r="B5815" s="38" t="s">
        <v>1010</v>
      </c>
      <c r="C5815" s="38">
        <v>2.0</v>
      </c>
      <c r="D5815" s="38" t="s">
        <v>1109</v>
      </c>
      <c r="E5815" s="42" t="s">
        <v>14553</v>
      </c>
      <c r="F5815" s="42" t="s">
        <v>16193</v>
      </c>
      <c r="G5815" s="10"/>
    </row>
    <row r="5816">
      <c r="B5816" s="38" t="s">
        <v>1010</v>
      </c>
      <c r="C5816" s="38">
        <v>2.0</v>
      </c>
      <c r="D5816" s="38" t="s">
        <v>16194</v>
      </c>
      <c r="E5816" s="42" t="s">
        <v>14553</v>
      </c>
      <c r="F5816" s="42" t="s">
        <v>16193</v>
      </c>
      <c r="G5816" s="10"/>
    </row>
    <row r="5817">
      <c r="C5817" s="4"/>
      <c r="D5817" s="1" t="s">
        <v>16195</v>
      </c>
      <c r="E5817" s="10" t="s">
        <v>974</v>
      </c>
      <c r="F5817" s="152" t="s">
        <v>16196</v>
      </c>
      <c r="G5817" s="10" t="s">
        <v>144</v>
      </c>
    </row>
    <row r="5818">
      <c r="C5818" s="4"/>
      <c r="D5818" s="1"/>
      <c r="E5818" s="10" t="s">
        <v>974</v>
      </c>
      <c r="F5818" s="152" t="s">
        <v>16197</v>
      </c>
      <c r="G5818" s="10" t="s">
        <v>144</v>
      </c>
    </row>
    <row r="5819">
      <c r="A5819" s="44"/>
      <c r="B5819" s="44"/>
      <c r="C5819" s="47"/>
      <c r="D5819" s="47"/>
      <c r="E5819" s="42" t="s">
        <v>413</v>
      </c>
      <c r="F5819" s="117" t="s">
        <v>16198</v>
      </c>
      <c r="G5819" s="42" t="s">
        <v>16199</v>
      </c>
    </row>
    <row r="5820">
      <c r="A5820" s="44"/>
      <c r="B5820" s="44"/>
      <c r="C5820" s="47"/>
      <c r="D5820" s="47"/>
      <c r="E5820" s="42" t="s">
        <v>413</v>
      </c>
      <c r="F5820" s="117" t="s">
        <v>16200</v>
      </c>
      <c r="G5820" s="42" t="s">
        <v>16199</v>
      </c>
    </row>
    <row r="5821">
      <c r="B5821" s="44"/>
      <c r="C5821" s="38">
        <v>1.0</v>
      </c>
      <c r="D5821" s="38" t="s">
        <v>16201</v>
      </c>
      <c r="E5821" s="47" t="s">
        <v>16202</v>
      </c>
      <c r="F5821" s="42" t="s">
        <v>12268</v>
      </c>
      <c r="G5821" s="10"/>
    </row>
    <row r="5822">
      <c r="B5822" s="38" t="s">
        <v>271</v>
      </c>
      <c r="C5822" s="38">
        <v>1.0</v>
      </c>
      <c r="D5822" s="38" t="s">
        <v>6192</v>
      </c>
      <c r="E5822" s="40" t="s">
        <v>16203</v>
      </c>
      <c r="F5822" s="594" t="s">
        <v>16204</v>
      </c>
      <c r="G5822" s="10"/>
    </row>
    <row r="5823">
      <c r="A5823" s="44"/>
      <c r="B5823" s="38" t="s">
        <v>261</v>
      </c>
      <c r="C5823" s="38">
        <v>4.0</v>
      </c>
      <c r="D5823" s="38" t="s">
        <v>27</v>
      </c>
      <c r="E5823" s="42" t="s">
        <v>16205</v>
      </c>
      <c r="F5823" s="42" t="s">
        <v>16206</v>
      </c>
      <c r="G5823" s="10"/>
    </row>
    <row r="5824">
      <c r="B5824" s="38" t="s">
        <v>549</v>
      </c>
      <c r="C5824" s="38">
        <v>4.0</v>
      </c>
      <c r="D5824" s="38" t="s">
        <v>16207</v>
      </c>
      <c r="E5824" s="39" t="s">
        <v>1401</v>
      </c>
      <c r="F5824" s="42" t="s">
        <v>16208</v>
      </c>
      <c r="G5824" s="10"/>
    </row>
    <row r="5825">
      <c r="B5825" s="38" t="s">
        <v>416</v>
      </c>
      <c r="C5825" s="38">
        <v>1.0</v>
      </c>
      <c r="D5825" s="38" t="s">
        <v>5608</v>
      </c>
      <c r="E5825" s="42" t="s">
        <v>16209</v>
      </c>
      <c r="F5825" s="42" t="s">
        <v>16210</v>
      </c>
      <c r="G5825" s="10"/>
    </row>
    <row r="5826">
      <c r="B5826" s="47" t="s">
        <v>16211</v>
      </c>
      <c r="C5826" s="47" t="s">
        <v>16212</v>
      </c>
      <c r="D5826" s="47" t="s">
        <v>319</v>
      </c>
      <c r="E5826" s="47" t="s">
        <v>14334</v>
      </c>
      <c r="F5826" s="38" t="s">
        <v>16213</v>
      </c>
      <c r="G5826" s="10"/>
    </row>
    <row r="5827">
      <c r="B5827" s="47" t="s">
        <v>16214</v>
      </c>
      <c r="C5827" s="47"/>
      <c r="D5827" s="47" t="s">
        <v>1542</v>
      </c>
      <c r="E5827" s="38" t="s">
        <v>16215</v>
      </c>
      <c r="F5827" s="38" t="s">
        <v>16213</v>
      </c>
      <c r="G5827" s="10"/>
    </row>
    <row r="5828">
      <c r="B5828" s="86" t="s">
        <v>16216</v>
      </c>
      <c r="C5828" s="86" t="s">
        <v>13864</v>
      </c>
      <c r="D5828" s="86" t="s">
        <v>16217</v>
      </c>
      <c r="E5828" s="47" t="s">
        <v>14951</v>
      </c>
      <c r="F5828" s="117" t="s">
        <v>1347</v>
      </c>
      <c r="G5828" s="42" t="s">
        <v>15888</v>
      </c>
    </row>
    <row r="5829">
      <c r="B5829" s="86" t="s">
        <v>16218</v>
      </c>
      <c r="C5829" s="47"/>
      <c r="D5829" s="38" t="s">
        <v>16219</v>
      </c>
      <c r="E5829" s="47" t="s">
        <v>14951</v>
      </c>
      <c r="F5829" s="117"/>
      <c r="G5829" s="42" t="s">
        <v>15888</v>
      </c>
    </row>
    <row r="5830">
      <c r="B5830" s="86" t="s">
        <v>16220</v>
      </c>
      <c r="C5830" s="47" t="s">
        <v>16221</v>
      </c>
      <c r="D5830" s="38"/>
      <c r="E5830" s="47" t="s">
        <v>14951</v>
      </c>
      <c r="F5830" s="117" t="s">
        <v>16222</v>
      </c>
      <c r="G5830" s="42" t="s">
        <v>15888</v>
      </c>
    </row>
    <row r="5831">
      <c r="B5831" s="86"/>
      <c r="C5831" s="47"/>
      <c r="D5831" s="38" t="s">
        <v>16223</v>
      </c>
      <c r="E5831" s="47" t="s">
        <v>14951</v>
      </c>
      <c r="F5831" s="117" t="s">
        <v>16224</v>
      </c>
      <c r="G5831" s="42" t="s">
        <v>15888</v>
      </c>
    </row>
    <row r="5832">
      <c r="B5832" s="38" t="s">
        <v>77</v>
      </c>
      <c r="C5832" s="38">
        <v>4.0</v>
      </c>
      <c r="D5832" s="38" t="s">
        <v>1102</v>
      </c>
      <c r="E5832" s="38" t="s">
        <v>16225</v>
      </c>
      <c r="F5832" s="117" t="s">
        <v>16226</v>
      </c>
      <c r="G5832" s="42" t="s">
        <v>16227</v>
      </c>
    </row>
    <row r="5833">
      <c r="B5833" s="38" t="s">
        <v>16228</v>
      </c>
      <c r="C5833" s="38">
        <v>1.0</v>
      </c>
      <c r="D5833" s="38" t="s">
        <v>42</v>
      </c>
      <c r="E5833" s="42" t="s">
        <v>6341</v>
      </c>
      <c r="F5833" s="117"/>
      <c r="G5833" s="10"/>
    </row>
    <row r="5834">
      <c r="B5834" s="38" t="s">
        <v>16229</v>
      </c>
      <c r="C5834" s="38">
        <v>1.0</v>
      </c>
      <c r="D5834" s="38" t="s">
        <v>42</v>
      </c>
      <c r="E5834" s="42" t="s">
        <v>6341</v>
      </c>
      <c r="F5834" s="117"/>
      <c r="G5834" s="10"/>
    </row>
    <row r="5835">
      <c r="B5835" s="38" t="s">
        <v>16230</v>
      </c>
      <c r="C5835" s="38">
        <v>4.0</v>
      </c>
      <c r="D5835" s="38" t="s">
        <v>10211</v>
      </c>
      <c r="E5835" s="42" t="s">
        <v>16231</v>
      </c>
      <c r="F5835" s="42" t="s">
        <v>16232</v>
      </c>
      <c r="G5835" s="10"/>
    </row>
    <row r="5836">
      <c r="B5836" s="44"/>
      <c r="C5836" s="47"/>
      <c r="D5836" s="38" t="s">
        <v>16233</v>
      </c>
      <c r="E5836" s="38" t="s">
        <v>9378</v>
      </c>
      <c r="F5836" s="42" t="s">
        <v>16234</v>
      </c>
      <c r="G5836" s="10"/>
    </row>
    <row r="5837">
      <c r="A5837" s="38" t="s">
        <v>16235</v>
      </c>
      <c r="B5837" s="38" t="s">
        <v>14010</v>
      </c>
      <c r="C5837" s="38" t="s">
        <v>15286</v>
      </c>
      <c r="D5837" s="38" t="s">
        <v>1242</v>
      </c>
      <c r="E5837" s="38" t="s">
        <v>1243</v>
      </c>
      <c r="F5837" s="117"/>
      <c r="G5837" s="42" t="s">
        <v>16236</v>
      </c>
    </row>
    <row r="5838">
      <c r="A5838" s="65">
        <v>45488.0</v>
      </c>
      <c r="B5838" s="117" t="s">
        <v>16237</v>
      </c>
      <c r="C5838" s="38" t="s">
        <v>16238</v>
      </c>
      <c r="D5838" s="38" t="s">
        <v>1245</v>
      </c>
      <c r="E5838" s="38" t="s">
        <v>1243</v>
      </c>
      <c r="F5838" s="117" t="s">
        <v>16239</v>
      </c>
      <c r="G5838" s="42" t="s">
        <v>16236</v>
      </c>
    </row>
    <row r="5839">
      <c r="A5839" s="65"/>
      <c r="B5839" s="38" t="s">
        <v>16240</v>
      </c>
      <c r="C5839" s="38" t="s">
        <v>16241</v>
      </c>
      <c r="D5839" s="44"/>
      <c r="E5839" s="38" t="s">
        <v>1243</v>
      </c>
      <c r="F5839" s="44"/>
      <c r="G5839" s="42" t="s">
        <v>16236</v>
      </c>
    </row>
    <row r="5840">
      <c r="B5840" s="586" t="s">
        <v>16242</v>
      </c>
      <c r="C5840" s="47"/>
      <c r="D5840" s="47"/>
      <c r="E5840" s="42" t="s">
        <v>16243</v>
      </c>
      <c r="F5840" s="42" t="s">
        <v>16244</v>
      </c>
      <c r="G5840" s="10"/>
    </row>
    <row r="5841">
      <c r="B5841" s="586" t="s">
        <v>16245</v>
      </c>
      <c r="C5841" s="47"/>
      <c r="D5841" s="47"/>
      <c r="E5841" s="42" t="s">
        <v>16243</v>
      </c>
      <c r="F5841" s="42" t="s">
        <v>16244</v>
      </c>
      <c r="G5841" s="10"/>
    </row>
    <row r="5842">
      <c r="B5842" s="38" t="s">
        <v>16246</v>
      </c>
      <c r="C5842" s="38" t="s">
        <v>5418</v>
      </c>
      <c r="D5842" s="47"/>
      <c r="E5842" s="42" t="s">
        <v>16243</v>
      </c>
      <c r="F5842" s="42" t="s">
        <v>16244</v>
      </c>
      <c r="G5842" s="10"/>
    </row>
    <row r="5843">
      <c r="B5843" s="44"/>
      <c r="C5843" s="47"/>
      <c r="D5843" s="38" t="s">
        <v>16247</v>
      </c>
      <c r="E5843" s="42" t="s">
        <v>16248</v>
      </c>
      <c r="F5843" s="117" t="s">
        <v>16249</v>
      </c>
      <c r="G5843" s="10"/>
    </row>
    <row r="5844">
      <c r="B5844" s="44"/>
      <c r="C5844" s="47"/>
      <c r="D5844" s="38"/>
      <c r="E5844" s="42" t="s">
        <v>16248</v>
      </c>
      <c r="F5844" s="117" t="s">
        <v>16250</v>
      </c>
      <c r="G5844" s="10"/>
    </row>
    <row r="5845">
      <c r="C5845" s="4"/>
      <c r="D5845" s="4"/>
      <c r="E5845" s="10" t="s">
        <v>6271</v>
      </c>
      <c r="F5845" s="152" t="s">
        <v>16251</v>
      </c>
      <c r="G5845" s="10"/>
    </row>
    <row r="5846">
      <c r="B5846" s="47" t="s">
        <v>16252</v>
      </c>
      <c r="C5846" s="47" t="s">
        <v>16253</v>
      </c>
      <c r="D5846" s="47" t="s">
        <v>16254</v>
      </c>
      <c r="E5846" s="42" t="s">
        <v>16255</v>
      </c>
      <c r="F5846" s="117"/>
      <c r="G5846" s="42" t="s">
        <v>15152</v>
      </c>
    </row>
    <row r="5847">
      <c r="B5847" s="38" t="s">
        <v>16256</v>
      </c>
      <c r="C5847" s="47" t="s">
        <v>16257</v>
      </c>
      <c r="D5847" s="47" t="s">
        <v>16258</v>
      </c>
      <c r="E5847" s="42" t="s">
        <v>16255</v>
      </c>
      <c r="F5847" s="117"/>
      <c r="G5847" s="42" t="s">
        <v>15152</v>
      </c>
    </row>
    <row r="5848">
      <c r="B5848" s="47" t="s">
        <v>16259</v>
      </c>
      <c r="C5848" s="47" t="s">
        <v>13678</v>
      </c>
      <c r="D5848" s="38" t="s">
        <v>16260</v>
      </c>
      <c r="E5848" s="42" t="s">
        <v>16255</v>
      </c>
      <c r="F5848" s="44"/>
      <c r="G5848" s="42" t="s">
        <v>15152</v>
      </c>
    </row>
    <row r="5849">
      <c r="B5849" s="38" t="s">
        <v>16261</v>
      </c>
      <c r="C5849" s="38" t="s">
        <v>16262</v>
      </c>
      <c r="D5849" s="117" t="s">
        <v>16263</v>
      </c>
      <c r="E5849" s="42" t="s">
        <v>16255</v>
      </c>
      <c r="F5849" s="44"/>
      <c r="G5849" s="42" t="s">
        <v>15152</v>
      </c>
    </row>
    <row r="5850">
      <c r="B5850" s="38" t="s">
        <v>16264</v>
      </c>
      <c r="C5850" s="38" t="s">
        <v>16265</v>
      </c>
      <c r="D5850" s="38" t="s">
        <v>16266</v>
      </c>
      <c r="E5850" s="42" t="s">
        <v>16255</v>
      </c>
      <c r="F5850" s="38" t="s">
        <v>16267</v>
      </c>
      <c r="G5850" s="42" t="s">
        <v>15152</v>
      </c>
    </row>
    <row r="5851">
      <c r="B5851" s="38"/>
      <c r="C5851" s="38"/>
      <c r="D5851" s="44"/>
      <c r="E5851" s="42" t="s">
        <v>16255</v>
      </c>
      <c r="F5851" s="117" t="s">
        <v>16268</v>
      </c>
      <c r="G5851" s="42" t="s">
        <v>15152</v>
      </c>
    </row>
    <row r="5852">
      <c r="B5852" s="44"/>
      <c r="C5852" s="44"/>
      <c r="D5852" s="38"/>
      <c r="E5852" s="42" t="s">
        <v>16255</v>
      </c>
      <c r="F5852" s="117" t="s">
        <v>16269</v>
      </c>
      <c r="G5852" s="42" t="s">
        <v>15152</v>
      </c>
    </row>
    <row r="5853">
      <c r="A5853" s="173" t="s">
        <v>16270</v>
      </c>
      <c r="B5853" s="38" t="s">
        <v>41</v>
      </c>
      <c r="C5853" s="38">
        <v>4.0</v>
      </c>
      <c r="D5853" s="38" t="s">
        <v>672</v>
      </c>
      <c r="E5853" s="42" t="s">
        <v>764</v>
      </c>
      <c r="F5853" s="117" t="s">
        <v>16271</v>
      </c>
      <c r="G5853" s="10" t="s">
        <v>16272</v>
      </c>
    </row>
    <row r="5854">
      <c r="B5854" s="38"/>
      <c r="C5854" s="38"/>
      <c r="D5854" s="38"/>
      <c r="E5854" s="42" t="s">
        <v>764</v>
      </c>
      <c r="F5854" s="117" t="s">
        <v>16273</v>
      </c>
      <c r="G5854" s="42" t="s">
        <v>16274</v>
      </c>
    </row>
    <row r="5855">
      <c r="A5855" s="38" t="s">
        <v>16275</v>
      </c>
      <c r="B5855" s="47" t="s">
        <v>1424</v>
      </c>
      <c r="C5855" s="305" t="s">
        <v>16276</v>
      </c>
      <c r="D5855" s="305" t="s">
        <v>1426</v>
      </c>
      <c r="E5855" s="42" t="s">
        <v>1427</v>
      </c>
      <c r="F5855" s="117" t="s">
        <v>1428</v>
      </c>
      <c r="G5855" s="42" t="s">
        <v>16277</v>
      </c>
    </row>
    <row r="5856">
      <c r="A5856" s="65">
        <v>45497.0</v>
      </c>
      <c r="B5856" s="44"/>
      <c r="C5856" s="47"/>
      <c r="D5856" s="223" t="s">
        <v>1430</v>
      </c>
      <c r="E5856" s="42" t="s">
        <v>1427</v>
      </c>
      <c r="F5856" s="117" t="s">
        <v>1242</v>
      </c>
      <c r="G5856" s="42" t="s">
        <v>16277</v>
      </c>
    </row>
    <row r="5857">
      <c r="B5857" s="38" t="s">
        <v>1296</v>
      </c>
      <c r="C5857" s="38">
        <v>2.0</v>
      </c>
      <c r="D5857" s="38" t="s">
        <v>16278</v>
      </c>
      <c r="E5857" s="42" t="s">
        <v>2046</v>
      </c>
      <c r="F5857" s="42" t="s">
        <v>16279</v>
      </c>
      <c r="G5857" s="10"/>
    </row>
    <row r="5858">
      <c r="B5858" s="44"/>
      <c r="C5858" s="38">
        <v>1.0</v>
      </c>
      <c r="D5858" s="38" t="s">
        <v>16280</v>
      </c>
      <c r="E5858" s="42" t="s">
        <v>1098</v>
      </c>
      <c r="F5858" s="42" t="s">
        <v>16281</v>
      </c>
      <c r="G5858" s="10"/>
    </row>
    <row r="5859">
      <c r="C5859" s="4"/>
      <c r="D5859" s="4"/>
      <c r="E5859" s="10" t="s">
        <v>16282</v>
      </c>
      <c r="F5859" s="152" t="s">
        <v>16283</v>
      </c>
      <c r="G5859" s="10" t="s">
        <v>144</v>
      </c>
    </row>
    <row r="5860">
      <c r="B5860" s="47" t="s">
        <v>13868</v>
      </c>
      <c r="C5860" s="47" t="s">
        <v>15182</v>
      </c>
      <c r="D5860" s="38" t="s">
        <v>16284</v>
      </c>
      <c r="E5860" s="47" t="s">
        <v>15183</v>
      </c>
      <c r="F5860" s="38" t="s">
        <v>16285</v>
      </c>
      <c r="G5860" s="38" t="s">
        <v>16236</v>
      </c>
    </row>
    <row r="5861">
      <c r="B5861" s="38" t="s">
        <v>16286</v>
      </c>
      <c r="C5861" s="38" t="s">
        <v>4299</v>
      </c>
      <c r="D5861" s="44"/>
      <c r="E5861" s="47" t="s">
        <v>15183</v>
      </c>
      <c r="F5861" s="38" t="s">
        <v>16287</v>
      </c>
      <c r="G5861" s="38" t="s">
        <v>16236</v>
      </c>
    </row>
    <row r="5862">
      <c r="B5862" s="86" t="s">
        <v>16288</v>
      </c>
      <c r="C5862" s="86" t="s">
        <v>16289</v>
      </c>
      <c r="D5862" s="38" t="s">
        <v>16290</v>
      </c>
      <c r="E5862" s="47" t="s">
        <v>15183</v>
      </c>
      <c r="F5862" s="38"/>
      <c r="G5862" s="38" t="s">
        <v>16236</v>
      </c>
    </row>
    <row r="5863">
      <c r="B5863" s="38" t="s">
        <v>16291</v>
      </c>
      <c r="C5863" s="38" t="s">
        <v>16292</v>
      </c>
      <c r="D5863" s="38" t="s">
        <v>16293</v>
      </c>
      <c r="E5863" s="47" t="s">
        <v>15183</v>
      </c>
      <c r="F5863" s="117"/>
      <c r="G5863" s="42" t="s">
        <v>16236</v>
      </c>
    </row>
    <row r="5864">
      <c r="B5864" s="38" t="s">
        <v>394</v>
      </c>
      <c r="C5864" s="38">
        <v>4.0</v>
      </c>
      <c r="D5864" s="38" t="s">
        <v>16294</v>
      </c>
      <c r="E5864" s="42" t="s">
        <v>396</v>
      </c>
      <c r="F5864" s="117" t="s">
        <v>16295</v>
      </c>
      <c r="G5864" s="10"/>
    </row>
    <row r="5865">
      <c r="B5865" s="38" t="s">
        <v>354</v>
      </c>
      <c r="C5865" s="38">
        <v>4.0</v>
      </c>
      <c r="D5865" s="38" t="s">
        <v>402</v>
      </c>
      <c r="E5865" s="47" t="s">
        <v>8610</v>
      </c>
      <c r="F5865" s="117" t="s">
        <v>16296</v>
      </c>
      <c r="G5865" s="10"/>
    </row>
    <row r="5866">
      <c r="B5866" s="47" t="s">
        <v>1159</v>
      </c>
      <c r="C5866" s="47">
        <v>2.0</v>
      </c>
      <c r="D5866" s="47" t="s">
        <v>16297</v>
      </c>
      <c r="E5866" s="47" t="s">
        <v>16298</v>
      </c>
      <c r="F5866" s="47" t="s">
        <v>16299</v>
      </c>
      <c r="G5866" s="10"/>
    </row>
    <row r="5867">
      <c r="B5867" s="47" t="s">
        <v>1096</v>
      </c>
      <c r="C5867" s="47">
        <v>2.0</v>
      </c>
      <c r="D5867" s="47" t="s">
        <v>16297</v>
      </c>
      <c r="E5867" s="47" t="s">
        <v>16298</v>
      </c>
      <c r="F5867" s="47" t="s">
        <v>16299</v>
      </c>
      <c r="G5867" s="10"/>
    </row>
    <row r="5868">
      <c r="B5868" s="38" t="s">
        <v>43</v>
      </c>
      <c r="C5868" s="38">
        <v>2.0</v>
      </c>
      <c r="D5868" s="38" t="s">
        <v>16300</v>
      </c>
      <c r="E5868" s="38" t="s">
        <v>7045</v>
      </c>
      <c r="F5868" s="38" t="s">
        <v>16301</v>
      </c>
      <c r="G5868" s="42" t="s">
        <v>16302</v>
      </c>
    </row>
    <row r="5869">
      <c r="B5869" s="38" t="s">
        <v>47</v>
      </c>
      <c r="C5869" s="38">
        <v>2.0</v>
      </c>
      <c r="D5869" s="38" t="s">
        <v>16300</v>
      </c>
      <c r="E5869" s="38" t="s">
        <v>7045</v>
      </c>
      <c r="F5869" s="117" t="s">
        <v>175</v>
      </c>
      <c r="G5869" s="42" t="s">
        <v>16302</v>
      </c>
    </row>
    <row r="5870">
      <c r="B5870" s="47" t="s">
        <v>16303</v>
      </c>
      <c r="C5870" s="38" t="s">
        <v>16304</v>
      </c>
      <c r="D5870" s="352" t="s">
        <v>16305</v>
      </c>
      <c r="E5870" s="47" t="s">
        <v>15183</v>
      </c>
      <c r="F5870" s="38" t="s">
        <v>15548</v>
      </c>
      <c r="G5870" s="10"/>
    </row>
    <row r="5871">
      <c r="B5871" s="38" t="s">
        <v>16306</v>
      </c>
      <c r="C5871" s="38" t="s">
        <v>1485</v>
      </c>
      <c r="D5871" s="47"/>
      <c r="E5871" s="47" t="s">
        <v>15183</v>
      </c>
      <c r="F5871" s="117" t="s">
        <v>15548</v>
      </c>
      <c r="G5871" s="10"/>
    </row>
    <row r="5872">
      <c r="B5872" s="44"/>
      <c r="C5872" s="38" t="s">
        <v>16307</v>
      </c>
      <c r="D5872" s="38" t="s">
        <v>16308</v>
      </c>
      <c r="E5872" s="39" t="s">
        <v>2050</v>
      </c>
      <c r="F5872" s="42"/>
      <c r="G5872" s="10"/>
    </row>
    <row r="5873">
      <c r="B5873" s="44"/>
      <c r="C5873" s="38" t="s">
        <v>9622</v>
      </c>
      <c r="D5873" s="38" t="s">
        <v>16309</v>
      </c>
      <c r="E5873" s="39" t="s">
        <v>2050</v>
      </c>
      <c r="F5873" s="42"/>
      <c r="G5873" s="10"/>
    </row>
    <row r="5874">
      <c r="B5874" s="38" t="s">
        <v>22</v>
      </c>
      <c r="C5874" s="38">
        <v>4.0</v>
      </c>
      <c r="D5874" s="38" t="s">
        <v>10151</v>
      </c>
      <c r="E5874" s="42" t="s">
        <v>16310</v>
      </c>
      <c r="F5874" s="117" t="s">
        <v>16311</v>
      </c>
      <c r="G5874" s="42" t="s">
        <v>16312</v>
      </c>
    </row>
    <row r="5875">
      <c r="B5875" s="38" t="s">
        <v>1242</v>
      </c>
      <c r="C5875" s="38" t="s">
        <v>16313</v>
      </c>
      <c r="D5875" s="86" t="s">
        <v>1335</v>
      </c>
      <c r="E5875" s="42" t="s">
        <v>16314</v>
      </c>
      <c r="F5875" s="117" t="s">
        <v>16315</v>
      </c>
      <c r="G5875" s="42" t="s">
        <v>16312</v>
      </c>
    </row>
    <row r="5876">
      <c r="B5876" s="38"/>
      <c r="C5876" s="38"/>
      <c r="D5876" s="86"/>
      <c r="E5876" s="42" t="s">
        <v>16314</v>
      </c>
      <c r="F5876" s="117" t="s">
        <v>16316</v>
      </c>
      <c r="G5876" s="42" t="s">
        <v>16312</v>
      </c>
    </row>
    <row r="5877">
      <c r="B5877" s="38"/>
      <c r="C5877" s="38"/>
      <c r="D5877" s="86"/>
      <c r="E5877" s="42" t="s">
        <v>16314</v>
      </c>
      <c r="F5877" s="117" t="s">
        <v>16317</v>
      </c>
      <c r="G5877" s="42" t="s">
        <v>16312</v>
      </c>
    </row>
    <row r="5878">
      <c r="B5878" s="44"/>
      <c r="C5878" s="47"/>
      <c r="D5878" s="47"/>
      <c r="E5878" s="42" t="s">
        <v>16318</v>
      </c>
      <c r="F5878" s="117" t="s">
        <v>16319</v>
      </c>
      <c r="G5878" s="42" t="s">
        <v>16312</v>
      </c>
    </row>
    <row r="5879">
      <c r="B5879" s="38" t="s">
        <v>7159</v>
      </c>
      <c r="C5879" s="38">
        <v>1.0</v>
      </c>
      <c r="D5879" s="38" t="s">
        <v>4032</v>
      </c>
      <c r="E5879" s="42" t="s">
        <v>514</v>
      </c>
      <c r="F5879" s="117" t="s">
        <v>16320</v>
      </c>
      <c r="G5879" s="42" t="s">
        <v>16321</v>
      </c>
    </row>
    <row r="5880">
      <c r="B5880" s="44"/>
      <c r="C5880" s="47"/>
      <c r="D5880" s="38" t="s">
        <v>16322</v>
      </c>
      <c r="E5880" s="38" t="s">
        <v>5705</v>
      </c>
      <c r="F5880" s="42" t="s">
        <v>16323</v>
      </c>
      <c r="G5880" s="10"/>
    </row>
    <row r="5881">
      <c r="C5881" s="1" t="s">
        <v>496</v>
      </c>
      <c r="D5881" s="1" t="s">
        <v>16324</v>
      </c>
      <c r="E5881" s="10" t="s">
        <v>16325</v>
      </c>
      <c r="F5881" s="152" t="s">
        <v>16200</v>
      </c>
      <c r="G5881" s="10" t="s">
        <v>144</v>
      </c>
    </row>
    <row r="5882">
      <c r="B5882" s="44"/>
      <c r="C5882" s="47"/>
      <c r="D5882" s="47"/>
      <c r="E5882" s="42" t="s">
        <v>11266</v>
      </c>
      <c r="F5882" s="352" t="s">
        <v>16326</v>
      </c>
      <c r="G5882" s="42" t="s">
        <v>16327</v>
      </c>
    </row>
    <row r="5883">
      <c r="B5883" s="44"/>
      <c r="C5883" s="47"/>
      <c r="D5883" s="47"/>
      <c r="E5883" s="42" t="s">
        <v>11266</v>
      </c>
      <c r="F5883" s="352" t="s">
        <v>16328</v>
      </c>
      <c r="G5883" s="42" t="s">
        <v>16327</v>
      </c>
    </row>
    <row r="5884">
      <c r="A5884" s="44"/>
      <c r="B5884" s="38" t="s">
        <v>16329</v>
      </c>
      <c r="C5884" s="38" t="s">
        <v>16330</v>
      </c>
      <c r="D5884" s="38" t="s">
        <v>16331</v>
      </c>
      <c r="E5884" s="42" t="s">
        <v>16332</v>
      </c>
      <c r="F5884" s="117" t="s">
        <v>16333</v>
      </c>
      <c r="G5884" s="42"/>
    </row>
    <row r="5885">
      <c r="A5885" s="44"/>
      <c r="B5885" s="38" t="s">
        <v>16334</v>
      </c>
      <c r="C5885" s="38" t="s">
        <v>16335</v>
      </c>
      <c r="D5885" s="38" t="s">
        <v>16336</v>
      </c>
      <c r="E5885" s="42" t="s">
        <v>16332</v>
      </c>
      <c r="F5885" s="117"/>
      <c r="G5885" s="42"/>
    </row>
    <row r="5886">
      <c r="A5886" s="44"/>
      <c r="B5886" s="38"/>
      <c r="C5886" s="38"/>
      <c r="D5886" s="38" t="s">
        <v>16337</v>
      </c>
      <c r="E5886" s="42" t="s">
        <v>16332</v>
      </c>
      <c r="F5886" s="117"/>
      <c r="G5886" s="42"/>
    </row>
    <row r="5887">
      <c r="B5887" s="38"/>
      <c r="C5887" s="38" t="s">
        <v>16338</v>
      </c>
      <c r="D5887" s="38" t="s">
        <v>16339</v>
      </c>
      <c r="E5887" s="42" t="s">
        <v>16332</v>
      </c>
      <c r="F5887" s="117"/>
    </row>
    <row r="5888">
      <c r="A5888" s="65">
        <v>45498.0</v>
      </c>
      <c r="B5888" s="44"/>
      <c r="C5888" s="47"/>
      <c r="D5888" s="47"/>
      <c r="E5888" s="42" t="s">
        <v>1243</v>
      </c>
      <c r="F5888" s="117" t="s">
        <v>16340</v>
      </c>
      <c r="G5888" s="42" t="s">
        <v>16341</v>
      </c>
    </row>
    <row r="5889">
      <c r="A5889" s="44"/>
      <c r="B5889" s="47" t="s">
        <v>16342</v>
      </c>
      <c r="C5889" s="38" t="s">
        <v>16343</v>
      </c>
      <c r="D5889" s="38" t="s">
        <v>16344</v>
      </c>
      <c r="E5889" s="47" t="s">
        <v>16345</v>
      </c>
      <c r="F5889" s="47" t="s">
        <v>16346</v>
      </c>
      <c r="G5889" s="38" t="s">
        <v>16341</v>
      </c>
    </row>
    <row r="5890">
      <c r="B5890" s="47" t="s">
        <v>16347</v>
      </c>
      <c r="C5890" s="47" t="s">
        <v>16348</v>
      </c>
      <c r="D5890" s="47" t="s">
        <v>16349</v>
      </c>
      <c r="E5890" s="47" t="s">
        <v>16345</v>
      </c>
      <c r="F5890" s="38" t="s">
        <v>16350</v>
      </c>
      <c r="G5890" s="38" t="s">
        <v>16341</v>
      </c>
    </row>
    <row r="5891">
      <c r="B5891" s="44"/>
      <c r="C5891" s="38" t="s">
        <v>16351</v>
      </c>
      <c r="D5891" s="44"/>
      <c r="E5891" s="47" t="s">
        <v>16345</v>
      </c>
      <c r="F5891" s="44"/>
      <c r="G5891" s="38" t="s">
        <v>16341</v>
      </c>
    </row>
    <row r="5892">
      <c r="B5892" s="44"/>
      <c r="C5892" s="47"/>
      <c r="D5892" s="38" t="s">
        <v>16352</v>
      </c>
      <c r="E5892" s="47" t="s">
        <v>16345</v>
      </c>
      <c r="F5892" s="47"/>
      <c r="G5892" s="38" t="s">
        <v>16341</v>
      </c>
    </row>
    <row r="5893">
      <c r="B5893" s="44"/>
      <c r="C5893" s="38" t="s">
        <v>16353</v>
      </c>
      <c r="D5893" s="47"/>
      <c r="E5893" s="47" t="s">
        <v>16345</v>
      </c>
      <c r="F5893" s="47"/>
      <c r="G5893" s="38" t="s">
        <v>16341</v>
      </c>
    </row>
    <row r="5894">
      <c r="B5894" s="44"/>
      <c r="C5894" s="38" t="s">
        <v>16354</v>
      </c>
      <c r="D5894" s="44"/>
      <c r="E5894" s="47" t="s">
        <v>16345</v>
      </c>
      <c r="F5894" s="47"/>
      <c r="G5894" s="38" t="s">
        <v>16341</v>
      </c>
    </row>
    <row r="5895">
      <c r="B5895" s="38" t="s">
        <v>41</v>
      </c>
      <c r="C5895" s="38">
        <v>1.0</v>
      </c>
      <c r="D5895" s="38" t="s">
        <v>16355</v>
      </c>
      <c r="E5895" s="42" t="s">
        <v>2386</v>
      </c>
      <c r="F5895" s="42" t="s">
        <v>16356</v>
      </c>
      <c r="G5895" s="10"/>
    </row>
    <row r="5896">
      <c r="B5896" s="44"/>
      <c r="C5896" s="47"/>
      <c r="D5896" s="47"/>
      <c r="E5896" s="42" t="s">
        <v>2551</v>
      </c>
      <c r="F5896" s="117" t="s">
        <v>16357</v>
      </c>
      <c r="G5896" s="42" t="s">
        <v>15918</v>
      </c>
    </row>
    <row r="5897">
      <c r="C5897" s="4"/>
      <c r="D5897" s="4"/>
      <c r="E5897" s="10" t="s">
        <v>15453</v>
      </c>
      <c r="F5897" s="152" t="s">
        <v>16358</v>
      </c>
      <c r="G5897" s="10"/>
    </row>
    <row r="5898">
      <c r="B5898" s="1" t="s">
        <v>16359</v>
      </c>
      <c r="C5898" s="595" t="s">
        <v>16360</v>
      </c>
      <c r="D5898" s="595" t="s">
        <v>16361</v>
      </c>
      <c r="E5898" s="10" t="s">
        <v>16362</v>
      </c>
      <c r="F5898" s="152" t="s">
        <v>4403</v>
      </c>
      <c r="G5898" s="10" t="s">
        <v>144</v>
      </c>
    </row>
    <row r="5899">
      <c r="B5899" s="44"/>
      <c r="C5899" s="38" t="s">
        <v>16363</v>
      </c>
      <c r="D5899" s="38" t="s">
        <v>16364</v>
      </c>
      <c r="E5899" s="42" t="s">
        <v>1940</v>
      </c>
      <c r="F5899" s="117" t="s">
        <v>16365</v>
      </c>
      <c r="G5899" s="42" t="s">
        <v>16366</v>
      </c>
    </row>
    <row r="5900">
      <c r="B5900" s="44"/>
      <c r="C5900" s="38"/>
      <c r="D5900" s="38"/>
      <c r="E5900" s="42" t="s">
        <v>1940</v>
      </c>
      <c r="F5900" s="117" t="s">
        <v>16367</v>
      </c>
      <c r="G5900" s="42" t="s">
        <v>16366</v>
      </c>
    </row>
    <row r="5901">
      <c r="B5901" s="44"/>
      <c r="C5901" s="38" t="s">
        <v>16368</v>
      </c>
      <c r="D5901" s="86" t="s">
        <v>16369</v>
      </c>
      <c r="E5901" s="42" t="s">
        <v>16345</v>
      </c>
      <c r="F5901" s="117" t="s">
        <v>16370</v>
      </c>
      <c r="G5901" s="42" t="s">
        <v>16341</v>
      </c>
    </row>
    <row r="5902">
      <c r="B5902" s="38" t="s">
        <v>16371</v>
      </c>
      <c r="C5902" s="47"/>
      <c r="D5902" s="44"/>
      <c r="E5902" s="38" t="s">
        <v>16372</v>
      </c>
      <c r="F5902" s="117" t="s">
        <v>647</v>
      </c>
      <c r="G5902" s="42" t="s">
        <v>15892</v>
      </c>
    </row>
    <row r="5903">
      <c r="B5903" s="38" t="s">
        <v>16373</v>
      </c>
      <c r="C5903" s="47"/>
      <c r="D5903" s="44"/>
      <c r="E5903" s="38" t="s">
        <v>16372</v>
      </c>
      <c r="F5903" s="117"/>
      <c r="G5903" s="42" t="s">
        <v>15892</v>
      </c>
    </row>
    <row r="5904">
      <c r="B5904" s="38" t="s">
        <v>16374</v>
      </c>
      <c r="C5904" s="47"/>
      <c r="D5904" s="38" t="s">
        <v>16375</v>
      </c>
      <c r="E5904" s="38" t="s">
        <v>16372</v>
      </c>
      <c r="F5904" s="117" t="s">
        <v>16376</v>
      </c>
      <c r="G5904" s="42" t="s">
        <v>15892</v>
      </c>
    </row>
    <row r="5905">
      <c r="B5905" s="44"/>
      <c r="C5905" s="47"/>
      <c r="D5905" s="44"/>
      <c r="E5905" s="47" t="s">
        <v>9229</v>
      </c>
      <c r="F5905" s="42" t="s">
        <v>16377</v>
      </c>
      <c r="G5905" s="10"/>
    </row>
    <row r="5906">
      <c r="B5906" s="47" t="s">
        <v>16378</v>
      </c>
      <c r="C5906" s="47" t="s">
        <v>16379</v>
      </c>
      <c r="D5906" s="47" t="s">
        <v>16380</v>
      </c>
      <c r="E5906" s="47" t="s">
        <v>16381</v>
      </c>
      <c r="F5906" s="38" t="s">
        <v>16382</v>
      </c>
      <c r="G5906" s="10"/>
    </row>
    <row r="5907">
      <c r="B5907" s="46" t="s">
        <v>16383</v>
      </c>
      <c r="C5907" s="47"/>
      <c r="D5907" s="47" t="s">
        <v>16384</v>
      </c>
      <c r="E5907" s="47" t="s">
        <v>16381</v>
      </c>
      <c r="F5907" s="38" t="s">
        <v>16382</v>
      </c>
      <c r="G5907" s="10"/>
    </row>
    <row r="5908">
      <c r="B5908" s="38" t="s">
        <v>140</v>
      </c>
      <c r="C5908" s="38">
        <v>2.0</v>
      </c>
      <c r="D5908" s="38" t="s">
        <v>5035</v>
      </c>
      <c r="E5908" s="42" t="s">
        <v>16385</v>
      </c>
      <c r="F5908" s="42" t="s">
        <v>16386</v>
      </c>
      <c r="G5908" s="10"/>
    </row>
    <row r="5909">
      <c r="B5909" s="38" t="s">
        <v>2035</v>
      </c>
      <c r="C5909" s="38">
        <v>4.0</v>
      </c>
      <c r="D5909" s="38" t="s">
        <v>16387</v>
      </c>
      <c r="E5909" s="42" t="s">
        <v>1098</v>
      </c>
      <c r="F5909" s="42" t="s">
        <v>16388</v>
      </c>
      <c r="G5909" s="10"/>
    </row>
    <row r="5910">
      <c r="B5910" s="38" t="s">
        <v>439</v>
      </c>
      <c r="C5910" s="38">
        <v>1.0</v>
      </c>
      <c r="D5910" s="117" t="s">
        <v>8973</v>
      </c>
      <c r="E5910" s="42" t="s">
        <v>15764</v>
      </c>
      <c r="F5910" s="117" t="s">
        <v>7178</v>
      </c>
      <c r="G5910" s="10"/>
    </row>
    <row r="5911">
      <c r="B5911" s="47"/>
      <c r="C5911" s="47"/>
      <c r="D5911" s="47"/>
      <c r="E5911" s="42" t="s">
        <v>15764</v>
      </c>
      <c r="F5911" s="38" t="s">
        <v>16389</v>
      </c>
      <c r="G5911" s="42"/>
    </row>
    <row r="5912">
      <c r="B5912" s="47"/>
      <c r="C5912" s="38" t="s">
        <v>1417</v>
      </c>
      <c r="D5912" s="47"/>
      <c r="E5912" s="42" t="s">
        <v>15764</v>
      </c>
      <c r="F5912" s="47" t="s">
        <v>16390</v>
      </c>
      <c r="G5912" s="42"/>
    </row>
    <row r="5913">
      <c r="B5913" s="596" t="s">
        <v>16391</v>
      </c>
      <c r="C5913" s="4" t="s">
        <v>16392</v>
      </c>
      <c r="D5913" s="62" t="s">
        <v>16393</v>
      </c>
      <c r="E5913" s="10" t="s">
        <v>16394</v>
      </c>
      <c r="F5913" s="152"/>
      <c r="G5913" s="10"/>
    </row>
    <row r="5914">
      <c r="C5914" s="1" t="s">
        <v>13546</v>
      </c>
      <c r="D5914" s="63" t="s">
        <v>16395</v>
      </c>
      <c r="E5914" s="10" t="s">
        <v>16394</v>
      </c>
      <c r="F5914" s="152"/>
      <c r="G5914" s="10"/>
    </row>
    <row r="5915">
      <c r="B5915" s="1" t="s">
        <v>1296</v>
      </c>
      <c r="C5915" s="1">
        <v>2.0</v>
      </c>
      <c r="D5915" s="1" t="s">
        <v>289</v>
      </c>
      <c r="E5915" s="10" t="s">
        <v>325</v>
      </c>
      <c r="F5915" s="152" t="s">
        <v>16396</v>
      </c>
      <c r="G5915" s="10" t="s">
        <v>144</v>
      </c>
    </row>
    <row r="5916">
      <c r="B5916" s="47" t="s">
        <v>16397</v>
      </c>
      <c r="C5916" s="47" t="s">
        <v>16398</v>
      </c>
      <c r="D5916" s="47" t="s">
        <v>16399</v>
      </c>
      <c r="E5916" s="47" t="s">
        <v>16400</v>
      </c>
      <c r="F5916" s="117"/>
      <c r="G5916" s="42" t="s">
        <v>16401</v>
      </c>
    </row>
    <row r="5917">
      <c r="B5917" s="47" t="s">
        <v>16402</v>
      </c>
      <c r="C5917" s="47" t="s">
        <v>16403</v>
      </c>
      <c r="D5917" s="47" t="s">
        <v>16404</v>
      </c>
      <c r="E5917" s="47" t="s">
        <v>16400</v>
      </c>
      <c r="F5917" s="38" t="s">
        <v>15096</v>
      </c>
      <c r="G5917" s="42" t="s">
        <v>16401</v>
      </c>
    </row>
    <row r="5918">
      <c r="B5918" s="44"/>
      <c r="C5918" s="47"/>
      <c r="D5918" s="38" t="s">
        <v>16405</v>
      </c>
      <c r="E5918" s="42" t="s">
        <v>720</v>
      </c>
      <c r="F5918" s="42" t="s">
        <v>16406</v>
      </c>
      <c r="G5918" s="10"/>
    </row>
    <row r="5919">
      <c r="B5919" s="38" t="s">
        <v>1542</v>
      </c>
      <c r="C5919" s="86" t="s">
        <v>16407</v>
      </c>
      <c r="D5919" s="86" t="s">
        <v>16408</v>
      </c>
      <c r="E5919" s="42" t="s">
        <v>16409</v>
      </c>
      <c r="F5919" s="117"/>
      <c r="G5919" s="42" t="s">
        <v>16410</v>
      </c>
    </row>
    <row r="5920">
      <c r="B5920" s="44"/>
      <c r="C5920" s="86" t="s">
        <v>16411</v>
      </c>
      <c r="D5920" s="86" t="s">
        <v>16412</v>
      </c>
      <c r="E5920" s="42" t="s">
        <v>4882</v>
      </c>
      <c r="F5920" s="117" t="s">
        <v>16413</v>
      </c>
      <c r="G5920" s="42" t="s">
        <v>16410</v>
      </c>
    </row>
    <row r="5921">
      <c r="B5921" s="1" t="s">
        <v>2573</v>
      </c>
      <c r="C5921" s="1">
        <v>4.0</v>
      </c>
      <c r="D5921" s="1" t="s">
        <v>1133</v>
      </c>
      <c r="E5921" s="10" t="s">
        <v>371</v>
      </c>
      <c r="F5921" s="152" t="s">
        <v>16414</v>
      </c>
      <c r="G5921" s="10" t="s">
        <v>144</v>
      </c>
      <c r="H5921" s="1" t="s">
        <v>15626</v>
      </c>
    </row>
    <row r="5922">
      <c r="B5922" s="1"/>
      <c r="C5922" s="1"/>
      <c r="D5922" s="1"/>
      <c r="E5922" s="10" t="s">
        <v>371</v>
      </c>
      <c r="F5922" s="152" t="s">
        <v>16415</v>
      </c>
      <c r="G5922" s="10"/>
    </row>
    <row r="5923">
      <c r="B5923" s="38" t="s">
        <v>58</v>
      </c>
      <c r="C5923" s="38">
        <v>4.0</v>
      </c>
      <c r="D5923" s="38" t="s">
        <v>16416</v>
      </c>
      <c r="E5923" s="101" t="s">
        <v>16417</v>
      </c>
      <c r="F5923" s="42" t="s">
        <v>4232</v>
      </c>
      <c r="G5923" s="10"/>
    </row>
    <row r="5924">
      <c r="A5924" s="38" t="s">
        <v>16418</v>
      </c>
      <c r="B5924" s="38" t="s">
        <v>16419</v>
      </c>
      <c r="C5924" s="38" t="s">
        <v>1197</v>
      </c>
      <c r="D5924" s="38" t="s">
        <v>13476</v>
      </c>
      <c r="E5924" s="47" t="s">
        <v>1199</v>
      </c>
      <c r="F5924" s="38" t="s">
        <v>16420</v>
      </c>
      <c r="G5924" s="42"/>
    </row>
    <row r="5925">
      <c r="A5925" s="65">
        <v>45527.0</v>
      </c>
      <c r="B5925" s="47" t="s">
        <v>1200</v>
      </c>
      <c r="C5925" s="47"/>
      <c r="D5925" s="47" t="s">
        <v>1201</v>
      </c>
      <c r="E5925" s="47" t="s">
        <v>1199</v>
      </c>
      <c r="F5925" s="47" t="s">
        <v>16421</v>
      </c>
      <c r="G5925" s="42"/>
    </row>
    <row r="5926">
      <c r="A5926" s="44"/>
      <c r="B5926" s="38" t="s">
        <v>16422</v>
      </c>
      <c r="C5926" s="38" t="s">
        <v>16423</v>
      </c>
      <c r="D5926" s="38" t="s">
        <v>16424</v>
      </c>
      <c r="E5926" s="47" t="s">
        <v>1199</v>
      </c>
      <c r="F5926" s="117" t="s">
        <v>16425</v>
      </c>
      <c r="G5926" s="42" t="s">
        <v>13931</v>
      </c>
    </row>
    <row r="5927">
      <c r="A5927" s="44"/>
      <c r="B5927" s="44"/>
      <c r="C5927" s="47"/>
      <c r="D5927" s="597" t="s">
        <v>16426</v>
      </c>
      <c r="E5927" s="47" t="s">
        <v>1199</v>
      </c>
      <c r="F5927" s="117" t="s">
        <v>16427</v>
      </c>
      <c r="G5927" s="42" t="s">
        <v>11463</v>
      </c>
    </row>
    <row r="5928">
      <c r="A5928" s="44"/>
      <c r="B5928" s="44"/>
      <c r="C5928" s="38" t="s">
        <v>16428</v>
      </c>
      <c r="D5928" s="38" t="s">
        <v>16429</v>
      </c>
      <c r="E5928" s="47" t="s">
        <v>1199</v>
      </c>
      <c r="F5928" s="117" t="s">
        <v>5344</v>
      </c>
      <c r="G5928" s="42"/>
    </row>
    <row r="5929">
      <c r="A5929" s="44"/>
      <c r="B5929" s="38" t="s">
        <v>16430</v>
      </c>
      <c r="C5929" s="38" t="s">
        <v>16431</v>
      </c>
      <c r="D5929" s="38"/>
      <c r="E5929" s="47" t="s">
        <v>1199</v>
      </c>
      <c r="F5929" s="117" t="s">
        <v>16432</v>
      </c>
      <c r="G5929" s="42" t="s">
        <v>16433</v>
      </c>
    </row>
    <row r="5930">
      <c r="B5930" s="44"/>
      <c r="C5930" s="47"/>
      <c r="D5930" s="38" t="s">
        <v>16434</v>
      </c>
      <c r="E5930" s="42" t="s">
        <v>16435</v>
      </c>
      <c r="F5930" s="117"/>
      <c r="G5930" s="42" t="s">
        <v>16436</v>
      </c>
    </row>
    <row r="5931">
      <c r="B5931" s="44"/>
      <c r="C5931" s="47"/>
      <c r="D5931" s="38" t="s">
        <v>16437</v>
      </c>
      <c r="E5931" s="42" t="s">
        <v>16435</v>
      </c>
      <c r="F5931" s="117" t="s">
        <v>16438</v>
      </c>
      <c r="G5931" s="42" t="s">
        <v>16436</v>
      </c>
    </row>
    <row r="5932">
      <c r="B5932" s="44"/>
      <c r="C5932" s="47"/>
      <c r="D5932" s="38"/>
      <c r="E5932" s="42" t="s">
        <v>16435</v>
      </c>
      <c r="F5932" s="117" t="s">
        <v>16439</v>
      </c>
      <c r="G5932" s="42" t="s">
        <v>16436</v>
      </c>
    </row>
    <row r="5933">
      <c r="A5933" s="44"/>
      <c r="B5933" s="38" t="s">
        <v>16440</v>
      </c>
      <c r="C5933" s="38" t="s">
        <v>16441</v>
      </c>
      <c r="D5933" s="38" t="s">
        <v>16442</v>
      </c>
      <c r="E5933" s="42" t="s">
        <v>16443</v>
      </c>
      <c r="F5933" s="117" t="s">
        <v>16444</v>
      </c>
      <c r="G5933" s="42" t="s">
        <v>16406</v>
      </c>
    </row>
    <row r="5934">
      <c r="A5934" s="44"/>
      <c r="B5934" s="38"/>
      <c r="C5934" s="38" t="s">
        <v>16445</v>
      </c>
      <c r="D5934" s="38" t="s">
        <v>16446</v>
      </c>
      <c r="E5934" s="42" t="s">
        <v>16443</v>
      </c>
      <c r="F5934" s="117" t="s">
        <v>1252</v>
      </c>
      <c r="G5934" s="42" t="s">
        <v>16406</v>
      </c>
    </row>
    <row r="5935">
      <c r="B5935" s="44"/>
      <c r="C5935" s="47"/>
      <c r="D5935" s="38" t="s">
        <v>12026</v>
      </c>
      <c r="E5935" s="42" t="s">
        <v>14255</v>
      </c>
      <c r="F5935" s="117" t="s">
        <v>16447</v>
      </c>
      <c r="G5935" s="42" t="s">
        <v>15258</v>
      </c>
    </row>
    <row r="5936">
      <c r="B5936" s="44"/>
      <c r="C5936" s="47"/>
      <c r="D5936" s="38" t="s">
        <v>16448</v>
      </c>
      <c r="E5936" s="42" t="s">
        <v>14255</v>
      </c>
      <c r="F5936" s="117"/>
      <c r="G5936" s="42" t="s">
        <v>15258</v>
      </c>
    </row>
    <row r="5937">
      <c r="B5937" s="44"/>
      <c r="C5937" s="47"/>
      <c r="D5937" s="47" t="s">
        <v>16449</v>
      </c>
      <c r="E5937" s="47" t="s">
        <v>873</v>
      </c>
      <c r="F5937" s="38" t="s">
        <v>16450</v>
      </c>
      <c r="G5937" s="10"/>
    </row>
    <row r="5938">
      <c r="B5938" s="44"/>
      <c r="C5938" s="38">
        <v>4.0</v>
      </c>
      <c r="D5938" s="38" t="s">
        <v>16451</v>
      </c>
      <c r="E5938" s="42" t="s">
        <v>873</v>
      </c>
      <c r="F5938" s="38" t="s">
        <v>16452</v>
      </c>
      <c r="G5938" s="10"/>
    </row>
    <row r="5939">
      <c r="B5939" s="38" t="s">
        <v>416</v>
      </c>
      <c r="C5939" s="38">
        <v>4.0</v>
      </c>
      <c r="D5939" s="38" t="s">
        <v>16453</v>
      </c>
      <c r="E5939" s="38" t="s">
        <v>16454</v>
      </c>
      <c r="F5939" s="117" t="s">
        <v>16455</v>
      </c>
      <c r="G5939" s="42" t="s">
        <v>16456</v>
      </c>
    </row>
    <row r="5940">
      <c r="A5940" s="38" t="s">
        <v>16457</v>
      </c>
      <c r="B5940" s="38" t="s">
        <v>647</v>
      </c>
      <c r="C5940" s="38" t="s">
        <v>16458</v>
      </c>
      <c r="D5940" s="38" t="s">
        <v>16459</v>
      </c>
      <c r="E5940" s="42" t="s">
        <v>1256</v>
      </c>
      <c r="F5940" s="117" t="s">
        <v>1242</v>
      </c>
      <c r="G5940" s="42" t="s">
        <v>610</v>
      </c>
    </row>
    <row r="5941">
      <c r="A5941" s="65">
        <v>45527.0</v>
      </c>
      <c r="B5941" s="44"/>
      <c r="C5941" s="38" t="s">
        <v>16460</v>
      </c>
      <c r="D5941" s="38" t="s">
        <v>16461</v>
      </c>
      <c r="E5941" s="42" t="s">
        <v>1256</v>
      </c>
      <c r="F5941" s="117"/>
      <c r="G5941" s="42" t="s">
        <v>610</v>
      </c>
    </row>
    <row r="5942">
      <c r="A5942" s="44"/>
      <c r="B5942" s="38" t="s">
        <v>266</v>
      </c>
      <c r="C5942" s="38">
        <v>4.0</v>
      </c>
      <c r="D5942" s="38" t="s">
        <v>16462</v>
      </c>
      <c r="E5942" s="42" t="s">
        <v>16463</v>
      </c>
      <c r="F5942" s="117" t="s">
        <v>16464</v>
      </c>
      <c r="G5942" s="42" t="s">
        <v>16465</v>
      </c>
    </row>
    <row r="5943">
      <c r="A5943" s="44"/>
      <c r="B5943" s="390"/>
      <c r="C5943" s="38"/>
      <c r="D5943" s="38" t="s">
        <v>16466</v>
      </c>
      <c r="E5943" s="38" t="s">
        <v>16467</v>
      </c>
      <c r="F5943" s="38"/>
      <c r="G5943" s="42" t="s">
        <v>16468</v>
      </c>
    </row>
    <row r="5944">
      <c r="B5944" s="38" t="s">
        <v>28</v>
      </c>
      <c r="C5944" s="38">
        <v>1.0</v>
      </c>
      <c r="D5944" s="38" t="s">
        <v>402</v>
      </c>
      <c r="E5944" s="42" t="s">
        <v>16469</v>
      </c>
      <c r="F5944" s="117" t="s">
        <v>3876</v>
      </c>
      <c r="G5944" s="10"/>
    </row>
    <row r="5945">
      <c r="B5945" s="38" t="s">
        <v>623</v>
      </c>
      <c r="C5945" s="38">
        <v>2.0</v>
      </c>
      <c r="D5945" s="38" t="s">
        <v>16470</v>
      </c>
      <c r="E5945" s="42" t="s">
        <v>16471</v>
      </c>
      <c r="F5945" s="38" t="s">
        <v>15918</v>
      </c>
      <c r="G5945" s="10"/>
    </row>
    <row r="5946">
      <c r="B5946" s="38" t="s">
        <v>97</v>
      </c>
      <c r="C5946" s="38">
        <v>2.0</v>
      </c>
      <c r="D5946" s="38" t="s">
        <v>16470</v>
      </c>
      <c r="E5946" s="42" t="s">
        <v>16471</v>
      </c>
      <c r="F5946" s="117" t="s">
        <v>15918</v>
      </c>
      <c r="G5946" s="10"/>
    </row>
    <row r="5947">
      <c r="B5947" s="598" t="s">
        <v>16472</v>
      </c>
      <c r="C5947" s="38" t="s">
        <v>16473</v>
      </c>
      <c r="D5947" s="47"/>
      <c r="E5947" s="42" t="s">
        <v>15427</v>
      </c>
      <c r="F5947" s="117" t="s">
        <v>16474</v>
      </c>
      <c r="G5947" s="42" t="s">
        <v>144</v>
      </c>
    </row>
    <row r="5948">
      <c r="B5948" s="38" t="s">
        <v>16475</v>
      </c>
      <c r="C5948" s="47" t="s">
        <v>16476</v>
      </c>
      <c r="D5948" s="47" t="s">
        <v>16477</v>
      </c>
      <c r="E5948" s="47" t="s">
        <v>3986</v>
      </c>
      <c r="F5948" s="38" t="s">
        <v>16478</v>
      </c>
      <c r="G5948" s="10"/>
    </row>
    <row r="5949">
      <c r="B5949" s="38" t="s">
        <v>16479</v>
      </c>
      <c r="C5949" s="47"/>
      <c r="D5949" s="47"/>
      <c r="E5949" s="47" t="s">
        <v>3986</v>
      </c>
      <c r="F5949" s="117"/>
      <c r="G5949" s="10"/>
    </row>
    <row r="5950">
      <c r="B5950" s="38" t="s">
        <v>789</v>
      </c>
      <c r="C5950" s="599">
        <v>1.0</v>
      </c>
      <c r="D5950" s="38" t="s">
        <v>134</v>
      </c>
      <c r="E5950" s="42" t="s">
        <v>418</v>
      </c>
      <c r="F5950" s="42" t="s">
        <v>16480</v>
      </c>
      <c r="G5950" s="10"/>
    </row>
    <row r="5951">
      <c r="B5951" s="38" t="s">
        <v>16481</v>
      </c>
      <c r="C5951" s="44"/>
      <c r="D5951" s="38" t="s">
        <v>16482</v>
      </c>
      <c r="E5951" s="42" t="s">
        <v>13639</v>
      </c>
      <c r="F5951" s="117" t="s">
        <v>16483</v>
      </c>
      <c r="G5951" s="42" t="s">
        <v>610</v>
      </c>
    </row>
    <row r="5952">
      <c r="B5952" s="44"/>
      <c r="C5952" s="47"/>
      <c r="D5952" s="47"/>
      <c r="E5952" s="42" t="s">
        <v>16484</v>
      </c>
      <c r="F5952" s="42"/>
      <c r="G5952" s="10"/>
    </row>
    <row r="5953">
      <c r="B5953" s="38" t="s">
        <v>16485</v>
      </c>
      <c r="C5953" s="38" t="s">
        <v>16486</v>
      </c>
      <c r="D5953" s="38" t="s">
        <v>16487</v>
      </c>
      <c r="E5953" s="42" t="s">
        <v>16135</v>
      </c>
      <c r="F5953" s="42" t="s">
        <v>16488</v>
      </c>
      <c r="G5953" s="10"/>
    </row>
    <row r="5954">
      <c r="B5954" s="38"/>
      <c r="C5954" s="38"/>
      <c r="D5954" s="38" t="s">
        <v>16489</v>
      </c>
      <c r="E5954" s="42" t="s">
        <v>16135</v>
      </c>
      <c r="F5954" s="42"/>
      <c r="G5954" s="10"/>
    </row>
    <row r="5955">
      <c r="B5955" s="44"/>
      <c r="C5955" s="47"/>
      <c r="D5955" s="47"/>
      <c r="E5955" s="42" t="s">
        <v>16490</v>
      </c>
      <c r="F5955" s="117" t="s">
        <v>16491</v>
      </c>
      <c r="G5955" s="42" t="s">
        <v>16492</v>
      </c>
    </row>
    <row r="5956">
      <c r="A5956" s="44"/>
      <c r="B5956" s="38" t="s">
        <v>4632</v>
      </c>
      <c r="C5956" s="38">
        <v>1.0</v>
      </c>
      <c r="D5956" s="38" t="s">
        <v>16493</v>
      </c>
      <c r="E5956" s="47" t="s">
        <v>16494</v>
      </c>
      <c r="F5956" s="47" t="s">
        <v>16495</v>
      </c>
      <c r="G5956" s="10"/>
    </row>
    <row r="5957">
      <c r="B5957" s="38" t="s">
        <v>183</v>
      </c>
      <c r="C5957" s="38">
        <v>4.0</v>
      </c>
      <c r="D5957" s="38" t="s">
        <v>545</v>
      </c>
      <c r="E5957" s="600" t="s">
        <v>16496</v>
      </c>
      <c r="F5957" s="42" t="s">
        <v>16497</v>
      </c>
      <c r="G5957" s="152"/>
      <c r="I5957" s="1" t="s">
        <v>16498</v>
      </c>
    </row>
    <row r="5958">
      <c r="A5958" s="4" t="s">
        <v>16499</v>
      </c>
      <c r="B5958" s="38" t="s">
        <v>77</v>
      </c>
      <c r="C5958" s="38">
        <v>4.0</v>
      </c>
      <c r="D5958" s="38" t="s">
        <v>2219</v>
      </c>
      <c r="E5958" s="600" t="s">
        <v>16500</v>
      </c>
      <c r="F5958" s="117" t="s">
        <v>16501</v>
      </c>
      <c r="G5958" s="42" t="s">
        <v>2252</v>
      </c>
      <c r="H5958" s="1" t="s">
        <v>16502</v>
      </c>
      <c r="I5958" s="1" t="s">
        <v>16503</v>
      </c>
    </row>
    <row r="5959">
      <c r="A5959" s="44"/>
      <c r="B5959" s="38" t="s">
        <v>58</v>
      </c>
      <c r="C5959" s="38">
        <v>4.0</v>
      </c>
      <c r="D5959" s="38" t="s">
        <v>545</v>
      </c>
      <c r="E5959" s="39" t="s">
        <v>16504</v>
      </c>
      <c r="F5959" s="117"/>
      <c r="G5959" s="42"/>
    </row>
    <row r="5960">
      <c r="B5960" s="38" t="s">
        <v>81</v>
      </c>
      <c r="C5960" s="38">
        <v>4.0</v>
      </c>
      <c r="D5960" s="38" t="s">
        <v>2792</v>
      </c>
      <c r="E5960" s="39" t="s">
        <v>16505</v>
      </c>
      <c r="F5960" s="117"/>
      <c r="G5960" s="10"/>
    </row>
    <row r="5961">
      <c r="A5961" s="218">
        <v>45541.0</v>
      </c>
      <c r="B5961" s="47" t="s">
        <v>16506</v>
      </c>
      <c r="C5961" s="47" t="s">
        <v>2517</v>
      </c>
      <c r="D5961" s="47" t="s">
        <v>16507</v>
      </c>
      <c r="E5961" s="47" t="s">
        <v>2290</v>
      </c>
      <c r="F5961" s="38"/>
    </row>
    <row r="5962">
      <c r="A5962" s="47" t="s">
        <v>16508</v>
      </c>
      <c r="B5962" s="38" t="s">
        <v>724</v>
      </c>
      <c r="C5962" s="47" t="s">
        <v>2519</v>
      </c>
      <c r="D5962" s="47" t="s">
        <v>2520</v>
      </c>
      <c r="E5962" s="47" t="s">
        <v>2290</v>
      </c>
      <c r="F5962" s="44"/>
    </row>
    <row r="5963">
      <c r="A5963" s="2" t="s">
        <v>16509</v>
      </c>
      <c r="B5963" s="38" t="s">
        <v>271</v>
      </c>
      <c r="C5963" s="38">
        <v>4.0</v>
      </c>
      <c r="D5963" s="38" t="s">
        <v>16510</v>
      </c>
      <c r="E5963" s="42" t="s">
        <v>1814</v>
      </c>
      <c r="F5963" s="117" t="s">
        <v>1517</v>
      </c>
      <c r="G5963" s="10" t="s">
        <v>221</v>
      </c>
    </row>
    <row r="5964">
      <c r="B5964" s="38" t="s">
        <v>1967</v>
      </c>
      <c r="C5964" s="38">
        <v>1.0</v>
      </c>
      <c r="D5964" s="38" t="s">
        <v>905</v>
      </c>
      <c r="E5964" s="42" t="s">
        <v>418</v>
      </c>
      <c r="F5964" s="42" t="s">
        <v>16511</v>
      </c>
      <c r="G5964" s="10"/>
    </row>
    <row r="5965">
      <c r="B5965" s="38" t="s">
        <v>354</v>
      </c>
      <c r="C5965" s="38">
        <v>4.0</v>
      </c>
      <c r="D5965" s="38" t="s">
        <v>2021</v>
      </c>
      <c r="E5965" s="42" t="s">
        <v>1098</v>
      </c>
      <c r="F5965" s="42" t="s">
        <v>16512</v>
      </c>
      <c r="G5965" s="10"/>
    </row>
    <row r="5966">
      <c r="B5966" s="38" t="s">
        <v>733</v>
      </c>
      <c r="C5966" s="38">
        <v>2.0</v>
      </c>
      <c r="D5966" s="38" t="s">
        <v>3881</v>
      </c>
      <c r="E5966" s="42" t="s">
        <v>16513</v>
      </c>
      <c r="F5966" s="117" t="s">
        <v>16514</v>
      </c>
      <c r="G5966" s="10"/>
    </row>
    <row r="5967">
      <c r="A5967" s="1" t="s">
        <v>997</v>
      </c>
      <c r="B5967" s="38" t="s">
        <v>25</v>
      </c>
      <c r="C5967" s="38">
        <v>4.0</v>
      </c>
      <c r="D5967" s="38" t="s">
        <v>16515</v>
      </c>
      <c r="E5967" s="38" t="s">
        <v>16516</v>
      </c>
      <c r="F5967" s="117" t="s">
        <v>404</v>
      </c>
      <c r="G5967" s="42" t="s">
        <v>15309</v>
      </c>
    </row>
    <row r="5968">
      <c r="A5968" s="8"/>
      <c r="B5968" s="38" t="s">
        <v>2728</v>
      </c>
      <c r="C5968" s="38">
        <v>4.0</v>
      </c>
      <c r="D5968" s="38" t="s">
        <v>3101</v>
      </c>
      <c r="E5968" s="42" t="s">
        <v>1814</v>
      </c>
      <c r="F5968" s="117" t="s">
        <v>16517</v>
      </c>
      <c r="G5968" s="10"/>
    </row>
    <row r="5969">
      <c r="A5969" s="8"/>
      <c r="B5969" s="38"/>
      <c r="C5969" s="38">
        <v>4.0</v>
      </c>
      <c r="D5969" s="38" t="s">
        <v>2053</v>
      </c>
      <c r="E5969" s="42" t="s">
        <v>1814</v>
      </c>
      <c r="F5969" s="117" t="s">
        <v>16517</v>
      </c>
      <c r="G5969" s="10"/>
    </row>
    <row r="5970">
      <c r="A5970" s="8"/>
      <c r="B5970" s="38" t="s">
        <v>219</v>
      </c>
      <c r="C5970" s="38">
        <v>4.0</v>
      </c>
      <c r="D5970" s="38" t="s">
        <v>14725</v>
      </c>
      <c r="E5970" s="42" t="s">
        <v>16518</v>
      </c>
      <c r="F5970" s="42" t="s">
        <v>16519</v>
      </c>
      <c r="G5970" s="10"/>
    </row>
    <row r="5971">
      <c r="A5971" s="38" t="s">
        <v>16520</v>
      </c>
      <c r="B5971" s="38" t="s">
        <v>153</v>
      </c>
      <c r="C5971" s="38">
        <v>2.0</v>
      </c>
      <c r="D5971" s="38" t="s">
        <v>2423</v>
      </c>
      <c r="E5971" s="42" t="s">
        <v>4466</v>
      </c>
      <c r="F5971" s="117"/>
      <c r="G5971" s="10"/>
    </row>
    <row r="5972">
      <c r="A5972" s="38" t="s">
        <v>16521</v>
      </c>
      <c r="B5972" s="38" t="s">
        <v>94</v>
      </c>
      <c r="C5972" s="38">
        <v>2.0</v>
      </c>
      <c r="D5972" s="38" t="s">
        <v>2423</v>
      </c>
      <c r="E5972" s="42" t="s">
        <v>4466</v>
      </c>
      <c r="F5972" s="117"/>
      <c r="G5972" s="10"/>
    </row>
    <row r="5973">
      <c r="A5973" s="8"/>
      <c r="B5973" s="38" t="s">
        <v>219</v>
      </c>
      <c r="C5973" s="38">
        <v>4.0</v>
      </c>
      <c r="D5973" s="38" t="s">
        <v>2705</v>
      </c>
      <c r="E5973" s="39" t="s">
        <v>16522</v>
      </c>
      <c r="F5973" s="38" t="s">
        <v>16523</v>
      </c>
      <c r="G5973" s="10"/>
    </row>
    <row r="5974">
      <c r="A5974" s="173" t="s">
        <v>16524</v>
      </c>
      <c r="B5974" s="38" t="s">
        <v>430</v>
      </c>
      <c r="C5974" s="38">
        <v>4.0</v>
      </c>
      <c r="D5974" s="38" t="s">
        <v>684</v>
      </c>
      <c r="E5974" s="39" t="s">
        <v>16525</v>
      </c>
      <c r="F5974" s="38" t="s">
        <v>14643</v>
      </c>
      <c r="G5974" s="42" t="s">
        <v>16526</v>
      </c>
      <c r="H5974" s="1" t="s">
        <v>3165</v>
      </c>
    </row>
    <row r="5975">
      <c r="B5975" s="38" t="s">
        <v>85</v>
      </c>
      <c r="C5975" s="38">
        <v>2.0</v>
      </c>
      <c r="D5975" s="38" t="s">
        <v>1858</v>
      </c>
      <c r="E5975" s="42" t="s">
        <v>1580</v>
      </c>
      <c r="F5975" s="117" t="s">
        <v>16527</v>
      </c>
      <c r="G5975" s="42" t="s">
        <v>16528</v>
      </c>
    </row>
    <row r="5976">
      <c r="B5976" s="38" t="s">
        <v>205</v>
      </c>
      <c r="C5976" s="38">
        <v>4.0</v>
      </c>
      <c r="D5976" s="38" t="s">
        <v>433</v>
      </c>
      <c r="E5976" s="39" t="s">
        <v>16529</v>
      </c>
      <c r="F5976" s="117" t="s">
        <v>6361</v>
      </c>
      <c r="G5976" s="10"/>
    </row>
    <row r="5977">
      <c r="B5977" s="38" t="s">
        <v>271</v>
      </c>
      <c r="C5977" s="38">
        <v>4.0</v>
      </c>
      <c r="D5977" s="38" t="s">
        <v>433</v>
      </c>
      <c r="E5977" s="39" t="s">
        <v>16530</v>
      </c>
      <c r="F5977" s="117" t="s">
        <v>16531</v>
      </c>
      <c r="G5977" s="10"/>
    </row>
    <row r="5978">
      <c r="B5978" s="38" t="s">
        <v>85</v>
      </c>
      <c r="C5978" s="38">
        <v>2.0</v>
      </c>
      <c r="D5978" s="38" t="s">
        <v>1499</v>
      </c>
      <c r="E5978" s="42" t="s">
        <v>1098</v>
      </c>
      <c r="F5978" s="42" t="s">
        <v>16532</v>
      </c>
      <c r="G5978" s="10"/>
    </row>
    <row r="5979">
      <c r="B5979" s="44"/>
      <c r="C5979" s="47"/>
      <c r="D5979" s="47"/>
      <c r="E5979" s="47" t="s">
        <v>16443</v>
      </c>
      <c r="F5979" s="117" t="s">
        <v>16533</v>
      </c>
      <c r="G5979" s="42" t="s">
        <v>16162</v>
      </c>
    </row>
    <row r="5980">
      <c r="B5980" s="38" t="s">
        <v>283</v>
      </c>
      <c r="C5980" s="38">
        <v>4.0</v>
      </c>
      <c r="D5980" s="38" t="s">
        <v>869</v>
      </c>
      <c r="E5980" s="42" t="s">
        <v>16534</v>
      </c>
      <c r="F5980" s="42" t="s">
        <v>16535</v>
      </c>
      <c r="G5980" s="10"/>
    </row>
    <row r="5981">
      <c r="B5981" s="38" t="s">
        <v>261</v>
      </c>
      <c r="C5981" s="38">
        <v>2.0</v>
      </c>
      <c r="D5981" s="38" t="s">
        <v>16536</v>
      </c>
      <c r="E5981" s="42" t="s">
        <v>413</v>
      </c>
      <c r="F5981" s="117" t="s">
        <v>404</v>
      </c>
      <c r="G5981" s="10"/>
    </row>
    <row r="5982">
      <c r="B5982" s="38" t="s">
        <v>16537</v>
      </c>
      <c r="C5982" s="38">
        <v>2.0</v>
      </c>
      <c r="D5982" s="38" t="s">
        <v>8967</v>
      </c>
      <c r="E5982" s="42" t="s">
        <v>16538</v>
      </c>
      <c r="F5982" s="42" t="s">
        <v>16539</v>
      </c>
      <c r="G5982" s="10"/>
    </row>
    <row r="5983">
      <c r="B5983" s="38" t="s">
        <v>85</v>
      </c>
      <c r="C5983" s="38">
        <v>2.0</v>
      </c>
      <c r="D5983" s="38" t="s">
        <v>12756</v>
      </c>
      <c r="E5983" s="42" t="s">
        <v>16540</v>
      </c>
      <c r="F5983" s="117" t="s">
        <v>3224</v>
      </c>
      <c r="G5983" s="10"/>
    </row>
    <row r="5984">
      <c r="B5984" s="44"/>
      <c r="C5984" s="47"/>
      <c r="D5984" s="47"/>
      <c r="E5984" s="47" t="s">
        <v>16541</v>
      </c>
      <c r="F5984" s="47" t="s">
        <v>16542</v>
      </c>
      <c r="G5984" s="10"/>
    </row>
    <row r="5985">
      <c r="B5985" s="38" t="s">
        <v>22</v>
      </c>
      <c r="C5985" s="38">
        <v>4.0</v>
      </c>
      <c r="D5985" s="38" t="s">
        <v>6192</v>
      </c>
      <c r="E5985" s="42" t="s">
        <v>2026</v>
      </c>
      <c r="F5985" s="117" t="s">
        <v>1743</v>
      </c>
      <c r="G5985" s="10"/>
    </row>
    <row r="5986">
      <c r="A5986" s="8"/>
      <c r="B5986" s="38" t="s">
        <v>195</v>
      </c>
      <c r="C5986" s="38">
        <v>2.0</v>
      </c>
      <c r="D5986" s="38" t="s">
        <v>3135</v>
      </c>
      <c r="E5986" s="42" t="s">
        <v>980</v>
      </c>
      <c r="F5986" s="42" t="s">
        <v>16543</v>
      </c>
      <c r="G5986" s="10"/>
    </row>
    <row r="5987">
      <c r="B5987" s="44"/>
      <c r="C5987" s="47"/>
      <c r="D5987" s="38" t="s">
        <v>16544</v>
      </c>
      <c r="E5987" s="42" t="s">
        <v>16545</v>
      </c>
      <c r="F5987" s="117" t="s">
        <v>16546</v>
      </c>
      <c r="G5987" s="42" t="s">
        <v>144</v>
      </c>
    </row>
    <row r="5988">
      <c r="B5988" s="44"/>
      <c r="C5988" s="38" t="s">
        <v>16547</v>
      </c>
      <c r="D5988" s="38" t="s">
        <v>16548</v>
      </c>
      <c r="E5988" s="42" t="s">
        <v>16545</v>
      </c>
      <c r="F5988" s="117" t="s">
        <v>16549</v>
      </c>
      <c r="G5988" s="42" t="s">
        <v>144</v>
      </c>
    </row>
    <row r="5989">
      <c r="B5989" s="44"/>
      <c r="C5989" s="47"/>
      <c r="D5989" s="38"/>
      <c r="E5989" s="42" t="s">
        <v>16545</v>
      </c>
      <c r="F5989" s="117"/>
      <c r="G5989" s="42" t="s">
        <v>144</v>
      </c>
    </row>
    <row r="5990">
      <c r="B5990" s="44"/>
      <c r="C5990" s="47"/>
      <c r="D5990" s="38"/>
      <c r="E5990" s="42" t="s">
        <v>16545</v>
      </c>
      <c r="F5990" s="117"/>
      <c r="G5990" s="42" t="s">
        <v>144</v>
      </c>
    </row>
    <row r="5991">
      <c r="B5991" s="38" t="s">
        <v>2521</v>
      </c>
      <c r="C5991" s="38">
        <v>4.0</v>
      </c>
      <c r="D5991" s="38" t="s">
        <v>2492</v>
      </c>
      <c r="E5991" s="42" t="s">
        <v>16550</v>
      </c>
      <c r="F5991" s="117" t="s">
        <v>1212</v>
      </c>
      <c r="G5991" s="10"/>
    </row>
    <row r="5992">
      <c r="B5992" s="38" t="s">
        <v>16551</v>
      </c>
      <c r="C5992" s="38" t="s">
        <v>16552</v>
      </c>
      <c r="D5992" s="38" t="s">
        <v>16553</v>
      </c>
      <c r="E5992" s="42" t="s">
        <v>16554</v>
      </c>
      <c r="F5992" s="117"/>
      <c r="G5992" s="10"/>
    </row>
    <row r="5993">
      <c r="A5993" s="8"/>
      <c r="B5993" s="44"/>
      <c r="C5993" s="38"/>
      <c r="D5993" s="38" t="s">
        <v>16555</v>
      </c>
      <c r="E5993" s="42" t="s">
        <v>325</v>
      </c>
      <c r="F5993" s="601" t="s">
        <v>16556</v>
      </c>
    </row>
    <row r="5994">
      <c r="A5994" s="8"/>
      <c r="B5994" s="44"/>
      <c r="C5994" s="38">
        <v>4.0</v>
      </c>
      <c r="D5994" s="38" t="s">
        <v>16557</v>
      </c>
      <c r="E5994" s="42" t="s">
        <v>325</v>
      </c>
      <c r="F5994" s="601" t="s">
        <v>16556</v>
      </c>
    </row>
    <row r="5995">
      <c r="A5995" s="8"/>
      <c r="B5995" s="38" t="s">
        <v>58</v>
      </c>
      <c r="C5995" s="38">
        <v>4.0</v>
      </c>
      <c r="D5995" s="38" t="s">
        <v>2094</v>
      </c>
      <c r="E5995" s="42" t="s">
        <v>325</v>
      </c>
      <c r="F5995" s="601" t="s">
        <v>16556</v>
      </c>
    </row>
    <row r="5996">
      <c r="A5996" s="8"/>
      <c r="B5996" s="44"/>
      <c r="C5996" s="38">
        <v>4.0</v>
      </c>
      <c r="D5996" s="38" t="s">
        <v>16558</v>
      </c>
      <c r="E5996" s="42" t="s">
        <v>325</v>
      </c>
      <c r="F5996" s="601" t="s">
        <v>16556</v>
      </c>
    </row>
    <row r="5997">
      <c r="A5997" s="38" t="s">
        <v>16559</v>
      </c>
      <c r="B5997" s="38" t="s">
        <v>85</v>
      </c>
      <c r="C5997" s="38">
        <v>2.0</v>
      </c>
      <c r="D5997" s="38" t="s">
        <v>2219</v>
      </c>
      <c r="E5997" s="42" t="s">
        <v>325</v>
      </c>
      <c r="F5997" s="42" t="s">
        <v>16560</v>
      </c>
      <c r="G5997" s="10"/>
    </row>
    <row r="5998">
      <c r="A5998" s="38" t="s">
        <v>16559</v>
      </c>
      <c r="B5998" s="38" t="s">
        <v>31</v>
      </c>
      <c r="C5998" s="38">
        <v>2.0</v>
      </c>
      <c r="D5998" s="38" t="s">
        <v>2219</v>
      </c>
      <c r="E5998" s="42" t="s">
        <v>325</v>
      </c>
      <c r="F5998" s="42" t="s">
        <v>16560</v>
      </c>
      <c r="G5998" s="10"/>
    </row>
    <row r="5999">
      <c r="A5999" s="44"/>
      <c r="B5999" s="38" t="s">
        <v>25</v>
      </c>
      <c r="C5999" s="38">
        <v>2.0</v>
      </c>
      <c r="D5999" s="38" t="s">
        <v>4326</v>
      </c>
      <c r="E5999" s="42" t="s">
        <v>16561</v>
      </c>
      <c r="F5999" s="117"/>
      <c r="G5999" s="10"/>
    </row>
    <row r="6000">
      <c r="B6000" s="602" t="s">
        <v>16562</v>
      </c>
      <c r="C6000" s="603" t="s">
        <v>16563</v>
      </c>
      <c r="D6000" s="44"/>
      <c r="E6000" s="42" t="s">
        <v>16564</v>
      </c>
      <c r="F6000" s="42" t="s">
        <v>16565</v>
      </c>
      <c r="G6000" s="10"/>
    </row>
    <row r="6001">
      <c r="B6001" s="603" t="s">
        <v>16566</v>
      </c>
      <c r="C6001" s="603" t="s">
        <v>16477</v>
      </c>
      <c r="D6001" s="38" t="s">
        <v>584</v>
      </c>
      <c r="E6001" s="42" t="s">
        <v>16564</v>
      </c>
      <c r="F6001" s="42" t="s">
        <v>16567</v>
      </c>
      <c r="G6001" s="10"/>
    </row>
    <row r="6002">
      <c r="B6002" s="603" t="s">
        <v>647</v>
      </c>
      <c r="C6002" s="603" t="s">
        <v>16568</v>
      </c>
      <c r="D6002" s="38" t="s">
        <v>16569</v>
      </c>
      <c r="E6002" s="42" t="s">
        <v>16564</v>
      </c>
      <c r="F6002" s="42" t="s">
        <v>16567</v>
      </c>
      <c r="G6002" s="10"/>
    </row>
    <row r="6003">
      <c r="B6003" s="38" t="s">
        <v>16570</v>
      </c>
      <c r="C6003" s="38" t="s">
        <v>865</v>
      </c>
      <c r="D6003" s="38" t="s">
        <v>16571</v>
      </c>
      <c r="E6003" s="42" t="s">
        <v>16564</v>
      </c>
      <c r="F6003" s="42" t="s">
        <v>16567</v>
      </c>
      <c r="G6003" s="10"/>
    </row>
    <row r="6004">
      <c r="A6004" s="44"/>
      <c r="B6004" s="44"/>
      <c r="C6004" s="44"/>
      <c r="D6004" s="38" t="s">
        <v>16572</v>
      </c>
      <c r="E6004" s="42" t="s">
        <v>16564</v>
      </c>
      <c r="F6004" s="42" t="s">
        <v>16567</v>
      </c>
      <c r="G6004" s="10"/>
    </row>
    <row r="6005">
      <c r="A6005" s="44"/>
      <c r="B6005" s="38"/>
      <c r="C6005" s="38" t="s">
        <v>16573</v>
      </c>
      <c r="D6005" s="44"/>
      <c r="E6005" s="42" t="s">
        <v>16564</v>
      </c>
      <c r="F6005" s="42" t="s">
        <v>16567</v>
      </c>
      <c r="G6005" s="10"/>
    </row>
    <row r="6006">
      <c r="A6006" s="44"/>
      <c r="B6006" s="38"/>
      <c r="C6006" s="44"/>
      <c r="D6006" s="598" t="s">
        <v>16574</v>
      </c>
      <c r="E6006" s="42" t="s">
        <v>16564</v>
      </c>
      <c r="F6006" s="42" t="s">
        <v>16567</v>
      </c>
      <c r="G6006" s="10"/>
    </row>
    <row r="6007">
      <c r="A6007" s="109" t="s">
        <v>16575</v>
      </c>
      <c r="B6007" s="38" t="s">
        <v>122</v>
      </c>
      <c r="C6007" s="38">
        <v>4.0</v>
      </c>
      <c r="D6007" s="38" t="s">
        <v>16576</v>
      </c>
      <c r="E6007" s="42" t="s">
        <v>16577</v>
      </c>
      <c r="F6007" s="38" t="s">
        <v>16578</v>
      </c>
      <c r="G6007" s="10"/>
    </row>
    <row r="6008">
      <c r="B6008" s="38" t="s">
        <v>16579</v>
      </c>
      <c r="C6008" s="38" t="s">
        <v>16580</v>
      </c>
      <c r="D6008" s="38" t="s">
        <v>16581</v>
      </c>
      <c r="E6008" s="80" t="s">
        <v>16582</v>
      </c>
      <c r="F6008" s="117" t="s">
        <v>16583</v>
      </c>
      <c r="G6008" s="10"/>
    </row>
    <row r="6009">
      <c r="B6009" s="38" t="s">
        <v>16584</v>
      </c>
      <c r="C6009" s="38" t="s">
        <v>16585</v>
      </c>
      <c r="D6009" s="38" t="s">
        <v>16586</v>
      </c>
      <c r="E6009" s="80" t="s">
        <v>16582</v>
      </c>
      <c r="F6009" s="117" t="s">
        <v>16587</v>
      </c>
      <c r="G6009" s="10"/>
    </row>
    <row r="6010">
      <c r="B6010" s="38" t="s">
        <v>16588</v>
      </c>
      <c r="C6010" s="38" t="s">
        <v>16589</v>
      </c>
      <c r="D6010" s="42" t="s">
        <v>16590</v>
      </c>
      <c r="E6010" s="80" t="s">
        <v>16582</v>
      </c>
      <c r="F6010" s="38" t="s">
        <v>16591</v>
      </c>
      <c r="G6010" s="10"/>
    </row>
    <row r="6011">
      <c r="B6011" s="38" t="s">
        <v>587</v>
      </c>
      <c r="C6011" s="38" t="s">
        <v>16592</v>
      </c>
      <c r="D6011" s="117" t="s">
        <v>16593</v>
      </c>
      <c r="E6011" s="80" t="s">
        <v>16582</v>
      </c>
      <c r="F6011" s="38" t="s">
        <v>16594</v>
      </c>
    </row>
    <row r="6012">
      <c r="B6012" s="44"/>
      <c r="C6012" s="38"/>
      <c r="D6012" s="38"/>
      <c r="E6012" s="80" t="s">
        <v>16582</v>
      </c>
      <c r="F6012" s="38" t="s">
        <v>16595</v>
      </c>
    </row>
    <row r="6013">
      <c r="B6013" s="38" t="s">
        <v>25</v>
      </c>
      <c r="C6013" s="38">
        <v>4.0</v>
      </c>
      <c r="D6013" s="38" t="s">
        <v>14082</v>
      </c>
      <c r="E6013" s="42" t="s">
        <v>11231</v>
      </c>
      <c r="F6013" s="117" t="s">
        <v>16596</v>
      </c>
      <c r="G6013" s="10"/>
    </row>
    <row r="6014">
      <c r="B6014" s="44"/>
      <c r="C6014" s="47" t="s">
        <v>16597</v>
      </c>
      <c r="D6014" s="46" t="s">
        <v>16598</v>
      </c>
      <c r="E6014" s="60" t="s">
        <v>16599</v>
      </c>
      <c r="F6014" s="117"/>
      <c r="G6014" s="10"/>
    </row>
    <row r="6015">
      <c r="A6015" s="38" t="s">
        <v>16600</v>
      </c>
      <c r="B6015" s="38" t="s">
        <v>85</v>
      </c>
      <c r="C6015" s="38">
        <v>4.0</v>
      </c>
      <c r="D6015" s="38" t="s">
        <v>2171</v>
      </c>
      <c r="E6015" s="42" t="s">
        <v>16601</v>
      </c>
      <c r="F6015" s="117" t="s">
        <v>16602</v>
      </c>
      <c r="G6015" s="10" t="s">
        <v>16603</v>
      </c>
      <c r="H6015" s="1" t="s">
        <v>16604</v>
      </c>
    </row>
    <row r="6016">
      <c r="C6016" s="604" t="s">
        <v>16605</v>
      </c>
      <c r="D6016" s="604" t="s">
        <v>16606</v>
      </c>
      <c r="E6016" s="10" t="s">
        <v>16394</v>
      </c>
      <c r="F6016" s="152"/>
      <c r="G6016" s="10"/>
    </row>
    <row r="6017">
      <c r="B6017" s="38" t="s">
        <v>1006</v>
      </c>
      <c r="C6017" s="38">
        <v>2.0</v>
      </c>
      <c r="D6017" s="38" t="s">
        <v>433</v>
      </c>
      <c r="E6017" s="42" t="s">
        <v>16607</v>
      </c>
      <c r="F6017" s="42" t="s">
        <v>16608</v>
      </c>
      <c r="G6017" s="10"/>
    </row>
    <row r="6018">
      <c r="B6018" s="38" t="s">
        <v>25</v>
      </c>
      <c r="C6018" s="38">
        <v>4.0</v>
      </c>
      <c r="D6018" s="38" t="s">
        <v>86</v>
      </c>
      <c r="E6018" s="42" t="s">
        <v>16609</v>
      </c>
      <c r="F6018" s="117" t="s">
        <v>16610</v>
      </c>
      <c r="G6018" s="42" t="s">
        <v>144</v>
      </c>
    </row>
    <row r="6019">
      <c r="B6019" s="38" t="s">
        <v>2521</v>
      </c>
      <c r="C6019" s="38">
        <v>4.0</v>
      </c>
      <c r="D6019" s="38" t="s">
        <v>3982</v>
      </c>
      <c r="E6019" s="42" t="s">
        <v>16609</v>
      </c>
      <c r="F6019" s="117" t="s">
        <v>16611</v>
      </c>
      <c r="G6019" s="42" t="s">
        <v>144</v>
      </c>
    </row>
    <row r="6020">
      <c r="B6020" s="605" t="s">
        <v>16612</v>
      </c>
      <c r="C6020" s="605" t="s">
        <v>16613</v>
      </c>
      <c r="D6020" s="606" t="s">
        <v>16614</v>
      </c>
      <c r="E6020" s="42" t="s">
        <v>16609</v>
      </c>
      <c r="F6020" s="117"/>
      <c r="G6020" s="42"/>
    </row>
    <row r="6021">
      <c r="B6021" s="44"/>
      <c r="C6021" s="605" t="s">
        <v>16615</v>
      </c>
      <c r="D6021" s="606" t="s">
        <v>16616</v>
      </c>
      <c r="E6021" s="42" t="s">
        <v>16609</v>
      </c>
      <c r="F6021" s="117"/>
      <c r="G6021" s="42"/>
    </row>
    <row r="6022">
      <c r="B6022" s="38" t="s">
        <v>88</v>
      </c>
      <c r="C6022" s="38">
        <v>1.0</v>
      </c>
      <c r="D6022" s="38" t="s">
        <v>408</v>
      </c>
      <c r="E6022" s="42" t="s">
        <v>16617</v>
      </c>
      <c r="F6022" s="42" t="s">
        <v>16618</v>
      </c>
      <c r="G6022" s="10"/>
    </row>
    <row r="6023">
      <c r="B6023" s="44"/>
      <c r="C6023" s="47">
        <v>2.0</v>
      </c>
      <c r="D6023" s="47" t="s">
        <v>16619</v>
      </c>
      <c r="E6023" s="47" t="s">
        <v>16620</v>
      </c>
      <c r="F6023" s="38" t="s">
        <v>16621</v>
      </c>
      <c r="G6023" s="4"/>
    </row>
    <row r="6024">
      <c r="B6024" s="44"/>
      <c r="C6024" s="47">
        <v>2.0</v>
      </c>
      <c r="D6024" s="47" t="s">
        <v>16619</v>
      </c>
      <c r="E6024" s="47" t="s">
        <v>16620</v>
      </c>
      <c r="F6024" s="38" t="s">
        <v>16621</v>
      </c>
      <c r="G6024" s="4"/>
    </row>
    <row r="6025">
      <c r="A6025" s="38" t="s">
        <v>133</v>
      </c>
      <c r="B6025" s="47" t="s">
        <v>38</v>
      </c>
      <c r="C6025" s="47">
        <v>4.0</v>
      </c>
      <c r="D6025" s="47" t="s">
        <v>672</v>
      </c>
      <c r="E6025" s="47" t="s">
        <v>16129</v>
      </c>
      <c r="F6025" s="38" t="s">
        <v>16622</v>
      </c>
      <c r="G6025" s="4"/>
    </row>
    <row r="6026">
      <c r="A6026" s="65">
        <v>45567.0</v>
      </c>
      <c r="B6026" s="47" t="s">
        <v>16623</v>
      </c>
      <c r="C6026" s="47" t="s">
        <v>16624</v>
      </c>
      <c r="D6026" s="38" t="s">
        <v>1618</v>
      </c>
      <c r="E6026" s="47" t="s">
        <v>1619</v>
      </c>
      <c r="F6026" s="47" t="s">
        <v>16625</v>
      </c>
      <c r="G6026" s="4"/>
    </row>
    <row r="6027">
      <c r="A6027" s="44"/>
      <c r="B6027" s="44"/>
      <c r="C6027" s="44"/>
      <c r="D6027" s="44"/>
      <c r="E6027" s="47" t="s">
        <v>1619</v>
      </c>
      <c r="F6027" s="47" t="s">
        <v>1475</v>
      </c>
      <c r="G6027" s="4"/>
    </row>
    <row r="6028">
      <c r="B6028" s="44"/>
      <c r="C6028" s="47">
        <v>4.0</v>
      </c>
      <c r="D6028" s="47" t="s">
        <v>16626</v>
      </c>
      <c r="E6028" s="47" t="s">
        <v>16627</v>
      </c>
      <c r="F6028" s="38" t="s">
        <v>16628</v>
      </c>
      <c r="G6028" s="4"/>
    </row>
    <row r="6029">
      <c r="B6029" s="44"/>
      <c r="C6029" s="47">
        <v>4.0</v>
      </c>
      <c r="D6029" s="47" t="s">
        <v>16629</v>
      </c>
      <c r="E6029" s="47" t="s">
        <v>16627</v>
      </c>
      <c r="F6029" s="38" t="s">
        <v>16628</v>
      </c>
      <c r="G6029" s="4"/>
    </row>
    <row r="6030">
      <c r="A6030" s="1" t="s">
        <v>16630</v>
      </c>
      <c r="B6030" s="47" t="s">
        <v>58</v>
      </c>
      <c r="C6030" s="47">
        <v>4.0</v>
      </c>
      <c r="D6030" s="47" t="s">
        <v>6747</v>
      </c>
      <c r="E6030" s="38" t="s">
        <v>16631</v>
      </c>
      <c r="F6030" s="38" t="s">
        <v>16628</v>
      </c>
      <c r="G6030" s="4"/>
    </row>
    <row r="6031">
      <c r="A6031" s="44"/>
      <c r="B6031" s="44"/>
      <c r="C6031" s="47"/>
      <c r="D6031" s="47" t="s">
        <v>16632</v>
      </c>
      <c r="E6031" s="47" t="s">
        <v>1663</v>
      </c>
      <c r="F6031" s="47" t="s">
        <v>11571</v>
      </c>
      <c r="G6031" s="38" t="s">
        <v>16633</v>
      </c>
    </row>
    <row r="6032">
      <c r="B6032" s="44"/>
      <c r="C6032" s="47"/>
      <c r="D6032" s="38" t="s">
        <v>16634</v>
      </c>
      <c r="E6032" s="47" t="s">
        <v>1663</v>
      </c>
      <c r="F6032" s="47" t="s">
        <v>16635</v>
      </c>
      <c r="G6032" s="38" t="s">
        <v>16633</v>
      </c>
    </row>
    <row r="6033">
      <c r="B6033" s="44"/>
      <c r="C6033" s="47"/>
      <c r="D6033" s="467" t="s">
        <v>16636</v>
      </c>
      <c r="E6033" s="47" t="s">
        <v>1663</v>
      </c>
      <c r="F6033" s="38" t="s">
        <v>16637</v>
      </c>
      <c r="G6033" s="38" t="s">
        <v>16633</v>
      </c>
    </row>
    <row r="6034">
      <c r="A6034" s="44"/>
      <c r="B6034" s="44"/>
      <c r="C6034" s="47" t="s">
        <v>16638</v>
      </c>
      <c r="D6034" s="47" t="s">
        <v>16639</v>
      </c>
      <c r="E6034" s="47" t="s">
        <v>16640</v>
      </c>
      <c r="F6034" s="47" t="s">
        <v>16641</v>
      </c>
      <c r="G6034" s="38" t="s">
        <v>16086</v>
      </c>
    </row>
    <row r="6035">
      <c r="A6035" s="44"/>
      <c r="B6035" s="44"/>
      <c r="C6035" s="47"/>
      <c r="D6035" s="47"/>
      <c r="E6035" s="47" t="s">
        <v>16640</v>
      </c>
      <c r="F6035" s="47" t="s">
        <v>16642</v>
      </c>
      <c r="G6035" s="38" t="s">
        <v>16086</v>
      </c>
    </row>
    <row r="6036">
      <c r="A6036" s="44"/>
      <c r="B6036" s="44"/>
      <c r="C6036" s="47"/>
      <c r="D6036" s="47"/>
      <c r="E6036" s="47" t="s">
        <v>16640</v>
      </c>
      <c r="F6036" s="38" t="s">
        <v>16643</v>
      </c>
      <c r="G6036" s="38" t="s">
        <v>16086</v>
      </c>
    </row>
    <row r="6037">
      <c r="A6037" s="44"/>
      <c r="B6037" s="44"/>
      <c r="C6037" s="47"/>
      <c r="D6037" s="47"/>
      <c r="E6037" s="47" t="s">
        <v>16640</v>
      </c>
      <c r="F6037" s="38" t="s">
        <v>16644</v>
      </c>
      <c r="G6037" s="38" t="s">
        <v>16086</v>
      </c>
    </row>
    <row r="6038">
      <c r="A6038" s="1">
        <v>56152.0</v>
      </c>
      <c r="B6038" s="47" t="s">
        <v>342</v>
      </c>
      <c r="C6038" s="47">
        <v>4.0</v>
      </c>
      <c r="D6038" s="47" t="s">
        <v>2219</v>
      </c>
      <c r="E6038" s="47" t="s">
        <v>9397</v>
      </c>
      <c r="F6038" s="47" t="s">
        <v>6881</v>
      </c>
      <c r="G6038" s="1" t="s">
        <v>16645</v>
      </c>
    </row>
    <row r="6039">
      <c r="A6039" s="38" t="s">
        <v>16520</v>
      </c>
      <c r="B6039" s="47" t="s">
        <v>479</v>
      </c>
      <c r="C6039" s="47">
        <v>2.0</v>
      </c>
      <c r="D6039" s="47" t="s">
        <v>16646</v>
      </c>
      <c r="E6039" s="47" t="s">
        <v>16647</v>
      </c>
      <c r="F6039" s="47" t="s">
        <v>16648</v>
      </c>
      <c r="G6039" s="47" t="s">
        <v>16649</v>
      </c>
    </row>
    <row r="6040">
      <c r="A6040" s="38" t="s">
        <v>16520</v>
      </c>
      <c r="B6040" s="47" t="s">
        <v>354</v>
      </c>
      <c r="C6040" s="47">
        <v>2.0</v>
      </c>
      <c r="D6040" s="47" t="s">
        <v>16646</v>
      </c>
      <c r="E6040" s="47" t="s">
        <v>325</v>
      </c>
      <c r="F6040" s="102" t="s">
        <v>16650</v>
      </c>
      <c r="G6040" s="47" t="s">
        <v>16649</v>
      </c>
      <c r="H6040" s="1" t="s">
        <v>16651</v>
      </c>
    </row>
    <row r="6041">
      <c r="B6041" s="47" t="s">
        <v>7578</v>
      </c>
      <c r="C6041" s="47">
        <v>4.0</v>
      </c>
      <c r="D6041" s="47" t="s">
        <v>3215</v>
      </c>
      <c r="E6041" s="47" t="s">
        <v>16652</v>
      </c>
      <c r="F6041" s="38" t="s">
        <v>16653</v>
      </c>
      <c r="G6041" s="4"/>
    </row>
    <row r="6042">
      <c r="B6042" s="47" t="s">
        <v>1432</v>
      </c>
      <c r="C6042" s="47">
        <v>4.0</v>
      </c>
      <c r="D6042" s="47" t="s">
        <v>16654</v>
      </c>
      <c r="E6042" s="38" t="s">
        <v>16655</v>
      </c>
      <c r="F6042" s="47" t="s">
        <v>2540</v>
      </c>
      <c r="G6042" s="4"/>
    </row>
    <row r="6043">
      <c r="B6043" s="44"/>
      <c r="C6043" s="47">
        <v>4.0</v>
      </c>
      <c r="D6043" s="47" t="s">
        <v>174</v>
      </c>
      <c r="E6043" s="47" t="s">
        <v>16656</v>
      </c>
      <c r="F6043" s="47" t="s">
        <v>16657</v>
      </c>
      <c r="G6043" s="4"/>
    </row>
    <row r="6044">
      <c r="A6044" s="44"/>
      <c r="B6044" s="47" t="s">
        <v>411</v>
      </c>
      <c r="C6044" s="47">
        <v>12.0</v>
      </c>
      <c r="D6044" s="47" t="s">
        <v>433</v>
      </c>
      <c r="E6044" s="47" t="s">
        <v>16658</v>
      </c>
      <c r="F6044" s="38" t="s">
        <v>16659</v>
      </c>
      <c r="G6044" s="47"/>
    </row>
    <row r="6045">
      <c r="A6045" s="44"/>
      <c r="B6045" s="38" t="s">
        <v>411</v>
      </c>
      <c r="C6045" s="38">
        <v>4.0</v>
      </c>
      <c r="D6045" s="38" t="s">
        <v>2094</v>
      </c>
      <c r="E6045" s="38" t="s">
        <v>16660</v>
      </c>
      <c r="F6045" s="38" t="s">
        <v>16659</v>
      </c>
      <c r="G6045" s="38"/>
    </row>
    <row r="6046">
      <c r="C6046" s="4"/>
      <c r="D6046" s="4" t="s">
        <v>4420</v>
      </c>
      <c r="E6046" s="4" t="s">
        <v>16661</v>
      </c>
      <c r="F6046" s="4"/>
      <c r="G6046" s="4"/>
    </row>
    <row r="6047">
      <c r="A6047" s="44"/>
      <c r="B6047" s="38" t="s">
        <v>81</v>
      </c>
      <c r="C6047" s="38">
        <v>4.0</v>
      </c>
      <c r="D6047" s="47" t="s">
        <v>2632</v>
      </c>
      <c r="E6047" s="47" t="s">
        <v>16662</v>
      </c>
      <c r="F6047" s="38" t="s">
        <v>16663</v>
      </c>
    </row>
    <row r="6048">
      <c r="A6048" s="38"/>
      <c r="B6048" s="47" t="s">
        <v>271</v>
      </c>
      <c r="C6048" s="47">
        <v>4.0</v>
      </c>
      <c r="D6048" s="47" t="s">
        <v>2479</v>
      </c>
      <c r="E6048" s="47" t="s">
        <v>16664</v>
      </c>
      <c r="F6048" s="38" t="s">
        <v>16665</v>
      </c>
      <c r="G6048" s="4"/>
    </row>
    <row r="6049">
      <c r="A6049" s="44"/>
      <c r="B6049" s="47" t="s">
        <v>949</v>
      </c>
      <c r="C6049" s="47">
        <v>4.0</v>
      </c>
      <c r="D6049" s="47" t="s">
        <v>7218</v>
      </c>
      <c r="E6049" s="47" t="s">
        <v>16666</v>
      </c>
      <c r="F6049" s="47" t="s">
        <v>16667</v>
      </c>
      <c r="G6049" s="47" t="s">
        <v>16668</v>
      </c>
    </row>
    <row r="6050">
      <c r="B6050" s="47" t="s">
        <v>58</v>
      </c>
      <c r="C6050" s="47">
        <v>2.0</v>
      </c>
      <c r="D6050" s="47" t="s">
        <v>16669</v>
      </c>
      <c r="E6050" s="47" t="s">
        <v>2386</v>
      </c>
      <c r="F6050" s="47" t="s">
        <v>3224</v>
      </c>
      <c r="G6050" s="38" t="s">
        <v>16670</v>
      </c>
    </row>
    <row r="6051">
      <c r="B6051" s="47" t="s">
        <v>4563</v>
      </c>
      <c r="C6051" s="47">
        <v>4.0</v>
      </c>
      <c r="D6051" s="47" t="s">
        <v>7038</v>
      </c>
      <c r="E6051" s="47" t="s">
        <v>16671</v>
      </c>
      <c r="F6051" s="38" t="s">
        <v>16672</v>
      </c>
      <c r="G6051" s="38" t="s">
        <v>16673</v>
      </c>
    </row>
    <row r="6052">
      <c r="A6052" s="38" t="s">
        <v>16674</v>
      </c>
      <c r="B6052" s="38" t="s">
        <v>271</v>
      </c>
      <c r="C6052" s="38">
        <v>4.0</v>
      </c>
      <c r="D6052" s="38" t="s">
        <v>2171</v>
      </c>
      <c r="E6052" s="85" t="s">
        <v>16675</v>
      </c>
      <c r="F6052" s="38" t="s">
        <v>16034</v>
      </c>
      <c r="G6052" s="1" t="s">
        <v>16676</v>
      </c>
    </row>
    <row r="6053">
      <c r="A6053" s="38" t="s">
        <v>16520</v>
      </c>
      <c r="B6053" s="38" t="s">
        <v>205</v>
      </c>
      <c r="C6053" s="38">
        <v>2.0</v>
      </c>
      <c r="D6053" s="38" t="s">
        <v>545</v>
      </c>
      <c r="E6053" s="38" t="s">
        <v>16677</v>
      </c>
      <c r="F6053" s="38" t="s">
        <v>404</v>
      </c>
      <c r="G6053" s="38" t="s">
        <v>16565</v>
      </c>
    </row>
    <row r="6054">
      <c r="A6054" s="173">
        <v>56275.0</v>
      </c>
      <c r="B6054" s="38" t="s">
        <v>205</v>
      </c>
      <c r="C6054" s="38">
        <v>2.0</v>
      </c>
      <c r="D6054" s="38" t="s">
        <v>6747</v>
      </c>
      <c r="E6054" s="38" t="s">
        <v>16677</v>
      </c>
      <c r="F6054" s="38" t="s">
        <v>16678</v>
      </c>
      <c r="G6054" s="38" t="s">
        <v>16565</v>
      </c>
      <c r="H6054" s="1" t="s">
        <v>3165</v>
      </c>
    </row>
    <row r="6055">
      <c r="A6055" s="38" t="s">
        <v>16679</v>
      </c>
      <c r="B6055" s="38" t="s">
        <v>205</v>
      </c>
      <c r="C6055" s="38">
        <v>4.0</v>
      </c>
      <c r="D6055" s="38" t="s">
        <v>672</v>
      </c>
      <c r="E6055" s="39" t="s">
        <v>16680</v>
      </c>
      <c r="F6055" s="117" t="s">
        <v>16681</v>
      </c>
      <c r="G6055" s="42" t="s">
        <v>16682</v>
      </c>
    </row>
    <row r="6056">
      <c r="A6056" s="38" t="s">
        <v>16679</v>
      </c>
      <c r="B6056" s="38" t="s">
        <v>949</v>
      </c>
      <c r="C6056" s="38">
        <v>4.0</v>
      </c>
      <c r="D6056" s="38" t="s">
        <v>16683</v>
      </c>
      <c r="E6056" s="39" t="s">
        <v>16684</v>
      </c>
      <c r="F6056" s="117" t="s">
        <v>5609</v>
      </c>
      <c r="G6056" s="42" t="s">
        <v>16682</v>
      </c>
    </row>
    <row r="6057">
      <c r="A6057" s="38" t="s">
        <v>16679</v>
      </c>
      <c r="B6057" s="38" t="s">
        <v>733</v>
      </c>
      <c r="C6057" s="38">
        <v>4.0</v>
      </c>
      <c r="D6057" s="38" t="s">
        <v>16685</v>
      </c>
      <c r="E6057" s="39" t="s">
        <v>16686</v>
      </c>
      <c r="F6057" s="42" t="s">
        <v>16687</v>
      </c>
      <c r="G6057" s="10"/>
    </row>
    <row r="6058">
      <c r="B6058" s="44"/>
      <c r="C6058" s="47" t="s">
        <v>16688</v>
      </c>
      <c r="D6058" s="47" t="s">
        <v>15774</v>
      </c>
      <c r="E6058" s="47" t="s">
        <v>525</v>
      </c>
      <c r="F6058" s="42" t="s">
        <v>16689</v>
      </c>
      <c r="G6058" s="10"/>
    </row>
    <row r="6059">
      <c r="B6059" s="44"/>
      <c r="C6059" s="47" t="s">
        <v>16690</v>
      </c>
      <c r="D6059" s="47" t="s">
        <v>532</v>
      </c>
      <c r="E6059" s="47" t="s">
        <v>525</v>
      </c>
      <c r="F6059" s="42" t="s">
        <v>16689</v>
      </c>
      <c r="G6059" s="10"/>
    </row>
    <row r="6060">
      <c r="A6060" s="607">
        <v>51803.0</v>
      </c>
      <c r="B6060" s="38" t="s">
        <v>8034</v>
      </c>
      <c r="C6060" s="38">
        <v>4.0</v>
      </c>
      <c r="D6060" s="38" t="s">
        <v>16691</v>
      </c>
      <c r="E6060" s="42" t="s">
        <v>6589</v>
      </c>
      <c r="F6060" s="42" t="s">
        <v>16692</v>
      </c>
      <c r="G6060" s="10"/>
    </row>
    <row r="6061">
      <c r="A6061" s="38" t="s">
        <v>16693</v>
      </c>
      <c r="B6061" s="38" t="s">
        <v>333</v>
      </c>
      <c r="C6061" s="38">
        <v>4.0</v>
      </c>
      <c r="D6061" s="38" t="s">
        <v>16694</v>
      </c>
      <c r="E6061" s="42" t="s">
        <v>8132</v>
      </c>
      <c r="F6061" s="42" t="s">
        <v>16695</v>
      </c>
      <c r="G6061" s="10"/>
    </row>
    <row r="6062">
      <c r="B6062" s="44"/>
      <c r="C6062" s="38" t="s">
        <v>16696</v>
      </c>
      <c r="D6062" s="47" t="s">
        <v>16697</v>
      </c>
      <c r="E6062" s="42" t="s">
        <v>16314</v>
      </c>
      <c r="F6062" s="42" t="s">
        <v>16698</v>
      </c>
      <c r="G6062" s="10"/>
    </row>
    <row r="6063">
      <c r="C6063" s="4"/>
      <c r="D6063" s="4"/>
      <c r="E6063" s="10" t="s">
        <v>325</v>
      </c>
      <c r="F6063" s="152" t="s">
        <v>16699</v>
      </c>
      <c r="G6063" s="10"/>
    </row>
    <row r="6064">
      <c r="B6064" s="44"/>
      <c r="C6064" s="47"/>
      <c r="D6064" s="47"/>
      <c r="E6064" s="42" t="s">
        <v>633</v>
      </c>
      <c r="F6064" s="117" t="s">
        <v>16700</v>
      </c>
      <c r="G6064" s="42" t="s">
        <v>15999</v>
      </c>
    </row>
    <row r="6065">
      <c r="A6065" s="1" t="s">
        <v>2564</v>
      </c>
      <c r="B6065" s="38" t="s">
        <v>77</v>
      </c>
      <c r="C6065" s="38">
        <v>4.0</v>
      </c>
      <c r="D6065" s="38" t="s">
        <v>16510</v>
      </c>
      <c r="E6065" s="91" t="s">
        <v>16701</v>
      </c>
      <c r="F6065" s="117" t="s">
        <v>16702</v>
      </c>
      <c r="G6065" s="42" t="s">
        <v>16542</v>
      </c>
    </row>
    <row r="6066">
      <c r="A6066" s="608">
        <v>13946.0</v>
      </c>
      <c r="B6066" s="38" t="s">
        <v>1296</v>
      </c>
      <c r="C6066" s="38">
        <v>4.0</v>
      </c>
      <c r="D6066" s="38" t="s">
        <v>1084</v>
      </c>
      <c r="E6066" s="42" t="s">
        <v>1814</v>
      </c>
      <c r="F6066" s="117" t="s">
        <v>16703</v>
      </c>
      <c r="G6066" s="609" t="s">
        <v>16704</v>
      </c>
      <c r="H6066" s="1" t="s">
        <v>16705</v>
      </c>
    </row>
    <row r="6067">
      <c r="A6067" s="5"/>
      <c r="B6067" s="38" t="s">
        <v>58</v>
      </c>
      <c r="C6067" s="38">
        <v>2.0</v>
      </c>
      <c r="D6067" s="38" t="s">
        <v>16706</v>
      </c>
      <c r="E6067" s="42" t="s">
        <v>873</v>
      </c>
      <c r="F6067" s="42" t="s">
        <v>16707</v>
      </c>
      <c r="G6067" s="10"/>
    </row>
    <row r="6068">
      <c r="A6068" s="610">
        <v>16837.0</v>
      </c>
      <c r="B6068" s="38" t="s">
        <v>2385</v>
      </c>
      <c r="C6068" s="38">
        <v>4.0</v>
      </c>
      <c r="D6068" s="38" t="s">
        <v>684</v>
      </c>
      <c r="E6068" s="42" t="s">
        <v>16708</v>
      </c>
      <c r="F6068" s="42" t="s">
        <v>16709</v>
      </c>
      <c r="G6068" s="10"/>
    </row>
    <row r="6069">
      <c r="B6069" s="38" t="s">
        <v>5596</v>
      </c>
      <c r="C6069" s="38">
        <v>4.0</v>
      </c>
      <c r="D6069" s="38" t="s">
        <v>8083</v>
      </c>
      <c r="E6069" s="42" t="s">
        <v>16710</v>
      </c>
      <c r="F6069" s="42" t="s">
        <v>16711</v>
      </c>
      <c r="G6069" s="10"/>
    </row>
    <row r="6070">
      <c r="B6070" s="38" t="s">
        <v>43</v>
      </c>
      <c r="C6070" s="38">
        <v>4.0</v>
      </c>
      <c r="D6070" s="38" t="s">
        <v>2340</v>
      </c>
      <c r="E6070" s="61" t="s">
        <v>16712</v>
      </c>
      <c r="F6070" s="117" t="s">
        <v>2549</v>
      </c>
      <c r="G6070" s="10"/>
    </row>
    <row r="6071">
      <c r="A6071" s="592" t="s">
        <v>16713</v>
      </c>
      <c r="B6071" s="38" t="s">
        <v>28</v>
      </c>
      <c r="C6071" s="38">
        <v>4.0</v>
      </c>
      <c r="D6071" s="38" t="s">
        <v>672</v>
      </c>
      <c r="E6071" s="42" t="s">
        <v>16714</v>
      </c>
      <c r="F6071" s="42" t="s">
        <v>16715</v>
      </c>
      <c r="G6071" s="10" t="s">
        <v>16716</v>
      </c>
    </row>
    <row r="6072">
      <c r="A6072" s="56"/>
      <c r="B6072" s="38" t="s">
        <v>205</v>
      </c>
      <c r="C6072" s="38">
        <v>4.0</v>
      </c>
      <c r="D6072" s="38" t="s">
        <v>461</v>
      </c>
      <c r="E6072" s="42" t="s">
        <v>16717</v>
      </c>
      <c r="F6072" s="117"/>
      <c r="G6072" s="10"/>
    </row>
    <row r="6073">
      <c r="A6073" s="173" t="s">
        <v>16718</v>
      </c>
      <c r="B6073" s="38" t="s">
        <v>210</v>
      </c>
      <c r="C6073" s="38">
        <v>4.0</v>
      </c>
      <c r="D6073" s="38" t="s">
        <v>672</v>
      </c>
      <c r="E6073" s="42" t="s">
        <v>12788</v>
      </c>
      <c r="F6073" s="42" t="s">
        <v>16719</v>
      </c>
      <c r="G6073" s="10" t="s">
        <v>16716</v>
      </c>
    </row>
    <row r="6074">
      <c r="B6074" s="38" t="s">
        <v>58</v>
      </c>
      <c r="C6074" s="38">
        <v>4.0</v>
      </c>
      <c r="D6074" s="38" t="s">
        <v>16720</v>
      </c>
      <c r="E6074" s="59" t="s">
        <v>16721</v>
      </c>
      <c r="F6074" s="117" t="s">
        <v>16722</v>
      </c>
      <c r="G6074" s="10"/>
    </row>
    <row r="6075">
      <c r="B6075" s="38" t="s">
        <v>3056</v>
      </c>
      <c r="C6075" s="38">
        <v>4.0</v>
      </c>
      <c r="D6075" s="38" t="s">
        <v>408</v>
      </c>
      <c r="E6075" s="42" t="s">
        <v>16723</v>
      </c>
      <c r="F6075" s="42" t="s">
        <v>16724</v>
      </c>
      <c r="G6075" s="10"/>
    </row>
    <row r="6076">
      <c r="A6076" s="44"/>
      <c r="B6076" s="38" t="s">
        <v>81</v>
      </c>
      <c r="C6076" s="38">
        <v>4.0</v>
      </c>
      <c r="D6076" s="38" t="s">
        <v>2479</v>
      </c>
      <c r="E6076" s="85" t="s">
        <v>16725</v>
      </c>
      <c r="F6076" s="38" t="s">
        <v>1941</v>
      </c>
      <c r="G6076" s="42" t="s">
        <v>16726</v>
      </c>
    </row>
    <row r="6077">
      <c r="A6077" s="44"/>
      <c r="B6077" s="38" t="s">
        <v>733</v>
      </c>
      <c r="C6077" s="38">
        <v>4.0</v>
      </c>
      <c r="D6077" s="38" t="s">
        <v>2479</v>
      </c>
      <c r="E6077" s="85" t="s">
        <v>16727</v>
      </c>
      <c r="F6077" s="42" t="s">
        <v>16728</v>
      </c>
      <c r="G6077" s="42" t="s">
        <v>16726</v>
      </c>
    </row>
    <row r="6078">
      <c r="A6078" s="38"/>
      <c r="B6078" s="38" t="s">
        <v>58</v>
      </c>
      <c r="C6078" s="38">
        <v>4.0</v>
      </c>
      <c r="D6078" s="38" t="s">
        <v>461</v>
      </c>
      <c r="E6078" s="42" t="s">
        <v>325</v>
      </c>
      <c r="F6078" s="117" t="s">
        <v>16729</v>
      </c>
      <c r="G6078" s="42" t="s">
        <v>16730</v>
      </c>
    </row>
    <row r="6079">
      <c r="A6079" s="500" t="s">
        <v>16731</v>
      </c>
      <c r="B6079" s="38" t="s">
        <v>354</v>
      </c>
      <c r="C6079" s="38">
        <v>2.0</v>
      </c>
      <c r="D6079" s="38" t="s">
        <v>684</v>
      </c>
      <c r="E6079" s="42" t="s">
        <v>325</v>
      </c>
      <c r="F6079" s="117" t="s">
        <v>16732</v>
      </c>
      <c r="G6079" s="42" t="s">
        <v>16733</v>
      </c>
    </row>
    <row r="6080">
      <c r="A6080" s="500" t="s">
        <v>16731</v>
      </c>
      <c r="B6080" s="38" t="s">
        <v>479</v>
      </c>
      <c r="C6080" s="38">
        <v>2.0</v>
      </c>
      <c r="D6080" s="38" t="s">
        <v>684</v>
      </c>
      <c r="E6080" s="42" t="s">
        <v>325</v>
      </c>
      <c r="F6080" s="117"/>
      <c r="G6080" s="42" t="s">
        <v>16733</v>
      </c>
    </row>
    <row r="6081">
      <c r="A6081" s="44"/>
      <c r="B6081" s="47" t="s">
        <v>16734</v>
      </c>
      <c r="C6081" s="38">
        <v>40.0</v>
      </c>
      <c r="D6081" s="44"/>
      <c r="E6081" s="42" t="s">
        <v>16735</v>
      </c>
      <c r="F6081" s="38" t="s">
        <v>579</v>
      </c>
      <c r="G6081" s="10"/>
    </row>
    <row r="6082">
      <c r="A6082" s="44"/>
      <c r="B6082" s="47" t="s">
        <v>16736</v>
      </c>
      <c r="C6082" s="38">
        <v>50.0</v>
      </c>
      <c r="D6082" s="44"/>
      <c r="E6082" s="611" t="s">
        <v>16737</v>
      </c>
      <c r="F6082" s="38" t="s">
        <v>583</v>
      </c>
    </row>
    <row r="6083">
      <c r="A6083" s="44"/>
      <c r="B6083" s="38" t="s">
        <v>16738</v>
      </c>
      <c r="C6083" s="40">
        <v>50.0</v>
      </c>
      <c r="D6083" s="114"/>
      <c r="E6083" s="611" t="s">
        <v>16737</v>
      </c>
      <c r="F6083" s="38" t="s">
        <v>586</v>
      </c>
      <c r="G6083" s="20"/>
    </row>
    <row r="6084">
      <c r="A6084" s="44"/>
      <c r="B6084" s="38" t="s">
        <v>16739</v>
      </c>
      <c r="C6084" s="40">
        <v>85.0</v>
      </c>
      <c r="D6084" s="114"/>
      <c r="E6084" s="44"/>
      <c r="F6084" s="38" t="s">
        <v>589</v>
      </c>
      <c r="G6084" s="20"/>
    </row>
    <row r="6085">
      <c r="A6085" s="44"/>
      <c r="B6085" s="38" t="s">
        <v>16740</v>
      </c>
      <c r="C6085" s="40">
        <v>30.0</v>
      </c>
      <c r="D6085" s="114"/>
      <c r="E6085" s="612"/>
      <c r="F6085" s="38" t="s">
        <v>471</v>
      </c>
      <c r="G6085" s="20"/>
    </row>
    <row r="6086">
      <c r="A6086" s="44"/>
      <c r="B6086" s="40" t="s">
        <v>16741</v>
      </c>
      <c r="C6086" s="38">
        <v>40.0</v>
      </c>
      <c r="D6086" s="114"/>
      <c r="E6086" s="612" t="s">
        <v>16742</v>
      </c>
      <c r="F6086" s="38" t="s">
        <v>595</v>
      </c>
      <c r="G6086" s="20"/>
    </row>
    <row r="6087">
      <c r="A6087" s="44"/>
      <c r="B6087" s="114" t="s">
        <v>16743</v>
      </c>
      <c r="C6087" s="40">
        <v>70.0</v>
      </c>
      <c r="D6087" s="114"/>
      <c r="E6087" s="612"/>
      <c r="F6087" s="38" t="s">
        <v>598</v>
      </c>
      <c r="G6087" s="20"/>
    </row>
    <row r="6088">
      <c r="A6088" s="44"/>
      <c r="B6088" s="115" t="s">
        <v>16744</v>
      </c>
      <c r="C6088" s="40">
        <v>50.0</v>
      </c>
      <c r="D6088" s="114"/>
      <c r="E6088" s="612"/>
      <c r="F6088" s="38" t="s">
        <v>602</v>
      </c>
      <c r="G6088" s="20"/>
    </row>
    <row r="6089">
      <c r="A6089" s="44"/>
      <c r="B6089" s="612" t="s">
        <v>16745</v>
      </c>
      <c r="C6089" s="40">
        <v>-250.0</v>
      </c>
      <c r="D6089" s="114"/>
      <c r="E6089" s="612"/>
      <c r="F6089" s="38" t="s">
        <v>606</v>
      </c>
      <c r="G6089" s="20"/>
    </row>
    <row r="6090">
      <c r="A6090" s="44"/>
      <c r="B6090" s="114"/>
      <c r="C6090" s="49"/>
      <c r="D6090" s="114"/>
      <c r="E6090" s="612"/>
      <c r="F6090" s="38" t="s">
        <v>610</v>
      </c>
      <c r="G6090" s="20"/>
    </row>
    <row r="6091">
      <c r="A6091" s="38" t="s">
        <v>156</v>
      </c>
      <c r="B6091" s="38" t="s">
        <v>405</v>
      </c>
      <c r="C6091" s="38">
        <v>2.0</v>
      </c>
      <c r="D6091" s="38" t="s">
        <v>2814</v>
      </c>
      <c r="E6091" s="42" t="s">
        <v>325</v>
      </c>
      <c r="F6091" s="117" t="s">
        <v>16746</v>
      </c>
      <c r="G6091" s="42" t="s">
        <v>16747</v>
      </c>
      <c r="H6091" s="1" t="s">
        <v>16748</v>
      </c>
    </row>
    <row r="6092">
      <c r="A6092" s="38" t="s">
        <v>156</v>
      </c>
      <c r="B6092" s="38" t="s">
        <v>52</v>
      </c>
      <c r="C6092" s="38">
        <v>2.0</v>
      </c>
      <c r="D6092" s="38" t="s">
        <v>2814</v>
      </c>
      <c r="E6092" s="42" t="s">
        <v>325</v>
      </c>
      <c r="F6092" s="59" t="s">
        <v>16749</v>
      </c>
      <c r="G6092" s="42" t="s">
        <v>16750</v>
      </c>
      <c r="H6092" s="1" t="s">
        <v>16748</v>
      </c>
    </row>
    <row r="6093">
      <c r="A6093" s="8"/>
      <c r="B6093" s="38" t="s">
        <v>16751</v>
      </c>
      <c r="C6093" s="38">
        <v>2.0</v>
      </c>
      <c r="D6093" s="38" t="s">
        <v>3771</v>
      </c>
      <c r="E6093" s="42" t="s">
        <v>16752</v>
      </c>
      <c r="F6093" s="117" t="s">
        <v>16753</v>
      </c>
      <c r="G6093" s="42" t="s">
        <v>16754</v>
      </c>
    </row>
    <row r="6094">
      <c r="A6094" s="8"/>
      <c r="B6094" s="38" t="s">
        <v>1761</v>
      </c>
      <c r="C6094" s="38">
        <v>2.0</v>
      </c>
      <c r="D6094" s="38" t="s">
        <v>3771</v>
      </c>
      <c r="E6094" s="42" t="s">
        <v>16755</v>
      </c>
      <c r="F6094" s="117"/>
      <c r="G6094" s="42" t="s">
        <v>16754</v>
      </c>
    </row>
    <row r="6095">
      <c r="B6095" s="38" t="s">
        <v>22</v>
      </c>
      <c r="C6095" s="38">
        <v>4.0</v>
      </c>
      <c r="D6095" s="38" t="s">
        <v>16756</v>
      </c>
      <c r="E6095" s="42" t="s">
        <v>16757</v>
      </c>
      <c r="F6095" s="42" t="s">
        <v>1261</v>
      </c>
      <c r="G6095" s="10"/>
    </row>
    <row r="6096">
      <c r="A6096" s="38" t="s">
        <v>133</v>
      </c>
      <c r="B6096" s="38" t="s">
        <v>354</v>
      </c>
      <c r="C6096" s="38">
        <v>4.0</v>
      </c>
      <c r="D6096" s="38" t="s">
        <v>431</v>
      </c>
      <c r="E6096" s="42" t="s">
        <v>16758</v>
      </c>
      <c r="F6096" s="42" t="s">
        <v>16759</v>
      </c>
      <c r="G6096" s="10" t="s">
        <v>16760</v>
      </c>
    </row>
    <row r="6097">
      <c r="B6097" s="38" t="s">
        <v>430</v>
      </c>
      <c r="C6097" s="38">
        <v>4.0</v>
      </c>
      <c r="D6097" s="38" t="s">
        <v>16761</v>
      </c>
      <c r="E6097" s="42" t="s">
        <v>16762</v>
      </c>
      <c r="F6097" s="117" t="s">
        <v>2218</v>
      </c>
      <c r="G6097" s="42" t="s">
        <v>16763</v>
      </c>
    </row>
    <row r="6098">
      <c r="B6098" s="38" t="s">
        <v>416</v>
      </c>
      <c r="C6098" s="38">
        <v>4.0</v>
      </c>
      <c r="D6098" s="38" t="s">
        <v>408</v>
      </c>
      <c r="E6098" s="39" t="s">
        <v>16764</v>
      </c>
      <c r="F6098" s="117" t="s">
        <v>16765</v>
      </c>
      <c r="G6098" s="10"/>
    </row>
    <row r="6099">
      <c r="A6099" s="44"/>
      <c r="B6099" s="38" t="s">
        <v>430</v>
      </c>
      <c r="C6099" s="38">
        <v>4.0</v>
      </c>
      <c r="D6099" s="38" t="s">
        <v>16761</v>
      </c>
      <c r="E6099" s="42" t="s">
        <v>16766</v>
      </c>
      <c r="F6099" s="117" t="s">
        <v>16767</v>
      </c>
      <c r="G6099" s="10"/>
    </row>
    <row r="6100">
      <c r="A6100" s="44"/>
      <c r="B6100" s="38"/>
      <c r="C6100" s="38"/>
      <c r="D6100" s="38"/>
      <c r="E6100" s="42" t="s">
        <v>16766</v>
      </c>
      <c r="F6100" s="42" t="s">
        <v>16768</v>
      </c>
      <c r="G6100" s="10"/>
    </row>
    <row r="6101">
      <c r="A6101" s="44"/>
      <c r="B6101" s="38"/>
      <c r="C6101" s="38"/>
      <c r="D6101" s="38" t="s">
        <v>16769</v>
      </c>
      <c r="E6101" s="132" t="s">
        <v>16770</v>
      </c>
      <c r="F6101" s="38" t="s">
        <v>16767</v>
      </c>
    </row>
    <row r="6102">
      <c r="A6102" s="44"/>
      <c r="B6102" s="38" t="s">
        <v>2365</v>
      </c>
      <c r="C6102" s="38">
        <v>4.0</v>
      </c>
      <c r="D6102" s="38" t="s">
        <v>4543</v>
      </c>
      <c r="E6102" s="42" t="s">
        <v>16771</v>
      </c>
      <c r="F6102" s="117" t="s">
        <v>16772</v>
      </c>
      <c r="G6102" s="42" t="s">
        <v>16659</v>
      </c>
    </row>
    <row r="6103">
      <c r="A6103" s="44"/>
      <c r="B6103" s="38"/>
      <c r="C6103" s="38"/>
      <c r="D6103" s="38"/>
      <c r="E6103" s="42" t="s">
        <v>16773</v>
      </c>
      <c r="F6103" s="117" t="s">
        <v>16774</v>
      </c>
      <c r="G6103" s="42" t="s">
        <v>16659</v>
      </c>
    </row>
    <row r="6104">
      <c r="A6104" s="44"/>
      <c r="B6104" s="38" t="s">
        <v>495</v>
      </c>
      <c r="C6104" s="38">
        <v>2.0</v>
      </c>
      <c r="D6104" s="38" t="s">
        <v>408</v>
      </c>
      <c r="E6104" s="42" t="s">
        <v>16775</v>
      </c>
      <c r="F6104" s="117" t="s">
        <v>16776</v>
      </c>
      <c r="G6104" s="42" t="s">
        <v>16777</v>
      </c>
    </row>
    <row r="6105">
      <c r="A6105" s="44"/>
      <c r="B6105" s="38" t="s">
        <v>439</v>
      </c>
      <c r="C6105" s="38">
        <v>2.0</v>
      </c>
      <c r="D6105" s="38" t="s">
        <v>408</v>
      </c>
      <c r="E6105" s="42" t="s">
        <v>16778</v>
      </c>
      <c r="F6105" s="117"/>
      <c r="G6105" s="42" t="s">
        <v>16777</v>
      </c>
    </row>
    <row r="6106">
      <c r="A6106" s="44"/>
      <c r="B6106" s="44"/>
      <c r="C6106" s="38">
        <v>4.0</v>
      </c>
      <c r="D6106" s="38" t="s">
        <v>16779</v>
      </c>
      <c r="E6106" s="42" t="s">
        <v>16780</v>
      </c>
      <c r="F6106" s="117" t="s">
        <v>16781</v>
      </c>
      <c r="G6106" s="42" t="s">
        <v>16777</v>
      </c>
    </row>
    <row r="6107">
      <c r="A6107" s="44"/>
      <c r="B6107" s="44"/>
      <c r="C6107" s="38">
        <v>4.0</v>
      </c>
      <c r="D6107" s="38" t="s">
        <v>174</v>
      </c>
      <c r="E6107" s="42" t="s">
        <v>325</v>
      </c>
      <c r="F6107" s="117"/>
      <c r="G6107" s="42" t="s">
        <v>16777</v>
      </c>
    </row>
    <row r="6108">
      <c r="A6108" s="44"/>
      <c r="B6108" s="44"/>
      <c r="C6108" s="38">
        <v>20.0</v>
      </c>
      <c r="D6108" s="38" t="s">
        <v>1830</v>
      </c>
      <c r="E6108" s="42" t="s">
        <v>325</v>
      </c>
      <c r="F6108" s="117"/>
      <c r="G6108" s="42" t="s">
        <v>16777</v>
      </c>
    </row>
    <row r="6109">
      <c r="A6109" s="24"/>
      <c r="C6109" s="1"/>
      <c r="D6109" s="1" t="s">
        <v>16782</v>
      </c>
      <c r="E6109" s="10" t="s">
        <v>325</v>
      </c>
      <c r="F6109" s="10" t="s">
        <v>16783</v>
      </c>
      <c r="G6109" s="10"/>
    </row>
    <row r="6110">
      <c r="A6110" s="8"/>
      <c r="C6110" s="1"/>
      <c r="D6110" s="1"/>
      <c r="E6110" s="10" t="s">
        <v>325</v>
      </c>
      <c r="F6110" s="152" t="s">
        <v>16784</v>
      </c>
      <c r="G6110" s="10"/>
    </row>
    <row r="6111">
      <c r="A6111" s="1" t="s">
        <v>2069</v>
      </c>
      <c r="B6111" s="38" t="s">
        <v>219</v>
      </c>
      <c r="C6111" s="38">
        <v>4.0</v>
      </c>
      <c r="D6111" s="38" t="s">
        <v>16785</v>
      </c>
      <c r="E6111" s="113" t="s">
        <v>16786</v>
      </c>
      <c r="F6111" s="117" t="s">
        <v>16787</v>
      </c>
      <c r="G6111" s="10">
        <v>3.03359965E8</v>
      </c>
    </row>
    <row r="6112">
      <c r="A6112" s="38" t="s">
        <v>133</v>
      </c>
      <c r="B6112" s="38" t="s">
        <v>1432</v>
      </c>
      <c r="C6112" s="38">
        <v>4.0</v>
      </c>
      <c r="D6112" s="38" t="s">
        <v>50</v>
      </c>
      <c r="E6112" s="42" t="s">
        <v>16788</v>
      </c>
      <c r="F6112" s="117" t="s">
        <v>16789</v>
      </c>
      <c r="G6112" s="10"/>
    </row>
    <row r="6113">
      <c r="B6113" s="38" t="s">
        <v>876</v>
      </c>
      <c r="C6113" s="38">
        <v>4.0</v>
      </c>
      <c r="D6113" s="38" t="s">
        <v>433</v>
      </c>
      <c r="E6113" s="42" t="s">
        <v>16790</v>
      </c>
      <c r="F6113" s="117" t="s">
        <v>16791</v>
      </c>
      <c r="G6113" s="10"/>
    </row>
    <row r="6114">
      <c r="A6114" s="44"/>
      <c r="B6114" s="38" t="s">
        <v>28</v>
      </c>
      <c r="C6114" s="38">
        <v>4.0</v>
      </c>
      <c r="D6114" s="38" t="s">
        <v>2021</v>
      </c>
      <c r="E6114" s="42" t="s">
        <v>16684</v>
      </c>
      <c r="F6114" s="42" t="s">
        <v>16792</v>
      </c>
      <c r="G6114" s="10"/>
    </row>
    <row r="6115">
      <c r="B6115" s="47" t="s">
        <v>1341</v>
      </c>
      <c r="C6115" s="47" t="s">
        <v>1342</v>
      </c>
      <c r="D6115" s="47" t="s">
        <v>1343</v>
      </c>
      <c r="E6115" s="47" t="s">
        <v>1344</v>
      </c>
      <c r="F6115" s="38" t="s">
        <v>16793</v>
      </c>
      <c r="G6115" s="10"/>
    </row>
    <row r="6116">
      <c r="B6116" s="47" t="s">
        <v>16794</v>
      </c>
      <c r="C6116" s="44"/>
      <c r="D6116" s="47" t="s">
        <v>1347</v>
      </c>
      <c r="E6116" s="47" t="s">
        <v>1344</v>
      </c>
      <c r="F6116" s="38" t="s">
        <v>16793</v>
      </c>
      <c r="G6116" s="10"/>
    </row>
    <row r="6117">
      <c r="A6117" s="1" t="s">
        <v>16795</v>
      </c>
      <c r="B6117" s="38" t="s">
        <v>271</v>
      </c>
      <c r="C6117" s="38">
        <v>4.0</v>
      </c>
      <c r="D6117" s="38" t="s">
        <v>2171</v>
      </c>
      <c r="E6117" s="42" t="s">
        <v>16796</v>
      </c>
      <c r="F6117" s="42" t="s">
        <v>16797</v>
      </c>
      <c r="G6117" s="10"/>
    </row>
    <row r="6118">
      <c r="A6118" s="1" t="s">
        <v>16798</v>
      </c>
      <c r="B6118" s="38" t="s">
        <v>271</v>
      </c>
      <c r="C6118" s="38">
        <v>4.0</v>
      </c>
      <c r="D6118" s="38" t="s">
        <v>2171</v>
      </c>
      <c r="E6118" s="42" t="s">
        <v>418</v>
      </c>
      <c r="F6118" s="117" t="s">
        <v>16799</v>
      </c>
      <c r="G6118" s="10" t="s">
        <v>1507</v>
      </c>
    </row>
    <row r="6119">
      <c r="B6119" s="38" t="s">
        <v>982</v>
      </c>
      <c r="C6119" s="38">
        <v>2.0</v>
      </c>
      <c r="D6119" s="38" t="s">
        <v>630</v>
      </c>
      <c r="E6119" s="42" t="s">
        <v>325</v>
      </c>
      <c r="F6119" s="42" t="s">
        <v>16800</v>
      </c>
      <c r="G6119" s="10"/>
    </row>
    <row r="6120">
      <c r="B6120" s="38" t="s">
        <v>4632</v>
      </c>
      <c r="C6120" s="38">
        <v>4.0</v>
      </c>
      <c r="D6120" s="38" t="s">
        <v>6871</v>
      </c>
      <c r="E6120" s="42" t="s">
        <v>11700</v>
      </c>
      <c r="F6120" s="117" t="s">
        <v>16801</v>
      </c>
      <c r="G6120" s="10"/>
    </row>
    <row r="6121">
      <c r="B6121" s="38" t="s">
        <v>1296</v>
      </c>
      <c r="C6121" s="38">
        <v>4.0</v>
      </c>
      <c r="D6121" s="38" t="s">
        <v>16802</v>
      </c>
      <c r="E6121" s="42" t="s">
        <v>16534</v>
      </c>
      <c r="F6121" s="42" t="s">
        <v>16803</v>
      </c>
      <c r="G6121" s="10"/>
    </row>
    <row r="6122">
      <c r="B6122" s="44"/>
      <c r="C6122" s="44"/>
      <c r="D6122" s="44"/>
      <c r="E6122" s="304" t="s">
        <v>16804</v>
      </c>
      <c r="F6122" s="117" t="s">
        <v>16805</v>
      </c>
      <c r="G6122" s="42" t="s">
        <v>16698</v>
      </c>
    </row>
    <row r="6123">
      <c r="B6123" s="38" t="s">
        <v>47</v>
      </c>
      <c r="C6123" s="38">
        <v>2.0</v>
      </c>
      <c r="D6123" s="38" t="s">
        <v>2004</v>
      </c>
      <c r="E6123" s="42" t="s">
        <v>16058</v>
      </c>
      <c r="F6123" s="117" t="s">
        <v>16806</v>
      </c>
      <c r="G6123" s="42" t="s">
        <v>16807</v>
      </c>
    </row>
    <row r="6124">
      <c r="B6124" s="38" t="s">
        <v>43</v>
      </c>
      <c r="C6124" s="38">
        <v>2.0</v>
      </c>
      <c r="D6124" s="38" t="s">
        <v>2004</v>
      </c>
      <c r="E6124" s="42" t="s">
        <v>325</v>
      </c>
      <c r="F6124" s="117"/>
      <c r="G6124" s="42" t="s">
        <v>16807</v>
      </c>
    </row>
    <row r="6125">
      <c r="B6125" s="38" t="s">
        <v>3996</v>
      </c>
      <c r="C6125" s="38">
        <v>4.0</v>
      </c>
      <c r="D6125" s="38" t="s">
        <v>2705</v>
      </c>
      <c r="E6125" s="42" t="s">
        <v>2699</v>
      </c>
      <c r="F6125" s="117">
        <v>133.0</v>
      </c>
      <c r="G6125" s="42" t="s">
        <v>16808</v>
      </c>
    </row>
    <row r="6126">
      <c r="B6126" s="38" t="s">
        <v>22</v>
      </c>
      <c r="C6126" s="38">
        <v>4.0</v>
      </c>
      <c r="D6126" s="38" t="s">
        <v>6705</v>
      </c>
      <c r="E6126" s="42" t="s">
        <v>2699</v>
      </c>
      <c r="F6126" s="117">
        <v>56.5</v>
      </c>
      <c r="G6126" s="42" t="s">
        <v>16808</v>
      </c>
    </row>
    <row r="6127">
      <c r="A6127" s="38" t="s">
        <v>16795</v>
      </c>
      <c r="B6127" s="38" t="s">
        <v>972</v>
      </c>
      <c r="C6127" s="38">
        <v>2.0</v>
      </c>
      <c r="D6127" s="38" t="s">
        <v>672</v>
      </c>
      <c r="E6127" s="42" t="s">
        <v>16809</v>
      </c>
      <c r="F6127" s="117"/>
      <c r="G6127" s="42" t="s">
        <v>16810</v>
      </c>
    </row>
    <row r="6128">
      <c r="A6128" s="38" t="s">
        <v>16795</v>
      </c>
      <c r="B6128" s="38" t="s">
        <v>439</v>
      </c>
      <c r="C6128" s="38">
        <v>2.0</v>
      </c>
      <c r="D6128" s="38" t="s">
        <v>672</v>
      </c>
      <c r="E6128" s="42" t="s">
        <v>16809</v>
      </c>
      <c r="F6128" s="117" t="s">
        <v>12226</v>
      </c>
      <c r="G6128" s="42" t="s">
        <v>16810</v>
      </c>
    </row>
    <row r="6129">
      <c r="A6129" s="44"/>
      <c r="B6129" s="38" t="s">
        <v>16811</v>
      </c>
      <c r="C6129" s="352" t="s">
        <v>11694</v>
      </c>
      <c r="D6129" s="38" t="s">
        <v>11695</v>
      </c>
      <c r="E6129" s="38" t="s">
        <v>11696</v>
      </c>
      <c r="F6129" s="38" t="s">
        <v>16812</v>
      </c>
      <c r="G6129" s="42"/>
    </row>
    <row r="6130">
      <c r="A6130" s="44"/>
      <c r="B6130" s="38" t="s">
        <v>16813</v>
      </c>
      <c r="C6130" s="38" t="s">
        <v>701</v>
      </c>
      <c r="D6130" s="38" t="s">
        <v>11698</v>
      </c>
      <c r="E6130" s="38" t="s">
        <v>11696</v>
      </c>
      <c r="F6130" s="38" t="s">
        <v>16814</v>
      </c>
      <c r="G6130" s="42"/>
    </row>
    <row r="6131">
      <c r="A6131" s="44"/>
      <c r="B6131" s="121" t="s">
        <v>16815</v>
      </c>
      <c r="C6131" s="38" t="s">
        <v>372</v>
      </c>
      <c r="D6131" s="44"/>
      <c r="E6131" s="38" t="s">
        <v>11696</v>
      </c>
      <c r="F6131" s="38" t="s">
        <v>16816</v>
      </c>
      <c r="G6131" s="42"/>
    </row>
    <row r="6132">
      <c r="A6132" s="44"/>
      <c r="B6132" s="121"/>
      <c r="C6132" s="38"/>
      <c r="D6132" s="44"/>
      <c r="E6132" s="38" t="s">
        <v>11696</v>
      </c>
      <c r="F6132" s="38" t="s">
        <v>16817</v>
      </c>
      <c r="G6132" s="42"/>
    </row>
    <row r="6133">
      <c r="A6133" s="44"/>
      <c r="B6133" s="121"/>
      <c r="C6133" s="38"/>
      <c r="D6133" s="44"/>
      <c r="E6133" s="38" t="s">
        <v>11696</v>
      </c>
      <c r="F6133" s="38" t="s">
        <v>16818</v>
      </c>
      <c r="G6133" s="42"/>
    </row>
    <row r="6134">
      <c r="A6134" s="44"/>
      <c r="B6134" s="44"/>
      <c r="C6134" s="38"/>
      <c r="D6134" s="38"/>
      <c r="E6134" s="38" t="s">
        <v>16819</v>
      </c>
      <c r="F6134" s="132" t="s">
        <v>16820</v>
      </c>
      <c r="G6134" s="38" t="s">
        <v>16821</v>
      </c>
    </row>
    <row r="6135">
      <c r="B6135" s="47"/>
      <c r="C6135" s="47"/>
      <c r="D6135" s="47"/>
      <c r="E6135" s="47" t="s">
        <v>16822</v>
      </c>
      <c r="F6135" s="38" t="s">
        <v>16823</v>
      </c>
    </row>
    <row r="6136">
      <c r="B6136" s="569"/>
      <c r="C6136" s="47"/>
      <c r="D6136" s="613">
        <v>45387.0</v>
      </c>
      <c r="E6136" s="304" t="s">
        <v>16824</v>
      </c>
      <c r="F6136" s="38" t="s">
        <v>16821</v>
      </c>
    </row>
    <row r="6137">
      <c r="B6137" s="49"/>
      <c r="C6137" s="114"/>
      <c r="D6137" s="614">
        <v>45420.0</v>
      </c>
      <c r="E6137" s="615" t="s">
        <v>15760</v>
      </c>
      <c r="F6137" s="114" t="s">
        <v>16825</v>
      </c>
      <c r="G6137" s="42" t="s">
        <v>16826</v>
      </c>
    </row>
    <row r="6138">
      <c r="B6138" s="49"/>
      <c r="C6138" s="114"/>
      <c r="D6138" s="614">
        <v>45588.0</v>
      </c>
      <c r="E6138" s="616" t="s">
        <v>16827</v>
      </c>
      <c r="F6138" s="61" t="s">
        <v>16828</v>
      </c>
      <c r="G6138" s="42" t="s">
        <v>16826</v>
      </c>
    </row>
    <row r="6139">
      <c r="B6139" s="49"/>
      <c r="C6139" s="44"/>
      <c r="D6139" s="614">
        <v>45581.0</v>
      </c>
      <c r="E6139" s="617" t="s">
        <v>16829</v>
      </c>
      <c r="F6139" s="61" t="s">
        <v>16830</v>
      </c>
      <c r="G6139" s="38" t="s">
        <v>16826</v>
      </c>
    </row>
    <row r="6140">
      <c r="B6140" s="49"/>
      <c r="C6140" s="44"/>
      <c r="D6140" s="614">
        <v>45588.0</v>
      </c>
      <c r="E6140" s="151" t="s">
        <v>16831</v>
      </c>
      <c r="F6140" s="61" t="s">
        <v>16832</v>
      </c>
      <c r="G6140" s="42" t="s">
        <v>16826</v>
      </c>
    </row>
    <row r="6141">
      <c r="A6141" s="38"/>
      <c r="B6141" s="38" t="s">
        <v>205</v>
      </c>
      <c r="C6141" s="38">
        <v>4.0</v>
      </c>
      <c r="D6141" s="38" t="s">
        <v>461</v>
      </c>
      <c r="E6141" s="42" t="s">
        <v>11606</v>
      </c>
      <c r="F6141" s="117"/>
      <c r="G6141" s="10"/>
    </row>
    <row r="6142">
      <c r="B6142" s="38" t="s">
        <v>3822</v>
      </c>
      <c r="C6142" s="38">
        <v>2.0</v>
      </c>
      <c r="D6142" s="38" t="s">
        <v>408</v>
      </c>
      <c r="E6142" s="42" t="s">
        <v>16833</v>
      </c>
      <c r="F6142" s="42" t="s">
        <v>16834</v>
      </c>
      <c r="G6142" s="10"/>
    </row>
    <row r="6143">
      <c r="A6143" s="38" t="s">
        <v>133</v>
      </c>
      <c r="B6143" s="38" t="s">
        <v>47</v>
      </c>
      <c r="C6143" s="38">
        <v>2.0</v>
      </c>
      <c r="D6143" s="38" t="s">
        <v>672</v>
      </c>
      <c r="E6143" s="42" t="s">
        <v>16835</v>
      </c>
      <c r="F6143" s="42" t="s">
        <v>16836</v>
      </c>
      <c r="G6143" s="10"/>
    </row>
    <row r="6144">
      <c r="A6144" s="38" t="s">
        <v>133</v>
      </c>
      <c r="B6144" s="38" t="s">
        <v>48</v>
      </c>
      <c r="C6144" s="38">
        <v>2.0</v>
      </c>
      <c r="D6144" s="38" t="s">
        <v>672</v>
      </c>
      <c r="E6144" s="42" t="s">
        <v>16835</v>
      </c>
      <c r="F6144" s="42" t="s">
        <v>16836</v>
      </c>
      <c r="G6144" s="10"/>
    </row>
    <row r="6145">
      <c r="A6145" s="44"/>
      <c r="B6145" s="38" t="s">
        <v>25</v>
      </c>
      <c r="C6145" s="38">
        <v>4.0</v>
      </c>
      <c r="D6145" s="38" t="s">
        <v>545</v>
      </c>
      <c r="E6145" s="39" t="s">
        <v>16837</v>
      </c>
      <c r="F6145" s="117" t="s">
        <v>16838</v>
      </c>
      <c r="G6145" s="42" t="s">
        <v>16839</v>
      </c>
    </row>
    <row r="6146">
      <c r="B6146" s="38" t="s">
        <v>122</v>
      </c>
      <c r="C6146" s="38">
        <v>4.0</v>
      </c>
      <c r="D6146" s="38" t="s">
        <v>545</v>
      </c>
      <c r="E6146" s="42" t="s">
        <v>16840</v>
      </c>
      <c r="F6146" s="117" t="s">
        <v>16841</v>
      </c>
      <c r="G6146" s="10"/>
    </row>
    <row r="6147">
      <c r="A6147" s="38" t="s">
        <v>16693</v>
      </c>
      <c r="B6147" s="38" t="s">
        <v>3523</v>
      </c>
      <c r="C6147" s="38">
        <v>2.0</v>
      </c>
      <c r="D6147" s="38" t="s">
        <v>16842</v>
      </c>
      <c r="E6147" s="42" t="s">
        <v>16843</v>
      </c>
      <c r="F6147" s="42" t="s">
        <v>16844</v>
      </c>
      <c r="G6147" s="10"/>
    </row>
    <row r="6148">
      <c r="A6148" s="38" t="s">
        <v>16693</v>
      </c>
      <c r="B6148" s="38" t="s">
        <v>4501</v>
      </c>
      <c r="C6148" s="38">
        <v>2.0</v>
      </c>
      <c r="D6148" s="38" t="s">
        <v>16842</v>
      </c>
      <c r="E6148" s="42" t="s">
        <v>16845</v>
      </c>
      <c r="F6148" s="42" t="s">
        <v>16844</v>
      </c>
      <c r="G6148" s="10"/>
    </row>
    <row r="6149">
      <c r="B6149" s="38" t="s">
        <v>354</v>
      </c>
      <c r="C6149" s="38">
        <v>2.0</v>
      </c>
      <c r="D6149" s="38" t="s">
        <v>545</v>
      </c>
      <c r="E6149" s="42" t="s">
        <v>418</v>
      </c>
      <c r="F6149" s="117" t="s">
        <v>16846</v>
      </c>
      <c r="G6149" s="10"/>
    </row>
    <row r="6150">
      <c r="B6150" s="44"/>
      <c r="C6150" s="38">
        <v>4.0</v>
      </c>
      <c r="D6150" s="38" t="s">
        <v>16847</v>
      </c>
      <c r="E6150" s="39" t="s">
        <v>16848</v>
      </c>
      <c r="F6150" s="117"/>
      <c r="G6150" s="42" t="s">
        <v>16849</v>
      </c>
    </row>
    <row r="6151">
      <c r="B6151" s="38" t="s">
        <v>91</v>
      </c>
      <c r="C6151" s="38">
        <v>4.0</v>
      </c>
      <c r="D6151" s="38" t="s">
        <v>545</v>
      </c>
      <c r="E6151" s="39" t="s">
        <v>16848</v>
      </c>
      <c r="F6151" s="59">
        <v>3.05644952E8</v>
      </c>
      <c r="G6151" s="42" t="s">
        <v>16849</v>
      </c>
    </row>
    <row r="6152">
      <c r="B6152" s="38"/>
      <c r="C6152" s="38">
        <v>4.0</v>
      </c>
      <c r="D6152" s="38" t="s">
        <v>174</v>
      </c>
      <c r="E6152" s="39" t="s">
        <v>16848</v>
      </c>
      <c r="F6152" s="59"/>
      <c r="G6152" s="42" t="s">
        <v>16849</v>
      </c>
    </row>
    <row r="6153">
      <c r="B6153" s="38" t="s">
        <v>982</v>
      </c>
      <c r="C6153" s="38">
        <v>4.0</v>
      </c>
      <c r="D6153" s="38" t="s">
        <v>4012</v>
      </c>
      <c r="E6153" s="38" t="s">
        <v>1469</v>
      </c>
      <c r="F6153" s="117" t="s">
        <v>16850</v>
      </c>
      <c r="G6153" s="10"/>
    </row>
    <row r="6154">
      <c r="B6154" s="47" t="s">
        <v>342</v>
      </c>
      <c r="C6154" s="47">
        <v>4.0</v>
      </c>
      <c r="D6154" s="47" t="s">
        <v>408</v>
      </c>
      <c r="E6154" s="47" t="s">
        <v>16851</v>
      </c>
      <c r="F6154" s="47" t="s">
        <v>16852</v>
      </c>
      <c r="G6154" s="10"/>
    </row>
    <row r="6155">
      <c r="C6155" s="1" t="s">
        <v>16853</v>
      </c>
      <c r="D6155" s="618" t="s">
        <v>16854</v>
      </c>
      <c r="E6155" s="10" t="s">
        <v>16855</v>
      </c>
      <c r="F6155" s="152" t="s">
        <v>6447</v>
      </c>
      <c r="G6155" s="10" t="s">
        <v>144</v>
      </c>
    </row>
    <row r="6156">
      <c r="B6156" s="586" t="s">
        <v>16856</v>
      </c>
      <c r="C6156" s="586" t="s">
        <v>1740</v>
      </c>
      <c r="D6156" s="38" t="s">
        <v>1741</v>
      </c>
      <c r="E6156" s="47" t="s">
        <v>1742</v>
      </c>
      <c r="F6156" s="99"/>
      <c r="G6156" s="42" t="s">
        <v>144</v>
      </c>
    </row>
    <row r="6157">
      <c r="B6157" s="47"/>
      <c r="C6157" s="38"/>
      <c r="D6157" s="38" t="s">
        <v>15303</v>
      </c>
      <c r="E6157" s="47" t="s">
        <v>1742</v>
      </c>
      <c r="F6157" s="38" t="s">
        <v>15304</v>
      </c>
      <c r="G6157" s="42" t="s">
        <v>144</v>
      </c>
    </row>
    <row r="6158">
      <c r="B6158" s="586" t="s">
        <v>16857</v>
      </c>
      <c r="C6158" s="586" t="s">
        <v>16858</v>
      </c>
      <c r="D6158" s="586" t="s">
        <v>16859</v>
      </c>
      <c r="E6158" s="42" t="s">
        <v>11042</v>
      </c>
      <c r="F6158" s="42" t="s">
        <v>1347</v>
      </c>
      <c r="G6158" s="42" t="s">
        <v>144</v>
      </c>
    </row>
    <row r="6159">
      <c r="B6159" s="44"/>
      <c r="C6159" s="47"/>
      <c r="D6159" s="47"/>
      <c r="E6159" s="42" t="s">
        <v>11042</v>
      </c>
      <c r="F6159" s="42"/>
      <c r="G6159" s="42" t="s">
        <v>144</v>
      </c>
    </row>
    <row r="6160">
      <c r="A6160" s="65">
        <v>45589.0</v>
      </c>
      <c r="B6160" s="38" t="s">
        <v>2813</v>
      </c>
      <c r="C6160" s="38" t="s">
        <v>1188</v>
      </c>
      <c r="D6160" s="38" t="s">
        <v>2810</v>
      </c>
      <c r="E6160" s="42" t="s">
        <v>1190</v>
      </c>
      <c r="F6160" s="117" t="s">
        <v>1189</v>
      </c>
      <c r="G6160" s="42" t="s">
        <v>15892</v>
      </c>
    </row>
    <row r="6161">
      <c r="A6161" s="44"/>
      <c r="B6161" s="44"/>
      <c r="C6161" s="47"/>
      <c r="D6161" s="38" t="s">
        <v>2812</v>
      </c>
      <c r="E6161" s="42" t="s">
        <v>1190</v>
      </c>
      <c r="F6161" s="117"/>
      <c r="G6161" s="42" t="s">
        <v>15892</v>
      </c>
    </row>
    <row r="6162">
      <c r="B6162" s="44"/>
      <c r="C6162" s="47"/>
      <c r="D6162" s="38"/>
      <c r="E6162" s="42" t="s">
        <v>1190</v>
      </c>
      <c r="F6162" s="117" t="s">
        <v>16860</v>
      </c>
      <c r="G6162" s="42" t="s">
        <v>16861</v>
      </c>
    </row>
    <row r="6163">
      <c r="A6163" s="38" t="s">
        <v>16862</v>
      </c>
      <c r="B6163" s="38" t="s">
        <v>122</v>
      </c>
      <c r="C6163" s="38">
        <v>4.0</v>
      </c>
      <c r="D6163" s="38" t="s">
        <v>16863</v>
      </c>
      <c r="E6163" s="42" t="s">
        <v>4634</v>
      </c>
      <c r="F6163" s="42" t="s">
        <v>16864</v>
      </c>
      <c r="G6163" s="10" t="s">
        <v>16865</v>
      </c>
    </row>
    <row r="6164">
      <c r="A6164" s="38">
        <v>44132.0</v>
      </c>
      <c r="B6164" s="38" t="s">
        <v>122</v>
      </c>
      <c r="C6164" s="38">
        <v>4.0</v>
      </c>
      <c r="D6164" s="38" t="s">
        <v>16863</v>
      </c>
      <c r="E6164" s="42" t="s">
        <v>4634</v>
      </c>
      <c r="F6164" s="42" t="s">
        <v>16864</v>
      </c>
      <c r="G6164" s="10" t="s">
        <v>126</v>
      </c>
    </row>
    <row r="6165">
      <c r="A6165" s="15" t="s">
        <v>16866</v>
      </c>
      <c r="B6165" s="38" t="s">
        <v>122</v>
      </c>
      <c r="C6165" s="38">
        <v>4.0</v>
      </c>
      <c r="D6165" s="38" t="s">
        <v>16863</v>
      </c>
      <c r="E6165" s="42" t="s">
        <v>4634</v>
      </c>
      <c r="F6165" s="42" t="s">
        <v>16864</v>
      </c>
      <c r="G6165" s="10" t="s">
        <v>16867</v>
      </c>
      <c r="H6165" s="38" t="s">
        <v>16868</v>
      </c>
    </row>
    <row r="6166">
      <c r="A6166" s="4" t="s">
        <v>16869</v>
      </c>
      <c r="B6166" s="38" t="s">
        <v>122</v>
      </c>
      <c r="C6166" s="38">
        <v>4.0</v>
      </c>
      <c r="D6166" s="38" t="s">
        <v>16863</v>
      </c>
      <c r="E6166" s="42" t="s">
        <v>16870</v>
      </c>
      <c r="F6166" s="42" t="s">
        <v>16864</v>
      </c>
      <c r="G6166" s="10" t="s">
        <v>16871</v>
      </c>
      <c r="H6166" s="1" t="s">
        <v>16872</v>
      </c>
    </row>
    <row r="6167">
      <c r="A6167" s="1" t="s">
        <v>133</v>
      </c>
      <c r="B6167" s="38" t="s">
        <v>261</v>
      </c>
      <c r="C6167" s="38">
        <v>4.0</v>
      </c>
      <c r="D6167" s="38" t="s">
        <v>6571</v>
      </c>
      <c r="E6167" s="42" t="s">
        <v>6938</v>
      </c>
      <c r="F6167" s="117" t="s">
        <v>12226</v>
      </c>
      <c r="G6167" s="42" t="s">
        <v>16873</v>
      </c>
    </row>
    <row r="6168">
      <c r="A6168" s="38" t="s">
        <v>16693</v>
      </c>
      <c r="B6168" s="38" t="s">
        <v>122</v>
      </c>
      <c r="C6168" s="38">
        <v>4.0</v>
      </c>
      <c r="D6168" s="38" t="s">
        <v>408</v>
      </c>
      <c r="E6168" s="42" t="s">
        <v>16874</v>
      </c>
      <c r="F6168" s="117" t="s">
        <v>16875</v>
      </c>
      <c r="G6168" s="42" t="s">
        <v>16876</v>
      </c>
    </row>
    <row r="6169">
      <c r="B6169" s="44"/>
      <c r="C6169" s="47"/>
      <c r="D6169" s="47"/>
      <c r="E6169" s="38" t="s">
        <v>16877</v>
      </c>
      <c r="F6169" s="42" t="s">
        <v>16878</v>
      </c>
      <c r="G6169" s="10"/>
    </row>
    <row r="6170">
      <c r="C6170" s="4"/>
      <c r="D6170" s="1" t="s">
        <v>16879</v>
      </c>
      <c r="E6170" s="10" t="s">
        <v>16394</v>
      </c>
      <c r="F6170" s="152" t="s">
        <v>16880</v>
      </c>
      <c r="G6170" s="10"/>
    </row>
    <row r="6171">
      <c r="A6171" s="44"/>
      <c r="B6171" s="38" t="s">
        <v>195</v>
      </c>
      <c r="C6171" s="38">
        <v>1.0</v>
      </c>
      <c r="D6171" s="38" t="s">
        <v>16881</v>
      </c>
      <c r="E6171" s="42" t="s">
        <v>2867</v>
      </c>
      <c r="F6171" s="42" t="s">
        <v>16882</v>
      </c>
      <c r="G6171" s="10"/>
    </row>
    <row r="6172">
      <c r="B6172" s="38" t="s">
        <v>25</v>
      </c>
      <c r="C6172" s="38">
        <v>4.0</v>
      </c>
      <c r="D6172" s="38" t="s">
        <v>16883</v>
      </c>
      <c r="E6172" s="39" t="s">
        <v>16884</v>
      </c>
      <c r="F6172" s="42" t="s">
        <v>175</v>
      </c>
      <c r="G6172" s="10"/>
    </row>
    <row r="6173">
      <c r="A6173" s="38" t="s">
        <v>16885</v>
      </c>
      <c r="B6173" s="38" t="s">
        <v>28</v>
      </c>
      <c r="C6173" s="38">
        <v>4.0</v>
      </c>
      <c r="D6173" s="38" t="s">
        <v>16510</v>
      </c>
      <c r="E6173" s="42" t="s">
        <v>16886</v>
      </c>
      <c r="F6173" s="117" t="s">
        <v>1112</v>
      </c>
      <c r="G6173" s="42" t="s">
        <v>16887</v>
      </c>
    </row>
    <row r="6174">
      <c r="A6174" s="44"/>
      <c r="B6174" s="38"/>
      <c r="C6174" s="38"/>
      <c r="D6174" s="38" t="s">
        <v>16888</v>
      </c>
      <c r="E6174" s="42" t="s">
        <v>16889</v>
      </c>
      <c r="F6174" s="304" t="s">
        <v>16890</v>
      </c>
      <c r="G6174" s="42" t="s">
        <v>16887</v>
      </c>
    </row>
    <row r="6175">
      <c r="B6175" s="44"/>
      <c r="C6175" s="47"/>
      <c r="D6175" s="38" t="s">
        <v>16891</v>
      </c>
      <c r="E6175" s="42" t="s">
        <v>16892</v>
      </c>
      <c r="F6175" s="42" t="s">
        <v>16162</v>
      </c>
      <c r="G6175" s="10"/>
    </row>
    <row r="6176">
      <c r="B6176" s="38" t="s">
        <v>3752</v>
      </c>
      <c r="C6176" s="38">
        <v>1.0</v>
      </c>
      <c r="D6176" s="38" t="s">
        <v>16893</v>
      </c>
      <c r="E6176" s="42" t="s">
        <v>325</v>
      </c>
      <c r="F6176" s="42" t="s">
        <v>16894</v>
      </c>
      <c r="G6176" s="10"/>
    </row>
    <row r="6177">
      <c r="A6177" s="44"/>
      <c r="B6177" s="47" t="s">
        <v>15946</v>
      </c>
      <c r="C6177" s="38">
        <v>2.0</v>
      </c>
      <c r="D6177" s="395" t="s">
        <v>16895</v>
      </c>
      <c r="E6177" s="42" t="s">
        <v>325</v>
      </c>
      <c r="F6177" s="38" t="s">
        <v>16896</v>
      </c>
      <c r="G6177" s="42" t="s">
        <v>16897</v>
      </c>
    </row>
    <row r="6178">
      <c r="A6178" s="44"/>
      <c r="B6178" s="47" t="s">
        <v>15949</v>
      </c>
      <c r="C6178" s="38">
        <v>2.0</v>
      </c>
      <c r="D6178" s="395" t="s">
        <v>16898</v>
      </c>
      <c r="E6178" s="42" t="s">
        <v>325</v>
      </c>
      <c r="F6178" s="38" t="s">
        <v>7276</v>
      </c>
      <c r="G6178" s="42" t="s">
        <v>16897</v>
      </c>
    </row>
    <row r="6179">
      <c r="B6179" s="38" t="s">
        <v>22</v>
      </c>
      <c r="C6179" s="38">
        <v>4.0</v>
      </c>
      <c r="D6179" s="38" t="s">
        <v>2094</v>
      </c>
      <c r="E6179" s="42" t="s">
        <v>325</v>
      </c>
      <c r="F6179" s="38" t="s">
        <v>16899</v>
      </c>
      <c r="G6179" s="10"/>
    </row>
    <row r="6180">
      <c r="B6180" s="38" t="s">
        <v>876</v>
      </c>
      <c r="C6180" s="38">
        <v>4.0</v>
      </c>
      <c r="D6180" s="38" t="s">
        <v>16900</v>
      </c>
      <c r="E6180" s="42" t="s">
        <v>4817</v>
      </c>
      <c r="F6180" s="42" t="s">
        <v>16901</v>
      </c>
      <c r="G6180" s="10"/>
    </row>
    <row r="6181">
      <c r="A6181" s="38" t="s">
        <v>133</v>
      </c>
      <c r="B6181" s="38" t="s">
        <v>271</v>
      </c>
      <c r="C6181" s="38">
        <v>6.0</v>
      </c>
      <c r="D6181" s="38" t="s">
        <v>16902</v>
      </c>
      <c r="E6181" s="42" t="s">
        <v>327</v>
      </c>
      <c r="F6181" s="42" t="s">
        <v>16903</v>
      </c>
      <c r="G6181" s="10"/>
    </row>
    <row r="6182">
      <c r="A6182" s="38" t="s">
        <v>156</v>
      </c>
      <c r="B6182" s="38" t="s">
        <v>7159</v>
      </c>
      <c r="C6182" s="38">
        <v>4.0</v>
      </c>
      <c r="D6182" s="38" t="s">
        <v>16904</v>
      </c>
      <c r="E6182" s="42" t="s">
        <v>2867</v>
      </c>
      <c r="F6182" s="117" t="s">
        <v>16905</v>
      </c>
      <c r="G6182" s="10" t="s">
        <v>16906</v>
      </c>
    </row>
    <row r="6183">
      <c r="A6183" s="44"/>
      <c r="B6183" s="38" t="s">
        <v>271</v>
      </c>
      <c r="C6183" s="38">
        <v>4.0</v>
      </c>
      <c r="D6183" s="38" t="s">
        <v>433</v>
      </c>
      <c r="E6183" s="42" t="s">
        <v>16907</v>
      </c>
      <c r="F6183" s="42" t="s">
        <v>16908</v>
      </c>
      <c r="G6183" s="10"/>
    </row>
    <row r="6184">
      <c r="B6184" s="38" t="s">
        <v>16909</v>
      </c>
      <c r="C6184" s="38">
        <v>4.0</v>
      </c>
      <c r="D6184" s="38" t="s">
        <v>461</v>
      </c>
      <c r="E6184" s="42" t="s">
        <v>16910</v>
      </c>
      <c r="F6184" s="42" t="s">
        <v>16911</v>
      </c>
      <c r="G6184" s="10"/>
    </row>
    <row r="6185">
      <c r="B6185" s="38" t="s">
        <v>351</v>
      </c>
      <c r="C6185" s="38">
        <v>4.0</v>
      </c>
      <c r="D6185" s="38" t="s">
        <v>16912</v>
      </c>
      <c r="E6185" s="42" t="s">
        <v>514</v>
      </c>
      <c r="F6185" s="117" t="s">
        <v>925</v>
      </c>
      <c r="G6185" s="10"/>
    </row>
    <row r="6186">
      <c r="A6186" s="5" t="s">
        <v>16913</v>
      </c>
      <c r="B6186" s="38" t="s">
        <v>2365</v>
      </c>
      <c r="C6186" s="38">
        <v>4.0</v>
      </c>
      <c r="D6186" s="38" t="s">
        <v>2489</v>
      </c>
      <c r="E6186" s="42" t="s">
        <v>9871</v>
      </c>
      <c r="F6186" s="117" t="s">
        <v>14544</v>
      </c>
      <c r="G6186" s="10"/>
    </row>
    <row r="6187">
      <c r="A6187" s="44"/>
      <c r="B6187" s="38" t="s">
        <v>2798</v>
      </c>
      <c r="C6187" s="38">
        <v>4.0</v>
      </c>
      <c r="D6187" s="38" t="s">
        <v>12914</v>
      </c>
      <c r="E6187" s="42" t="s">
        <v>16914</v>
      </c>
      <c r="F6187" s="117" t="s">
        <v>16915</v>
      </c>
      <c r="G6187" s="42" t="s">
        <v>16916</v>
      </c>
    </row>
    <row r="6188">
      <c r="A6188" s="44"/>
      <c r="B6188" s="38" t="s">
        <v>549</v>
      </c>
      <c r="C6188" s="38">
        <v>4.0</v>
      </c>
      <c r="D6188" s="38" t="s">
        <v>2061</v>
      </c>
      <c r="E6188" s="42" t="s">
        <v>16917</v>
      </c>
      <c r="F6188" s="42" t="s">
        <v>16918</v>
      </c>
      <c r="G6188" s="10"/>
    </row>
    <row r="6189">
      <c r="A6189" s="173" t="s">
        <v>16919</v>
      </c>
      <c r="B6189" s="38" t="s">
        <v>25</v>
      </c>
      <c r="C6189" s="38">
        <v>4.0</v>
      </c>
      <c r="D6189" s="38" t="s">
        <v>6569</v>
      </c>
      <c r="E6189" s="42" t="s">
        <v>13418</v>
      </c>
      <c r="F6189" s="42" t="s">
        <v>12582</v>
      </c>
      <c r="G6189" s="10" t="s">
        <v>16920</v>
      </c>
    </row>
    <row r="6190">
      <c r="A6190" s="38" t="s">
        <v>16921</v>
      </c>
      <c r="B6190" s="44"/>
      <c r="C6190" s="38">
        <v>4.0</v>
      </c>
      <c r="D6190" s="38" t="s">
        <v>16922</v>
      </c>
      <c r="E6190" s="42" t="s">
        <v>325</v>
      </c>
      <c r="F6190" s="117" t="s">
        <v>16923</v>
      </c>
      <c r="G6190" s="42" t="s">
        <v>16924</v>
      </c>
    </row>
    <row r="6191">
      <c r="A6191" s="44"/>
      <c r="B6191" s="44"/>
      <c r="C6191" s="38" t="s">
        <v>7316</v>
      </c>
      <c r="D6191" s="38" t="s">
        <v>1830</v>
      </c>
      <c r="E6191" s="42" t="s">
        <v>325</v>
      </c>
      <c r="F6191" s="117" t="s">
        <v>16925</v>
      </c>
      <c r="G6191" s="42" t="s">
        <v>16924</v>
      </c>
    </row>
    <row r="6192">
      <c r="A6192" s="38" t="s">
        <v>16913</v>
      </c>
      <c r="B6192" s="38" t="s">
        <v>128</v>
      </c>
      <c r="C6192" s="38">
        <v>4.0</v>
      </c>
      <c r="D6192" s="38" t="s">
        <v>684</v>
      </c>
      <c r="E6192" s="42" t="s">
        <v>325</v>
      </c>
      <c r="F6192" s="42" t="s">
        <v>16924</v>
      </c>
      <c r="G6192" s="42" t="s">
        <v>16924</v>
      </c>
    </row>
    <row r="6193">
      <c r="B6193" s="1"/>
      <c r="C6193" s="1"/>
      <c r="D6193" s="1"/>
      <c r="E6193" s="10" t="s">
        <v>325</v>
      </c>
      <c r="F6193" s="152" t="s">
        <v>16926</v>
      </c>
      <c r="G6193" s="10"/>
    </row>
    <row r="6194">
      <c r="A6194" s="38" t="s">
        <v>16913</v>
      </c>
      <c r="B6194" s="38" t="s">
        <v>25</v>
      </c>
      <c r="C6194" s="38">
        <v>4.0</v>
      </c>
      <c r="D6194" s="38" t="s">
        <v>2032</v>
      </c>
      <c r="E6194" s="38" t="s">
        <v>16927</v>
      </c>
      <c r="F6194" s="42" t="s">
        <v>2533</v>
      </c>
      <c r="G6194" s="10"/>
    </row>
    <row r="6195">
      <c r="A6195" s="5" t="s">
        <v>16913</v>
      </c>
      <c r="B6195" s="38" t="s">
        <v>25</v>
      </c>
      <c r="C6195" s="38">
        <v>4.0</v>
      </c>
      <c r="D6195" s="38" t="s">
        <v>1964</v>
      </c>
      <c r="E6195" s="42" t="s">
        <v>16928</v>
      </c>
      <c r="F6195" s="42" t="s">
        <v>1008</v>
      </c>
      <c r="G6195" s="10"/>
    </row>
    <row r="6196">
      <c r="A6196" s="44"/>
      <c r="B6196" s="38" t="s">
        <v>205</v>
      </c>
      <c r="C6196" s="38">
        <v>4.0</v>
      </c>
      <c r="D6196" s="38" t="s">
        <v>2061</v>
      </c>
      <c r="E6196" s="42" t="s">
        <v>16929</v>
      </c>
      <c r="F6196" s="42" t="s">
        <v>16930</v>
      </c>
      <c r="G6196" s="10"/>
    </row>
    <row r="6197">
      <c r="A6197" s="38" t="s">
        <v>133</v>
      </c>
      <c r="B6197" s="38" t="s">
        <v>949</v>
      </c>
      <c r="C6197" s="38">
        <v>4.0</v>
      </c>
      <c r="D6197" s="38" t="s">
        <v>431</v>
      </c>
      <c r="E6197" s="42" t="s">
        <v>16931</v>
      </c>
      <c r="F6197" s="42" t="s">
        <v>16932</v>
      </c>
      <c r="G6197" s="10"/>
    </row>
    <row r="6198">
      <c r="B6198" s="38" t="s">
        <v>16933</v>
      </c>
      <c r="C6198" s="38">
        <v>1.0</v>
      </c>
      <c r="D6198" s="38" t="s">
        <v>16934</v>
      </c>
      <c r="E6198" s="42" t="s">
        <v>16935</v>
      </c>
      <c r="F6198" s="42" t="s">
        <v>16936</v>
      </c>
      <c r="G6198" s="10"/>
    </row>
    <row r="6199">
      <c r="B6199" s="47" t="s">
        <v>16933</v>
      </c>
      <c r="C6199" s="38">
        <v>2.0</v>
      </c>
      <c r="D6199" s="47" t="s">
        <v>16934</v>
      </c>
      <c r="E6199" s="47" t="s">
        <v>16935</v>
      </c>
      <c r="F6199" s="38" t="s">
        <v>16937</v>
      </c>
      <c r="G6199" s="10"/>
    </row>
    <row r="6200">
      <c r="A6200" s="22" t="s">
        <v>16693</v>
      </c>
      <c r="B6200" s="1" t="s">
        <v>2276</v>
      </c>
      <c r="C6200" s="1">
        <v>2.0</v>
      </c>
      <c r="D6200" s="1" t="s">
        <v>16938</v>
      </c>
      <c r="E6200" s="10" t="s">
        <v>16939</v>
      </c>
      <c r="F6200" s="152" t="s">
        <v>16940</v>
      </c>
      <c r="G6200" s="1" t="s">
        <v>15626</v>
      </c>
    </row>
    <row r="6201">
      <c r="A6201" s="44"/>
      <c r="B6201" s="44"/>
      <c r="C6201" s="47" t="s">
        <v>16941</v>
      </c>
      <c r="D6201" s="47"/>
      <c r="E6201" s="304" t="s">
        <v>16942</v>
      </c>
      <c r="F6201" s="117" t="s">
        <v>16943</v>
      </c>
      <c r="G6201" s="42" t="s">
        <v>16944</v>
      </c>
    </row>
    <row r="6202">
      <c r="B6202" s="44"/>
      <c r="C6202" s="47"/>
      <c r="D6202" s="61"/>
      <c r="E6202" s="304" t="s">
        <v>16945</v>
      </c>
      <c r="F6202" s="117" t="s">
        <v>16946</v>
      </c>
      <c r="G6202" s="42" t="s">
        <v>16944</v>
      </c>
    </row>
    <row r="6203">
      <c r="B6203" s="44"/>
      <c r="C6203" s="47"/>
      <c r="D6203" s="44"/>
      <c r="E6203" s="304" t="s">
        <v>16945</v>
      </c>
      <c r="F6203" s="117" t="s">
        <v>16947</v>
      </c>
      <c r="G6203" s="42" t="s">
        <v>16948</v>
      </c>
    </row>
    <row r="6204">
      <c r="B6204" s="44"/>
      <c r="C6204" s="47"/>
      <c r="D6204" s="61" t="s">
        <v>16949</v>
      </c>
      <c r="E6204" s="304" t="s">
        <v>16945</v>
      </c>
      <c r="F6204" s="117" t="s">
        <v>16950</v>
      </c>
      <c r="G6204" s="42"/>
    </row>
    <row r="6205">
      <c r="B6205" s="44"/>
      <c r="C6205" s="47"/>
      <c r="D6205" s="61" t="s">
        <v>16951</v>
      </c>
      <c r="E6205" s="304" t="s">
        <v>16945</v>
      </c>
      <c r="F6205" s="117" t="s">
        <v>16952</v>
      </c>
      <c r="G6205" s="42" t="s">
        <v>16944</v>
      </c>
    </row>
    <row r="6206">
      <c r="A6206" s="8"/>
      <c r="B6206" s="38" t="s">
        <v>25</v>
      </c>
      <c r="C6206" s="38">
        <v>4.0</v>
      </c>
      <c r="D6206" s="38" t="s">
        <v>27</v>
      </c>
      <c r="E6206" s="47" t="s">
        <v>16953</v>
      </c>
      <c r="F6206" s="42" t="s">
        <v>16954</v>
      </c>
      <c r="G6206" s="10"/>
    </row>
    <row r="6207">
      <c r="B6207" s="38" t="s">
        <v>2159</v>
      </c>
      <c r="C6207" s="38">
        <v>4.0</v>
      </c>
      <c r="D6207" s="38" t="s">
        <v>16955</v>
      </c>
      <c r="E6207" s="619" t="s">
        <v>16956</v>
      </c>
      <c r="F6207" s="42" t="s">
        <v>16957</v>
      </c>
      <c r="G6207" s="10"/>
    </row>
    <row r="6208">
      <c r="B6208" s="44"/>
      <c r="C6208" s="38">
        <v>4.0</v>
      </c>
      <c r="D6208" s="38" t="s">
        <v>9906</v>
      </c>
      <c r="E6208" s="619" t="s">
        <v>16956</v>
      </c>
      <c r="F6208" s="42" t="s">
        <v>16957</v>
      </c>
      <c r="G6208" s="10"/>
    </row>
    <row r="6209">
      <c r="B6209" s="38" t="s">
        <v>416</v>
      </c>
      <c r="C6209" s="38">
        <v>4.0</v>
      </c>
      <c r="D6209" s="38" t="s">
        <v>2590</v>
      </c>
      <c r="E6209" s="42" t="s">
        <v>16958</v>
      </c>
      <c r="F6209" s="117" t="s">
        <v>16959</v>
      </c>
      <c r="G6209" s="10"/>
    </row>
    <row r="6210">
      <c r="B6210" s="1"/>
      <c r="C6210" s="1"/>
      <c r="D6210" s="1"/>
      <c r="E6210" s="10" t="s">
        <v>16960</v>
      </c>
      <c r="F6210" s="152" t="s">
        <v>16961</v>
      </c>
      <c r="G6210" s="10" t="s">
        <v>16962</v>
      </c>
    </row>
    <row r="6211">
      <c r="A6211" s="1" t="s">
        <v>133</v>
      </c>
      <c r="B6211" s="38" t="s">
        <v>261</v>
      </c>
      <c r="C6211" s="38">
        <v>4.0</v>
      </c>
      <c r="D6211" s="38" t="s">
        <v>684</v>
      </c>
      <c r="E6211" s="42" t="s">
        <v>8767</v>
      </c>
      <c r="F6211" s="117"/>
      <c r="G6211" s="10"/>
    </row>
    <row r="6212">
      <c r="A6212" s="620" t="s">
        <v>16963</v>
      </c>
      <c r="B6212" s="38" t="s">
        <v>58</v>
      </c>
      <c r="C6212" s="38">
        <v>4.0</v>
      </c>
      <c r="D6212" s="38" t="s">
        <v>684</v>
      </c>
      <c r="E6212" s="42" t="s">
        <v>16964</v>
      </c>
      <c r="F6212" s="42" t="s">
        <v>16965</v>
      </c>
      <c r="G6212" s="10"/>
    </row>
    <row r="6213">
      <c r="B6213" s="38" t="s">
        <v>58</v>
      </c>
      <c r="C6213" s="38">
        <v>4.0</v>
      </c>
      <c r="D6213" s="38" t="s">
        <v>545</v>
      </c>
      <c r="E6213" s="42" t="s">
        <v>16964</v>
      </c>
      <c r="F6213" s="42" t="s">
        <v>16966</v>
      </c>
      <c r="G6213" s="10"/>
    </row>
    <row r="6214">
      <c r="B6214" s="38" t="s">
        <v>88</v>
      </c>
      <c r="C6214" s="38">
        <v>4.0</v>
      </c>
      <c r="D6214" s="38" t="s">
        <v>408</v>
      </c>
      <c r="E6214" s="42" t="s">
        <v>16964</v>
      </c>
      <c r="F6214" s="42" t="s">
        <v>16967</v>
      </c>
      <c r="G6214" s="10"/>
    </row>
    <row r="6215">
      <c r="A6215" s="5" t="s">
        <v>16968</v>
      </c>
      <c r="B6215" s="38" t="s">
        <v>183</v>
      </c>
      <c r="C6215" s="38">
        <v>4.0</v>
      </c>
      <c r="D6215" s="38" t="s">
        <v>2489</v>
      </c>
      <c r="E6215" s="42" t="s">
        <v>9166</v>
      </c>
      <c r="F6215" s="117" t="s">
        <v>16969</v>
      </c>
      <c r="G6215" s="10"/>
    </row>
    <row r="6216">
      <c r="A6216" s="5" t="s">
        <v>16968</v>
      </c>
      <c r="B6216" s="38" t="s">
        <v>430</v>
      </c>
      <c r="C6216" s="38">
        <v>4.0</v>
      </c>
      <c r="D6216" s="38" t="s">
        <v>684</v>
      </c>
      <c r="E6216" s="42" t="s">
        <v>16970</v>
      </c>
      <c r="F6216" s="117" t="s">
        <v>16971</v>
      </c>
      <c r="G6216" s="42" t="s">
        <v>16972</v>
      </c>
    </row>
    <row r="6217">
      <c r="A6217" s="38" t="s">
        <v>16693</v>
      </c>
      <c r="B6217" s="38" t="s">
        <v>2420</v>
      </c>
      <c r="C6217" s="38">
        <v>4.0</v>
      </c>
      <c r="D6217" s="38" t="s">
        <v>16973</v>
      </c>
      <c r="E6217" s="42" t="s">
        <v>16974</v>
      </c>
      <c r="F6217" s="117" t="s">
        <v>16975</v>
      </c>
      <c r="G6217" s="42" t="s">
        <v>16976</v>
      </c>
    </row>
    <row r="6218">
      <c r="B6218" s="38" t="s">
        <v>430</v>
      </c>
      <c r="C6218" s="38">
        <v>4.0</v>
      </c>
      <c r="D6218" s="38" t="s">
        <v>869</v>
      </c>
      <c r="E6218" s="42" t="s">
        <v>16977</v>
      </c>
      <c r="F6218" s="42" t="s">
        <v>16978</v>
      </c>
      <c r="G6218" s="10"/>
    </row>
    <row r="6219">
      <c r="A6219" s="38" t="s">
        <v>16979</v>
      </c>
      <c r="B6219" s="38" t="s">
        <v>31</v>
      </c>
      <c r="C6219" s="38">
        <v>4.0</v>
      </c>
      <c r="D6219" s="38" t="s">
        <v>2171</v>
      </c>
      <c r="E6219" s="42" t="s">
        <v>16980</v>
      </c>
      <c r="F6219" s="42" t="s">
        <v>16981</v>
      </c>
      <c r="G6219" s="10"/>
    </row>
    <row r="6220">
      <c r="B6220" s="38" t="s">
        <v>271</v>
      </c>
      <c r="C6220" s="38">
        <v>4.0</v>
      </c>
      <c r="D6220" s="38" t="s">
        <v>16982</v>
      </c>
      <c r="E6220" s="42" t="s">
        <v>16983</v>
      </c>
      <c r="F6220" s="117" t="s">
        <v>16821</v>
      </c>
      <c r="G6220" s="10"/>
    </row>
    <row r="6221">
      <c r="B6221" s="38" t="s">
        <v>214</v>
      </c>
      <c r="C6221" s="38">
        <v>2.0</v>
      </c>
      <c r="D6221" s="38" t="s">
        <v>545</v>
      </c>
      <c r="E6221" s="42" t="s">
        <v>16964</v>
      </c>
      <c r="F6221" s="117" t="s">
        <v>7276</v>
      </c>
      <c r="G6221" s="42" t="s">
        <v>16984</v>
      </c>
    </row>
    <row r="6222">
      <c r="B6222" s="38" t="s">
        <v>210</v>
      </c>
      <c r="C6222" s="38">
        <v>2.0</v>
      </c>
      <c r="D6222" s="38" t="s">
        <v>545</v>
      </c>
      <c r="E6222" s="42" t="s">
        <v>16964</v>
      </c>
      <c r="F6222" s="117"/>
      <c r="G6222" s="42" t="s">
        <v>16984</v>
      </c>
    </row>
    <row r="6223">
      <c r="B6223" s="44"/>
      <c r="C6223" s="38" t="s">
        <v>175</v>
      </c>
      <c r="D6223" s="61" t="s">
        <v>16985</v>
      </c>
      <c r="E6223" s="42" t="s">
        <v>16986</v>
      </c>
      <c r="F6223" s="117" t="s">
        <v>14652</v>
      </c>
      <c r="G6223" s="42" t="s">
        <v>16987</v>
      </c>
    </row>
    <row r="6224">
      <c r="B6224" s="44"/>
      <c r="C6224" s="38" t="s">
        <v>175</v>
      </c>
      <c r="D6224" s="61" t="s">
        <v>16988</v>
      </c>
      <c r="E6224" s="42" t="s">
        <v>16986</v>
      </c>
      <c r="F6224" s="117" t="s">
        <v>14652</v>
      </c>
      <c r="G6224" s="42" t="s">
        <v>16987</v>
      </c>
    </row>
    <row r="6225">
      <c r="B6225" s="44"/>
      <c r="C6225" s="38" t="s">
        <v>175</v>
      </c>
      <c r="D6225" s="61" t="s">
        <v>16989</v>
      </c>
      <c r="E6225" s="42" t="s">
        <v>16986</v>
      </c>
      <c r="F6225" s="117"/>
      <c r="G6225" s="42" t="s">
        <v>16987</v>
      </c>
    </row>
    <row r="6226">
      <c r="A6226" s="44"/>
      <c r="B6226" s="38" t="s">
        <v>16990</v>
      </c>
      <c r="C6226" s="38" t="s">
        <v>16991</v>
      </c>
      <c r="D6226" s="38" t="s">
        <v>16992</v>
      </c>
      <c r="E6226" s="42" t="s">
        <v>16993</v>
      </c>
      <c r="F6226" s="117"/>
      <c r="G6226" s="42"/>
    </row>
    <row r="6227">
      <c r="A6227" s="65">
        <v>45588.0</v>
      </c>
      <c r="B6227" s="38" t="s">
        <v>16994</v>
      </c>
      <c r="C6227" s="44"/>
      <c r="D6227" s="38"/>
      <c r="E6227" s="42" t="s">
        <v>16993</v>
      </c>
      <c r="F6227" s="42" t="s">
        <v>16995</v>
      </c>
      <c r="G6227" s="42"/>
    </row>
    <row r="6228">
      <c r="A6228" s="44"/>
      <c r="B6228" s="38" t="s">
        <v>16996</v>
      </c>
      <c r="C6228" s="38" t="s">
        <v>16997</v>
      </c>
      <c r="D6228" s="38" t="s">
        <v>16998</v>
      </c>
      <c r="E6228" s="42" t="s">
        <v>16993</v>
      </c>
      <c r="F6228" s="117"/>
      <c r="G6228" s="42"/>
    </row>
    <row r="6229">
      <c r="A6229" s="38" t="s">
        <v>133</v>
      </c>
      <c r="B6229" s="38" t="s">
        <v>205</v>
      </c>
      <c r="C6229" s="38">
        <v>4.0</v>
      </c>
      <c r="D6229" s="38" t="s">
        <v>2171</v>
      </c>
      <c r="E6229" s="42" t="s">
        <v>16999</v>
      </c>
      <c r="F6229" s="117" t="s">
        <v>17000</v>
      </c>
      <c r="G6229" s="10"/>
    </row>
    <row r="6230">
      <c r="B6230" s="44"/>
      <c r="C6230" s="85" t="s">
        <v>17001</v>
      </c>
      <c r="D6230" s="47"/>
      <c r="E6230" s="42" t="s">
        <v>14330</v>
      </c>
      <c r="F6230" s="42" t="s">
        <v>16698</v>
      </c>
      <c r="G6230" s="10"/>
    </row>
    <row r="6231">
      <c r="B6231" s="44"/>
      <c r="C6231" s="85"/>
      <c r="D6231" s="47"/>
      <c r="E6231" s="47" t="s">
        <v>17002</v>
      </c>
      <c r="F6231" s="117" t="s">
        <v>17003</v>
      </c>
      <c r="G6231" s="42" t="s">
        <v>17004</v>
      </c>
      <c r="H6231" s="44"/>
    </row>
    <row r="6232">
      <c r="B6232" s="44"/>
      <c r="C6232" s="85"/>
      <c r="D6232" s="47"/>
      <c r="E6232" s="38" t="s">
        <v>1017</v>
      </c>
      <c r="F6232" s="117" t="s">
        <v>17005</v>
      </c>
      <c r="G6232" s="42" t="s">
        <v>17006</v>
      </c>
      <c r="H6232" s="38" t="s">
        <v>17004</v>
      </c>
    </row>
    <row r="6233">
      <c r="B6233" s="38" t="s">
        <v>7159</v>
      </c>
      <c r="C6233" s="38">
        <v>4.0</v>
      </c>
      <c r="D6233" s="38" t="s">
        <v>2694</v>
      </c>
      <c r="E6233" s="42" t="s">
        <v>17007</v>
      </c>
      <c r="F6233" s="117" t="s">
        <v>1713</v>
      </c>
      <c r="G6233" s="42" t="s">
        <v>16021</v>
      </c>
    </row>
    <row r="6234">
      <c r="B6234" s="38" t="s">
        <v>63</v>
      </c>
      <c r="C6234" s="38">
        <v>4.0</v>
      </c>
      <c r="D6234" s="38" t="s">
        <v>10352</v>
      </c>
      <c r="E6234" s="42" t="s">
        <v>17008</v>
      </c>
      <c r="F6234" s="42" t="s">
        <v>16698</v>
      </c>
      <c r="G6234" s="10"/>
    </row>
    <row r="6235">
      <c r="B6235" s="38" t="s">
        <v>7159</v>
      </c>
      <c r="C6235" s="38">
        <v>4.0</v>
      </c>
      <c r="D6235" s="38" t="s">
        <v>6773</v>
      </c>
      <c r="E6235" s="39" t="s">
        <v>850</v>
      </c>
      <c r="F6235" s="117" t="s">
        <v>17009</v>
      </c>
      <c r="G6235" s="10"/>
    </row>
    <row r="6236">
      <c r="B6236" s="1" t="s">
        <v>88</v>
      </c>
      <c r="C6236" s="1">
        <v>4.0</v>
      </c>
      <c r="D6236" s="1" t="s">
        <v>408</v>
      </c>
      <c r="E6236" s="10" t="s">
        <v>488</v>
      </c>
      <c r="F6236" s="152" t="s">
        <v>17010</v>
      </c>
      <c r="G6236" s="10"/>
    </row>
    <row r="6237">
      <c r="B6237" s="38" t="s">
        <v>77</v>
      </c>
      <c r="C6237" s="38">
        <v>2.0</v>
      </c>
      <c r="D6237" s="38" t="s">
        <v>545</v>
      </c>
      <c r="E6237" s="38" t="s">
        <v>17011</v>
      </c>
      <c r="F6237" s="38" t="s">
        <v>17012</v>
      </c>
      <c r="G6237" s="10"/>
    </row>
    <row r="6238">
      <c r="B6238" s="38" t="s">
        <v>411</v>
      </c>
      <c r="C6238" s="38">
        <v>4.0</v>
      </c>
      <c r="D6238" s="47" t="s">
        <v>17013</v>
      </c>
      <c r="E6238" s="42" t="s">
        <v>15427</v>
      </c>
      <c r="F6238" s="117" t="s">
        <v>17014</v>
      </c>
      <c r="G6238" s="42" t="s">
        <v>144</v>
      </c>
    </row>
    <row r="6239">
      <c r="A6239" s="44"/>
      <c r="B6239" s="38" t="s">
        <v>333</v>
      </c>
      <c r="C6239" s="38">
        <v>4.0</v>
      </c>
      <c r="D6239" s="38" t="s">
        <v>2296</v>
      </c>
      <c r="E6239" s="42" t="s">
        <v>17015</v>
      </c>
      <c r="F6239" s="117" t="s">
        <v>17016</v>
      </c>
      <c r="G6239" s="42" t="s">
        <v>16542</v>
      </c>
    </row>
    <row r="6240">
      <c r="A6240" s="109" t="s">
        <v>17017</v>
      </c>
      <c r="B6240" s="38" t="s">
        <v>271</v>
      </c>
      <c r="C6240" s="38">
        <v>4.0</v>
      </c>
      <c r="D6240" s="38" t="s">
        <v>545</v>
      </c>
      <c r="E6240" s="42" t="s">
        <v>17018</v>
      </c>
      <c r="F6240" s="117" t="s">
        <v>17019</v>
      </c>
      <c r="G6240" s="42" t="s">
        <v>17020</v>
      </c>
      <c r="H6240" s="109" t="s">
        <v>17021</v>
      </c>
    </row>
    <row r="6241">
      <c r="A6241" s="44"/>
      <c r="B6241" s="38"/>
      <c r="C6241" s="38"/>
      <c r="D6241" s="609" t="s">
        <v>17022</v>
      </c>
      <c r="E6241" s="42" t="s">
        <v>17018</v>
      </c>
      <c r="F6241" s="117" t="s">
        <v>17023</v>
      </c>
      <c r="G6241" s="42" t="s">
        <v>15292</v>
      </c>
    </row>
    <row r="6242">
      <c r="A6242" s="44"/>
      <c r="B6242" s="38" t="s">
        <v>28</v>
      </c>
      <c r="C6242" s="38">
        <v>4.0</v>
      </c>
      <c r="D6242" s="38" t="s">
        <v>433</v>
      </c>
      <c r="E6242" s="42" t="s">
        <v>17024</v>
      </c>
      <c r="F6242" s="42" t="s">
        <v>16542</v>
      </c>
      <c r="G6242" s="10"/>
    </row>
    <row r="6243">
      <c r="A6243" s="5" t="s">
        <v>17025</v>
      </c>
      <c r="B6243" s="38" t="s">
        <v>5805</v>
      </c>
      <c r="C6243" s="38">
        <v>4.0</v>
      </c>
      <c r="D6243" s="38" t="s">
        <v>2423</v>
      </c>
      <c r="E6243" s="42" t="s">
        <v>17026</v>
      </c>
      <c r="F6243" s="117" t="s">
        <v>17027</v>
      </c>
      <c r="G6243" s="42" t="s">
        <v>17028</v>
      </c>
    </row>
    <row r="6244">
      <c r="A6244" s="44"/>
      <c r="B6244" s="38" t="s">
        <v>205</v>
      </c>
      <c r="C6244" s="38">
        <v>4.0</v>
      </c>
      <c r="D6244" s="38" t="s">
        <v>2021</v>
      </c>
      <c r="E6244" s="61" t="s">
        <v>17029</v>
      </c>
      <c r="F6244" s="117" t="s">
        <v>17030</v>
      </c>
      <c r="G6244" s="42" t="s">
        <v>17031</v>
      </c>
    </row>
    <row r="6245">
      <c r="A6245" s="38"/>
      <c r="B6245" s="38" t="s">
        <v>85</v>
      </c>
      <c r="C6245" s="38">
        <v>4.0</v>
      </c>
      <c r="D6245" s="38" t="s">
        <v>17032</v>
      </c>
      <c r="E6245" s="304" t="s">
        <v>17033</v>
      </c>
      <c r="F6245" s="38" t="s">
        <v>17034</v>
      </c>
      <c r="G6245" s="38" t="s">
        <v>17035</v>
      </c>
    </row>
    <row r="6246">
      <c r="A6246" s="38"/>
      <c r="B6246" s="38"/>
      <c r="C6246" s="38"/>
      <c r="D6246" s="38"/>
      <c r="E6246" s="304" t="s">
        <v>17033</v>
      </c>
      <c r="F6246" s="38" t="s">
        <v>17036</v>
      </c>
      <c r="G6246" s="38" t="s">
        <v>17035</v>
      </c>
    </row>
    <row r="6247">
      <c r="B6247" s="38" t="s">
        <v>58</v>
      </c>
      <c r="C6247" s="38">
        <v>4.0</v>
      </c>
      <c r="D6247" s="38" t="s">
        <v>1130</v>
      </c>
      <c r="E6247" s="42" t="s">
        <v>2386</v>
      </c>
      <c r="F6247" s="42" t="s">
        <v>17037</v>
      </c>
      <c r="G6247" s="10"/>
    </row>
    <row r="6248">
      <c r="A6248" s="44"/>
      <c r="B6248" s="38" t="s">
        <v>1513</v>
      </c>
      <c r="C6248" s="38">
        <v>4.0</v>
      </c>
      <c r="D6248" s="38" t="s">
        <v>17038</v>
      </c>
      <c r="E6248" s="118" t="s">
        <v>17039</v>
      </c>
      <c r="F6248" s="117" t="s">
        <v>17040</v>
      </c>
      <c r="G6248" s="42" t="s">
        <v>17041</v>
      </c>
    </row>
    <row r="6249">
      <c r="B6249" s="38" t="s">
        <v>1454</v>
      </c>
      <c r="C6249" s="38">
        <v>2.0</v>
      </c>
      <c r="D6249" s="38" t="s">
        <v>17042</v>
      </c>
      <c r="E6249" s="42" t="s">
        <v>325</v>
      </c>
      <c r="F6249" s="42" t="s">
        <v>17043</v>
      </c>
      <c r="G6249" s="10"/>
    </row>
    <row r="6250">
      <c r="B6250" s="38" t="s">
        <v>1409</v>
      </c>
      <c r="C6250" s="38">
        <v>2.0</v>
      </c>
      <c r="D6250" s="38" t="s">
        <v>17042</v>
      </c>
      <c r="E6250" s="42" t="s">
        <v>325</v>
      </c>
      <c r="F6250" s="42" t="s">
        <v>17043</v>
      </c>
      <c r="G6250" s="10"/>
    </row>
    <row r="6251">
      <c r="B6251" s="1" t="s">
        <v>58</v>
      </c>
      <c r="C6251" s="1">
        <v>4.0</v>
      </c>
      <c r="D6251" s="1" t="s">
        <v>1130</v>
      </c>
      <c r="E6251" s="10" t="s">
        <v>6271</v>
      </c>
      <c r="F6251" s="152" t="s">
        <v>17044</v>
      </c>
      <c r="G6251" s="10"/>
    </row>
    <row r="6252">
      <c r="B6252" s="38" t="s">
        <v>2285</v>
      </c>
      <c r="C6252" s="38">
        <v>4.0</v>
      </c>
      <c r="D6252" s="38" t="s">
        <v>17045</v>
      </c>
      <c r="E6252" s="39" t="s">
        <v>17046</v>
      </c>
      <c r="F6252" s="42" t="s">
        <v>17047</v>
      </c>
      <c r="G6252" s="10" t="s">
        <v>2252</v>
      </c>
    </row>
    <row r="6253">
      <c r="A6253" s="44"/>
      <c r="B6253" s="38" t="s">
        <v>1159</v>
      </c>
      <c r="C6253" s="38">
        <v>2.0</v>
      </c>
      <c r="D6253" s="38" t="s">
        <v>408</v>
      </c>
      <c r="E6253" s="42" t="s">
        <v>7045</v>
      </c>
      <c r="F6253" s="38" t="s">
        <v>17048</v>
      </c>
      <c r="G6253" s="42" t="s">
        <v>17035</v>
      </c>
    </row>
    <row r="6254">
      <c r="A6254" s="44"/>
      <c r="B6254" s="38" t="s">
        <v>153</v>
      </c>
      <c r="C6254" s="38">
        <v>2.0</v>
      </c>
      <c r="D6254" s="38" t="s">
        <v>408</v>
      </c>
      <c r="E6254" s="42" t="s">
        <v>7045</v>
      </c>
      <c r="F6254" s="117"/>
      <c r="G6254" s="42" t="s">
        <v>17035</v>
      </c>
    </row>
    <row r="6255">
      <c r="A6255" s="44"/>
      <c r="B6255" s="38" t="s">
        <v>47</v>
      </c>
      <c r="C6255" s="38">
        <v>2.0</v>
      </c>
      <c r="D6255" s="38" t="s">
        <v>2506</v>
      </c>
      <c r="E6255" s="42" t="s">
        <v>7045</v>
      </c>
      <c r="F6255" s="117"/>
      <c r="G6255" s="42" t="s">
        <v>17035</v>
      </c>
    </row>
    <row r="6256">
      <c r="A6256" s="44"/>
      <c r="B6256" s="38" t="s">
        <v>43</v>
      </c>
      <c r="C6256" s="38">
        <v>2.0</v>
      </c>
      <c r="D6256" s="38" t="s">
        <v>2506</v>
      </c>
      <c r="E6256" s="42" t="s">
        <v>7045</v>
      </c>
      <c r="F6256" s="38" t="s">
        <v>17048</v>
      </c>
      <c r="G6256" s="42" t="s">
        <v>17035</v>
      </c>
    </row>
    <row r="6257">
      <c r="A6257" s="44"/>
      <c r="B6257" s="38" t="s">
        <v>2798</v>
      </c>
      <c r="C6257" s="38">
        <v>4.0</v>
      </c>
      <c r="D6257" s="38" t="s">
        <v>6871</v>
      </c>
      <c r="E6257" s="42" t="s">
        <v>17049</v>
      </c>
      <c r="F6257" s="117" t="s">
        <v>17050</v>
      </c>
      <c r="G6257" s="10"/>
    </row>
    <row r="6258">
      <c r="B6258" s="38" t="s">
        <v>22</v>
      </c>
      <c r="C6258" s="38">
        <v>4.0</v>
      </c>
      <c r="D6258" s="38" t="s">
        <v>216</v>
      </c>
      <c r="E6258" s="42" t="s">
        <v>325</v>
      </c>
      <c r="F6258" s="42" t="s">
        <v>17051</v>
      </c>
      <c r="G6258" s="10" t="s">
        <v>144</v>
      </c>
    </row>
    <row r="6259">
      <c r="A6259" s="38" t="s">
        <v>133</v>
      </c>
      <c r="B6259" s="38" t="s">
        <v>354</v>
      </c>
      <c r="C6259" s="38">
        <v>2.0</v>
      </c>
      <c r="D6259" s="38" t="s">
        <v>6747</v>
      </c>
      <c r="E6259" s="42" t="s">
        <v>17052</v>
      </c>
      <c r="F6259" s="117" t="s">
        <v>17053</v>
      </c>
      <c r="G6259" s="1" t="s">
        <v>17054</v>
      </c>
    </row>
    <row r="6260">
      <c r="A6260" s="38" t="s">
        <v>17055</v>
      </c>
      <c r="B6260" s="38" t="s">
        <v>479</v>
      </c>
      <c r="C6260" s="38">
        <v>2.0</v>
      </c>
      <c r="D6260" s="38" t="s">
        <v>6747</v>
      </c>
      <c r="E6260" s="42" t="s">
        <v>17052</v>
      </c>
      <c r="F6260" s="117" t="s">
        <v>17053</v>
      </c>
      <c r="G6260" s="10"/>
    </row>
    <row r="6261">
      <c r="A6261" s="38" t="s">
        <v>2572</v>
      </c>
      <c r="B6261" s="38" t="s">
        <v>88</v>
      </c>
      <c r="C6261" s="38">
        <v>4.0</v>
      </c>
      <c r="D6261" s="38" t="s">
        <v>17056</v>
      </c>
      <c r="E6261" s="42" t="s">
        <v>325</v>
      </c>
      <c r="F6261" s="42" t="s">
        <v>17057</v>
      </c>
      <c r="G6261" s="10"/>
    </row>
    <row r="6262">
      <c r="A6262" s="44"/>
      <c r="B6262" s="44"/>
      <c r="C6262" s="47"/>
      <c r="D6262" s="47"/>
      <c r="E6262" s="304" t="s">
        <v>17058</v>
      </c>
      <c r="F6262" s="117" t="s">
        <v>17059</v>
      </c>
      <c r="G6262" s="42" t="s">
        <v>17060</v>
      </c>
    </row>
    <row r="6263">
      <c r="A6263" s="1" t="s">
        <v>133</v>
      </c>
      <c r="B6263" s="38" t="s">
        <v>354</v>
      </c>
      <c r="C6263" s="38">
        <v>4.0</v>
      </c>
      <c r="D6263" s="38" t="s">
        <v>684</v>
      </c>
      <c r="E6263" s="42" t="s">
        <v>4762</v>
      </c>
      <c r="F6263" s="42" t="s">
        <v>17061</v>
      </c>
      <c r="G6263" s="1" t="s">
        <v>17062</v>
      </c>
    </row>
    <row r="6264">
      <c r="A6264" s="1" t="s">
        <v>133</v>
      </c>
      <c r="B6264" s="38" t="s">
        <v>416</v>
      </c>
      <c r="C6264" s="38">
        <v>4.0</v>
      </c>
      <c r="D6264" s="38" t="s">
        <v>672</v>
      </c>
      <c r="E6264" s="42" t="s">
        <v>17063</v>
      </c>
      <c r="F6264" s="117" t="s">
        <v>17064</v>
      </c>
      <c r="G6264" s="10"/>
    </row>
    <row r="6265">
      <c r="B6265" s="38" t="s">
        <v>81</v>
      </c>
      <c r="C6265" s="38">
        <v>4.0</v>
      </c>
      <c r="D6265" s="38" t="s">
        <v>2094</v>
      </c>
      <c r="E6265" s="39" t="s">
        <v>1131</v>
      </c>
      <c r="F6265" s="42" t="s">
        <v>16542</v>
      </c>
      <c r="G6265" s="10"/>
    </row>
    <row r="6266">
      <c r="B6266" s="38" t="s">
        <v>271</v>
      </c>
      <c r="C6266" s="38">
        <v>2.0</v>
      </c>
      <c r="D6266" s="38" t="s">
        <v>545</v>
      </c>
      <c r="E6266" s="42" t="s">
        <v>17065</v>
      </c>
      <c r="F6266" s="117" t="s">
        <v>17066</v>
      </c>
      <c r="G6266" s="42" t="s">
        <v>17067</v>
      </c>
    </row>
    <row r="6267">
      <c r="B6267" s="38" t="s">
        <v>128</v>
      </c>
      <c r="C6267" s="38">
        <v>4.0</v>
      </c>
      <c r="D6267" s="38" t="s">
        <v>545</v>
      </c>
      <c r="E6267" s="42" t="s">
        <v>6322</v>
      </c>
      <c r="F6267" s="42"/>
      <c r="G6267" s="10"/>
    </row>
    <row r="6268">
      <c r="A6268" s="44"/>
      <c r="B6268" s="38" t="s">
        <v>219</v>
      </c>
      <c r="C6268" s="38">
        <v>4.0</v>
      </c>
      <c r="D6268" s="38" t="s">
        <v>2691</v>
      </c>
      <c r="E6268" s="42" t="s">
        <v>325</v>
      </c>
      <c r="F6268" s="304" t="s">
        <v>17068</v>
      </c>
      <c r="G6268" s="10"/>
    </row>
    <row r="6269">
      <c r="A6269" s="44"/>
      <c r="B6269" s="44"/>
      <c r="C6269" s="47"/>
      <c r="D6269" s="304" t="s">
        <v>17069</v>
      </c>
      <c r="E6269" s="304" t="s">
        <v>17070</v>
      </c>
      <c r="F6269" s="47" t="s">
        <v>175</v>
      </c>
      <c r="G6269" s="38" t="s">
        <v>17071</v>
      </c>
    </row>
    <row r="6270">
      <c r="A6270" s="44"/>
      <c r="B6270" s="44"/>
      <c r="C6270" s="47"/>
      <c r="D6270" s="304" t="s">
        <v>17069</v>
      </c>
      <c r="E6270" s="304" t="s">
        <v>17072</v>
      </c>
      <c r="F6270" s="47" t="s">
        <v>14652</v>
      </c>
      <c r="G6270" s="38" t="s">
        <v>17071</v>
      </c>
    </row>
    <row r="6271">
      <c r="A6271" s="44"/>
      <c r="B6271" s="44"/>
      <c r="C6271" s="47"/>
      <c r="D6271" s="304"/>
      <c r="E6271" s="304" t="s">
        <v>17073</v>
      </c>
      <c r="F6271" s="47" t="s">
        <v>175</v>
      </c>
      <c r="G6271" s="38" t="s">
        <v>17071</v>
      </c>
    </row>
    <row r="6272">
      <c r="A6272" s="44"/>
      <c r="B6272" s="44"/>
      <c r="C6272" s="47"/>
      <c r="D6272" s="304" t="s">
        <v>17074</v>
      </c>
      <c r="E6272" s="304" t="s">
        <v>17075</v>
      </c>
      <c r="F6272" s="47" t="s">
        <v>12226</v>
      </c>
      <c r="G6272" s="38" t="s">
        <v>17071</v>
      </c>
    </row>
    <row r="6273">
      <c r="A6273" s="44"/>
      <c r="B6273" s="44"/>
      <c r="C6273" s="47"/>
      <c r="D6273" s="42" t="s">
        <v>17076</v>
      </c>
      <c r="E6273" s="304" t="s">
        <v>17077</v>
      </c>
      <c r="F6273" s="47" t="s">
        <v>12226</v>
      </c>
      <c r="G6273" s="38" t="s">
        <v>17071</v>
      </c>
    </row>
    <row r="6274">
      <c r="B6274" s="38" t="s">
        <v>430</v>
      </c>
      <c r="C6274" s="38">
        <v>2.0</v>
      </c>
      <c r="D6274" s="38" t="s">
        <v>17078</v>
      </c>
      <c r="E6274" s="42" t="s">
        <v>418</v>
      </c>
      <c r="F6274" s="117" t="s">
        <v>17079</v>
      </c>
      <c r="G6274" s="42" t="s">
        <v>17080</v>
      </c>
    </row>
    <row r="6275">
      <c r="B6275" s="38" t="s">
        <v>183</v>
      </c>
      <c r="C6275" s="38">
        <v>4.0</v>
      </c>
      <c r="D6275" s="38" t="s">
        <v>545</v>
      </c>
      <c r="E6275" s="42" t="s">
        <v>418</v>
      </c>
      <c r="F6275" s="117" t="s">
        <v>17081</v>
      </c>
      <c r="G6275" s="42" t="s">
        <v>17080</v>
      </c>
    </row>
    <row r="6276">
      <c r="B6276" s="44"/>
      <c r="C6276" s="47"/>
      <c r="D6276" s="621" t="s">
        <v>17082</v>
      </c>
      <c r="E6276" s="42" t="s">
        <v>17083</v>
      </c>
      <c r="F6276" s="42" t="s">
        <v>17084</v>
      </c>
      <c r="G6276" s="10"/>
    </row>
    <row r="6277">
      <c r="A6277" s="56"/>
      <c r="B6277" s="38" t="s">
        <v>77</v>
      </c>
      <c r="C6277" s="38">
        <v>4.0</v>
      </c>
      <c r="D6277" s="38" t="s">
        <v>545</v>
      </c>
      <c r="E6277" s="42" t="s">
        <v>5285</v>
      </c>
      <c r="F6277" s="42" t="s">
        <v>17085</v>
      </c>
      <c r="G6277" s="10"/>
    </row>
    <row r="6278">
      <c r="B6278" s="38" t="s">
        <v>77</v>
      </c>
      <c r="C6278" s="38">
        <v>4.0</v>
      </c>
      <c r="D6278" s="38" t="s">
        <v>9932</v>
      </c>
      <c r="E6278" s="622" t="s">
        <v>17086</v>
      </c>
      <c r="F6278" s="42" t="s">
        <v>17087</v>
      </c>
      <c r="G6278" s="10"/>
    </row>
    <row r="6279">
      <c r="B6279" s="38" t="s">
        <v>25</v>
      </c>
      <c r="C6279" s="38">
        <v>4.0</v>
      </c>
      <c r="D6279" s="38" t="s">
        <v>664</v>
      </c>
      <c r="E6279" s="622" t="s">
        <v>17086</v>
      </c>
      <c r="F6279" s="42" t="s">
        <v>17087</v>
      </c>
      <c r="G6279" s="10"/>
    </row>
    <row r="6280">
      <c r="A6280" s="592" t="s">
        <v>17088</v>
      </c>
      <c r="B6280" s="38" t="s">
        <v>4405</v>
      </c>
      <c r="C6280" s="38">
        <v>4.0</v>
      </c>
      <c r="D6280" s="38" t="s">
        <v>6167</v>
      </c>
      <c r="E6280" s="39" t="s">
        <v>17089</v>
      </c>
      <c r="F6280" s="117" t="s">
        <v>3869</v>
      </c>
      <c r="G6280" s="42" t="s">
        <v>16916</v>
      </c>
      <c r="H6280" s="1" t="s">
        <v>132</v>
      </c>
    </row>
    <row r="6281">
      <c r="A6281" s="38" t="s">
        <v>133</v>
      </c>
      <c r="B6281" s="38" t="s">
        <v>949</v>
      </c>
      <c r="C6281" s="38">
        <v>4.0</v>
      </c>
      <c r="D6281" s="38" t="s">
        <v>684</v>
      </c>
      <c r="E6281" s="39" t="s">
        <v>17090</v>
      </c>
      <c r="F6281" s="42" t="s">
        <v>17091</v>
      </c>
      <c r="G6281" s="10"/>
    </row>
    <row r="6282">
      <c r="A6282" s="44"/>
      <c r="B6282" s="38" t="s">
        <v>1407</v>
      </c>
      <c r="C6282" s="38">
        <v>4.0</v>
      </c>
      <c r="D6282" s="38" t="s">
        <v>17092</v>
      </c>
      <c r="E6282" s="42" t="s">
        <v>413</v>
      </c>
      <c r="F6282" s="42" t="s">
        <v>17093</v>
      </c>
      <c r="G6282" s="10"/>
    </row>
    <row r="6283">
      <c r="A6283" s="44"/>
      <c r="B6283" s="44"/>
      <c r="C6283" s="38">
        <v>5.0</v>
      </c>
      <c r="D6283" s="38" t="s">
        <v>17094</v>
      </c>
      <c r="E6283" s="42" t="s">
        <v>413</v>
      </c>
      <c r="F6283" s="42" t="s">
        <v>17093</v>
      </c>
      <c r="G6283" s="10"/>
    </row>
    <row r="6284">
      <c r="A6284" s="44"/>
      <c r="B6284" s="44"/>
      <c r="C6284" s="44"/>
      <c r="D6284" s="38" t="s">
        <v>175</v>
      </c>
      <c r="E6284" s="42" t="s">
        <v>413</v>
      </c>
      <c r="F6284" s="42" t="s">
        <v>17093</v>
      </c>
      <c r="G6284" s="10"/>
    </row>
    <row r="6285">
      <c r="A6285" s="44"/>
      <c r="B6285" s="38" t="s">
        <v>2035</v>
      </c>
      <c r="C6285" s="38">
        <v>4.0</v>
      </c>
      <c r="D6285" s="38" t="s">
        <v>17095</v>
      </c>
      <c r="E6285" s="42" t="s">
        <v>17096</v>
      </c>
      <c r="F6285" s="117" t="s">
        <v>10419</v>
      </c>
      <c r="G6285" s="10"/>
    </row>
    <row r="6286">
      <c r="A6286" s="38" t="s">
        <v>2564</v>
      </c>
      <c r="B6286" s="38" t="s">
        <v>25</v>
      </c>
      <c r="C6286" s="38">
        <v>4.0</v>
      </c>
      <c r="D6286" s="38" t="s">
        <v>2171</v>
      </c>
      <c r="E6286" s="42" t="s">
        <v>17097</v>
      </c>
      <c r="F6286" s="42" t="s">
        <v>17098</v>
      </c>
    </row>
    <row r="6287">
      <c r="A6287" s="38"/>
      <c r="B6287" s="38"/>
      <c r="C6287" s="38"/>
      <c r="D6287" s="38"/>
      <c r="E6287" s="42" t="s">
        <v>17097</v>
      </c>
      <c r="F6287" s="42" t="s">
        <v>17099</v>
      </c>
      <c r="G6287" s="4" t="s">
        <v>17100</v>
      </c>
    </row>
    <row r="6288">
      <c r="A6288" s="38" t="s">
        <v>133</v>
      </c>
      <c r="B6288" s="38" t="s">
        <v>354</v>
      </c>
      <c r="C6288" s="38">
        <v>2.0</v>
      </c>
      <c r="D6288" s="38" t="s">
        <v>684</v>
      </c>
      <c r="E6288" s="42" t="s">
        <v>325</v>
      </c>
      <c r="F6288" s="117" t="s">
        <v>17101</v>
      </c>
      <c r="G6288" s="42" t="s">
        <v>17102</v>
      </c>
      <c r="H6288" s="109" t="s">
        <v>17103</v>
      </c>
      <c r="I6288" s="109" t="s">
        <v>17104</v>
      </c>
    </row>
    <row r="6289">
      <c r="A6289" s="38" t="s">
        <v>133</v>
      </c>
      <c r="B6289" s="38" t="s">
        <v>479</v>
      </c>
      <c r="C6289" s="38">
        <v>2.0</v>
      </c>
      <c r="D6289" s="38" t="s">
        <v>684</v>
      </c>
      <c r="E6289" s="42" t="s">
        <v>325</v>
      </c>
      <c r="F6289" s="117"/>
      <c r="G6289" s="42" t="s">
        <v>17102</v>
      </c>
    </row>
    <row r="6290">
      <c r="A6290" s="44"/>
      <c r="B6290" s="38" t="s">
        <v>2028</v>
      </c>
      <c r="C6290" s="38">
        <v>2.0</v>
      </c>
      <c r="D6290" s="38" t="s">
        <v>1305</v>
      </c>
      <c r="E6290" s="42" t="s">
        <v>514</v>
      </c>
      <c r="F6290" s="117" t="s">
        <v>1008</v>
      </c>
      <c r="G6290" s="10"/>
    </row>
    <row r="6291">
      <c r="A6291" s="623" t="s">
        <v>17105</v>
      </c>
      <c r="B6291" s="38" t="s">
        <v>219</v>
      </c>
      <c r="C6291" s="38">
        <v>4.0</v>
      </c>
      <c r="D6291" s="118" t="s">
        <v>6571</v>
      </c>
      <c r="E6291" s="624" t="s">
        <v>17106</v>
      </c>
      <c r="F6291" s="117" t="s">
        <v>17107</v>
      </c>
      <c r="G6291" s="42" t="s">
        <v>17108</v>
      </c>
      <c r="H6291" s="1" t="s">
        <v>3165</v>
      </c>
    </row>
    <row r="6292">
      <c r="A6292" s="44"/>
      <c r="B6292" s="38" t="s">
        <v>91</v>
      </c>
      <c r="C6292" s="38">
        <v>2.0</v>
      </c>
      <c r="D6292" s="38" t="s">
        <v>2094</v>
      </c>
      <c r="E6292" s="85" t="s">
        <v>17109</v>
      </c>
      <c r="F6292" s="117" t="s">
        <v>12226</v>
      </c>
      <c r="G6292" s="42" t="s">
        <v>17110</v>
      </c>
    </row>
    <row r="6293">
      <c r="A6293" s="44"/>
      <c r="B6293" s="38" t="s">
        <v>94</v>
      </c>
      <c r="C6293" s="38">
        <v>2.0</v>
      </c>
      <c r="D6293" s="38" t="s">
        <v>2094</v>
      </c>
      <c r="E6293" s="85" t="s">
        <v>17111</v>
      </c>
      <c r="F6293" s="117" t="s">
        <v>17112</v>
      </c>
      <c r="G6293" s="42" t="s">
        <v>17110</v>
      </c>
    </row>
    <row r="6294">
      <c r="A6294" s="1" t="s">
        <v>2572</v>
      </c>
      <c r="B6294" s="38" t="s">
        <v>210</v>
      </c>
      <c r="C6294" s="38">
        <v>2.0</v>
      </c>
      <c r="D6294" s="38" t="s">
        <v>2423</v>
      </c>
      <c r="E6294" s="42" t="s">
        <v>17113</v>
      </c>
      <c r="F6294" s="117" t="s">
        <v>17114</v>
      </c>
      <c r="G6294" s="42" t="s">
        <v>17115</v>
      </c>
    </row>
    <row r="6295">
      <c r="B6295" s="38" t="s">
        <v>214</v>
      </c>
      <c r="C6295" s="38">
        <v>2.0</v>
      </c>
      <c r="D6295" s="38" t="s">
        <v>2423</v>
      </c>
      <c r="E6295" s="42" t="s">
        <v>17116</v>
      </c>
      <c r="F6295" s="117"/>
      <c r="G6295" s="42" t="s">
        <v>17115</v>
      </c>
    </row>
    <row r="6296">
      <c r="A6296" s="44"/>
      <c r="B6296" s="38" t="s">
        <v>755</v>
      </c>
      <c r="C6296" s="38">
        <v>4.0</v>
      </c>
      <c r="D6296" s="38" t="s">
        <v>408</v>
      </c>
      <c r="E6296" s="42" t="s">
        <v>3562</v>
      </c>
      <c r="F6296" s="42" t="s">
        <v>17117</v>
      </c>
      <c r="G6296" s="10"/>
    </row>
    <row r="6297">
      <c r="A6297" s="44"/>
      <c r="B6297" s="38"/>
      <c r="C6297" s="38"/>
      <c r="D6297" s="38"/>
      <c r="E6297" s="42" t="s">
        <v>3562</v>
      </c>
      <c r="F6297" s="117" t="s">
        <v>17118</v>
      </c>
      <c r="G6297" s="42" t="s">
        <v>501</v>
      </c>
    </row>
    <row r="6298">
      <c r="B6298" s="1"/>
      <c r="C6298" s="1"/>
      <c r="D6298" s="1"/>
      <c r="E6298" s="10" t="s">
        <v>3562</v>
      </c>
      <c r="F6298" s="152" t="s">
        <v>17119</v>
      </c>
      <c r="G6298" s="10"/>
    </row>
    <row r="6299">
      <c r="B6299" s="38"/>
      <c r="C6299" s="38"/>
      <c r="D6299" s="38"/>
      <c r="E6299" s="42" t="s">
        <v>3562</v>
      </c>
      <c r="F6299" s="117" t="s">
        <v>17120</v>
      </c>
      <c r="G6299" s="42" t="s">
        <v>16382</v>
      </c>
    </row>
    <row r="6300">
      <c r="B6300" s="38" t="s">
        <v>6886</v>
      </c>
      <c r="C6300" s="38">
        <v>2.0</v>
      </c>
      <c r="D6300" s="38" t="s">
        <v>399</v>
      </c>
      <c r="E6300" s="42" t="s">
        <v>17121</v>
      </c>
      <c r="F6300" s="42" t="s">
        <v>17122</v>
      </c>
      <c r="G6300" s="42" t="s">
        <v>17123</v>
      </c>
    </row>
    <row r="6301">
      <c r="B6301" s="38" t="s">
        <v>360</v>
      </c>
      <c r="C6301" s="38">
        <v>2.0</v>
      </c>
      <c r="D6301" s="38" t="s">
        <v>399</v>
      </c>
      <c r="E6301" s="42" t="s">
        <v>325</v>
      </c>
      <c r="F6301" s="42" t="s">
        <v>17124</v>
      </c>
      <c r="G6301" s="42" t="s">
        <v>17123</v>
      </c>
    </row>
    <row r="6302">
      <c r="B6302" s="38" t="s">
        <v>1432</v>
      </c>
      <c r="C6302" s="38">
        <v>4.0</v>
      </c>
      <c r="D6302" s="38" t="s">
        <v>86</v>
      </c>
      <c r="E6302" s="42" t="s">
        <v>3947</v>
      </c>
      <c r="F6302" s="42" t="s">
        <v>17125</v>
      </c>
      <c r="G6302" s="10"/>
    </row>
    <row r="6303">
      <c r="B6303" s="38" t="s">
        <v>205</v>
      </c>
      <c r="C6303" s="38">
        <v>4.0</v>
      </c>
      <c r="D6303" s="38" t="s">
        <v>16912</v>
      </c>
      <c r="E6303" s="42" t="s">
        <v>17126</v>
      </c>
      <c r="F6303" s="117" t="s">
        <v>17127</v>
      </c>
      <c r="G6303" s="42" t="s">
        <v>16916</v>
      </c>
    </row>
    <row r="6304">
      <c r="B6304" s="38" t="s">
        <v>3725</v>
      </c>
      <c r="C6304" s="38">
        <v>4.0</v>
      </c>
      <c r="D6304" s="38" t="s">
        <v>17128</v>
      </c>
      <c r="E6304" s="42" t="s">
        <v>2386</v>
      </c>
      <c r="F6304" s="117" t="s">
        <v>208</v>
      </c>
      <c r="G6304" s="42" t="s">
        <v>17129</v>
      </c>
    </row>
    <row r="6305">
      <c r="B6305" s="38" t="s">
        <v>3853</v>
      </c>
      <c r="C6305" s="38">
        <v>8.0</v>
      </c>
      <c r="D6305" s="38" t="s">
        <v>1305</v>
      </c>
      <c r="E6305" s="42" t="s">
        <v>2386</v>
      </c>
      <c r="F6305" s="117" t="s">
        <v>17130</v>
      </c>
      <c r="G6305" s="42" t="s">
        <v>17129</v>
      </c>
    </row>
    <row r="6306">
      <c r="B6306" s="38" t="s">
        <v>183</v>
      </c>
      <c r="C6306" s="38">
        <v>4.0</v>
      </c>
      <c r="D6306" s="38" t="s">
        <v>545</v>
      </c>
      <c r="E6306" s="42" t="s">
        <v>418</v>
      </c>
      <c r="F6306" s="42" t="s">
        <v>17080</v>
      </c>
      <c r="G6306" s="10"/>
    </row>
    <row r="6307">
      <c r="B6307" s="38" t="s">
        <v>1271</v>
      </c>
      <c r="C6307" s="38">
        <v>2.0</v>
      </c>
      <c r="D6307" s="38" t="s">
        <v>461</v>
      </c>
      <c r="E6307" s="42" t="s">
        <v>6781</v>
      </c>
      <c r="F6307" s="42"/>
      <c r="G6307" s="10"/>
    </row>
    <row r="6308">
      <c r="A6308" s="38" t="s">
        <v>133</v>
      </c>
      <c r="B6308" s="38" t="s">
        <v>875</v>
      </c>
      <c r="C6308" s="38">
        <v>4.0</v>
      </c>
      <c r="D6308" s="38" t="s">
        <v>672</v>
      </c>
      <c r="E6308" s="42" t="s">
        <v>7184</v>
      </c>
      <c r="F6308" s="117" t="s">
        <v>17131</v>
      </c>
      <c r="G6308" s="42" t="s">
        <v>17132</v>
      </c>
    </row>
    <row r="6309">
      <c r="B6309" s="38" t="s">
        <v>1575</v>
      </c>
      <c r="C6309" s="38">
        <v>2.0</v>
      </c>
      <c r="D6309" s="38" t="s">
        <v>408</v>
      </c>
      <c r="E6309" s="42" t="s">
        <v>462</v>
      </c>
      <c r="F6309" s="42" t="s">
        <v>17133</v>
      </c>
      <c r="G6309" s="10"/>
    </row>
    <row r="6310">
      <c r="B6310" s="38" t="s">
        <v>85</v>
      </c>
      <c r="C6310" s="38">
        <v>2.0</v>
      </c>
      <c r="D6310" s="38" t="s">
        <v>408</v>
      </c>
      <c r="E6310" s="42" t="s">
        <v>462</v>
      </c>
      <c r="F6310" s="42" t="s">
        <v>17133</v>
      </c>
      <c r="G6310" s="10"/>
    </row>
    <row r="6311">
      <c r="A6311" s="47" t="s">
        <v>17134</v>
      </c>
      <c r="B6311" s="38" t="s">
        <v>183</v>
      </c>
      <c r="C6311" s="38">
        <v>4.0</v>
      </c>
      <c r="D6311" s="38" t="s">
        <v>3178</v>
      </c>
      <c r="E6311" s="42" t="s">
        <v>462</v>
      </c>
      <c r="F6311" s="42" t="s">
        <v>17135</v>
      </c>
      <c r="G6311" s="10"/>
    </row>
    <row r="6312">
      <c r="A6312" s="44"/>
      <c r="B6312" s="38" t="s">
        <v>354</v>
      </c>
      <c r="C6312" s="38">
        <v>4.0</v>
      </c>
      <c r="D6312" s="38" t="s">
        <v>2632</v>
      </c>
      <c r="E6312" s="42" t="s">
        <v>7196</v>
      </c>
      <c r="F6312" s="42" t="s">
        <v>17136</v>
      </c>
      <c r="G6312" s="10"/>
    </row>
    <row r="6313">
      <c r="A6313" s="38" t="s">
        <v>133</v>
      </c>
      <c r="B6313" s="38" t="s">
        <v>25</v>
      </c>
      <c r="C6313" s="38">
        <v>4.0</v>
      </c>
      <c r="D6313" s="38" t="s">
        <v>2171</v>
      </c>
      <c r="E6313" s="42" t="s">
        <v>17137</v>
      </c>
      <c r="F6313" s="117" t="s">
        <v>2252</v>
      </c>
      <c r="G6313" s="10"/>
    </row>
    <row r="6314">
      <c r="B6314" s="44"/>
      <c r="C6314" s="38" t="s">
        <v>17138</v>
      </c>
      <c r="D6314" s="38" t="s">
        <v>17139</v>
      </c>
      <c r="E6314" s="151" t="s">
        <v>17140</v>
      </c>
      <c r="F6314" s="117" t="s">
        <v>17141</v>
      </c>
      <c r="G6314" s="42" t="s">
        <v>17142</v>
      </c>
    </row>
    <row r="6315">
      <c r="B6315" s="44"/>
      <c r="C6315" s="38">
        <v>4.0</v>
      </c>
      <c r="D6315" s="38" t="s">
        <v>17143</v>
      </c>
      <c r="E6315" s="42" t="s">
        <v>17144</v>
      </c>
      <c r="F6315" s="117" t="s">
        <v>17145</v>
      </c>
      <c r="G6315" s="42" t="s">
        <v>17146</v>
      </c>
    </row>
    <row r="6316">
      <c r="B6316" s="44"/>
      <c r="C6316" s="38">
        <v>4.0</v>
      </c>
      <c r="D6316" s="38" t="s">
        <v>17147</v>
      </c>
      <c r="E6316" s="42" t="s">
        <v>325</v>
      </c>
      <c r="F6316" s="117" t="s">
        <v>6480</v>
      </c>
      <c r="G6316" s="42" t="s">
        <v>17146</v>
      </c>
    </row>
    <row r="6317">
      <c r="B6317" s="38" t="s">
        <v>41</v>
      </c>
      <c r="C6317" s="38">
        <v>4.0</v>
      </c>
      <c r="D6317" s="38" t="s">
        <v>3101</v>
      </c>
      <c r="E6317" s="42" t="s">
        <v>17148</v>
      </c>
      <c r="F6317" s="42" t="s">
        <v>17149</v>
      </c>
      <c r="G6317" s="10"/>
    </row>
    <row r="6318">
      <c r="C6318" s="4"/>
      <c r="D6318" s="4"/>
      <c r="E6318" s="9" t="s">
        <v>17148</v>
      </c>
      <c r="F6318" s="152" t="s">
        <v>17150</v>
      </c>
      <c r="G6318" s="10"/>
    </row>
    <row r="6319">
      <c r="A6319" s="4" t="s">
        <v>17151</v>
      </c>
      <c r="B6319" s="409" t="s">
        <v>219</v>
      </c>
      <c r="C6319" s="409">
        <v>4.0</v>
      </c>
      <c r="D6319" s="409" t="s">
        <v>2171</v>
      </c>
      <c r="E6319" s="42" t="s">
        <v>17152</v>
      </c>
      <c r="F6319" s="117" t="s">
        <v>17153</v>
      </c>
      <c r="G6319" s="1" t="s">
        <v>16872</v>
      </c>
      <c r="H6319" s="409"/>
    </row>
    <row r="6320">
      <c r="A6320" s="44"/>
      <c r="B6320" s="38" t="s">
        <v>6886</v>
      </c>
      <c r="C6320" s="38">
        <v>2.0</v>
      </c>
      <c r="D6320" s="38" t="s">
        <v>6887</v>
      </c>
      <c r="E6320" s="42" t="s">
        <v>418</v>
      </c>
      <c r="F6320" s="117" t="s">
        <v>17154</v>
      </c>
      <c r="G6320" s="42" t="s">
        <v>17155</v>
      </c>
    </row>
    <row r="6321">
      <c r="A6321" s="44"/>
      <c r="B6321" s="38" t="s">
        <v>3023</v>
      </c>
      <c r="C6321" s="38">
        <v>2.0</v>
      </c>
      <c r="D6321" s="38" t="s">
        <v>6887</v>
      </c>
      <c r="E6321" s="42" t="s">
        <v>418</v>
      </c>
      <c r="F6321" s="117" t="s">
        <v>17156</v>
      </c>
      <c r="G6321" s="42" t="s">
        <v>17155</v>
      </c>
    </row>
    <row r="6322">
      <c r="A6322" s="4" t="s">
        <v>17157</v>
      </c>
      <c r="B6322" s="38" t="s">
        <v>283</v>
      </c>
      <c r="C6322" s="38">
        <v>4.0</v>
      </c>
      <c r="D6322" s="38" t="s">
        <v>6571</v>
      </c>
      <c r="E6322" s="42" t="s">
        <v>418</v>
      </c>
      <c r="F6322" s="117" t="s">
        <v>17158</v>
      </c>
      <c r="G6322" s="42" t="s">
        <v>17155</v>
      </c>
    </row>
    <row r="6323">
      <c r="A6323" s="44"/>
      <c r="B6323" s="38" t="s">
        <v>283</v>
      </c>
      <c r="C6323" s="38">
        <v>4.0</v>
      </c>
      <c r="D6323" s="38" t="s">
        <v>869</v>
      </c>
      <c r="E6323" s="42" t="s">
        <v>418</v>
      </c>
      <c r="F6323" s="117" t="s">
        <v>17159</v>
      </c>
      <c r="G6323" s="42" t="s">
        <v>17155</v>
      </c>
    </row>
    <row r="6324">
      <c r="A6324" s="44"/>
      <c r="B6324" s="38" t="s">
        <v>416</v>
      </c>
      <c r="C6324" s="38">
        <v>1.0</v>
      </c>
      <c r="D6324" s="38" t="s">
        <v>684</v>
      </c>
      <c r="E6324" s="42" t="s">
        <v>418</v>
      </c>
      <c r="F6324" s="117" t="s">
        <v>17160</v>
      </c>
      <c r="G6324" s="42" t="s">
        <v>17155</v>
      </c>
    </row>
    <row r="6325">
      <c r="A6325" s="44"/>
      <c r="B6325" s="38" t="s">
        <v>2035</v>
      </c>
      <c r="C6325" s="38">
        <v>4.0</v>
      </c>
      <c r="D6325" s="38" t="s">
        <v>545</v>
      </c>
      <c r="E6325" s="42" t="s">
        <v>418</v>
      </c>
      <c r="F6325" s="117" t="s">
        <v>17161</v>
      </c>
      <c r="G6325" s="42" t="s">
        <v>17155</v>
      </c>
    </row>
    <row r="6326">
      <c r="B6326" s="38" t="s">
        <v>2035</v>
      </c>
      <c r="C6326" s="38">
        <v>4.0</v>
      </c>
      <c r="D6326" s="38" t="s">
        <v>545</v>
      </c>
      <c r="E6326" s="42" t="s">
        <v>418</v>
      </c>
      <c r="F6326" s="42" t="s">
        <v>17080</v>
      </c>
      <c r="G6326" s="10"/>
    </row>
    <row r="6327">
      <c r="A6327" s="38" t="s">
        <v>2564</v>
      </c>
      <c r="B6327" s="38" t="s">
        <v>25</v>
      </c>
      <c r="C6327" s="38">
        <v>4.0</v>
      </c>
      <c r="D6327" s="38" t="s">
        <v>672</v>
      </c>
      <c r="E6327" s="38" t="s">
        <v>17162</v>
      </c>
      <c r="F6327" s="38" t="s">
        <v>10133</v>
      </c>
      <c r="G6327" s="42" t="s">
        <v>2252</v>
      </c>
    </row>
    <row r="6328">
      <c r="A6328" s="2" t="s">
        <v>17163</v>
      </c>
      <c r="B6328" s="1" t="s">
        <v>12925</v>
      </c>
      <c r="C6328" s="1">
        <v>4.0</v>
      </c>
      <c r="D6328" s="1" t="s">
        <v>6571</v>
      </c>
      <c r="E6328" s="10" t="s">
        <v>2914</v>
      </c>
      <c r="F6328" s="152" t="s">
        <v>17164</v>
      </c>
      <c r="G6328" s="10"/>
    </row>
    <row r="6329">
      <c r="A6329" s="44"/>
      <c r="B6329" s="38" t="s">
        <v>405</v>
      </c>
      <c r="C6329" s="38">
        <v>2.0</v>
      </c>
      <c r="D6329" s="38" t="s">
        <v>17165</v>
      </c>
      <c r="E6329" s="42" t="s">
        <v>481</v>
      </c>
      <c r="F6329" s="117" t="s">
        <v>17166</v>
      </c>
      <c r="G6329" s="42" t="s">
        <v>17167</v>
      </c>
    </row>
    <row r="6330">
      <c r="A6330" s="38" t="s">
        <v>17168</v>
      </c>
      <c r="B6330" s="38" t="s">
        <v>52</v>
      </c>
      <c r="C6330" s="38">
        <v>2.0</v>
      </c>
      <c r="D6330" s="38" t="s">
        <v>17165</v>
      </c>
      <c r="E6330" s="42" t="s">
        <v>17169</v>
      </c>
      <c r="F6330" s="117" t="s">
        <v>17170</v>
      </c>
      <c r="G6330" s="42" t="s">
        <v>17167</v>
      </c>
    </row>
    <row r="6331">
      <c r="B6331" s="38" t="s">
        <v>1264</v>
      </c>
      <c r="C6331" s="38">
        <v>4.0</v>
      </c>
      <c r="D6331" s="38" t="s">
        <v>553</v>
      </c>
      <c r="E6331" s="42" t="s">
        <v>17171</v>
      </c>
      <c r="F6331" s="42" t="s">
        <v>17172</v>
      </c>
      <c r="G6331" s="10"/>
    </row>
    <row r="6332">
      <c r="A6332" s="44"/>
      <c r="B6332" s="65">
        <v>45605.0</v>
      </c>
      <c r="C6332" s="38" t="s">
        <v>14652</v>
      </c>
      <c r="D6332" s="38" t="s">
        <v>17173</v>
      </c>
      <c r="E6332" s="625" t="s">
        <v>17174</v>
      </c>
      <c r="F6332" s="304" t="s">
        <v>2558</v>
      </c>
      <c r="G6332" s="42" t="s">
        <v>17175</v>
      </c>
    </row>
    <row r="6333">
      <c r="A6333" s="626">
        <v>45597.0</v>
      </c>
      <c r="B6333" s="44"/>
      <c r="C6333" s="47"/>
      <c r="D6333" s="47"/>
      <c r="E6333" s="42" t="s">
        <v>6440</v>
      </c>
      <c r="F6333" s="117" t="s">
        <v>17176</v>
      </c>
      <c r="G6333" s="42" t="s">
        <v>381</v>
      </c>
    </row>
    <row r="6334">
      <c r="A6334" s="1" t="s">
        <v>17177</v>
      </c>
      <c r="B6334" s="38" t="s">
        <v>88</v>
      </c>
      <c r="C6334" s="38">
        <v>4.0</v>
      </c>
      <c r="D6334" s="38" t="s">
        <v>17178</v>
      </c>
      <c r="E6334" s="42" t="s">
        <v>488</v>
      </c>
      <c r="F6334" s="117" t="s">
        <v>2374</v>
      </c>
      <c r="G6334" s="38" t="s">
        <v>17179</v>
      </c>
    </row>
    <row r="6335">
      <c r="A6335" s="47" t="s">
        <v>17180</v>
      </c>
      <c r="B6335" s="38" t="s">
        <v>214</v>
      </c>
      <c r="C6335" s="38">
        <v>2.0</v>
      </c>
      <c r="D6335" s="38" t="s">
        <v>17181</v>
      </c>
      <c r="E6335" s="38" t="s">
        <v>17182</v>
      </c>
      <c r="F6335" s="117" t="s">
        <v>17183</v>
      </c>
      <c r="G6335" s="42" t="s">
        <v>17184</v>
      </c>
    </row>
    <row r="6336">
      <c r="A6336" s="47" t="s">
        <v>17180</v>
      </c>
      <c r="B6336" s="38" t="s">
        <v>210</v>
      </c>
      <c r="C6336" s="38">
        <v>2.0</v>
      </c>
      <c r="D6336" s="38" t="s">
        <v>17181</v>
      </c>
      <c r="E6336" s="38" t="s">
        <v>325</v>
      </c>
      <c r="F6336" s="117">
        <v>285.0</v>
      </c>
      <c r="G6336" s="42" t="s">
        <v>17184</v>
      </c>
    </row>
    <row r="6337">
      <c r="A6337" s="38" t="s">
        <v>2564</v>
      </c>
      <c r="B6337" s="38" t="s">
        <v>219</v>
      </c>
      <c r="C6337" s="38">
        <v>4.0</v>
      </c>
      <c r="D6337" s="38" t="s">
        <v>2234</v>
      </c>
      <c r="E6337" s="42" t="s">
        <v>10514</v>
      </c>
      <c r="F6337" s="117" t="s">
        <v>17185</v>
      </c>
      <c r="G6337" s="10"/>
    </row>
    <row r="6338">
      <c r="B6338" s="38" t="s">
        <v>195</v>
      </c>
      <c r="C6338" s="38">
        <v>2.0</v>
      </c>
      <c r="D6338" s="38" t="s">
        <v>17186</v>
      </c>
      <c r="E6338" s="42" t="s">
        <v>17187</v>
      </c>
      <c r="F6338" s="42" t="s">
        <v>17188</v>
      </c>
      <c r="G6338" s="10"/>
    </row>
    <row r="6339">
      <c r="B6339" s="38" t="s">
        <v>199</v>
      </c>
      <c r="C6339" s="38">
        <v>2.0</v>
      </c>
      <c r="D6339" s="38" t="s">
        <v>17186</v>
      </c>
      <c r="E6339" s="42" t="s">
        <v>17189</v>
      </c>
      <c r="F6339" s="42" t="s">
        <v>17188</v>
      </c>
      <c r="G6339" s="10"/>
    </row>
    <row r="6340">
      <c r="B6340" s="38" t="s">
        <v>103</v>
      </c>
      <c r="C6340" s="38">
        <v>1.0</v>
      </c>
      <c r="D6340" s="38" t="s">
        <v>17190</v>
      </c>
      <c r="E6340" s="42" t="s">
        <v>9882</v>
      </c>
      <c r="F6340" s="47" t="s">
        <v>17191</v>
      </c>
      <c r="G6340" s="10"/>
    </row>
    <row r="6341">
      <c r="B6341" s="569"/>
      <c r="C6341" s="47"/>
      <c r="D6341" s="117" t="s">
        <v>17192</v>
      </c>
      <c r="E6341" s="47" t="s">
        <v>17193</v>
      </c>
      <c r="F6341" s="47" t="s">
        <v>17194</v>
      </c>
      <c r="G6341" s="10"/>
    </row>
    <row r="6342">
      <c r="B6342" s="44"/>
      <c r="C6342" s="38" t="s">
        <v>17195</v>
      </c>
      <c r="D6342" s="117" t="s">
        <v>17196</v>
      </c>
      <c r="E6342" s="47" t="s">
        <v>17193</v>
      </c>
      <c r="F6342" s="47" t="s">
        <v>17194</v>
      </c>
      <c r="G6342" s="10"/>
    </row>
    <row r="6343">
      <c r="B6343" s="38" t="s">
        <v>271</v>
      </c>
      <c r="C6343" s="38">
        <v>4.0</v>
      </c>
      <c r="D6343" s="117" t="s">
        <v>545</v>
      </c>
      <c r="E6343" s="47" t="s">
        <v>17193</v>
      </c>
      <c r="F6343" s="47"/>
      <c r="G6343" s="10"/>
    </row>
    <row r="6344">
      <c r="A6344" s="44"/>
      <c r="B6344" s="44"/>
      <c r="C6344" s="44"/>
      <c r="D6344" s="44"/>
      <c r="E6344" s="112" t="s">
        <v>17197</v>
      </c>
      <c r="F6344" s="42" t="s">
        <v>17198</v>
      </c>
      <c r="G6344" s="42" t="s">
        <v>17199</v>
      </c>
    </row>
    <row r="6345">
      <c r="A6345" s="44"/>
      <c r="B6345" s="38" t="s">
        <v>333</v>
      </c>
      <c r="C6345" s="38">
        <v>4.0</v>
      </c>
      <c r="D6345" s="38" t="s">
        <v>2691</v>
      </c>
      <c r="E6345" s="42" t="s">
        <v>16385</v>
      </c>
      <c r="F6345" s="42" t="s">
        <v>17200</v>
      </c>
      <c r="G6345" s="10"/>
    </row>
    <row r="6346">
      <c r="A6346" s="8"/>
      <c r="B6346" s="38"/>
      <c r="C6346" s="38"/>
      <c r="D6346" s="38"/>
      <c r="E6346" s="42" t="s">
        <v>16385</v>
      </c>
      <c r="F6346" s="42" t="s">
        <v>17201</v>
      </c>
      <c r="G6346" s="42" t="s">
        <v>17142</v>
      </c>
    </row>
    <row r="6347">
      <c r="A6347" s="44"/>
      <c r="B6347" s="38" t="s">
        <v>405</v>
      </c>
      <c r="C6347" s="38">
        <v>2.0</v>
      </c>
      <c r="D6347" s="38" t="s">
        <v>17165</v>
      </c>
      <c r="E6347" s="42" t="s">
        <v>17202</v>
      </c>
      <c r="F6347" s="117" t="s">
        <v>17203</v>
      </c>
      <c r="G6347" s="42" t="s">
        <v>17204</v>
      </c>
    </row>
    <row r="6348">
      <c r="A6348" s="44"/>
      <c r="B6348" s="38" t="s">
        <v>52</v>
      </c>
      <c r="C6348" s="38">
        <v>2.0</v>
      </c>
      <c r="D6348" s="38" t="s">
        <v>17165</v>
      </c>
      <c r="E6348" s="42" t="s">
        <v>17205</v>
      </c>
      <c r="F6348" s="117" t="s">
        <v>7276</v>
      </c>
      <c r="G6348" s="42" t="s">
        <v>17204</v>
      </c>
    </row>
    <row r="6349">
      <c r="A6349" s="44"/>
      <c r="B6349" s="38" t="s">
        <v>85</v>
      </c>
      <c r="C6349" s="38">
        <v>4.0</v>
      </c>
      <c r="D6349" s="38" t="s">
        <v>2884</v>
      </c>
      <c r="E6349" s="42" t="s">
        <v>17206</v>
      </c>
      <c r="F6349" s="117" t="s">
        <v>17207</v>
      </c>
      <c r="G6349" s="42" t="s">
        <v>17208</v>
      </c>
    </row>
    <row r="6350">
      <c r="A6350" s="44"/>
      <c r="B6350" s="38"/>
      <c r="C6350" s="38"/>
      <c r="D6350" s="38"/>
      <c r="E6350" s="42" t="s">
        <v>17206</v>
      </c>
      <c r="F6350" s="44"/>
      <c r="G6350" s="42" t="s">
        <v>17208</v>
      </c>
    </row>
    <row r="6351">
      <c r="B6351" s="1"/>
      <c r="C6351" s="1"/>
      <c r="D6351" s="1"/>
      <c r="E6351" s="10" t="s">
        <v>17206</v>
      </c>
      <c r="F6351" s="152" t="s">
        <v>6480</v>
      </c>
      <c r="G6351" s="10"/>
    </row>
    <row r="6352">
      <c r="A6352" s="38" t="s">
        <v>16693</v>
      </c>
      <c r="B6352" s="38" t="s">
        <v>1317</v>
      </c>
      <c r="C6352" s="38">
        <v>4.0</v>
      </c>
      <c r="D6352" s="38" t="s">
        <v>2340</v>
      </c>
      <c r="E6352" s="42" t="s">
        <v>413</v>
      </c>
      <c r="F6352" s="42" t="s">
        <v>17209</v>
      </c>
      <c r="G6352" s="10"/>
    </row>
    <row r="6353">
      <c r="A6353" s="44"/>
      <c r="B6353" s="38" t="s">
        <v>77</v>
      </c>
      <c r="C6353" s="38">
        <v>4.0</v>
      </c>
      <c r="D6353" s="38" t="s">
        <v>412</v>
      </c>
      <c r="E6353" s="42" t="s">
        <v>413</v>
      </c>
      <c r="F6353" s="117" t="s">
        <v>17210</v>
      </c>
      <c r="G6353" s="10"/>
    </row>
    <row r="6354">
      <c r="B6354" s="44"/>
      <c r="C6354" s="47"/>
      <c r="D6354" s="304" t="s">
        <v>17211</v>
      </c>
      <c r="E6354" s="42" t="s">
        <v>17212</v>
      </c>
      <c r="F6354" s="42" t="s">
        <v>17213</v>
      </c>
      <c r="G6354" s="10"/>
    </row>
    <row r="6355">
      <c r="B6355" s="38" t="s">
        <v>22</v>
      </c>
      <c r="C6355" s="38">
        <v>4.0</v>
      </c>
      <c r="D6355" s="38" t="s">
        <v>2094</v>
      </c>
      <c r="E6355" s="42" t="s">
        <v>17214</v>
      </c>
      <c r="F6355" s="117" t="s">
        <v>17215</v>
      </c>
      <c r="G6355" s="42" t="s">
        <v>17216</v>
      </c>
    </row>
    <row r="6356">
      <c r="B6356" s="38" t="s">
        <v>354</v>
      </c>
      <c r="C6356" s="38">
        <v>4.0</v>
      </c>
      <c r="D6356" s="38" t="s">
        <v>17217</v>
      </c>
      <c r="E6356" s="39" t="s">
        <v>17218</v>
      </c>
      <c r="F6356" s="42" t="s">
        <v>17219</v>
      </c>
      <c r="G6356" s="10"/>
    </row>
    <row r="6357">
      <c r="C6357" s="4"/>
      <c r="D6357" s="1" t="s">
        <v>17220</v>
      </c>
      <c r="E6357" s="10" t="s">
        <v>371</v>
      </c>
      <c r="F6357" s="152"/>
      <c r="G6357" s="10" t="s">
        <v>144</v>
      </c>
    </row>
    <row r="6358">
      <c r="B6358" s="38" t="s">
        <v>755</v>
      </c>
      <c r="C6358" s="38">
        <v>2.0</v>
      </c>
      <c r="D6358" s="38" t="s">
        <v>17221</v>
      </c>
      <c r="E6358" s="42" t="s">
        <v>16385</v>
      </c>
      <c r="F6358" s="117" t="s">
        <v>17222</v>
      </c>
      <c r="G6358" s="42" t="s">
        <v>17223</v>
      </c>
    </row>
    <row r="6359">
      <c r="B6359" s="38" t="s">
        <v>214</v>
      </c>
      <c r="C6359" s="38">
        <v>2.0</v>
      </c>
      <c r="D6359" s="38" t="s">
        <v>17221</v>
      </c>
      <c r="E6359" s="42" t="s">
        <v>16385</v>
      </c>
      <c r="F6359" s="117"/>
      <c r="G6359" s="42" t="s">
        <v>17223</v>
      </c>
    </row>
    <row r="6360">
      <c r="B6360" s="38" t="s">
        <v>85</v>
      </c>
      <c r="C6360" s="38">
        <v>4.0</v>
      </c>
      <c r="D6360" s="38" t="s">
        <v>17224</v>
      </c>
      <c r="E6360" s="42" t="s">
        <v>325</v>
      </c>
      <c r="F6360" s="117" t="s">
        <v>17225</v>
      </c>
      <c r="G6360" s="10"/>
    </row>
    <row r="6361">
      <c r="A6361" s="44"/>
      <c r="B6361" s="38" t="s">
        <v>354</v>
      </c>
      <c r="C6361" s="38">
        <v>2.0</v>
      </c>
      <c r="D6361" s="38" t="s">
        <v>17226</v>
      </c>
      <c r="E6361" s="42" t="s">
        <v>17227</v>
      </c>
      <c r="F6361" s="117">
        <v>268.0</v>
      </c>
      <c r="G6361" s="42" t="s">
        <v>17228</v>
      </c>
    </row>
    <row r="6362">
      <c r="A6362" s="44"/>
      <c r="B6362" s="38" t="s">
        <v>479</v>
      </c>
      <c r="C6362" s="38">
        <v>2.0</v>
      </c>
      <c r="D6362" s="38" t="s">
        <v>17226</v>
      </c>
      <c r="E6362" s="42" t="s">
        <v>325</v>
      </c>
      <c r="F6362" s="117"/>
      <c r="G6362" s="42" t="s">
        <v>17228</v>
      </c>
    </row>
    <row r="6363">
      <c r="A6363" s="44"/>
      <c r="B6363" s="44"/>
      <c r="C6363" s="47"/>
      <c r="D6363" s="47"/>
      <c r="E6363" s="42" t="s">
        <v>1260</v>
      </c>
      <c r="F6363" s="117" t="s">
        <v>17229</v>
      </c>
      <c r="G6363" s="42" t="s">
        <v>17230</v>
      </c>
    </row>
    <row r="6364">
      <c r="A6364" s="44"/>
      <c r="B6364" s="38" t="s">
        <v>1407</v>
      </c>
      <c r="C6364" s="38">
        <v>2.0</v>
      </c>
      <c r="D6364" s="38" t="s">
        <v>17231</v>
      </c>
      <c r="E6364" s="42" t="s">
        <v>17232</v>
      </c>
      <c r="F6364" s="117" t="s">
        <v>17233</v>
      </c>
      <c r="G6364" s="42" t="s">
        <v>17234</v>
      </c>
    </row>
    <row r="6365">
      <c r="B6365" s="38"/>
      <c r="C6365" s="38"/>
      <c r="D6365" s="117" t="s">
        <v>17235</v>
      </c>
      <c r="E6365" s="42" t="s">
        <v>1873</v>
      </c>
      <c r="F6365" s="44"/>
      <c r="G6365" s="42" t="s">
        <v>16081</v>
      </c>
    </row>
    <row r="6366">
      <c r="B6366" s="38" t="s">
        <v>2798</v>
      </c>
      <c r="C6366" s="38">
        <v>4.0</v>
      </c>
      <c r="D6366" s="38" t="s">
        <v>412</v>
      </c>
      <c r="E6366" s="42" t="s">
        <v>1873</v>
      </c>
      <c r="F6366" s="117" t="s">
        <v>17236</v>
      </c>
      <c r="G6366" s="42" t="s">
        <v>16081</v>
      </c>
    </row>
    <row r="6367">
      <c r="B6367" s="38" t="s">
        <v>283</v>
      </c>
      <c r="C6367" s="38">
        <v>4.0</v>
      </c>
      <c r="D6367" s="38" t="s">
        <v>8045</v>
      </c>
      <c r="E6367" s="42" t="s">
        <v>4741</v>
      </c>
      <c r="F6367" s="42" t="s">
        <v>17237</v>
      </c>
      <c r="G6367" s="10"/>
    </row>
    <row r="6368">
      <c r="A6368" s="44"/>
      <c r="B6368" s="38" t="s">
        <v>1006</v>
      </c>
      <c r="C6368" s="38">
        <v>2.0</v>
      </c>
      <c r="D6368" s="38" t="s">
        <v>12756</v>
      </c>
      <c r="E6368" s="42" t="s">
        <v>17238</v>
      </c>
      <c r="F6368" s="42" t="s">
        <v>17239</v>
      </c>
      <c r="G6368" s="10"/>
    </row>
    <row r="6369">
      <c r="B6369" s="1"/>
      <c r="C6369" s="1"/>
      <c r="D6369" s="1"/>
      <c r="E6369" s="10" t="s">
        <v>17240</v>
      </c>
      <c r="F6369" s="152" t="s">
        <v>17241</v>
      </c>
      <c r="G6369" s="10">
        <v>-1000.0</v>
      </c>
    </row>
    <row r="6370">
      <c r="B6370" s="1" t="s">
        <v>1322</v>
      </c>
      <c r="C6370" s="1">
        <v>1.0</v>
      </c>
      <c r="D6370" s="1" t="s">
        <v>9901</v>
      </c>
      <c r="E6370" s="10" t="s">
        <v>17240</v>
      </c>
      <c r="F6370" s="152" t="s">
        <v>17242</v>
      </c>
      <c r="G6370" s="10">
        <v>-269.0</v>
      </c>
    </row>
    <row r="6371">
      <c r="B6371" s="1"/>
      <c r="C6371" s="1"/>
      <c r="D6371" s="1"/>
      <c r="E6371" s="10" t="s">
        <v>17240</v>
      </c>
      <c r="F6371" s="152" t="s">
        <v>1839</v>
      </c>
      <c r="G6371" s="10">
        <v>-90.0</v>
      </c>
    </row>
    <row r="6372">
      <c r="B6372" s="1"/>
      <c r="C6372" s="1"/>
      <c r="D6372" s="1"/>
      <c r="E6372" s="10" t="s">
        <v>17240</v>
      </c>
      <c r="F6372" s="152" t="s">
        <v>17243</v>
      </c>
      <c r="G6372" s="10"/>
    </row>
    <row r="6373">
      <c r="B6373" s="1"/>
      <c r="C6373" s="1"/>
      <c r="D6373" s="1"/>
      <c r="E6373" s="10" t="s">
        <v>17240</v>
      </c>
      <c r="F6373" s="152" t="s">
        <v>17244</v>
      </c>
      <c r="G6373" s="10">
        <v>-140.0</v>
      </c>
    </row>
    <row r="6374">
      <c r="A6374" s="1" t="s">
        <v>17245</v>
      </c>
      <c r="C6374" s="1"/>
      <c r="D6374" s="1"/>
      <c r="E6374" s="10" t="s">
        <v>17240</v>
      </c>
      <c r="F6374" s="152" t="s">
        <v>17246</v>
      </c>
      <c r="G6374" s="10">
        <v>1456.0</v>
      </c>
    </row>
    <row r="6375">
      <c r="B6375" s="47" t="s">
        <v>16211</v>
      </c>
      <c r="C6375" s="47" t="s">
        <v>16212</v>
      </c>
      <c r="D6375" s="47" t="s">
        <v>319</v>
      </c>
      <c r="E6375" s="47" t="s">
        <v>14334</v>
      </c>
      <c r="F6375" s="117" t="s">
        <v>17247</v>
      </c>
      <c r="G6375" s="10"/>
    </row>
    <row r="6376">
      <c r="B6376" s="47" t="s">
        <v>16214</v>
      </c>
      <c r="C6376" s="47"/>
      <c r="D6376" s="47" t="s">
        <v>1542</v>
      </c>
      <c r="E6376" s="38" t="s">
        <v>16215</v>
      </c>
      <c r="F6376" s="117" t="s">
        <v>17247</v>
      </c>
      <c r="G6376" s="10"/>
    </row>
    <row r="6377">
      <c r="B6377" s="38" t="s">
        <v>122</v>
      </c>
      <c r="C6377" s="38">
        <v>1.0</v>
      </c>
      <c r="D6377" s="38" t="s">
        <v>17248</v>
      </c>
      <c r="E6377" s="42" t="s">
        <v>4634</v>
      </c>
      <c r="F6377" s="42" t="s">
        <v>17249</v>
      </c>
      <c r="G6377" s="10"/>
    </row>
    <row r="6378">
      <c r="B6378" s="44"/>
      <c r="C6378" s="38"/>
      <c r="D6378" s="38" t="s">
        <v>17250</v>
      </c>
      <c r="E6378" s="42" t="s">
        <v>1351</v>
      </c>
      <c r="F6378" s="42" t="s">
        <v>17251</v>
      </c>
      <c r="G6378" s="10"/>
    </row>
    <row r="6379">
      <c r="A6379" s="4" t="s">
        <v>17252</v>
      </c>
      <c r="B6379" s="38" t="s">
        <v>97</v>
      </c>
      <c r="C6379" s="38">
        <v>4.0</v>
      </c>
      <c r="D6379" s="38" t="s">
        <v>672</v>
      </c>
      <c r="E6379" s="42" t="s">
        <v>418</v>
      </c>
      <c r="F6379" s="42" t="s">
        <v>17080</v>
      </c>
      <c r="G6379" s="10" t="s">
        <v>16872</v>
      </c>
    </row>
    <row r="6380">
      <c r="B6380" s="38" t="s">
        <v>28</v>
      </c>
      <c r="C6380" s="38">
        <v>4.0</v>
      </c>
      <c r="D6380" s="38" t="s">
        <v>1979</v>
      </c>
      <c r="E6380" s="42" t="s">
        <v>17253</v>
      </c>
      <c r="F6380" s="42" t="s">
        <v>17254</v>
      </c>
      <c r="G6380" s="10"/>
    </row>
    <row r="6381">
      <c r="B6381" s="44"/>
      <c r="C6381" s="47"/>
      <c r="D6381" s="47"/>
      <c r="E6381" s="42" t="s">
        <v>17253</v>
      </c>
      <c r="F6381" s="117" t="s">
        <v>17255</v>
      </c>
      <c r="G6381" s="42" t="s">
        <v>17142</v>
      </c>
    </row>
    <row r="6382">
      <c r="B6382" s="44"/>
      <c r="C6382" s="47"/>
      <c r="D6382" s="47"/>
      <c r="E6382" s="42" t="s">
        <v>17253</v>
      </c>
      <c r="F6382" s="117" t="s">
        <v>17256</v>
      </c>
      <c r="G6382" s="42" t="s">
        <v>17142</v>
      </c>
    </row>
    <row r="6383">
      <c r="A6383" s="38"/>
      <c r="B6383" s="38" t="s">
        <v>949</v>
      </c>
      <c r="C6383" s="38">
        <v>4.0</v>
      </c>
      <c r="D6383" s="38" t="s">
        <v>17257</v>
      </c>
      <c r="E6383" s="42" t="s">
        <v>17253</v>
      </c>
      <c r="F6383" s="42" t="s">
        <v>17258</v>
      </c>
      <c r="G6383" s="10"/>
    </row>
    <row r="6384">
      <c r="B6384" s="38"/>
      <c r="C6384" s="38"/>
      <c r="D6384" s="38"/>
      <c r="E6384" s="42" t="s">
        <v>17253</v>
      </c>
      <c r="F6384" s="117" t="s">
        <v>17259</v>
      </c>
      <c r="G6384" s="42" t="s">
        <v>17142</v>
      </c>
    </row>
    <row r="6385">
      <c r="A6385" s="44"/>
      <c r="B6385" s="47" t="s">
        <v>1471</v>
      </c>
      <c r="C6385" s="47" t="s">
        <v>1472</v>
      </c>
      <c r="D6385" s="38" t="s">
        <v>17260</v>
      </c>
      <c r="E6385" s="47" t="s">
        <v>392</v>
      </c>
      <c r="F6385" s="47"/>
      <c r="G6385" s="38" t="s">
        <v>17261</v>
      </c>
    </row>
    <row r="6386">
      <c r="A6386" s="44"/>
      <c r="B6386" s="38" t="s">
        <v>1474</v>
      </c>
      <c r="C6386" s="38" t="s">
        <v>17262</v>
      </c>
      <c r="D6386" s="47"/>
      <c r="E6386" s="47" t="s">
        <v>392</v>
      </c>
      <c r="F6386" s="47" t="s">
        <v>1542</v>
      </c>
      <c r="G6386" s="38" t="s">
        <v>17261</v>
      </c>
    </row>
    <row r="6387">
      <c r="A6387" s="44"/>
      <c r="B6387" s="38" t="s">
        <v>17263</v>
      </c>
      <c r="C6387" s="47"/>
      <c r="D6387" s="59"/>
      <c r="E6387" s="47" t="s">
        <v>392</v>
      </c>
      <c r="F6387" s="117" t="s">
        <v>17264</v>
      </c>
      <c r="G6387" s="42" t="s">
        <v>17261</v>
      </c>
    </row>
    <row r="6388">
      <c r="A6388" s="44"/>
      <c r="B6388" s="38" t="s">
        <v>549</v>
      </c>
      <c r="C6388" s="38">
        <v>2.0</v>
      </c>
      <c r="D6388" s="38" t="s">
        <v>17265</v>
      </c>
      <c r="E6388" s="39" t="s">
        <v>1401</v>
      </c>
      <c r="F6388" s="42" t="s">
        <v>17266</v>
      </c>
      <c r="G6388" s="59" t="s">
        <v>17267</v>
      </c>
    </row>
    <row r="6389">
      <c r="A6389" s="44"/>
      <c r="B6389" s="38" t="s">
        <v>919</v>
      </c>
      <c r="C6389" s="38">
        <v>4.0</v>
      </c>
      <c r="D6389" s="38" t="s">
        <v>12181</v>
      </c>
      <c r="E6389" s="39" t="s">
        <v>1401</v>
      </c>
      <c r="F6389" s="42" t="s">
        <v>404</v>
      </c>
      <c r="G6389" s="59" t="s">
        <v>17267</v>
      </c>
    </row>
    <row r="6390">
      <c r="B6390" s="38" t="s">
        <v>354</v>
      </c>
      <c r="C6390" s="38">
        <v>2.0</v>
      </c>
      <c r="D6390" s="38" t="s">
        <v>17268</v>
      </c>
      <c r="E6390" s="39" t="s">
        <v>17269</v>
      </c>
      <c r="F6390" s="117" t="s">
        <v>17270</v>
      </c>
      <c r="G6390" s="42" t="s">
        <v>17271</v>
      </c>
    </row>
    <row r="6391">
      <c r="B6391" s="38" t="s">
        <v>479</v>
      </c>
      <c r="C6391" s="38">
        <v>2.0</v>
      </c>
      <c r="D6391" s="38" t="s">
        <v>17268</v>
      </c>
      <c r="E6391" s="39" t="s">
        <v>17272</v>
      </c>
      <c r="F6391" s="117"/>
      <c r="G6391" s="42" t="s">
        <v>17271</v>
      </c>
    </row>
    <row r="6392">
      <c r="A6392" s="38" t="s">
        <v>17273</v>
      </c>
      <c r="B6392" s="47" t="s">
        <v>12095</v>
      </c>
      <c r="C6392" s="38" t="s">
        <v>17274</v>
      </c>
      <c r="D6392" s="44"/>
      <c r="E6392" s="47" t="s">
        <v>3310</v>
      </c>
      <c r="F6392" s="38" t="s">
        <v>17275</v>
      </c>
      <c r="G6392" s="38" t="s">
        <v>17276</v>
      </c>
    </row>
    <row r="6393">
      <c r="A6393" s="65">
        <v>45618.0</v>
      </c>
      <c r="B6393" s="38" t="s">
        <v>17277</v>
      </c>
      <c r="C6393" s="38" t="s">
        <v>17278</v>
      </c>
      <c r="D6393" s="47"/>
      <c r="E6393" s="47" t="s">
        <v>3310</v>
      </c>
      <c r="F6393" s="47" t="s">
        <v>3309</v>
      </c>
      <c r="G6393" s="38" t="s">
        <v>17276</v>
      </c>
    </row>
    <row r="6394">
      <c r="A6394" s="65"/>
      <c r="B6394" s="38" t="s">
        <v>17279</v>
      </c>
      <c r="C6394" s="38" t="s">
        <v>17280</v>
      </c>
      <c r="D6394" s="38" t="s">
        <v>5040</v>
      </c>
      <c r="E6394" s="47" t="s">
        <v>3310</v>
      </c>
      <c r="F6394" s="47"/>
      <c r="G6394" s="38" t="s">
        <v>17276</v>
      </c>
    </row>
    <row r="6395">
      <c r="B6395" s="38" t="s">
        <v>1296</v>
      </c>
      <c r="C6395" s="38">
        <v>1.0</v>
      </c>
      <c r="D6395" s="38" t="s">
        <v>672</v>
      </c>
      <c r="E6395" s="42" t="s">
        <v>3132</v>
      </c>
      <c r="F6395" s="42" t="s">
        <v>17281</v>
      </c>
      <c r="G6395" s="10"/>
    </row>
    <row r="6396">
      <c r="B6396" s="38" t="s">
        <v>1454</v>
      </c>
      <c r="C6396" s="38">
        <v>2.0</v>
      </c>
      <c r="D6396" s="38" t="s">
        <v>2421</v>
      </c>
      <c r="E6396" s="42" t="s">
        <v>17282</v>
      </c>
      <c r="F6396" s="117" t="s">
        <v>17283</v>
      </c>
      <c r="G6396" s="42" t="s">
        <v>17284</v>
      </c>
    </row>
    <row r="6397">
      <c r="B6397" s="38" t="s">
        <v>1409</v>
      </c>
      <c r="C6397" s="38">
        <v>2.0</v>
      </c>
      <c r="D6397" s="38" t="s">
        <v>2421</v>
      </c>
      <c r="E6397" s="42" t="s">
        <v>17285</v>
      </c>
      <c r="F6397" s="117" t="s">
        <v>17286</v>
      </c>
      <c r="G6397" s="42" t="s">
        <v>17284</v>
      </c>
    </row>
    <row r="6398">
      <c r="B6398" s="44"/>
      <c r="C6398" s="47"/>
      <c r="D6398" s="38" t="s">
        <v>17287</v>
      </c>
      <c r="E6398" s="42" t="s">
        <v>12807</v>
      </c>
      <c r="F6398" s="117"/>
      <c r="G6398" s="42" t="s">
        <v>17288</v>
      </c>
    </row>
    <row r="6399">
      <c r="B6399" s="38" t="s">
        <v>354</v>
      </c>
      <c r="C6399" s="38">
        <v>2.0</v>
      </c>
      <c r="D6399" s="38" t="s">
        <v>6773</v>
      </c>
      <c r="E6399" s="42" t="s">
        <v>17289</v>
      </c>
      <c r="F6399" s="117" t="s">
        <v>17290</v>
      </c>
      <c r="G6399" s="42" t="s">
        <v>17291</v>
      </c>
    </row>
    <row r="6400">
      <c r="B6400" s="38" t="s">
        <v>479</v>
      </c>
      <c r="C6400" s="38">
        <v>2.0</v>
      </c>
      <c r="D6400" s="38" t="s">
        <v>6773</v>
      </c>
      <c r="E6400" s="42" t="s">
        <v>337</v>
      </c>
      <c r="F6400" s="117" t="s">
        <v>496</v>
      </c>
      <c r="G6400" s="42" t="s">
        <v>17291</v>
      </c>
    </row>
    <row r="6401">
      <c r="A6401" s="38" t="s">
        <v>17292</v>
      </c>
      <c r="B6401" s="47" t="s">
        <v>1240</v>
      </c>
      <c r="C6401" s="47" t="s">
        <v>17293</v>
      </c>
      <c r="D6401" s="47" t="s">
        <v>1242</v>
      </c>
      <c r="E6401" s="47" t="s">
        <v>1243</v>
      </c>
      <c r="F6401" s="38" t="s">
        <v>17294</v>
      </c>
      <c r="G6401" s="42" t="s">
        <v>17295</v>
      </c>
    </row>
    <row r="6402">
      <c r="A6402" s="218">
        <v>45617.0</v>
      </c>
      <c r="B6402" s="47" t="s">
        <v>17296</v>
      </c>
      <c r="C6402" s="44"/>
      <c r="D6402" s="47" t="s">
        <v>1245</v>
      </c>
      <c r="E6402" s="38" t="s">
        <v>1246</v>
      </c>
      <c r="F6402" s="44"/>
      <c r="G6402" s="42" t="s">
        <v>17295</v>
      </c>
    </row>
    <row r="6403">
      <c r="B6403" s="44"/>
      <c r="C6403" s="38" t="s">
        <v>17297</v>
      </c>
      <c r="D6403" s="38" t="s">
        <v>17298</v>
      </c>
      <c r="E6403" s="42" t="s">
        <v>4762</v>
      </c>
      <c r="F6403" s="117" t="s">
        <v>17299</v>
      </c>
      <c r="G6403" s="38" t="s">
        <v>642</v>
      </c>
    </row>
    <row r="6404">
      <c r="B6404" s="38" t="s">
        <v>17300</v>
      </c>
      <c r="C6404" s="586" t="s">
        <v>17301</v>
      </c>
      <c r="D6404" s="586" t="s">
        <v>17302</v>
      </c>
      <c r="E6404" s="42" t="s">
        <v>15427</v>
      </c>
      <c r="F6404" s="42" t="s">
        <v>144</v>
      </c>
      <c r="G6404" s="10"/>
    </row>
    <row r="6405">
      <c r="B6405" s="44"/>
      <c r="C6405" s="47"/>
      <c r="D6405" s="586" t="s">
        <v>17303</v>
      </c>
      <c r="E6405" s="42" t="s">
        <v>15427</v>
      </c>
      <c r="F6405" s="42" t="s">
        <v>144</v>
      </c>
      <c r="G6405" s="10"/>
    </row>
    <row r="6406">
      <c r="B6406" s="38" t="s">
        <v>2698</v>
      </c>
      <c r="C6406" s="38">
        <v>2.0</v>
      </c>
      <c r="D6406" s="38" t="s">
        <v>9169</v>
      </c>
      <c r="E6406" s="42" t="s">
        <v>4741</v>
      </c>
      <c r="F6406" s="42" t="s">
        <v>17304</v>
      </c>
      <c r="G6406" s="10"/>
    </row>
    <row r="6407">
      <c r="A6407" s="44"/>
      <c r="B6407" s="85" t="s">
        <v>17305</v>
      </c>
      <c r="C6407" s="305" t="s">
        <v>5180</v>
      </c>
      <c r="D6407" s="305" t="s">
        <v>17306</v>
      </c>
      <c r="E6407" s="42" t="s">
        <v>15427</v>
      </c>
      <c r="F6407" s="42" t="s">
        <v>144</v>
      </c>
      <c r="G6407" s="10"/>
    </row>
    <row r="6408">
      <c r="B6408" s="38" t="s">
        <v>2159</v>
      </c>
      <c r="C6408" s="38">
        <v>4.0</v>
      </c>
      <c r="D6408" s="38" t="s">
        <v>17307</v>
      </c>
      <c r="E6408" s="42" t="s">
        <v>16956</v>
      </c>
      <c r="F6408" s="42" t="s">
        <v>17308</v>
      </c>
      <c r="G6408" s="10"/>
    </row>
    <row r="6409">
      <c r="A6409" s="4" t="s">
        <v>17309</v>
      </c>
      <c r="B6409" s="1" t="s">
        <v>16185</v>
      </c>
      <c r="C6409" s="1">
        <v>4.0</v>
      </c>
      <c r="D6409" s="1" t="s">
        <v>50</v>
      </c>
      <c r="E6409" s="10" t="s">
        <v>371</v>
      </c>
      <c r="F6409" s="152" t="s">
        <v>17310</v>
      </c>
      <c r="G6409" s="10" t="s">
        <v>971</v>
      </c>
    </row>
    <row r="6410">
      <c r="B6410" s="1"/>
      <c r="C6410" s="1"/>
      <c r="D6410" s="1"/>
      <c r="E6410" s="10" t="s">
        <v>371</v>
      </c>
      <c r="F6410" s="152" t="s">
        <v>17311</v>
      </c>
      <c r="G6410" s="10"/>
    </row>
    <row r="6411">
      <c r="B6411" s="1"/>
      <c r="C6411" s="1"/>
      <c r="D6411" s="1"/>
      <c r="E6411" s="10" t="s">
        <v>371</v>
      </c>
      <c r="F6411" s="152" t="s">
        <v>17312</v>
      </c>
      <c r="G6411" s="10"/>
    </row>
    <row r="6412">
      <c r="C6412" s="4"/>
      <c r="D6412" s="238"/>
      <c r="E6412" s="10" t="s">
        <v>371</v>
      </c>
      <c r="F6412" s="152" t="s">
        <v>17313</v>
      </c>
      <c r="G6412" s="10" t="s">
        <v>144</v>
      </c>
    </row>
    <row r="6413">
      <c r="C6413" s="4"/>
      <c r="D6413" s="238"/>
      <c r="E6413" s="10" t="s">
        <v>371</v>
      </c>
      <c r="F6413" s="10" t="s">
        <v>17314</v>
      </c>
      <c r="G6413" s="10"/>
    </row>
    <row r="6414">
      <c r="B6414" s="44"/>
      <c r="C6414" s="47"/>
      <c r="D6414" s="305" t="s">
        <v>17315</v>
      </c>
      <c r="E6414" s="42" t="s">
        <v>1309</v>
      </c>
      <c r="F6414" s="42" t="s">
        <v>15892</v>
      </c>
      <c r="G6414" s="10"/>
    </row>
    <row r="6415">
      <c r="B6415" s="44"/>
      <c r="C6415" s="47"/>
      <c r="D6415" s="223" t="s">
        <v>17316</v>
      </c>
      <c r="E6415" s="42" t="s">
        <v>1309</v>
      </c>
      <c r="F6415" s="42" t="s">
        <v>15892</v>
      </c>
      <c r="G6415" s="10"/>
    </row>
    <row r="6416">
      <c r="B6416" s="44"/>
      <c r="C6416" s="47"/>
      <c r="D6416" s="38" t="s">
        <v>17317</v>
      </c>
      <c r="E6416" s="42" t="s">
        <v>7062</v>
      </c>
      <c r="F6416" s="42" t="s">
        <v>17318</v>
      </c>
      <c r="G6416" s="10"/>
    </row>
    <row r="6417">
      <c r="B6417" s="38" t="s">
        <v>271</v>
      </c>
      <c r="C6417" s="38">
        <v>4.0</v>
      </c>
      <c r="D6417" s="38" t="s">
        <v>291</v>
      </c>
      <c r="E6417" s="42" t="s">
        <v>413</v>
      </c>
      <c r="F6417" s="42" t="s">
        <v>17319</v>
      </c>
      <c r="G6417" s="10"/>
    </row>
    <row r="6418">
      <c r="A6418" s="38" t="s">
        <v>133</v>
      </c>
      <c r="B6418" s="38" t="s">
        <v>85</v>
      </c>
      <c r="C6418" s="38">
        <v>4.0</v>
      </c>
      <c r="D6418" s="38" t="s">
        <v>4383</v>
      </c>
      <c r="E6418" s="42" t="s">
        <v>14334</v>
      </c>
      <c r="F6418" s="117" t="s">
        <v>17320</v>
      </c>
      <c r="G6418" s="42" t="s">
        <v>17247</v>
      </c>
    </row>
    <row r="6419">
      <c r="B6419" s="38"/>
      <c r="C6419" s="38" t="s">
        <v>17321</v>
      </c>
      <c r="D6419" s="38" t="s">
        <v>17322</v>
      </c>
      <c r="E6419" s="42" t="s">
        <v>14334</v>
      </c>
      <c r="F6419" s="117" t="s">
        <v>17323</v>
      </c>
      <c r="G6419" s="42" t="s">
        <v>17247</v>
      </c>
    </row>
    <row r="6420">
      <c r="A6420" s="1" t="s">
        <v>2572</v>
      </c>
      <c r="B6420" s="38" t="s">
        <v>460</v>
      </c>
      <c r="C6420" s="38">
        <v>2.0</v>
      </c>
      <c r="D6420" s="38" t="s">
        <v>2884</v>
      </c>
      <c r="E6420" s="42" t="s">
        <v>17324</v>
      </c>
      <c r="F6420" s="117" t="s">
        <v>17325</v>
      </c>
      <c r="G6420" s="38" t="s">
        <v>17326</v>
      </c>
    </row>
    <row r="6421">
      <c r="B6421" s="38" t="s">
        <v>464</v>
      </c>
      <c r="C6421" s="38">
        <v>2.0</v>
      </c>
      <c r="D6421" s="38" t="s">
        <v>2884</v>
      </c>
      <c r="E6421" s="42" t="s">
        <v>17324</v>
      </c>
      <c r="F6421" s="117" t="s">
        <v>17327</v>
      </c>
      <c r="G6421" s="38" t="s">
        <v>17326</v>
      </c>
    </row>
    <row r="6422">
      <c r="B6422" s="38" t="s">
        <v>17328</v>
      </c>
      <c r="C6422" s="38" t="s">
        <v>17329</v>
      </c>
      <c r="D6422" s="38" t="s">
        <v>1943</v>
      </c>
      <c r="E6422" s="42" t="s">
        <v>14330</v>
      </c>
      <c r="F6422" s="42" t="s">
        <v>15963</v>
      </c>
      <c r="G6422" s="10"/>
    </row>
    <row r="6423">
      <c r="B6423" s="38" t="s">
        <v>1513</v>
      </c>
      <c r="C6423" s="38">
        <v>4.0</v>
      </c>
      <c r="D6423" s="38" t="s">
        <v>2094</v>
      </c>
      <c r="E6423" s="42" t="s">
        <v>17330</v>
      </c>
      <c r="F6423" s="117" t="s">
        <v>17331</v>
      </c>
      <c r="G6423" s="42" t="s">
        <v>17332</v>
      </c>
    </row>
    <row r="6424">
      <c r="B6424" s="38" t="s">
        <v>718</v>
      </c>
      <c r="C6424" s="38">
        <v>6.0</v>
      </c>
      <c r="D6424" s="38" t="s">
        <v>294</v>
      </c>
      <c r="E6424" s="42" t="s">
        <v>17333</v>
      </c>
      <c r="F6424" s="42" t="s">
        <v>17334</v>
      </c>
      <c r="G6424" s="10"/>
    </row>
    <row r="6425">
      <c r="B6425" s="38" t="s">
        <v>1597</v>
      </c>
      <c r="C6425" s="38">
        <v>6.0</v>
      </c>
      <c r="D6425" s="38" t="s">
        <v>294</v>
      </c>
      <c r="E6425" s="42" t="s">
        <v>17333</v>
      </c>
      <c r="F6425" s="42" t="s">
        <v>17334</v>
      </c>
      <c r="G6425" s="10"/>
    </row>
    <row r="6426">
      <c r="B6426" s="38" t="s">
        <v>460</v>
      </c>
      <c r="C6426" s="38">
        <v>2.0</v>
      </c>
      <c r="D6426" s="61" t="s">
        <v>2884</v>
      </c>
      <c r="E6426" s="42" t="s">
        <v>17335</v>
      </c>
      <c r="F6426" s="627" t="s">
        <v>17336</v>
      </c>
      <c r="G6426" s="10"/>
    </row>
    <row r="6427">
      <c r="B6427" s="38" t="s">
        <v>464</v>
      </c>
      <c r="C6427" s="38">
        <v>2.0</v>
      </c>
      <c r="D6427" s="61" t="s">
        <v>2884</v>
      </c>
      <c r="E6427" s="42" t="s">
        <v>17337</v>
      </c>
      <c r="F6427" s="627" t="s">
        <v>17336</v>
      </c>
      <c r="G6427" s="10"/>
    </row>
    <row r="6428">
      <c r="B6428" s="38" t="s">
        <v>2548</v>
      </c>
      <c r="C6428" s="38">
        <v>4.0</v>
      </c>
      <c r="D6428" s="38" t="s">
        <v>15325</v>
      </c>
      <c r="E6428" s="42" t="s">
        <v>17338</v>
      </c>
      <c r="F6428" s="117" t="s">
        <v>17339</v>
      </c>
      <c r="G6428" s="42" t="s">
        <v>17340</v>
      </c>
    </row>
    <row r="6429">
      <c r="B6429" s="38" t="s">
        <v>195</v>
      </c>
      <c r="C6429" s="38">
        <v>2.0</v>
      </c>
      <c r="D6429" s="38" t="s">
        <v>17341</v>
      </c>
      <c r="E6429" s="42" t="s">
        <v>413</v>
      </c>
      <c r="F6429" s="42" t="s">
        <v>17342</v>
      </c>
    </row>
    <row r="6430">
      <c r="B6430" s="38" t="s">
        <v>199</v>
      </c>
      <c r="C6430" s="38">
        <v>2.0</v>
      </c>
      <c r="D6430" s="38" t="s">
        <v>17341</v>
      </c>
      <c r="E6430" s="42" t="s">
        <v>413</v>
      </c>
      <c r="F6430" s="42" t="s">
        <v>17342</v>
      </c>
    </row>
    <row r="6431">
      <c r="B6431" s="38" t="s">
        <v>58</v>
      </c>
      <c r="C6431" s="38">
        <v>4.0</v>
      </c>
      <c r="D6431" s="38" t="s">
        <v>1130</v>
      </c>
      <c r="E6431" s="42" t="s">
        <v>325</v>
      </c>
      <c r="F6431" s="42" t="s">
        <v>17343</v>
      </c>
      <c r="G6431" s="10"/>
    </row>
    <row r="6432">
      <c r="B6432" s="38" t="s">
        <v>112</v>
      </c>
      <c r="C6432" s="38">
        <v>4.0</v>
      </c>
      <c r="D6432" s="38" t="s">
        <v>3135</v>
      </c>
      <c r="E6432" s="42" t="s">
        <v>17344</v>
      </c>
      <c r="F6432" s="42" t="s">
        <v>17345</v>
      </c>
      <c r="G6432" s="10"/>
    </row>
    <row r="6433">
      <c r="B6433" s="38" t="s">
        <v>22</v>
      </c>
      <c r="C6433" s="38">
        <v>4.0</v>
      </c>
      <c r="D6433" s="38" t="s">
        <v>17346</v>
      </c>
      <c r="E6433" s="42" t="s">
        <v>17347</v>
      </c>
      <c r="F6433" s="42" t="s">
        <v>17348</v>
      </c>
      <c r="G6433" s="10"/>
    </row>
    <row r="6434">
      <c r="B6434" s="38" t="s">
        <v>2329</v>
      </c>
      <c r="C6434" s="38">
        <v>2.0</v>
      </c>
      <c r="D6434" s="38" t="s">
        <v>17349</v>
      </c>
      <c r="E6434" s="42" t="s">
        <v>17350</v>
      </c>
      <c r="F6434" s="42" t="s">
        <v>17087</v>
      </c>
      <c r="G6434" s="10"/>
    </row>
    <row r="6435">
      <c r="A6435" s="44"/>
      <c r="B6435" s="38" t="s">
        <v>2035</v>
      </c>
      <c r="C6435" s="38">
        <v>2.0</v>
      </c>
      <c r="D6435" s="38" t="s">
        <v>545</v>
      </c>
      <c r="E6435" s="42" t="s">
        <v>418</v>
      </c>
      <c r="F6435" s="42" t="s">
        <v>17351</v>
      </c>
      <c r="G6435" s="10"/>
    </row>
    <row r="6436">
      <c r="A6436" s="44"/>
      <c r="B6436" s="38" t="s">
        <v>430</v>
      </c>
      <c r="C6436" s="38">
        <v>4.0</v>
      </c>
      <c r="D6436" s="38" t="s">
        <v>14722</v>
      </c>
      <c r="E6436" s="42" t="s">
        <v>12449</v>
      </c>
      <c r="F6436" s="117" t="s">
        <v>17352</v>
      </c>
      <c r="G6436" s="10"/>
    </row>
    <row r="6437">
      <c r="A6437" s="8"/>
      <c r="B6437" s="1" t="s">
        <v>718</v>
      </c>
      <c r="C6437" s="1">
        <v>2.0</v>
      </c>
      <c r="D6437" s="1" t="s">
        <v>2457</v>
      </c>
      <c r="E6437" s="1" t="s">
        <v>325</v>
      </c>
      <c r="F6437" s="152" t="s">
        <v>17353</v>
      </c>
      <c r="G6437" s="10"/>
    </row>
    <row r="6438">
      <c r="A6438" s="8"/>
      <c r="B6438" s="38" t="s">
        <v>3948</v>
      </c>
      <c r="C6438" s="38">
        <v>4.0</v>
      </c>
      <c r="D6438" s="38" t="s">
        <v>17354</v>
      </c>
      <c r="E6438" s="42" t="s">
        <v>1469</v>
      </c>
      <c r="F6438" s="117" t="s">
        <v>404</v>
      </c>
      <c r="G6438" s="10"/>
    </row>
    <row r="6439">
      <c r="A6439" s="8"/>
      <c r="B6439" s="44"/>
      <c r="C6439" s="47"/>
      <c r="D6439" s="38" t="s">
        <v>17355</v>
      </c>
      <c r="E6439" s="42" t="s">
        <v>15427</v>
      </c>
      <c r="F6439" s="117" t="s">
        <v>144</v>
      </c>
      <c r="G6439" s="10"/>
    </row>
    <row r="6440">
      <c r="A6440" s="8"/>
      <c r="B6440" s="38"/>
      <c r="C6440" s="38"/>
      <c r="D6440" s="38"/>
      <c r="E6440" s="42" t="s">
        <v>7641</v>
      </c>
      <c r="F6440" s="42" t="s">
        <v>17356</v>
      </c>
      <c r="G6440" s="42" t="s">
        <v>680</v>
      </c>
    </row>
    <row r="6441">
      <c r="A6441" s="8"/>
      <c r="B6441" s="38" t="s">
        <v>3134</v>
      </c>
      <c r="C6441" s="38">
        <v>4.0</v>
      </c>
      <c r="D6441" s="38" t="s">
        <v>2454</v>
      </c>
      <c r="E6441" s="38" t="s">
        <v>17357</v>
      </c>
      <c r="F6441" s="42" t="s">
        <v>17358</v>
      </c>
      <c r="G6441" s="42"/>
    </row>
    <row r="6442">
      <c r="A6442" s="8"/>
      <c r="B6442" s="38"/>
      <c r="C6442" s="38"/>
      <c r="D6442" s="38"/>
      <c r="E6442" s="38" t="s">
        <v>17357</v>
      </c>
      <c r="F6442" s="42" t="s">
        <v>175</v>
      </c>
      <c r="G6442" s="42" t="s">
        <v>680</v>
      </c>
    </row>
    <row r="6443">
      <c r="A6443" s="8"/>
      <c r="B6443" s="38" t="s">
        <v>91</v>
      </c>
      <c r="C6443" s="38">
        <v>4.0</v>
      </c>
      <c r="D6443" s="38" t="s">
        <v>737</v>
      </c>
      <c r="E6443" s="47" t="s">
        <v>17359</v>
      </c>
      <c r="F6443" s="42" t="s">
        <v>17360</v>
      </c>
      <c r="G6443" s="42"/>
    </row>
    <row r="6444">
      <c r="A6444" s="8"/>
      <c r="B6444" s="44"/>
      <c r="C6444" s="47"/>
      <c r="D6444" s="38" t="s">
        <v>17361</v>
      </c>
      <c r="E6444" s="47" t="s">
        <v>17359</v>
      </c>
      <c r="F6444" s="628" t="s">
        <v>17362</v>
      </c>
      <c r="G6444" s="42" t="s">
        <v>680</v>
      </c>
    </row>
    <row r="6445">
      <c r="A6445" s="8"/>
      <c r="B6445" s="38" t="s">
        <v>85</v>
      </c>
      <c r="C6445" s="38">
        <v>4.0</v>
      </c>
      <c r="D6445" s="38" t="s">
        <v>17363</v>
      </c>
      <c r="E6445" s="42" t="s">
        <v>325</v>
      </c>
      <c r="F6445" s="42" t="s">
        <v>17364</v>
      </c>
      <c r="G6445" s="10"/>
    </row>
    <row r="6446">
      <c r="A6446" s="4" t="s">
        <v>17365</v>
      </c>
      <c r="B6446" s="38" t="s">
        <v>2728</v>
      </c>
      <c r="C6446" s="38">
        <v>4.0</v>
      </c>
      <c r="D6446" s="38" t="s">
        <v>14286</v>
      </c>
      <c r="E6446" s="42" t="s">
        <v>17366</v>
      </c>
      <c r="F6446" s="42" t="s">
        <v>17367</v>
      </c>
      <c r="G6446" s="10" t="s">
        <v>17368</v>
      </c>
    </row>
    <row r="6447">
      <c r="A6447" s="4" t="s">
        <v>17369</v>
      </c>
      <c r="B6447" s="38" t="s">
        <v>2728</v>
      </c>
      <c r="C6447" s="38">
        <v>4.0</v>
      </c>
      <c r="D6447" s="38" t="s">
        <v>14286</v>
      </c>
      <c r="E6447" s="42" t="s">
        <v>17370</v>
      </c>
      <c r="F6447" s="38" t="s">
        <v>17371</v>
      </c>
      <c r="G6447" s="1" t="s">
        <v>17372</v>
      </c>
    </row>
    <row r="6448">
      <c r="A6448" s="8"/>
      <c r="B6448" s="38" t="s">
        <v>495</v>
      </c>
      <c r="C6448" s="38">
        <v>2.0</v>
      </c>
      <c r="D6448" s="38" t="s">
        <v>408</v>
      </c>
      <c r="E6448" s="42" t="s">
        <v>17373</v>
      </c>
      <c r="F6448" s="42" t="s">
        <v>17374</v>
      </c>
      <c r="G6448" s="10"/>
    </row>
    <row r="6449">
      <c r="A6449" s="8"/>
      <c r="B6449" s="38" t="s">
        <v>439</v>
      </c>
      <c r="C6449" s="38">
        <v>2.0</v>
      </c>
      <c r="D6449" s="38" t="s">
        <v>408</v>
      </c>
      <c r="E6449" s="42" t="s">
        <v>7641</v>
      </c>
      <c r="F6449" s="42" t="s">
        <v>17374</v>
      </c>
      <c r="G6449" s="10"/>
    </row>
    <row r="6450">
      <c r="B6450" s="38" t="s">
        <v>339</v>
      </c>
      <c r="C6450" s="38">
        <v>4.0</v>
      </c>
      <c r="D6450" s="38" t="s">
        <v>2457</v>
      </c>
      <c r="E6450" s="39" t="s">
        <v>9922</v>
      </c>
      <c r="F6450" s="42" t="s">
        <v>17375</v>
      </c>
      <c r="G6450" s="10"/>
    </row>
    <row r="6451">
      <c r="A6451" s="1" t="s">
        <v>133</v>
      </c>
      <c r="B6451" s="38" t="s">
        <v>58</v>
      </c>
      <c r="C6451" s="38">
        <v>4.0</v>
      </c>
      <c r="D6451" s="38" t="s">
        <v>16902</v>
      </c>
      <c r="E6451" s="42" t="s">
        <v>17376</v>
      </c>
      <c r="F6451" s="42" t="s">
        <v>17377</v>
      </c>
      <c r="G6451" s="10"/>
    </row>
    <row r="6452">
      <c r="A6452" s="1" t="s">
        <v>133</v>
      </c>
      <c r="B6452" s="38" t="s">
        <v>81</v>
      </c>
      <c r="C6452" s="38">
        <v>4.0</v>
      </c>
      <c r="D6452" s="38" t="s">
        <v>2171</v>
      </c>
      <c r="E6452" s="42" t="s">
        <v>17378</v>
      </c>
      <c r="F6452" s="117" t="s">
        <v>17379</v>
      </c>
      <c r="G6452" s="10"/>
    </row>
    <row r="6453">
      <c r="A6453" s="44"/>
      <c r="B6453" s="38" t="s">
        <v>10839</v>
      </c>
      <c r="C6453" s="38">
        <v>4.0</v>
      </c>
      <c r="D6453" s="38" t="s">
        <v>3131</v>
      </c>
      <c r="E6453" s="42" t="s">
        <v>5978</v>
      </c>
      <c r="F6453" s="117" t="s">
        <v>17380</v>
      </c>
      <c r="G6453" s="10"/>
    </row>
    <row r="6454">
      <c r="B6454" s="38" t="s">
        <v>25</v>
      </c>
      <c r="C6454" s="38">
        <v>4.0</v>
      </c>
      <c r="D6454" s="38" t="s">
        <v>289</v>
      </c>
      <c r="E6454" s="39" t="s">
        <v>17381</v>
      </c>
      <c r="F6454" s="42" t="s">
        <v>17382</v>
      </c>
      <c r="G6454" s="10"/>
    </row>
    <row r="6455">
      <c r="C6455" s="4"/>
      <c r="D6455" s="4"/>
      <c r="E6455" s="10" t="s">
        <v>17383</v>
      </c>
      <c r="F6455" s="152" t="s">
        <v>17384</v>
      </c>
      <c r="G6455" s="10"/>
    </row>
    <row r="6456">
      <c r="B6456" s="44"/>
      <c r="C6456" s="47"/>
      <c r="D6456" s="47"/>
      <c r="E6456" s="42" t="s">
        <v>17385</v>
      </c>
      <c r="F6456" s="117" t="s">
        <v>17386</v>
      </c>
      <c r="G6456" s="42" t="s">
        <v>642</v>
      </c>
    </row>
    <row r="6457">
      <c r="B6457" s="47" t="s">
        <v>17387</v>
      </c>
      <c r="C6457" s="47"/>
      <c r="D6457" s="47">
        <v>4.0</v>
      </c>
      <c r="E6457" s="42" t="s">
        <v>17388</v>
      </c>
      <c r="F6457" s="117" t="s">
        <v>17389</v>
      </c>
      <c r="G6457" s="42" t="s">
        <v>17390</v>
      </c>
    </row>
    <row r="6458">
      <c r="B6458" s="38" t="s">
        <v>354</v>
      </c>
      <c r="C6458" s="38">
        <v>4.0</v>
      </c>
      <c r="D6458" s="38" t="s">
        <v>684</v>
      </c>
      <c r="E6458" s="42" t="s">
        <v>17388</v>
      </c>
      <c r="F6458" s="117" t="s">
        <v>307</v>
      </c>
      <c r="G6458" s="42" t="s">
        <v>17390</v>
      </c>
    </row>
    <row r="6459">
      <c r="B6459" s="44"/>
      <c r="C6459" s="47"/>
      <c r="D6459" s="47"/>
      <c r="E6459" s="42" t="s">
        <v>17388</v>
      </c>
      <c r="F6459" s="117" t="s">
        <v>175</v>
      </c>
      <c r="G6459" s="42" t="s">
        <v>17390</v>
      </c>
    </row>
    <row r="6460">
      <c r="B6460" s="38" t="s">
        <v>430</v>
      </c>
      <c r="C6460" s="38">
        <v>2.0</v>
      </c>
      <c r="D6460" s="38" t="s">
        <v>869</v>
      </c>
      <c r="E6460" s="91" t="s">
        <v>14927</v>
      </c>
      <c r="F6460" s="117"/>
      <c r="G6460" s="42"/>
    </row>
    <row r="6461">
      <c r="A6461" s="465"/>
      <c r="B6461" s="38" t="s">
        <v>214</v>
      </c>
      <c r="C6461" s="38">
        <v>2.0</v>
      </c>
      <c r="D6461" s="38" t="s">
        <v>545</v>
      </c>
      <c r="E6461" s="42" t="s">
        <v>17391</v>
      </c>
      <c r="F6461" s="42" t="s">
        <v>17392</v>
      </c>
      <c r="G6461" s="10"/>
    </row>
    <row r="6462">
      <c r="B6462" s="38" t="s">
        <v>210</v>
      </c>
      <c r="C6462" s="38">
        <v>2.0</v>
      </c>
      <c r="D6462" s="38" t="s">
        <v>545</v>
      </c>
      <c r="E6462" s="42" t="s">
        <v>325</v>
      </c>
      <c r="F6462" s="42" t="s">
        <v>17392</v>
      </c>
      <c r="G6462" s="10"/>
    </row>
    <row r="6463">
      <c r="B6463" s="47" t="s">
        <v>17393</v>
      </c>
      <c r="C6463" s="47" t="s">
        <v>17394</v>
      </c>
      <c r="D6463" s="47" t="s">
        <v>1347</v>
      </c>
      <c r="E6463" s="47" t="s">
        <v>17395</v>
      </c>
      <c r="F6463" s="38" t="s">
        <v>17396</v>
      </c>
      <c r="G6463" s="42" t="s">
        <v>606</v>
      </c>
    </row>
    <row r="6464">
      <c r="B6464" s="47" t="s">
        <v>17397</v>
      </c>
      <c r="C6464" s="47"/>
      <c r="D6464" s="47" t="s">
        <v>535</v>
      </c>
      <c r="E6464" s="47" t="s">
        <v>17398</v>
      </c>
      <c r="F6464" s="47"/>
      <c r="G6464" s="42" t="s">
        <v>606</v>
      </c>
    </row>
    <row r="6465">
      <c r="B6465" s="44"/>
      <c r="C6465" s="586" t="s">
        <v>17399</v>
      </c>
      <c r="D6465" s="38" t="s">
        <v>17400</v>
      </c>
      <c r="E6465" s="42" t="s">
        <v>17401</v>
      </c>
      <c r="F6465" s="117" t="s">
        <v>17402</v>
      </c>
      <c r="G6465" s="42" t="s">
        <v>17403</v>
      </c>
    </row>
    <row r="6466">
      <c r="A6466" s="44"/>
      <c r="B6466" s="85" t="s">
        <v>17404</v>
      </c>
      <c r="C6466" s="85" t="s">
        <v>17405</v>
      </c>
      <c r="D6466" s="38" t="s">
        <v>17406</v>
      </c>
      <c r="E6466" s="42" t="s">
        <v>17407</v>
      </c>
      <c r="F6466" s="38" t="s">
        <v>606</v>
      </c>
      <c r="G6466" s="10"/>
    </row>
    <row r="6467">
      <c r="A6467" s="44"/>
      <c r="B6467" s="85" t="s">
        <v>17408</v>
      </c>
      <c r="C6467" s="47"/>
      <c r="D6467" s="42" t="s">
        <v>17409</v>
      </c>
      <c r="E6467" s="42" t="s">
        <v>17407</v>
      </c>
      <c r="F6467" s="42" t="s">
        <v>606</v>
      </c>
      <c r="G6467" s="10"/>
    </row>
    <row r="6468">
      <c r="A6468" s="44"/>
      <c r="B6468" s="47" t="s">
        <v>25</v>
      </c>
      <c r="C6468" s="47">
        <v>4.0</v>
      </c>
      <c r="D6468" s="47" t="s">
        <v>291</v>
      </c>
      <c r="E6468" s="47" t="s">
        <v>17410</v>
      </c>
      <c r="F6468" s="47" t="s">
        <v>175</v>
      </c>
      <c r="G6468" s="42" t="s">
        <v>144</v>
      </c>
    </row>
    <row r="6469">
      <c r="C6469" s="4"/>
      <c r="D6469" s="4"/>
      <c r="G6469" s="10"/>
    </row>
    <row r="6470">
      <c r="B6470" s="38" t="s">
        <v>398</v>
      </c>
      <c r="C6470" s="38">
        <v>2.0</v>
      </c>
      <c r="D6470" s="38" t="s">
        <v>545</v>
      </c>
      <c r="E6470" s="42" t="s">
        <v>418</v>
      </c>
      <c r="F6470" s="42" t="s">
        <v>17411</v>
      </c>
      <c r="G6470" s="10"/>
    </row>
    <row r="6471">
      <c r="A6471" s="465"/>
      <c r="B6471" s="38" t="s">
        <v>214</v>
      </c>
      <c r="C6471" s="38">
        <v>2.0</v>
      </c>
      <c r="D6471" s="38" t="s">
        <v>545</v>
      </c>
      <c r="E6471" s="42" t="s">
        <v>418</v>
      </c>
      <c r="F6471" s="38" t="s">
        <v>17411</v>
      </c>
      <c r="G6471" s="10"/>
    </row>
    <row r="6472">
      <c r="B6472" s="38" t="s">
        <v>8384</v>
      </c>
      <c r="C6472" s="38">
        <v>1.0</v>
      </c>
      <c r="D6472" s="38" t="s">
        <v>16691</v>
      </c>
      <c r="E6472" s="42" t="s">
        <v>418</v>
      </c>
      <c r="F6472" s="38" t="s">
        <v>17411</v>
      </c>
      <c r="G6472" s="10"/>
    </row>
    <row r="6473">
      <c r="B6473" s="38" t="s">
        <v>52</v>
      </c>
      <c r="C6473" s="38">
        <v>2.0</v>
      </c>
      <c r="D6473" s="38" t="s">
        <v>17412</v>
      </c>
      <c r="E6473" s="42" t="s">
        <v>325</v>
      </c>
      <c r="F6473" s="42" t="s">
        <v>17413</v>
      </c>
      <c r="G6473" s="152"/>
    </row>
    <row r="6474">
      <c r="B6474" s="38" t="s">
        <v>405</v>
      </c>
      <c r="C6474" s="38">
        <v>2.0</v>
      </c>
      <c r="D6474" s="38" t="s">
        <v>17412</v>
      </c>
      <c r="E6474" s="42" t="s">
        <v>325</v>
      </c>
      <c r="F6474" s="42" t="s">
        <v>17413</v>
      </c>
    </row>
    <row r="6475">
      <c r="B6475" s="44"/>
      <c r="C6475" s="47"/>
      <c r="D6475" s="38" t="s">
        <v>17414</v>
      </c>
      <c r="E6475" s="42" t="s">
        <v>17415</v>
      </c>
      <c r="F6475" s="117" t="s">
        <v>17416</v>
      </c>
      <c r="G6475" s="10"/>
    </row>
    <row r="6476">
      <c r="B6476" s="1" t="s">
        <v>17417</v>
      </c>
      <c r="C6476" s="1" t="s">
        <v>17418</v>
      </c>
      <c r="D6476" s="1" t="s">
        <v>17419</v>
      </c>
      <c r="E6476" s="10" t="s">
        <v>371</v>
      </c>
      <c r="F6476" s="152" t="s">
        <v>17420</v>
      </c>
      <c r="G6476" s="10"/>
    </row>
    <row r="6477">
      <c r="A6477" s="44"/>
      <c r="B6477" s="44"/>
      <c r="C6477" s="47"/>
      <c r="D6477" s="47" t="s">
        <v>17421</v>
      </c>
      <c r="E6477" s="42" t="s">
        <v>15427</v>
      </c>
      <c r="F6477" s="42" t="s">
        <v>144</v>
      </c>
      <c r="G6477" s="10"/>
    </row>
    <row r="6478">
      <c r="B6478" s="38" t="s">
        <v>1761</v>
      </c>
      <c r="C6478" s="38">
        <v>2.0</v>
      </c>
      <c r="D6478" s="38" t="s">
        <v>7239</v>
      </c>
      <c r="E6478" s="38" t="s">
        <v>17422</v>
      </c>
      <c r="F6478" s="117" t="s">
        <v>17423</v>
      </c>
      <c r="G6478" s="42" t="s">
        <v>17424</v>
      </c>
    </row>
    <row r="6479">
      <c r="B6479" s="38" t="s">
        <v>1757</v>
      </c>
      <c r="C6479" s="38">
        <v>2.0</v>
      </c>
      <c r="D6479" s="38" t="s">
        <v>7239</v>
      </c>
      <c r="E6479" s="38" t="s">
        <v>17422</v>
      </c>
      <c r="F6479" s="117" t="s">
        <v>17320</v>
      </c>
      <c r="G6479" s="42" t="s">
        <v>17424</v>
      </c>
    </row>
    <row r="6480">
      <c r="B6480" s="38"/>
      <c r="C6480" s="38"/>
      <c r="D6480" s="38"/>
      <c r="E6480" s="38" t="s">
        <v>17422</v>
      </c>
      <c r="F6480" s="117" t="s">
        <v>17425</v>
      </c>
      <c r="G6480" s="42" t="s">
        <v>680</v>
      </c>
    </row>
    <row r="6481">
      <c r="B6481" s="38"/>
      <c r="C6481" s="38"/>
      <c r="D6481" s="38"/>
      <c r="E6481" s="38" t="s">
        <v>17422</v>
      </c>
      <c r="F6481" s="117" t="s">
        <v>17426</v>
      </c>
      <c r="G6481" s="42" t="s">
        <v>680</v>
      </c>
    </row>
    <row r="6482">
      <c r="B6482" s="38"/>
      <c r="C6482" s="38"/>
      <c r="D6482" s="38"/>
      <c r="E6482" s="38" t="s">
        <v>17422</v>
      </c>
      <c r="F6482" s="117" t="s">
        <v>17427</v>
      </c>
      <c r="G6482" s="42" t="s">
        <v>680</v>
      </c>
    </row>
    <row r="6483">
      <c r="B6483" s="38"/>
      <c r="C6483" s="38"/>
      <c r="D6483" s="38"/>
      <c r="E6483" s="38" t="s">
        <v>17422</v>
      </c>
      <c r="F6483" s="117" t="s">
        <v>17428</v>
      </c>
      <c r="G6483" s="42" t="s">
        <v>680</v>
      </c>
    </row>
    <row r="6484">
      <c r="B6484" s="38"/>
      <c r="C6484" s="38"/>
      <c r="D6484" s="38"/>
      <c r="E6484" s="38" t="s">
        <v>17422</v>
      </c>
      <c r="F6484" s="117" t="s">
        <v>17429</v>
      </c>
      <c r="G6484" s="42" t="s">
        <v>680</v>
      </c>
    </row>
    <row r="6485">
      <c r="B6485" s="38"/>
      <c r="C6485" s="38"/>
      <c r="D6485" s="38"/>
      <c r="E6485" s="38" t="s">
        <v>17422</v>
      </c>
      <c r="F6485" s="117" t="s">
        <v>17430</v>
      </c>
      <c r="G6485" s="42" t="s">
        <v>680</v>
      </c>
    </row>
    <row r="6486">
      <c r="B6486" s="38" t="s">
        <v>140</v>
      </c>
      <c r="C6486" s="38">
        <v>4.0</v>
      </c>
      <c r="D6486" s="38" t="s">
        <v>2017</v>
      </c>
      <c r="E6486" s="42" t="s">
        <v>5289</v>
      </c>
      <c r="F6486" s="117" t="s">
        <v>17431</v>
      </c>
      <c r="G6486" s="42" t="s">
        <v>16689</v>
      </c>
    </row>
    <row r="6487">
      <c r="B6487" s="38"/>
      <c r="C6487" s="38"/>
      <c r="D6487" s="38"/>
      <c r="E6487" s="42" t="s">
        <v>5289</v>
      </c>
      <c r="F6487" s="117" t="s">
        <v>17432</v>
      </c>
      <c r="G6487" s="42" t="s">
        <v>16689</v>
      </c>
    </row>
    <row r="6488">
      <c r="B6488" s="38"/>
      <c r="C6488" s="38"/>
      <c r="D6488" s="38"/>
      <c r="E6488" s="42" t="s">
        <v>5289</v>
      </c>
      <c r="F6488" s="117" t="s">
        <v>17433</v>
      </c>
      <c r="G6488" s="42" t="s">
        <v>16689</v>
      </c>
    </row>
    <row r="6489">
      <c r="B6489" s="38" t="s">
        <v>41</v>
      </c>
      <c r="C6489" s="38">
        <v>4.0</v>
      </c>
      <c r="D6489" s="38" t="s">
        <v>2017</v>
      </c>
      <c r="E6489" s="42" t="s">
        <v>418</v>
      </c>
      <c r="F6489" s="42" t="s">
        <v>17411</v>
      </c>
      <c r="G6489" s="10"/>
    </row>
    <row r="6490">
      <c r="B6490" s="38" t="s">
        <v>416</v>
      </c>
      <c r="C6490" s="38">
        <v>1.0</v>
      </c>
      <c r="D6490" s="38" t="s">
        <v>684</v>
      </c>
      <c r="E6490" s="42" t="s">
        <v>418</v>
      </c>
      <c r="F6490" s="42" t="s">
        <v>17411</v>
      </c>
      <c r="G6490" s="10"/>
    </row>
    <row r="6491">
      <c r="B6491" s="38" t="s">
        <v>3523</v>
      </c>
      <c r="C6491" s="38">
        <v>2.0</v>
      </c>
      <c r="D6491" s="38" t="s">
        <v>753</v>
      </c>
      <c r="E6491" s="42" t="s">
        <v>6540</v>
      </c>
      <c r="F6491" s="117" t="s">
        <v>175</v>
      </c>
      <c r="G6491" s="42" t="s">
        <v>17434</v>
      </c>
    </row>
    <row r="6492">
      <c r="B6492" s="38" t="s">
        <v>978</v>
      </c>
      <c r="C6492" s="38">
        <v>2.0</v>
      </c>
      <c r="D6492" s="38" t="s">
        <v>753</v>
      </c>
      <c r="E6492" s="42" t="s">
        <v>6540</v>
      </c>
      <c r="F6492" s="117" t="s">
        <v>17435</v>
      </c>
      <c r="G6492" s="42" t="s">
        <v>17434</v>
      </c>
    </row>
    <row r="6493">
      <c r="B6493" s="38" t="s">
        <v>91</v>
      </c>
      <c r="C6493" s="38">
        <v>4.0</v>
      </c>
      <c r="D6493" s="38" t="s">
        <v>2694</v>
      </c>
      <c r="E6493" s="42" t="s">
        <v>764</v>
      </c>
      <c r="F6493" s="42" t="s">
        <v>17436</v>
      </c>
      <c r="G6493" s="10"/>
    </row>
    <row r="6494">
      <c r="B6494" s="38" t="s">
        <v>25</v>
      </c>
      <c r="C6494" s="38">
        <v>2.0</v>
      </c>
      <c r="D6494" s="38" t="s">
        <v>545</v>
      </c>
      <c r="E6494" s="42" t="s">
        <v>17437</v>
      </c>
      <c r="F6494" s="42" t="s">
        <v>17438</v>
      </c>
      <c r="G6494" s="10"/>
    </row>
    <row r="6495">
      <c r="B6495" s="38" t="s">
        <v>122</v>
      </c>
      <c r="C6495" s="38">
        <v>4.0</v>
      </c>
      <c r="D6495" s="38" t="s">
        <v>7155</v>
      </c>
      <c r="E6495" s="42" t="s">
        <v>230</v>
      </c>
      <c r="F6495" s="42" t="s">
        <v>17439</v>
      </c>
      <c r="G6495" s="10"/>
    </row>
    <row r="6496">
      <c r="B6496" s="38" t="s">
        <v>85</v>
      </c>
      <c r="C6496" s="38">
        <v>2.0</v>
      </c>
      <c r="D6496" s="38" t="s">
        <v>10585</v>
      </c>
      <c r="E6496" s="42" t="s">
        <v>481</v>
      </c>
      <c r="F6496" s="47" t="s">
        <v>17440</v>
      </c>
      <c r="G6496" s="10"/>
    </row>
    <row r="6497">
      <c r="B6497" s="38" t="s">
        <v>31</v>
      </c>
      <c r="C6497" s="38">
        <v>2.0</v>
      </c>
      <c r="D6497" s="38" t="s">
        <v>9990</v>
      </c>
      <c r="E6497" s="42" t="s">
        <v>481</v>
      </c>
      <c r="F6497" s="47" t="s">
        <v>17440</v>
      </c>
      <c r="G6497" s="10"/>
    </row>
    <row r="6498">
      <c r="B6498" s="38" t="s">
        <v>210</v>
      </c>
      <c r="C6498" s="38">
        <v>4.0</v>
      </c>
      <c r="D6498" s="38" t="s">
        <v>2705</v>
      </c>
      <c r="E6498" s="42" t="s">
        <v>481</v>
      </c>
      <c r="F6498" s="47" t="s">
        <v>17441</v>
      </c>
      <c r="G6498" s="10"/>
    </row>
    <row r="6499">
      <c r="A6499" s="8"/>
      <c r="B6499" s="38" t="s">
        <v>405</v>
      </c>
      <c r="C6499" s="38">
        <v>2.0</v>
      </c>
      <c r="D6499" s="38" t="s">
        <v>2423</v>
      </c>
      <c r="E6499" s="42" t="s">
        <v>481</v>
      </c>
      <c r="F6499" s="42" t="s">
        <v>17442</v>
      </c>
    </row>
    <row r="6500">
      <c r="A6500" s="8"/>
      <c r="B6500" s="38" t="s">
        <v>52</v>
      </c>
      <c r="C6500" s="38">
        <v>2.0</v>
      </c>
      <c r="D6500" s="38" t="s">
        <v>2423</v>
      </c>
      <c r="E6500" s="42" t="s">
        <v>481</v>
      </c>
      <c r="F6500" s="42" t="s">
        <v>17442</v>
      </c>
    </row>
    <row r="6501">
      <c r="B6501" s="38" t="s">
        <v>1006</v>
      </c>
      <c r="C6501" s="38">
        <v>4.0</v>
      </c>
      <c r="D6501" s="38" t="s">
        <v>412</v>
      </c>
      <c r="E6501" s="42" t="s">
        <v>17443</v>
      </c>
      <c r="F6501" s="42" t="s">
        <v>17444</v>
      </c>
      <c r="G6501" s="10"/>
    </row>
    <row r="6502">
      <c r="A6502" s="44"/>
      <c r="B6502" s="38" t="s">
        <v>47</v>
      </c>
      <c r="C6502" s="38">
        <v>2.0</v>
      </c>
      <c r="D6502" s="38" t="s">
        <v>12318</v>
      </c>
      <c r="E6502" s="42" t="s">
        <v>481</v>
      </c>
      <c r="F6502" s="42" t="s">
        <v>17445</v>
      </c>
      <c r="G6502" s="10"/>
    </row>
    <row r="6503">
      <c r="A6503" s="44"/>
      <c r="B6503" s="38" t="s">
        <v>43</v>
      </c>
      <c r="C6503" s="38">
        <v>2.0</v>
      </c>
      <c r="D6503" s="38" t="s">
        <v>12318</v>
      </c>
      <c r="E6503" s="42" t="s">
        <v>481</v>
      </c>
      <c r="F6503" s="42" t="s">
        <v>17445</v>
      </c>
      <c r="G6503" s="10"/>
    </row>
    <row r="6504">
      <c r="B6504" s="38" t="s">
        <v>4044</v>
      </c>
      <c r="C6504" s="38">
        <v>1.0</v>
      </c>
      <c r="D6504" s="38" t="s">
        <v>408</v>
      </c>
      <c r="E6504" s="42" t="s">
        <v>17446</v>
      </c>
      <c r="F6504" s="42" t="s">
        <v>17447</v>
      </c>
      <c r="G6504" s="10"/>
    </row>
    <row r="6505">
      <c r="B6505" s="38" t="s">
        <v>122</v>
      </c>
      <c r="C6505" s="38">
        <v>4.0</v>
      </c>
      <c r="D6505" s="38" t="s">
        <v>289</v>
      </c>
      <c r="E6505" s="38" t="s">
        <v>2742</v>
      </c>
      <c r="F6505" s="42" t="s">
        <v>17448</v>
      </c>
      <c r="G6505" s="10"/>
    </row>
    <row r="6506">
      <c r="B6506" s="38" t="s">
        <v>405</v>
      </c>
      <c r="C6506" s="38">
        <v>2.0</v>
      </c>
      <c r="D6506" s="38" t="s">
        <v>17412</v>
      </c>
      <c r="E6506" s="38" t="s">
        <v>17449</v>
      </c>
      <c r="F6506" s="42"/>
      <c r="G6506" s="10"/>
    </row>
    <row r="6507">
      <c r="B6507" s="38" t="s">
        <v>52</v>
      </c>
      <c r="C6507" s="38">
        <v>2.0</v>
      </c>
      <c r="D6507" s="38" t="s">
        <v>17412</v>
      </c>
      <c r="E6507" s="38" t="s">
        <v>17449</v>
      </c>
      <c r="F6507" s="42"/>
      <c r="G6507" s="10"/>
    </row>
    <row r="6508">
      <c r="B6508" s="38" t="s">
        <v>17450</v>
      </c>
      <c r="C6508" s="38" t="s">
        <v>364</v>
      </c>
      <c r="D6508" s="38" t="s">
        <v>17451</v>
      </c>
      <c r="E6508" s="38" t="s">
        <v>17452</v>
      </c>
      <c r="F6508" s="117" t="s">
        <v>17453</v>
      </c>
      <c r="G6508" s="42" t="s">
        <v>17454</v>
      </c>
    </row>
    <row r="6509">
      <c r="B6509" s="38" t="s">
        <v>52</v>
      </c>
      <c r="C6509" s="38">
        <v>4.0</v>
      </c>
      <c r="D6509" s="38" t="s">
        <v>17455</v>
      </c>
      <c r="E6509" s="42" t="s">
        <v>17456</v>
      </c>
      <c r="F6509" s="42" t="s">
        <v>17457</v>
      </c>
      <c r="G6509" s="10"/>
    </row>
    <row r="6510">
      <c r="A6510" s="44"/>
      <c r="B6510" s="47" t="s">
        <v>2869</v>
      </c>
      <c r="C6510" s="151" t="s">
        <v>17458</v>
      </c>
      <c r="D6510" s="44"/>
      <c r="E6510" s="47" t="s">
        <v>1463</v>
      </c>
      <c r="F6510" s="47" t="s">
        <v>1462</v>
      </c>
      <c r="G6510" s="42" t="s">
        <v>471</v>
      </c>
    </row>
    <row r="6511">
      <c r="A6511" s="44"/>
      <c r="B6511" s="44"/>
      <c r="C6511" s="151" t="s">
        <v>17459</v>
      </c>
      <c r="D6511" s="47"/>
      <c r="E6511" s="47" t="s">
        <v>1463</v>
      </c>
      <c r="F6511" s="117"/>
      <c r="G6511" s="42" t="s">
        <v>471</v>
      </c>
    </row>
    <row r="6512">
      <c r="A6512" s="44"/>
      <c r="B6512" s="44"/>
      <c r="C6512" s="151" t="s">
        <v>17460</v>
      </c>
      <c r="D6512" s="47"/>
      <c r="E6512" s="38" t="s">
        <v>1467</v>
      </c>
      <c r="F6512" s="117"/>
      <c r="G6512" s="42" t="s">
        <v>471</v>
      </c>
    </row>
    <row r="6513">
      <c r="B6513" s="44"/>
      <c r="C6513" s="38" t="s">
        <v>865</v>
      </c>
      <c r="D6513" s="395" t="s">
        <v>17461</v>
      </c>
      <c r="E6513" s="38" t="s">
        <v>17462</v>
      </c>
      <c r="F6513" s="38" t="s">
        <v>17463</v>
      </c>
      <c r="G6513" s="42" t="s">
        <v>12015</v>
      </c>
    </row>
    <row r="6514">
      <c r="A6514" s="44"/>
      <c r="B6514" s="92" t="s">
        <v>17464</v>
      </c>
      <c r="C6514" s="112" t="s">
        <v>17465</v>
      </c>
      <c r="D6514" s="629" t="s">
        <v>17466</v>
      </c>
      <c r="E6514" s="38" t="s">
        <v>17467</v>
      </c>
      <c r="F6514" s="38" t="s">
        <v>17468</v>
      </c>
      <c r="G6514" s="42"/>
    </row>
    <row r="6515">
      <c r="A6515" s="44"/>
      <c r="B6515" s="92" t="s">
        <v>17469</v>
      </c>
      <c r="C6515" s="112" t="s">
        <v>17470</v>
      </c>
      <c r="D6515" s="630" t="s">
        <v>17471</v>
      </c>
      <c r="E6515" s="38" t="s">
        <v>17472</v>
      </c>
      <c r="F6515" s="44"/>
      <c r="G6515" s="42"/>
    </row>
    <row r="6516">
      <c r="A6516" s="44"/>
      <c r="B6516" s="631" t="s">
        <v>17473</v>
      </c>
      <c r="C6516" s="395" t="s">
        <v>17474</v>
      </c>
      <c r="D6516" s="630" t="s">
        <v>17471</v>
      </c>
      <c r="E6516" s="38" t="s">
        <v>17475</v>
      </c>
      <c r="F6516" s="117"/>
      <c r="G6516" s="42"/>
    </row>
    <row r="6517">
      <c r="A6517" s="44"/>
      <c r="B6517" s="44"/>
      <c r="C6517" s="44"/>
      <c r="D6517" s="92" t="s">
        <v>17476</v>
      </c>
      <c r="E6517" s="38" t="s">
        <v>17477</v>
      </c>
      <c r="F6517" s="38" t="s">
        <v>17478</v>
      </c>
      <c r="G6517" s="44"/>
    </row>
    <row r="6518">
      <c r="A6518" s="44"/>
      <c r="B6518" s="630" t="s">
        <v>17479</v>
      </c>
      <c r="C6518" s="44"/>
      <c r="D6518" s="38" t="s">
        <v>17480</v>
      </c>
      <c r="E6518" s="38" t="s">
        <v>17481</v>
      </c>
      <c r="F6518" s="38" t="s">
        <v>17482</v>
      </c>
      <c r="G6518" s="44"/>
    </row>
    <row r="6519">
      <c r="A6519" s="44"/>
      <c r="B6519" s="44"/>
      <c r="C6519" s="44"/>
      <c r="D6519" s="38" t="s">
        <v>17480</v>
      </c>
      <c r="E6519" s="38" t="s">
        <v>17483</v>
      </c>
      <c r="F6519" s="38" t="s">
        <v>17484</v>
      </c>
      <c r="G6519" s="44"/>
    </row>
    <row r="6520">
      <c r="A6520" s="44"/>
      <c r="B6520" s="44"/>
      <c r="C6520" s="44"/>
      <c r="D6520" s="38" t="s">
        <v>17485</v>
      </c>
      <c r="E6520" s="38" t="s">
        <v>17481</v>
      </c>
      <c r="F6520" s="38" t="s">
        <v>17486</v>
      </c>
      <c r="G6520" s="44"/>
    </row>
    <row r="6521">
      <c r="B6521" s="44"/>
      <c r="C6521" s="38" t="s">
        <v>17487</v>
      </c>
      <c r="D6521" s="97" t="s">
        <v>17488</v>
      </c>
      <c r="E6521" s="47" t="s">
        <v>17489</v>
      </c>
      <c r="F6521" s="117"/>
      <c r="G6521" s="38" t="s">
        <v>17490</v>
      </c>
    </row>
    <row r="6522">
      <c r="B6522" s="44"/>
      <c r="C6522" s="38" t="s">
        <v>17491</v>
      </c>
      <c r="D6522" s="179" t="s">
        <v>17492</v>
      </c>
      <c r="E6522" s="47" t="s">
        <v>17493</v>
      </c>
      <c r="F6522" s="99" t="s">
        <v>17494</v>
      </c>
      <c r="G6522" s="38" t="s">
        <v>642</v>
      </c>
    </row>
    <row r="6523">
      <c r="B6523" s="44"/>
      <c r="C6523" s="44"/>
      <c r="D6523" s="179" t="s">
        <v>17495</v>
      </c>
      <c r="E6523" s="47" t="s">
        <v>17496</v>
      </c>
      <c r="F6523" s="38" t="s">
        <v>17497</v>
      </c>
      <c r="G6523" s="38" t="s">
        <v>17498</v>
      </c>
    </row>
    <row r="6524">
      <c r="B6524" s="44"/>
      <c r="C6524" s="44"/>
      <c r="D6524" s="179" t="s">
        <v>17499</v>
      </c>
      <c r="E6524" s="47" t="s">
        <v>17500</v>
      </c>
      <c r="F6524" s="38" t="s">
        <v>17501</v>
      </c>
      <c r="G6524" s="38" t="s">
        <v>17502</v>
      </c>
    </row>
    <row r="6525">
      <c r="B6525" s="631" t="s">
        <v>17503</v>
      </c>
      <c r="C6525" s="38" t="s">
        <v>17504</v>
      </c>
      <c r="D6525" s="97" t="s">
        <v>17505</v>
      </c>
      <c r="E6525" s="47" t="s">
        <v>17506</v>
      </c>
      <c r="F6525" s="38" t="s">
        <v>17507</v>
      </c>
      <c r="G6525" s="38" t="s">
        <v>17508</v>
      </c>
    </row>
    <row r="6526">
      <c r="B6526" s="38" t="s">
        <v>17509</v>
      </c>
      <c r="C6526" s="38" t="s">
        <v>17510</v>
      </c>
      <c r="D6526" s="99" t="s">
        <v>17511</v>
      </c>
      <c r="E6526" s="47" t="s">
        <v>17512</v>
      </c>
      <c r="F6526" s="85" t="s">
        <v>17513</v>
      </c>
      <c r="G6526" s="38" t="s">
        <v>17514</v>
      </c>
    </row>
    <row r="6527">
      <c r="B6527" s="47"/>
      <c r="C6527" s="47"/>
      <c r="D6527" s="38" t="s">
        <v>17515</v>
      </c>
      <c r="E6527" s="47" t="s">
        <v>17512</v>
      </c>
      <c r="F6527" s="38" t="s">
        <v>17514</v>
      </c>
      <c r="G6527" s="4"/>
    </row>
    <row r="6528">
      <c r="B6528" s="47"/>
      <c r="C6528" s="47"/>
      <c r="D6528" s="38" t="s">
        <v>17516</v>
      </c>
      <c r="E6528" s="47" t="s">
        <v>17512</v>
      </c>
      <c r="F6528" s="38" t="s">
        <v>17514</v>
      </c>
      <c r="G6528" s="4"/>
    </row>
    <row r="6529">
      <c r="B6529" s="38" t="s">
        <v>122</v>
      </c>
      <c r="C6529" s="38">
        <v>4.0</v>
      </c>
      <c r="D6529" s="38" t="s">
        <v>2021</v>
      </c>
      <c r="E6529" s="38" t="s">
        <v>7641</v>
      </c>
      <c r="F6529" s="38" t="s">
        <v>17517</v>
      </c>
    </row>
    <row r="6530">
      <c r="B6530" s="38" t="s">
        <v>41</v>
      </c>
      <c r="C6530" s="38">
        <v>4.0</v>
      </c>
      <c r="D6530" s="38" t="s">
        <v>684</v>
      </c>
      <c r="E6530" s="38" t="s">
        <v>17518</v>
      </c>
      <c r="F6530" s="38" t="s">
        <v>17519</v>
      </c>
    </row>
    <row r="6531">
      <c r="B6531" s="38" t="s">
        <v>17520</v>
      </c>
      <c r="C6531" s="38" t="s">
        <v>1204</v>
      </c>
      <c r="D6531" s="632" t="s">
        <v>17521</v>
      </c>
      <c r="E6531" s="38" t="s">
        <v>4851</v>
      </c>
      <c r="F6531" s="38" t="s">
        <v>17522</v>
      </c>
    </row>
    <row r="6532">
      <c r="B6532" s="44"/>
      <c r="C6532" s="38" t="s">
        <v>17523</v>
      </c>
      <c r="D6532" s="38" t="s">
        <v>535</v>
      </c>
      <c r="E6532" s="38" t="s">
        <v>17524</v>
      </c>
      <c r="F6532" s="38" t="s">
        <v>17522</v>
      </c>
    </row>
    <row r="6533">
      <c r="B6533" s="38" t="s">
        <v>17525</v>
      </c>
      <c r="C6533" s="38" t="s">
        <v>17526</v>
      </c>
      <c r="D6533" s="38" t="s">
        <v>17527</v>
      </c>
      <c r="E6533" s="38" t="s">
        <v>17524</v>
      </c>
      <c r="F6533" s="38" t="s">
        <v>17522</v>
      </c>
    </row>
    <row r="6534">
      <c r="A6534" s="44"/>
      <c r="B6534" s="44"/>
      <c r="C6534" s="38" t="s">
        <v>17528</v>
      </c>
      <c r="D6534" s="38" t="s">
        <v>17529</v>
      </c>
      <c r="E6534" s="38" t="s">
        <v>4865</v>
      </c>
      <c r="F6534" s="38" t="s">
        <v>17530</v>
      </c>
    </row>
    <row r="6535">
      <c r="B6535" s="38" t="s">
        <v>17531</v>
      </c>
      <c r="C6535" s="38" t="s">
        <v>13003</v>
      </c>
      <c r="D6535" s="38" t="s">
        <v>16254</v>
      </c>
      <c r="E6535" s="38" t="s">
        <v>11831</v>
      </c>
      <c r="F6535" s="38" t="s">
        <v>647</v>
      </c>
      <c r="G6535" s="38" t="s">
        <v>17532</v>
      </c>
    </row>
    <row r="6536">
      <c r="B6536" s="44"/>
      <c r="C6536" s="38" t="s">
        <v>17533</v>
      </c>
      <c r="D6536" s="38" t="s">
        <v>17534</v>
      </c>
      <c r="E6536" s="38" t="s">
        <v>11831</v>
      </c>
      <c r="F6536" s="38" t="s">
        <v>17535</v>
      </c>
      <c r="G6536" s="38" t="s">
        <v>17532</v>
      </c>
    </row>
    <row r="6537">
      <c r="B6537" s="38" t="s">
        <v>17536</v>
      </c>
      <c r="C6537" s="44"/>
      <c r="D6537" s="104" t="s">
        <v>17537</v>
      </c>
      <c r="E6537" s="38" t="s">
        <v>11831</v>
      </c>
      <c r="F6537" s="44"/>
      <c r="G6537" s="38" t="s">
        <v>17532</v>
      </c>
    </row>
    <row r="6538">
      <c r="B6538" s="38" t="s">
        <v>17538</v>
      </c>
      <c r="C6538" s="44"/>
      <c r="D6538" s="38" t="s">
        <v>17539</v>
      </c>
      <c r="E6538" s="38" t="s">
        <v>11831</v>
      </c>
      <c r="F6538" s="44"/>
      <c r="G6538" s="38" t="s">
        <v>17532</v>
      </c>
    </row>
    <row r="6539">
      <c r="B6539" s="38" t="s">
        <v>342</v>
      </c>
      <c r="C6539" s="38">
        <v>2.0</v>
      </c>
      <c r="D6539" s="38" t="s">
        <v>2032</v>
      </c>
      <c r="E6539" s="38" t="s">
        <v>17540</v>
      </c>
      <c r="F6539" s="38" t="s">
        <v>17541</v>
      </c>
    </row>
    <row r="6540">
      <c r="B6540" s="38" t="s">
        <v>41</v>
      </c>
      <c r="C6540" s="38">
        <v>2.0</v>
      </c>
      <c r="D6540" s="38" t="s">
        <v>2032</v>
      </c>
      <c r="E6540" s="38" t="s">
        <v>17540</v>
      </c>
      <c r="F6540" s="38" t="s">
        <v>17541</v>
      </c>
    </row>
    <row r="6541">
      <c r="A6541" s="44"/>
      <c r="B6541" s="38" t="s">
        <v>38</v>
      </c>
      <c r="C6541" s="38">
        <v>2.0</v>
      </c>
      <c r="D6541" s="38" t="s">
        <v>2021</v>
      </c>
      <c r="E6541" s="38" t="s">
        <v>217</v>
      </c>
      <c r="F6541" s="38" t="s">
        <v>17542</v>
      </c>
    </row>
    <row r="6542">
      <c r="A6542" s="44"/>
      <c r="B6542" s="38" t="s">
        <v>3878</v>
      </c>
      <c r="C6542" s="38">
        <v>2.0</v>
      </c>
      <c r="D6542" s="38" t="s">
        <v>399</v>
      </c>
      <c r="E6542" s="38" t="s">
        <v>217</v>
      </c>
      <c r="F6542" s="38" t="s">
        <v>17542</v>
      </c>
    </row>
    <row r="6543">
      <c r="A6543" s="44"/>
      <c r="B6543" s="38" t="s">
        <v>112</v>
      </c>
      <c r="C6543" s="38">
        <v>1.0</v>
      </c>
      <c r="D6543" s="38" t="s">
        <v>17543</v>
      </c>
      <c r="E6543" s="38" t="s">
        <v>17544</v>
      </c>
      <c r="F6543" s="633" t="s">
        <v>17545</v>
      </c>
    </row>
    <row r="6544">
      <c r="A6544" s="44"/>
      <c r="B6544" s="38"/>
      <c r="C6544" s="38">
        <v>1.0</v>
      </c>
      <c r="D6544" s="38" t="s">
        <v>17546</v>
      </c>
      <c r="E6544" s="38" t="s">
        <v>17544</v>
      </c>
      <c r="F6544" s="633" t="s">
        <v>17547</v>
      </c>
    </row>
    <row r="6545">
      <c r="B6545" s="38" t="s">
        <v>128</v>
      </c>
      <c r="C6545" s="38">
        <v>2.0</v>
      </c>
      <c r="D6545" s="38" t="s">
        <v>2827</v>
      </c>
      <c r="E6545" s="38" t="s">
        <v>325</v>
      </c>
      <c r="F6545" s="38" t="s">
        <v>17548</v>
      </c>
    </row>
    <row r="6546">
      <c r="B6546" s="38" t="s">
        <v>1183</v>
      </c>
      <c r="C6546" s="38">
        <v>2.0</v>
      </c>
      <c r="D6546" s="38" t="s">
        <v>2827</v>
      </c>
      <c r="E6546" s="38" t="s">
        <v>325</v>
      </c>
      <c r="F6546" s="38" t="s">
        <v>17548</v>
      </c>
    </row>
    <row r="6547">
      <c r="A6547" s="44"/>
      <c r="B6547" s="44"/>
      <c r="C6547" s="44"/>
      <c r="D6547" s="38" t="s">
        <v>17549</v>
      </c>
      <c r="E6547" s="38" t="s">
        <v>1017</v>
      </c>
      <c r="F6547" s="38" t="s">
        <v>17264</v>
      </c>
      <c r="G6547" s="38" t="s">
        <v>17004</v>
      </c>
    </row>
    <row r="6548">
      <c r="B6548" s="47" t="s">
        <v>10839</v>
      </c>
      <c r="C6548" s="47">
        <v>2.0</v>
      </c>
      <c r="D6548" s="47" t="s">
        <v>7006</v>
      </c>
      <c r="E6548" s="47" t="s">
        <v>10840</v>
      </c>
      <c r="F6548" s="38"/>
    </row>
    <row r="6549">
      <c r="B6549" s="44"/>
      <c r="C6549" s="38"/>
      <c r="D6549" s="38" t="s">
        <v>17550</v>
      </c>
      <c r="E6549" s="47" t="s">
        <v>10840</v>
      </c>
      <c r="F6549" s="44"/>
    </row>
    <row r="6550">
      <c r="B6550" s="38" t="s">
        <v>58</v>
      </c>
      <c r="C6550" s="38">
        <v>4.0</v>
      </c>
      <c r="D6550" s="38" t="s">
        <v>427</v>
      </c>
      <c r="E6550" s="38" t="s">
        <v>325</v>
      </c>
      <c r="F6550" s="38" t="s">
        <v>17551</v>
      </c>
    </row>
    <row r="6551">
      <c r="B6551" s="44"/>
      <c r="C6551" s="630" t="s">
        <v>17552</v>
      </c>
      <c r="D6551" s="99" t="s">
        <v>17553</v>
      </c>
      <c r="E6551" s="38" t="s">
        <v>11696</v>
      </c>
      <c r="F6551" s="44"/>
    </row>
    <row r="6552">
      <c r="B6552" s="44"/>
      <c r="C6552" s="630" t="s">
        <v>17554</v>
      </c>
      <c r="D6552" s="38" t="s">
        <v>17555</v>
      </c>
      <c r="E6552" s="38" t="s">
        <v>11696</v>
      </c>
      <c r="F6552" s="44"/>
    </row>
    <row r="6553">
      <c r="B6553" s="44"/>
      <c r="C6553" s="44"/>
      <c r="D6553" s="38" t="s">
        <v>17556</v>
      </c>
      <c r="E6553" s="38" t="s">
        <v>11696</v>
      </c>
      <c r="F6553" s="44"/>
    </row>
    <row r="6554">
      <c r="B6554" s="44"/>
      <c r="C6554" s="44"/>
      <c r="D6554" s="38"/>
      <c r="E6554" s="38" t="s">
        <v>11696</v>
      </c>
      <c r="F6554" s="38" t="s">
        <v>17557</v>
      </c>
    </row>
    <row r="6555">
      <c r="B6555" s="44"/>
      <c r="C6555" s="44"/>
      <c r="D6555" s="38"/>
      <c r="E6555" s="38" t="s">
        <v>11696</v>
      </c>
      <c r="F6555" s="38" t="s">
        <v>17558</v>
      </c>
    </row>
    <row r="6556">
      <c r="A6556" s="465"/>
      <c r="B6556" s="38" t="s">
        <v>214</v>
      </c>
      <c r="C6556" s="38">
        <v>2.0</v>
      </c>
      <c r="D6556" s="38" t="s">
        <v>2094</v>
      </c>
      <c r="E6556" s="38" t="s">
        <v>325</v>
      </c>
      <c r="F6556" s="634" t="s">
        <v>17559</v>
      </c>
    </row>
    <row r="6557">
      <c r="B6557" s="38" t="s">
        <v>210</v>
      </c>
      <c r="C6557" s="38">
        <v>2.0</v>
      </c>
      <c r="D6557" s="38" t="s">
        <v>2094</v>
      </c>
      <c r="E6557" s="38" t="s">
        <v>325</v>
      </c>
      <c r="F6557" s="635" t="s">
        <v>17560</v>
      </c>
    </row>
    <row r="6558">
      <c r="B6558" s="38" t="s">
        <v>210</v>
      </c>
      <c r="C6558" s="38">
        <v>4.0</v>
      </c>
      <c r="D6558" s="38" t="s">
        <v>17561</v>
      </c>
      <c r="E6558" s="38" t="s">
        <v>325</v>
      </c>
      <c r="F6558" s="38" t="s">
        <v>17562</v>
      </c>
    </row>
    <row r="6559">
      <c r="A6559" s="44"/>
      <c r="B6559" s="38" t="s">
        <v>354</v>
      </c>
      <c r="C6559" s="38">
        <v>2.0</v>
      </c>
      <c r="D6559" s="38" t="s">
        <v>684</v>
      </c>
      <c r="E6559" s="38" t="s">
        <v>462</v>
      </c>
      <c r="F6559" s="627" t="s">
        <v>17563</v>
      </c>
    </row>
    <row r="6560">
      <c r="A6560" s="44"/>
      <c r="B6560" s="38" t="s">
        <v>479</v>
      </c>
      <c r="C6560" s="38">
        <v>2.0</v>
      </c>
      <c r="D6560" s="38" t="s">
        <v>684</v>
      </c>
      <c r="E6560" s="38" t="s">
        <v>17564</v>
      </c>
      <c r="F6560" s="627" t="s">
        <v>17563</v>
      </c>
    </row>
    <row r="6561">
      <c r="B6561" s="636" t="s">
        <v>5828</v>
      </c>
      <c r="C6561" s="636" t="s">
        <v>17565</v>
      </c>
      <c r="D6561" s="636" t="s">
        <v>17566</v>
      </c>
      <c r="E6561" s="636" t="s">
        <v>17567</v>
      </c>
      <c r="F6561" s="636"/>
    </row>
    <row r="6562">
      <c r="B6562" s="637" t="s">
        <v>17568</v>
      </c>
      <c r="C6562" s="636"/>
      <c r="D6562" s="636"/>
      <c r="E6562" s="638" t="s">
        <v>221</v>
      </c>
      <c r="F6562" s="637"/>
    </row>
    <row r="6564">
      <c r="C6564" s="4"/>
      <c r="D6564" s="4"/>
      <c r="E6564" s="10"/>
      <c r="F6564" s="152"/>
      <c r="G6564" s="10"/>
    </row>
    <row r="6565">
      <c r="C6565" s="4"/>
      <c r="D6565" s="4"/>
      <c r="E6565" s="10"/>
      <c r="F6565" s="152"/>
      <c r="G6565" s="10"/>
    </row>
    <row r="6566">
      <c r="C6566" s="4"/>
      <c r="D6566" s="4"/>
      <c r="E6566" s="10" t="s">
        <v>17569</v>
      </c>
      <c r="F6566" s="152"/>
      <c r="G6566" s="10"/>
    </row>
    <row r="6567">
      <c r="C6567" s="4"/>
      <c r="D6567" s="4"/>
      <c r="E6567" s="10"/>
      <c r="F6567" s="152"/>
      <c r="G6567" s="10"/>
    </row>
    <row r="6568">
      <c r="C6568" s="4"/>
      <c r="D6568" s="4"/>
      <c r="E6568" s="10"/>
      <c r="F6568" s="5"/>
      <c r="G6568" s="4"/>
    </row>
    <row r="6569">
      <c r="C6569" s="4"/>
      <c r="D6569" s="4"/>
    </row>
    <row r="6570">
      <c r="B6570" s="5"/>
      <c r="C6570" s="4"/>
      <c r="D6570" s="5"/>
      <c r="E6570" s="150" t="s">
        <v>17570</v>
      </c>
      <c r="F6570" s="5">
        <v>40.0</v>
      </c>
    </row>
    <row r="6571">
      <c r="B6571" s="5"/>
      <c r="C6571" s="4"/>
      <c r="D6571" s="5"/>
      <c r="E6571" s="150" t="s">
        <v>17571</v>
      </c>
      <c r="F6571" s="5">
        <v>60.0</v>
      </c>
    </row>
    <row r="6572">
      <c r="B6572" s="5"/>
      <c r="C6572" s="4"/>
      <c r="D6572" s="5"/>
      <c r="E6572" s="525" t="s">
        <v>17572</v>
      </c>
      <c r="F6572" s="5">
        <v>280.0</v>
      </c>
      <c r="G6572" s="4"/>
    </row>
    <row r="6573">
      <c r="C6573" s="4"/>
      <c r="D6573" s="5"/>
      <c r="G6573" s="4"/>
    </row>
    <row r="6574">
      <c r="C6574" s="4"/>
      <c r="D6574" s="5"/>
      <c r="G6574" s="4"/>
    </row>
    <row r="6575">
      <c r="C6575" s="4"/>
      <c r="D6575" s="5"/>
      <c r="E6575" s="150" t="s">
        <v>17573</v>
      </c>
      <c r="F6575" s="5">
        <v>206.0</v>
      </c>
      <c r="G6575" s="4"/>
    </row>
    <row r="6576">
      <c r="C6576" s="4"/>
      <c r="D6576" s="5"/>
      <c r="E6576" s="1" t="s">
        <v>17574</v>
      </c>
      <c r="F6576" s="5">
        <v>40.0</v>
      </c>
      <c r="G6576" s="1"/>
    </row>
    <row r="6577">
      <c r="B6577" s="5"/>
      <c r="C6577" s="4"/>
      <c r="D6577" s="5"/>
      <c r="E6577" s="150" t="s">
        <v>17575</v>
      </c>
      <c r="F6577" s="5"/>
      <c r="G6577" s="1"/>
    </row>
    <row r="6578">
      <c r="B6578" s="5"/>
      <c r="C6578" s="4"/>
      <c r="D6578" s="5"/>
      <c r="G6578" s="1"/>
    </row>
    <row r="6579">
      <c r="B6579" s="5"/>
      <c r="C6579" s="4"/>
      <c r="D6579" s="5"/>
      <c r="E6579" s="150"/>
      <c r="F6579" s="5"/>
      <c r="G6579" s="1"/>
    </row>
    <row r="6580">
      <c r="B6580" s="5"/>
      <c r="C6580" s="4"/>
      <c r="D6580" s="5"/>
      <c r="E6580" s="150"/>
      <c r="F6580" s="5"/>
      <c r="G6580" s="1"/>
    </row>
    <row r="6581">
      <c r="B6581" s="5"/>
      <c r="C6581" s="5"/>
      <c r="D6581" s="5"/>
      <c r="E6581" s="150"/>
      <c r="F6581" s="5"/>
      <c r="G6581" s="1"/>
    </row>
    <row r="6582">
      <c r="A6582" s="5" t="s">
        <v>17576</v>
      </c>
      <c r="B6582" s="5" t="s">
        <v>17577</v>
      </c>
      <c r="C6582" s="5"/>
      <c r="D6582" s="5"/>
      <c r="E6582" s="150"/>
    </row>
    <row r="6583">
      <c r="A6583" s="150" t="s">
        <v>17578</v>
      </c>
      <c r="B6583" s="5"/>
      <c r="C6583" s="5"/>
      <c r="D6583" s="5">
        <f>sum(D6584:D6601)</f>
        <v>1773</v>
      </c>
      <c r="E6583" s="150"/>
      <c r="F6583" s="5"/>
    </row>
    <row r="6584">
      <c r="A6584" s="1" t="s">
        <v>17579</v>
      </c>
      <c r="B6584" s="5"/>
      <c r="C6584" s="5"/>
      <c r="D6584" s="5">
        <v>350.0</v>
      </c>
      <c r="E6584" s="150"/>
      <c r="F6584" s="5"/>
    </row>
    <row r="6585">
      <c r="A6585" s="1" t="s">
        <v>17580</v>
      </c>
      <c r="B6585" s="5"/>
      <c r="C6585" s="5"/>
      <c r="D6585" s="5">
        <v>300.0</v>
      </c>
      <c r="E6585" s="150"/>
      <c r="F6585" s="5"/>
    </row>
    <row r="6586">
      <c r="A6586" s="1" t="s">
        <v>17581</v>
      </c>
      <c r="B6586" s="5"/>
      <c r="C6586" s="5"/>
      <c r="D6586" s="5">
        <v>20.0</v>
      </c>
      <c r="E6586" s="150"/>
      <c r="F6586" s="5"/>
    </row>
    <row r="6587">
      <c r="A6587" s="5" t="s">
        <v>17582</v>
      </c>
      <c r="B6587" s="5"/>
      <c r="C6587" s="5"/>
      <c r="D6587" s="5">
        <v>253.0</v>
      </c>
      <c r="E6587" s="639"/>
      <c r="F6587" s="5"/>
    </row>
    <row r="6588">
      <c r="A6588" s="640" t="s">
        <v>17583</v>
      </c>
      <c r="B6588" s="5"/>
      <c r="C6588" s="5"/>
      <c r="D6588" s="5">
        <v>223.0</v>
      </c>
      <c r="E6588" s="50"/>
      <c r="F6588" s="5"/>
    </row>
    <row r="6589">
      <c r="A6589" s="640" t="s">
        <v>17584</v>
      </c>
      <c r="B6589" s="5"/>
      <c r="C6589" s="5"/>
      <c r="D6589" s="5">
        <v>176.0</v>
      </c>
      <c r="E6589" s="150"/>
      <c r="F6589" s="5"/>
    </row>
    <row r="6590">
      <c r="A6590" s="640" t="s">
        <v>17585</v>
      </c>
      <c r="B6590" s="5"/>
      <c r="C6590" s="5"/>
      <c r="D6590" s="5">
        <v>42.0</v>
      </c>
      <c r="E6590" s="150"/>
      <c r="F6590" s="5"/>
    </row>
    <row r="6591">
      <c r="A6591" s="1" t="s">
        <v>17586</v>
      </c>
      <c r="B6591" s="5"/>
      <c r="C6591" s="5"/>
      <c r="D6591" s="5">
        <v>10.0</v>
      </c>
      <c r="E6591" s="150"/>
      <c r="F6591" s="5"/>
    </row>
    <row r="6592">
      <c r="A6592" s="1" t="s">
        <v>17587</v>
      </c>
      <c r="B6592" s="5"/>
      <c r="C6592" s="5"/>
      <c r="D6592" s="5">
        <v>20.0</v>
      </c>
      <c r="E6592" s="150"/>
      <c r="F6592" s="5"/>
    </row>
    <row r="6593">
      <c r="A6593" s="1" t="s">
        <v>17588</v>
      </c>
      <c r="B6593" s="5"/>
      <c r="C6593" s="5"/>
      <c r="D6593" s="1">
        <v>91.0</v>
      </c>
    </row>
    <row r="6594">
      <c r="A6594" s="1" t="s">
        <v>17589</v>
      </c>
      <c r="B6594" s="5"/>
      <c r="C6594" s="5"/>
      <c r="D6594" s="1">
        <v>5.0</v>
      </c>
    </row>
    <row r="6595">
      <c r="A6595" s="640" t="s">
        <v>17590</v>
      </c>
      <c r="B6595" s="5"/>
      <c r="C6595" s="5"/>
      <c r="D6595" s="1">
        <v>10.0</v>
      </c>
    </row>
    <row r="6596">
      <c r="A6596" s="640" t="s">
        <v>17591</v>
      </c>
      <c r="B6596" s="5"/>
      <c r="C6596" s="5"/>
      <c r="D6596" s="1">
        <v>50.0</v>
      </c>
    </row>
    <row r="6597">
      <c r="A6597" s="640" t="s">
        <v>17592</v>
      </c>
      <c r="B6597" s="5"/>
      <c r="C6597" s="5"/>
      <c r="D6597" s="1">
        <v>16.0</v>
      </c>
    </row>
    <row r="6598">
      <c r="A6598" s="640" t="s">
        <v>17593</v>
      </c>
      <c r="B6598" s="5"/>
      <c r="C6598" s="5"/>
      <c r="D6598" s="1">
        <v>60.0</v>
      </c>
    </row>
    <row r="6599">
      <c r="A6599" s="1" t="s">
        <v>17594</v>
      </c>
      <c r="B6599" s="5"/>
      <c r="C6599" s="5"/>
      <c r="D6599" s="1">
        <v>20.0</v>
      </c>
    </row>
    <row r="6600">
      <c r="A6600" s="1" t="s">
        <v>17595</v>
      </c>
      <c r="B6600" s="5"/>
      <c r="C6600" s="5"/>
      <c r="D6600" s="1">
        <v>60.0</v>
      </c>
    </row>
    <row r="6601">
      <c r="A6601" s="1" t="s">
        <v>17596</v>
      </c>
      <c r="B6601" s="5"/>
      <c r="C6601" s="5"/>
      <c r="D6601" s="5">
        <v>67.0</v>
      </c>
      <c r="E6601" s="150"/>
      <c r="F6601" s="5"/>
    </row>
    <row r="6602">
      <c r="B6602" s="5"/>
      <c r="C6602" s="5"/>
      <c r="D6602" s="5"/>
      <c r="E6602" s="150"/>
      <c r="F6602" s="5"/>
    </row>
    <row r="6603">
      <c r="B6603" s="5"/>
      <c r="C6603" s="5"/>
      <c r="D6603" s="5"/>
      <c r="E6603" s="150"/>
      <c r="F6603" s="5"/>
    </row>
    <row r="6604">
      <c r="B6604" s="5"/>
      <c r="C6604" s="5"/>
      <c r="D6604" s="5"/>
      <c r="E6604" s="150"/>
      <c r="F6604" s="5"/>
    </row>
    <row r="6605">
      <c r="B6605" s="5"/>
      <c r="C6605" s="5"/>
      <c r="D6605" s="5"/>
      <c r="E6605" s="150"/>
      <c r="F6605" s="5"/>
    </row>
    <row r="6606">
      <c r="B6606" s="5"/>
      <c r="C6606" s="5"/>
      <c r="D6606" s="5">
        <f>sum(D6607:D6613)</f>
        <v>910</v>
      </c>
      <c r="E6606" s="150" t="s">
        <v>17597</v>
      </c>
      <c r="F6606" s="641" t="s">
        <v>17598</v>
      </c>
      <c r="G6606" s="1" t="s">
        <v>4421</v>
      </c>
    </row>
    <row r="6607">
      <c r="B6607" s="5"/>
      <c r="C6607" s="5"/>
      <c r="D6607" s="5">
        <v>125.0</v>
      </c>
      <c r="E6607" s="150" t="s">
        <v>17599</v>
      </c>
      <c r="F6607" s="642" t="s">
        <v>17600</v>
      </c>
    </row>
    <row r="6608">
      <c r="B6608" s="5"/>
      <c r="C6608" s="5"/>
      <c r="D6608" s="5">
        <v>400.0</v>
      </c>
      <c r="E6608" s="150">
        <v>3070.0</v>
      </c>
      <c r="F6608" s="643" t="s">
        <v>17601</v>
      </c>
    </row>
    <row r="6609">
      <c r="B6609" s="5"/>
      <c r="C6609" s="5"/>
      <c r="D6609" s="5">
        <v>60.0</v>
      </c>
      <c r="E6609" s="150" t="s">
        <v>17602</v>
      </c>
      <c r="F6609" s="644" t="s">
        <v>17603</v>
      </c>
    </row>
    <row r="6610">
      <c r="B6610" s="5"/>
      <c r="C6610" s="5"/>
      <c r="D6610" s="5">
        <v>70.0</v>
      </c>
      <c r="E6610" s="150" t="s">
        <v>17604</v>
      </c>
      <c r="F6610" s="5"/>
    </row>
    <row r="6611">
      <c r="B6611" s="5"/>
      <c r="C6611" s="5"/>
      <c r="D6611" s="5">
        <v>150.0</v>
      </c>
      <c r="E6611" s="150" t="s">
        <v>17605</v>
      </c>
      <c r="F6611" s="5"/>
    </row>
    <row r="6612">
      <c r="B6612" s="5"/>
      <c r="C6612" s="5"/>
      <c r="D6612" s="5">
        <v>55.0</v>
      </c>
      <c r="E6612" s="150" t="s">
        <v>17606</v>
      </c>
      <c r="F6612" s="5"/>
    </row>
    <row r="6613">
      <c r="B6613" s="5"/>
      <c r="C6613" s="5"/>
      <c r="D6613" s="5">
        <v>50.0</v>
      </c>
      <c r="E6613" s="150" t="s">
        <v>17607</v>
      </c>
      <c r="F6613" s="5"/>
    </row>
    <row r="6614">
      <c r="B6614" s="4"/>
      <c r="C6614" s="4"/>
      <c r="D6614" s="4"/>
      <c r="E6614" s="150"/>
      <c r="F6614" s="5"/>
    </row>
    <row r="6615">
      <c r="B6615" s="4"/>
      <c r="C6615" s="4"/>
      <c r="D6615" s="4"/>
      <c r="E6615" s="150"/>
      <c r="F6615" s="5"/>
    </row>
    <row r="6616">
      <c r="B6616" s="4"/>
      <c r="C6616" s="4"/>
      <c r="D6616" s="4"/>
      <c r="E6616" s="150"/>
      <c r="F6616" s="5"/>
    </row>
    <row r="6617">
      <c r="B6617" s="4"/>
      <c r="C6617" s="4"/>
      <c r="D6617" s="4"/>
      <c r="E6617" s="150"/>
      <c r="F6617" s="5"/>
    </row>
    <row r="6618">
      <c r="B6618" s="5"/>
      <c r="C6618" s="5"/>
      <c r="D6618" s="5"/>
      <c r="E6618" s="150"/>
      <c r="F6618" s="5"/>
    </row>
    <row r="6619">
      <c r="B6619" s="5"/>
      <c r="C6619" s="5"/>
      <c r="D6619" s="5"/>
      <c r="E6619" s="150"/>
      <c r="F6619" s="5"/>
    </row>
    <row r="6620">
      <c r="B6620" s="5"/>
      <c r="C6620" s="5"/>
      <c r="D6620" s="5"/>
      <c r="E6620" s="150"/>
      <c r="F6620" s="5"/>
    </row>
    <row r="6621">
      <c r="B6621" s="5"/>
      <c r="C6621" s="5"/>
      <c r="D6621" s="5"/>
      <c r="E6621" s="150"/>
      <c r="F6621" s="5"/>
    </row>
    <row r="6622">
      <c r="B6622" s="5"/>
      <c r="C6622" s="5"/>
      <c r="D6622" s="5"/>
      <c r="E6622" s="150"/>
      <c r="F6622" s="5"/>
    </row>
    <row r="6623">
      <c r="B6623" s="5"/>
      <c r="C6623" s="5"/>
      <c r="D6623" s="5"/>
      <c r="E6623" s="150"/>
      <c r="F6623" s="5"/>
    </row>
    <row r="6624">
      <c r="B6624" s="5"/>
      <c r="C6624" s="5"/>
      <c r="D6624" s="5"/>
      <c r="E6624" s="150"/>
      <c r="F6624" s="5"/>
    </row>
    <row r="6625">
      <c r="B6625" s="5"/>
      <c r="C6625" s="5"/>
      <c r="D6625" s="5"/>
      <c r="E6625" s="150"/>
      <c r="F6625" s="5"/>
    </row>
    <row r="6626">
      <c r="B6626" s="5"/>
      <c r="C6626" s="5"/>
      <c r="D6626" s="5"/>
      <c r="E6626" s="150"/>
      <c r="F6626" s="5"/>
    </row>
    <row r="6627">
      <c r="B6627" s="5"/>
      <c r="C6627" s="5"/>
      <c r="D6627" s="5"/>
      <c r="E6627" s="150"/>
      <c r="F6627" s="5"/>
    </row>
    <row r="6628">
      <c r="B6628" s="5"/>
      <c r="C6628" s="5"/>
      <c r="D6628" s="5"/>
      <c r="E6628" s="150"/>
      <c r="F6628" s="5"/>
    </row>
    <row r="6629">
      <c r="B6629" s="5"/>
      <c r="C6629" s="5"/>
      <c r="D6629" s="5"/>
      <c r="E6629" s="150"/>
      <c r="F6629" s="5"/>
    </row>
    <row r="6630">
      <c r="B6630" s="5"/>
      <c r="C6630" s="5"/>
      <c r="D6630" s="5"/>
      <c r="E6630" s="150"/>
      <c r="F6630" s="5"/>
    </row>
    <row r="6631">
      <c r="B6631" s="5"/>
      <c r="C6631" s="5"/>
      <c r="D6631" s="5"/>
      <c r="E6631" s="150"/>
      <c r="F6631" s="5"/>
    </row>
    <row r="6632">
      <c r="B6632" s="5"/>
      <c r="C6632" s="5"/>
      <c r="D6632" s="5"/>
      <c r="E6632" s="150"/>
      <c r="F6632" s="5"/>
    </row>
    <row r="6633">
      <c r="B6633" s="5"/>
      <c r="C6633" s="5"/>
      <c r="D6633" s="5"/>
      <c r="E6633" s="150"/>
      <c r="F6633" s="5"/>
    </row>
    <row r="6634">
      <c r="B6634" s="5"/>
      <c r="C6634" s="5"/>
      <c r="D6634" s="5"/>
      <c r="E6634" s="150"/>
      <c r="F6634" s="5"/>
    </row>
    <row r="6635">
      <c r="B6635" s="5"/>
      <c r="C6635" s="5"/>
      <c r="D6635" s="5"/>
      <c r="E6635" s="150"/>
      <c r="F6635" s="5"/>
    </row>
    <row r="6636">
      <c r="B6636" s="5"/>
      <c r="C6636" s="5"/>
      <c r="D6636" s="5"/>
      <c r="E6636" s="150"/>
      <c r="F6636" s="5"/>
    </row>
    <row r="6637">
      <c r="B6637" s="5"/>
      <c r="C6637" s="5"/>
      <c r="D6637" s="5"/>
      <c r="E6637" s="150"/>
      <c r="F6637" s="5"/>
    </row>
    <row r="6638">
      <c r="B6638" s="5"/>
      <c r="C6638" s="5"/>
      <c r="D6638" s="5"/>
      <c r="E6638" s="150"/>
      <c r="F6638" s="5"/>
    </row>
    <row r="6639">
      <c r="B6639" s="5"/>
      <c r="C6639" s="5"/>
      <c r="D6639" s="5"/>
      <c r="E6639" s="150"/>
      <c r="F6639" s="5"/>
    </row>
    <row r="6640">
      <c r="B6640" s="5"/>
      <c r="C6640" s="5"/>
      <c r="D6640" s="5"/>
      <c r="E6640" s="150"/>
      <c r="F6640" s="5"/>
    </row>
    <row r="6641">
      <c r="B6641" s="5"/>
      <c r="C6641" s="5"/>
      <c r="D6641" s="5"/>
      <c r="E6641" s="150"/>
      <c r="F6641" s="5"/>
    </row>
    <row r="6642">
      <c r="B6642" s="5"/>
      <c r="C6642" s="5"/>
      <c r="D6642" s="5"/>
      <c r="E6642" s="150"/>
      <c r="F6642" s="5"/>
    </row>
    <row r="6643">
      <c r="B6643" s="5"/>
      <c r="C6643" s="5"/>
      <c r="D6643" s="5"/>
      <c r="E6643" s="150"/>
      <c r="F6643" s="5"/>
    </row>
    <row r="6644">
      <c r="B6644" s="5"/>
      <c r="C6644" s="5"/>
      <c r="D6644" s="5"/>
      <c r="E6644" s="150"/>
      <c r="F6644" s="5"/>
    </row>
    <row r="6645">
      <c r="B6645" s="5"/>
      <c r="C6645" s="5"/>
      <c r="D6645" s="5"/>
      <c r="E6645" s="150"/>
      <c r="F6645" s="5"/>
    </row>
    <row r="6646">
      <c r="B6646" s="5"/>
      <c r="C6646" s="5"/>
      <c r="D6646" s="5"/>
      <c r="E6646" s="150"/>
      <c r="F6646" s="5"/>
    </row>
    <row r="6647">
      <c r="B6647" s="5"/>
      <c r="C6647" s="5"/>
      <c r="D6647" s="5"/>
      <c r="E6647" s="150"/>
      <c r="F6647" s="5"/>
    </row>
    <row r="6648">
      <c r="B6648" s="5"/>
      <c r="C6648" s="5"/>
      <c r="D6648" s="5"/>
      <c r="E6648" s="150"/>
      <c r="F6648" s="5"/>
    </row>
    <row r="6649">
      <c r="B6649" s="5"/>
      <c r="C6649" s="5"/>
      <c r="D6649" s="5"/>
      <c r="E6649" s="150"/>
      <c r="F6649" s="5"/>
    </row>
    <row r="6650">
      <c r="B6650" s="5"/>
      <c r="C6650" s="5"/>
      <c r="D6650" s="5"/>
      <c r="E6650" s="150"/>
      <c r="F6650" s="5"/>
    </row>
    <row r="6651">
      <c r="B6651" s="5"/>
      <c r="C6651" s="5"/>
      <c r="D6651" s="5"/>
      <c r="E6651" s="150"/>
      <c r="F6651" s="5"/>
    </row>
    <row r="6652">
      <c r="B6652" s="5"/>
      <c r="C6652" s="5"/>
      <c r="D6652" s="5"/>
      <c r="E6652" s="150"/>
      <c r="F6652" s="5"/>
    </row>
    <row r="6653">
      <c r="B6653" s="5"/>
      <c r="C6653" s="5"/>
      <c r="D6653" s="5"/>
      <c r="E6653" s="150"/>
      <c r="F6653" s="5"/>
    </row>
    <row r="6654">
      <c r="B6654" s="5"/>
      <c r="C6654" s="5"/>
      <c r="D6654" s="5"/>
      <c r="E6654" s="150"/>
      <c r="F6654" s="5"/>
    </row>
    <row r="6655">
      <c r="B6655" s="5"/>
      <c r="C6655" s="5"/>
      <c r="D6655" s="5"/>
      <c r="E6655" s="150"/>
      <c r="F6655" s="5"/>
    </row>
    <row r="6656">
      <c r="B6656" s="5"/>
      <c r="C6656" s="5"/>
      <c r="D6656" s="5"/>
      <c r="E6656" s="150"/>
      <c r="F6656" s="5"/>
    </row>
    <row r="6657">
      <c r="B6657" s="5"/>
      <c r="C6657" s="5"/>
      <c r="D6657" s="5"/>
      <c r="E6657" s="150"/>
      <c r="F6657" s="5"/>
    </row>
    <row r="6658">
      <c r="B6658" s="5"/>
      <c r="C6658" s="5"/>
      <c r="D6658" s="5"/>
      <c r="E6658" s="150"/>
      <c r="F6658" s="5"/>
    </row>
    <row r="6659">
      <c r="B6659" s="5"/>
      <c r="C6659" s="5"/>
      <c r="D6659" s="5"/>
      <c r="E6659" s="150"/>
      <c r="F6659" s="5"/>
    </row>
    <row r="6660">
      <c r="B6660" s="5"/>
      <c r="C6660" s="5"/>
      <c r="D6660" s="5"/>
      <c r="E6660" s="150"/>
      <c r="F6660" s="5"/>
    </row>
    <row r="6661">
      <c r="B6661" s="5"/>
      <c r="C6661" s="5"/>
      <c r="D6661" s="5"/>
      <c r="E6661" s="150"/>
      <c r="F6661" s="5"/>
    </row>
    <row r="6662">
      <c r="B6662" s="5"/>
      <c r="C6662" s="5"/>
      <c r="D6662" s="5"/>
      <c r="E6662" s="150"/>
      <c r="F6662" s="5"/>
    </row>
    <row r="6663">
      <c r="B6663" s="5"/>
      <c r="C6663" s="5"/>
      <c r="D6663" s="5"/>
      <c r="E6663" s="150"/>
      <c r="F6663" s="5"/>
    </row>
    <row r="6664">
      <c r="B6664" s="5"/>
      <c r="C6664" s="5"/>
      <c r="D6664" s="5"/>
      <c r="E6664" s="150"/>
      <c r="F6664" s="5"/>
    </row>
    <row r="6665">
      <c r="B6665" s="5"/>
      <c r="C6665" s="5"/>
      <c r="D6665" s="5"/>
      <c r="E6665" s="150"/>
      <c r="F6665" s="5"/>
    </row>
    <row r="6666">
      <c r="B6666" s="5"/>
      <c r="C6666" s="5"/>
      <c r="D6666" s="5"/>
      <c r="E6666" s="150"/>
      <c r="F6666" s="5"/>
    </row>
    <row r="6667">
      <c r="B6667" s="5"/>
      <c r="C6667" s="5"/>
      <c r="D6667" s="5"/>
      <c r="E6667" s="150"/>
      <c r="F6667" s="5"/>
    </row>
    <row r="6668">
      <c r="B6668" s="5"/>
      <c r="C6668" s="5"/>
      <c r="D6668" s="5"/>
      <c r="E6668" s="150"/>
      <c r="F6668" s="5"/>
    </row>
    <row r="6669">
      <c r="B6669" s="5"/>
      <c r="C6669" s="5"/>
      <c r="D6669" s="5"/>
      <c r="E6669" s="150"/>
      <c r="F6669" s="5"/>
    </row>
    <row r="6670">
      <c r="B6670" s="5"/>
      <c r="C6670" s="5"/>
      <c r="D6670" s="5"/>
      <c r="E6670" s="150"/>
      <c r="F6670" s="5"/>
    </row>
    <row r="6671">
      <c r="B6671" s="5"/>
      <c r="C6671" s="5"/>
      <c r="D6671" s="5"/>
      <c r="E6671" s="150"/>
      <c r="F6671" s="5"/>
    </row>
    <row r="6672">
      <c r="B6672" s="5"/>
      <c r="C6672" s="5"/>
      <c r="D6672" s="5"/>
      <c r="E6672" s="150"/>
      <c r="F6672" s="5"/>
    </row>
    <row r="6673">
      <c r="B6673" s="5"/>
      <c r="C6673" s="5"/>
      <c r="D6673" s="5"/>
      <c r="E6673" s="150"/>
      <c r="F6673" s="5"/>
    </row>
    <row r="6674">
      <c r="B6674" s="5"/>
      <c r="C6674" s="5"/>
      <c r="D6674" s="5"/>
      <c r="E6674" s="150"/>
      <c r="F6674" s="5"/>
    </row>
    <row r="6675">
      <c r="B6675" s="5"/>
      <c r="C6675" s="5"/>
      <c r="D6675" s="5"/>
      <c r="E6675" s="150"/>
      <c r="F6675" s="5"/>
    </row>
    <row r="6676">
      <c r="B6676" s="5"/>
      <c r="C6676" s="5"/>
      <c r="D6676" s="5"/>
      <c r="E6676" s="150"/>
      <c r="F6676" s="5"/>
    </row>
    <row r="6677">
      <c r="B6677" s="5"/>
      <c r="C6677" s="5"/>
      <c r="D6677" s="5"/>
      <c r="E6677" s="150"/>
      <c r="F6677" s="5"/>
    </row>
    <row r="6678">
      <c r="B6678" s="5"/>
      <c r="C6678" s="5"/>
      <c r="D6678" s="5"/>
      <c r="E6678" s="150"/>
      <c r="F6678" s="5"/>
    </row>
    <row r="6679">
      <c r="B6679" s="5"/>
      <c r="C6679" s="5"/>
      <c r="D6679" s="5"/>
      <c r="E6679" s="150"/>
      <c r="F6679" s="5"/>
    </row>
    <row r="6680">
      <c r="B6680" s="5"/>
      <c r="C6680" s="5"/>
      <c r="D6680" s="5"/>
      <c r="E6680" s="150"/>
      <c r="F6680" s="5"/>
    </row>
    <row r="6681">
      <c r="B6681" s="5"/>
      <c r="C6681" s="5"/>
      <c r="D6681" s="5"/>
      <c r="E6681" s="150"/>
      <c r="F6681" s="5"/>
    </row>
    <row r="6682">
      <c r="B6682" s="5"/>
      <c r="C6682" s="5"/>
      <c r="D6682" s="5"/>
      <c r="E6682" s="150"/>
      <c r="F6682" s="5"/>
    </row>
    <row r="6683">
      <c r="B6683" s="5"/>
      <c r="C6683" s="5"/>
      <c r="D6683" s="5"/>
      <c r="E6683" s="150"/>
      <c r="F6683" s="5"/>
    </row>
    <row r="6684">
      <c r="B6684" s="5"/>
      <c r="C6684" s="5"/>
      <c r="D6684" s="5"/>
      <c r="E6684" s="150"/>
      <c r="F6684" s="5"/>
    </row>
    <row r="6685">
      <c r="B6685" s="5"/>
      <c r="C6685" s="5"/>
      <c r="D6685" s="5"/>
      <c r="E6685" s="150"/>
      <c r="F6685" s="5"/>
    </row>
    <row r="6686">
      <c r="B6686" s="5"/>
      <c r="C6686" s="5"/>
      <c r="D6686" s="5"/>
      <c r="E6686" s="150"/>
      <c r="F6686" s="5"/>
    </row>
    <row r="6687">
      <c r="B6687" s="5"/>
      <c r="C6687" s="5"/>
      <c r="D6687" s="5"/>
      <c r="E6687" s="150"/>
      <c r="F6687" s="5"/>
    </row>
    <row r="6688">
      <c r="B6688" s="5"/>
      <c r="C6688" s="5"/>
      <c r="D6688" s="5"/>
      <c r="E6688" s="150"/>
      <c r="F6688" s="5"/>
    </row>
    <row r="6689">
      <c r="B6689" s="5"/>
      <c r="C6689" s="5"/>
      <c r="D6689" s="5"/>
      <c r="E6689" s="150"/>
      <c r="F6689" s="5"/>
    </row>
    <row r="6690">
      <c r="B6690" s="5"/>
      <c r="C6690" s="5"/>
      <c r="D6690" s="5"/>
      <c r="E6690" s="150"/>
      <c r="F6690" s="5"/>
    </row>
    <row r="6691">
      <c r="B6691" s="5"/>
      <c r="C6691" s="5"/>
      <c r="D6691" s="5"/>
      <c r="E6691" s="150"/>
      <c r="F6691" s="5"/>
    </row>
    <row r="6692">
      <c r="B6692" s="5"/>
      <c r="C6692" s="5"/>
      <c r="D6692" s="5"/>
      <c r="E6692" s="150"/>
      <c r="F6692" s="5"/>
    </row>
    <row r="6693">
      <c r="B6693" s="5"/>
      <c r="C6693" s="5"/>
      <c r="D6693" s="5"/>
      <c r="E6693" s="150"/>
      <c r="F6693" s="5"/>
    </row>
    <row r="6694">
      <c r="B6694" s="5"/>
      <c r="C6694" s="5"/>
      <c r="D6694" s="5"/>
      <c r="E6694" s="150"/>
      <c r="F6694" s="5"/>
    </row>
    <row r="6695">
      <c r="B6695" s="5"/>
      <c r="C6695" s="5"/>
      <c r="D6695" s="5"/>
      <c r="E6695" s="150"/>
      <c r="F6695" s="5"/>
    </row>
    <row r="6696">
      <c r="B6696" s="5"/>
      <c r="C6696" s="5"/>
      <c r="D6696" s="5"/>
      <c r="E6696" s="150"/>
      <c r="F6696" s="5"/>
    </row>
    <row r="6697">
      <c r="B6697" s="5"/>
      <c r="C6697" s="5"/>
      <c r="D6697" s="5"/>
      <c r="E6697" s="150"/>
      <c r="F6697" s="5"/>
    </row>
    <row r="6698">
      <c r="B6698" s="5"/>
      <c r="C6698" s="5"/>
      <c r="D6698" s="5"/>
      <c r="E6698" s="150"/>
      <c r="F6698" s="5"/>
    </row>
    <row r="6699">
      <c r="B6699" s="5"/>
      <c r="C6699" s="5"/>
      <c r="D6699" s="5"/>
      <c r="E6699" s="150"/>
      <c r="F6699" s="5"/>
    </row>
    <row r="6700">
      <c r="B6700" s="5"/>
      <c r="C6700" s="5"/>
      <c r="D6700" s="5"/>
      <c r="E6700" s="150"/>
      <c r="F6700" s="5"/>
    </row>
    <row r="6701">
      <c r="B6701" s="5"/>
      <c r="C6701" s="5"/>
      <c r="D6701" s="5"/>
      <c r="E6701" s="150"/>
      <c r="F6701" s="5"/>
    </row>
    <row r="6702">
      <c r="B6702" s="5"/>
      <c r="C6702" s="5"/>
      <c r="D6702" s="5"/>
      <c r="E6702" s="150"/>
      <c r="F6702" s="5"/>
    </row>
    <row r="6703">
      <c r="B6703" s="5"/>
      <c r="C6703" s="5"/>
      <c r="D6703" s="5"/>
      <c r="E6703" s="150"/>
      <c r="F6703" s="5"/>
    </row>
    <row r="6704">
      <c r="B6704" s="5"/>
      <c r="C6704" s="5"/>
      <c r="D6704" s="5"/>
      <c r="E6704" s="150"/>
      <c r="F6704" s="5"/>
    </row>
    <row r="6705">
      <c r="B6705" s="5"/>
      <c r="C6705" s="5"/>
      <c r="D6705" s="5"/>
      <c r="E6705" s="150"/>
      <c r="F6705" s="5"/>
    </row>
    <row r="6706">
      <c r="B6706" s="5"/>
      <c r="C6706" s="5"/>
      <c r="D6706" s="5"/>
      <c r="E6706" s="150"/>
      <c r="F6706" s="5"/>
    </row>
    <row r="6707">
      <c r="B6707" s="5"/>
      <c r="C6707" s="5"/>
      <c r="D6707" s="5"/>
      <c r="E6707" s="150"/>
      <c r="F6707" s="5"/>
    </row>
    <row r="6708">
      <c r="B6708" s="5"/>
      <c r="C6708" s="5"/>
      <c r="D6708" s="5"/>
      <c r="E6708" s="150"/>
      <c r="F6708" s="5"/>
    </row>
    <row r="6709">
      <c r="B6709" s="5"/>
      <c r="C6709" s="5"/>
      <c r="D6709" s="5"/>
      <c r="E6709" s="150"/>
      <c r="F6709" s="5"/>
    </row>
    <row r="6710">
      <c r="B6710" s="5"/>
      <c r="C6710" s="5"/>
      <c r="D6710" s="5"/>
      <c r="E6710" s="150"/>
      <c r="F6710" s="5"/>
    </row>
    <row r="6711">
      <c r="B6711" s="5"/>
      <c r="C6711" s="5"/>
      <c r="D6711" s="5"/>
      <c r="E6711" s="150"/>
      <c r="F6711" s="5"/>
    </row>
    <row r="6712">
      <c r="B6712" s="5"/>
      <c r="C6712" s="5"/>
      <c r="D6712" s="5"/>
      <c r="E6712" s="150"/>
      <c r="F6712" s="5"/>
    </row>
    <row r="6713">
      <c r="B6713" s="5"/>
      <c r="C6713" s="5"/>
      <c r="D6713" s="5"/>
      <c r="E6713" s="150"/>
      <c r="F6713" s="5"/>
    </row>
    <row r="6714">
      <c r="B6714" s="5"/>
      <c r="C6714" s="5"/>
      <c r="D6714" s="5"/>
      <c r="E6714" s="150"/>
      <c r="F6714" s="5"/>
    </row>
    <row r="6715">
      <c r="B6715" s="5"/>
      <c r="C6715" s="5"/>
      <c r="D6715" s="5"/>
      <c r="E6715" s="150"/>
      <c r="F6715" s="5"/>
    </row>
    <row r="6716">
      <c r="B6716" s="5"/>
      <c r="C6716" s="5"/>
      <c r="D6716" s="5"/>
      <c r="E6716" s="150"/>
      <c r="F6716" s="5"/>
    </row>
    <row r="6717">
      <c r="B6717" s="5"/>
      <c r="C6717" s="5"/>
      <c r="D6717" s="5"/>
      <c r="E6717" s="150"/>
      <c r="F6717" s="5"/>
    </row>
    <row r="6718">
      <c r="B6718" s="5"/>
      <c r="C6718" s="5"/>
      <c r="D6718" s="5"/>
      <c r="E6718" s="150"/>
      <c r="F6718" s="5"/>
    </row>
    <row r="6719">
      <c r="B6719" s="5"/>
      <c r="C6719" s="5"/>
      <c r="D6719" s="5"/>
      <c r="E6719" s="150"/>
      <c r="F6719" s="5"/>
    </row>
    <row r="6720">
      <c r="B6720" s="5"/>
      <c r="C6720" s="5"/>
      <c r="D6720" s="5"/>
      <c r="E6720" s="150"/>
      <c r="F6720" s="5"/>
    </row>
    <row r="6721">
      <c r="B6721" s="5"/>
      <c r="C6721" s="5"/>
      <c r="D6721" s="5"/>
      <c r="E6721" s="150"/>
      <c r="F6721" s="5"/>
    </row>
    <row r="6722">
      <c r="B6722" s="5"/>
      <c r="C6722" s="5"/>
      <c r="D6722" s="5"/>
      <c r="E6722" s="150"/>
      <c r="F6722" s="5"/>
    </row>
    <row r="6723">
      <c r="B6723" s="5"/>
      <c r="C6723" s="5"/>
      <c r="D6723" s="5"/>
      <c r="E6723" s="150"/>
      <c r="F6723" s="5"/>
    </row>
    <row r="6724">
      <c r="B6724" s="5"/>
      <c r="C6724" s="5"/>
      <c r="D6724" s="5"/>
      <c r="E6724" s="150"/>
      <c r="F6724" s="5"/>
    </row>
    <row r="6725">
      <c r="B6725" s="5"/>
      <c r="C6725" s="5"/>
      <c r="D6725" s="5"/>
      <c r="E6725" s="150"/>
      <c r="F6725" s="5"/>
    </row>
    <row r="6726">
      <c r="B6726" s="5"/>
      <c r="C6726" s="5"/>
      <c r="D6726" s="5"/>
      <c r="E6726" s="150"/>
      <c r="F6726" s="5"/>
    </row>
    <row r="6727">
      <c r="B6727" s="5"/>
      <c r="C6727" s="5"/>
      <c r="D6727" s="5"/>
      <c r="E6727" s="150"/>
      <c r="F6727" s="5"/>
    </row>
    <row r="6728">
      <c r="B6728" s="5"/>
      <c r="C6728" s="5"/>
      <c r="D6728" s="5"/>
      <c r="E6728" s="150"/>
      <c r="F6728" s="5"/>
    </row>
    <row r="6729">
      <c r="B6729" s="5"/>
      <c r="C6729" s="5"/>
      <c r="D6729" s="5"/>
      <c r="E6729" s="150"/>
      <c r="F6729" s="5"/>
    </row>
    <row r="6730">
      <c r="B6730" s="5"/>
      <c r="C6730" s="5"/>
      <c r="D6730" s="5"/>
      <c r="E6730" s="150"/>
      <c r="F6730" s="5"/>
    </row>
    <row r="6731">
      <c r="B6731" s="5"/>
      <c r="C6731" s="5"/>
      <c r="D6731" s="5"/>
      <c r="E6731" s="150"/>
      <c r="F6731" s="5"/>
    </row>
    <row r="6732">
      <c r="B6732" s="5"/>
      <c r="C6732" s="5"/>
      <c r="D6732" s="5"/>
      <c r="E6732" s="150"/>
      <c r="F6732" s="5"/>
    </row>
    <row r="6733">
      <c r="B6733" s="5"/>
      <c r="C6733" s="5"/>
      <c r="D6733" s="5"/>
      <c r="E6733" s="150"/>
      <c r="F6733" s="5"/>
    </row>
    <row r="6734">
      <c r="B6734" s="5"/>
      <c r="C6734" s="5"/>
      <c r="D6734" s="5"/>
      <c r="E6734" s="150"/>
      <c r="F6734" s="5"/>
    </row>
    <row r="6735">
      <c r="B6735" s="5"/>
      <c r="C6735" s="5"/>
      <c r="D6735" s="5"/>
      <c r="E6735" s="150"/>
      <c r="F6735" s="5"/>
    </row>
    <row r="6736">
      <c r="B6736" s="5"/>
      <c r="C6736" s="5"/>
      <c r="D6736" s="5"/>
      <c r="E6736" s="150"/>
      <c r="F6736" s="5"/>
    </row>
    <row r="6737">
      <c r="B6737" s="5"/>
      <c r="C6737" s="5"/>
      <c r="D6737" s="5"/>
      <c r="E6737" s="150"/>
      <c r="F6737" s="5"/>
    </row>
    <row r="6738">
      <c r="B6738" s="5"/>
      <c r="C6738" s="5"/>
      <c r="D6738" s="5"/>
      <c r="E6738" s="150"/>
      <c r="F6738" s="5"/>
    </row>
    <row r="6739">
      <c r="B6739" s="5"/>
      <c r="C6739" s="5"/>
      <c r="D6739" s="5"/>
      <c r="E6739" s="150"/>
      <c r="F6739" s="5"/>
    </row>
    <row r="6740">
      <c r="B6740" s="5"/>
      <c r="C6740" s="5"/>
      <c r="D6740" s="5"/>
      <c r="E6740" s="150"/>
      <c r="F6740" s="5"/>
    </row>
    <row r="6741">
      <c r="B6741" s="5"/>
      <c r="C6741" s="5"/>
      <c r="D6741" s="5"/>
      <c r="E6741" s="150"/>
      <c r="F6741" s="5"/>
    </row>
    <row r="6742">
      <c r="B6742" s="5"/>
      <c r="C6742" s="5"/>
      <c r="D6742" s="5"/>
      <c r="E6742" s="150"/>
      <c r="F6742" s="5"/>
    </row>
    <row r="6743">
      <c r="B6743" s="5"/>
      <c r="C6743" s="5"/>
      <c r="D6743" s="5"/>
      <c r="E6743" s="150"/>
      <c r="F6743" s="5"/>
    </row>
    <row r="6744">
      <c r="B6744" s="5"/>
      <c r="C6744" s="5"/>
      <c r="D6744" s="5"/>
      <c r="E6744" s="150"/>
      <c r="F6744" s="5"/>
    </row>
    <row r="6745">
      <c r="B6745" s="5"/>
      <c r="C6745" s="5"/>
      <c r="D6745" s="5"/>
      <c r="E6745" s="150"/>
      <c r="F6745" s="5"/>
    </row>
    <row r="6746">
      <c r="B6746" s="5"/>
      <c r="C6746" s="5"/>
      <c r="D6746" s="5"/>
      <c r="E6746" s="150"/>
      <c r="F6746" s="5"/>
    </row>
    <row r="6747">
      <c r="B6747" s="5"/>
      <c r="C6747" s="5"/>
      <c r="D6747" s="5"/>
      <c r="E6747" s="150"/>
      <c r="F6747" s="5"/>
    </row>
    <row r="6748">
      <c r="B6748" s="5"/>
      <c r="C6748" s="5"/>
      <c r="D6748" s="5"/>
      <c r="E6748" s="150"/>
      <c r="F6748" s="5"/>
    </row>
    <row r="6749">
      <c r="B6749" s="5"/>
      <c r="C6749" s="5"/>
      <c r="D6749" s="5"/>
      <c r="E6749" s="150"/>
      <c r="F6749" s="5"/>
    </row>
    <row r="6750">
      <c r="B6750" s="5"/>
      <c r="C6750" s="5"/>
      <c r="D6750" s="5"/>
      <c r="E6750" s="150"/>
      <c r="F6750" s="5"/>
    </row>
    <row r="6751">
      <c r="B6751" s="5"/>
      <c r="C6751" s="5"/>
      <c r="D6751" s="5"/>
      <c r="E6751" s="150"/>
      <c r="F6751" s="5"/>
    </row>
    <row r="6752">
      <c r="B6752" s="5"/>
      <c r="C6752" s="5"/>
      <c r="D6752" s="5"/>
      <c r="E6752" s="150"/>
      <c r="F6752" s="5"/>
    </row>
    <row r="6753">
      <c r="B6753" s="5"/>
      <c r="C6753" s="5"/>
      <c r="D6753" s="5"/>
      <c r="E6753" s="150"/>
      <c r="F6753" s="5"/>
    </row>
    <row r="6754">
      <c r="B6754" s="5"/>
      <c r="C6754" s="5"/>
      <c r="D6754" s="5"/>
      <c r="E6754" s="150"/>
      <c r="F6754" s="5"/>
    </row>
    <row r="6755">
      <c r="B6755" s="5"/>
      <c r="C6755" s="5"/>
      <c r="D6755" s="5"/>
      <c r="E6755" s="150"/>
      <c r="F6755" s="5"/>
    </row>
    <row r="6756">
      <c r="B6756" s="5"/>
      <c r="C6756" s="5"/>
      <c r="D6756" s="5"/>
      <c r="E6756" s="150"/>
      <c r="F6756" s="5"/>
    </row>
    <row r="6757">
      <c r="B6757" s="5"/>
      <c r="C6757" s="5"/>
      <c r="D6757" s="5"/>
      <c r="E6757" s="150"/>
      <c r="F6757" s="5"/>
    </row>
    <row r="6758">
      <c r="B6758" s="5"/>
      <c r="C6758" s="5"/>
      <c r="D6758" s="5"/>
      <c r="E6758" s="150"/>
      <c r="F6758" s="5"/>
    </row>
    <row r="6759">
      <c r="B6759" s="5"/>
      <c r="C6759" s="5"/>
      <c r="D6759" s="5"/>
      <c r="E6759" s="150"/>
      <c r="F6759" s="5"/>
    </row>
    <row r="6760">
      <c r="B6760" s="5"/>
      <c r="C6760" s="5"/>
      <c r="D6760" s="5"/>
      <c r="E6760" s="150"/>
      <c r="F6760" s="5"/>
    </row>
    <row r="6761">
      <c r="B6761" s="5"/>
      <c r="C6761" s="5"/>
      <c r="D6761" s="5"/>
      <c r="E6761" s="150"/>
      <c r="F6761" s="5"/>
    </row>
    <row r="6762">
      <c r="B6762" s="5"/>
      <c r="C6762" s="5"/>
      <c r="D6762" s="5"/>
      <c r="E6762" s="150"/>
      <c r="F6762" s="5"/>
    </row>
    <row r="6763">
      <c r="B6763" s="5"/>
      <c r="C6763" s="5"/>
      <c r="D6763" s="5"/>
      <c r="E6763" s="150"/>
      <c r="F6763" s="5"/>
    </row>
    <row r="6764">
      <c r="B6764" s="5"/>
      <c r="C6764" s="5"/>
      <c r="D6764" s="5"/>
      <c r="E6764" s="150"/>
      <c r="F6764" s="5"/>
    </row>
    <row r="6765">
      <c r="B6765" s="5"/>
      <c r="C6765" s="5"/>
      <c r="D6765" s="5"/>
      <c r="E6765" s="150"/>
      <c r="F6765" s="5"/>
    </row>
    <row r="6766">
      <c r="B6766" s="5"/>
      <c r="C6766" s="5"/>
      <c r="D6766" s="5"/>
      <c r="E6766" s="150"/>
      <c r="F6766" s="5"/>
    </row>
    <row r="6767">
      <c r="B6767" s="5"/>
      <c r="C6767" s="5"/>
      <c r="D6767" s="5"/>
      <c r="E6767" s="150"/>
      <c r="F6767" s="5"/>
    </row>
    <row r="6768">
      <c r="B6768" s="5"/>
      <c r="C6768" s="5"/>
      <c r="D6768" s="5"/>
      <c r="E6768" s="150"/>
      <c r="F6768" s="5"/>
    </row>
    <row r="6769">
      <c r="B6769" s="5"/>
      <c r="C6769" s="5"/>
      <c r="D6769" s="5"/>
      <c r="E6769" s="150"/>
      <c r="F6769" s="5"/>
    </row>
    <row r="6770">
      <c r="B6770" s="5"/>
      <c r="C6770" s="5"/>
      <c r="D6770" s="5"/>
      <c r="E6770" s="150"/>
      <c r="F6770" s="5"/>
    </row>
    <row r="6771">
      <c r="B6771" s="5"/>
      <c r="C6771" s="5"/>
      <c r="D6771" s="5"/>
      <c r="E6771" s="150"/>
      <c r="F6771" s="5"/>
    </row>
    <row r="6772">
      <c r="B6772" s="5"/>
      <c r="C6772" s="5"/>
      <c r="D6772" s="5"/>
      <c r="E6772" s="150"/>
      <c r="F6772" s="5"/>
    </row>
    <row r="6773">
      <c r="B6773" s="5"/>
      <c r="C6773" s="5"/>
      <c r="D6773" s="5"/>
      <c r="E6773" s="150"/>
      <c r="F6773" s="5"/>
    </row>
    <row r="6774">
      <c r="B6774" s="5"/>
      <c r="C6774" s="5"/>
      <c r="D6774" s="5"/>
      <c r="E6774" s="150"/>
      <c r="F6774" s="5"/>
    </row>
    <row r="6775">
      <c r="B6775" s="5"/>
      <c r="C6775" s="5"/>
      <c r="D6775" s="5"/>
      <c r="E6775" s="150"/>
      <c r="F6775" s="5"/>
    </row>
    <row r="6776">
      <c r="B6776" s="5"/>
      <c r="C6776" s="5"/>
      <c r="D6776" s="5"/>
      <c r="E6776" s="150"/>
      <c r="F6776" s="5"/>
    </row>
    <row r="6777">
      <c r="B6777" s="5"/>
      <c r="C6777" s="5"/>
      <c r="D6777" s="5"/>
      <c r="E6777" s="150"/>
      <c r="F6777" s="5"/>
    </row>
    <row r="6778">
      <c r="B6778" s="5"/>
      <c r="C6778" s="5"/>
      <c r="D6778" s="5"/>
      <c r="E6778" s="150"/>
      <c r="F6778" s="5"/>
    </row>
    <row r="6779">
      <c r="B6779" s="5"/>
      <c r="C6779" s="5"/>
      <c r="D6779" s="5"/>
      <c r="E6779" s="150"/>
      <c r="F6779" s="5"/>
    </row>
    <row r="6780">
      <c r="B6780" s="5"/>
      <c r="C6780" s="5"/>
      <c r="D6780" s="5"/>
      <c r="E6780" s="150"/>
      <c r="F6780" s="5"/>
    </row>
    <row r="6781">
      <c r="B6781" s="5"/>
      <c r="C6781" s="5"/>
      <c r="D6781" s="5"/>
      <c r="E6781" s="150"/>
      <c r="F6781" s="5"/>
    </row>
    <row r="6782">
      <c r="B6782" s="5"/>
      <c r="C6782" s="5"/>
      <c r="D6782" s="5"/>
      <c r="E6782" s="150"/>
      <c r="F6782" s="5"/>
    </row>
    <row r="6783">
      <c r="B6783" s="5"/>
      <c r="C6783" s="5"/>
      <c r="D6783" s="5"/>
      <c r="E6783" s="150"/>
      <c r="F6783" s="5"/>
    </row>
    <row r="6784">
      <c r="B6784" s="5"/>
      <c r="C6784" s="5"/>
      <c r="D6784" s="5"/>
      <c r="E6784" s="150"/>
      <c r="F6784" s="5"/>
    </row>
    <row r="6785">
      <c r="B6785" s="5"/>
      <c r="C6785" s="5"/>
      <c r="D6785" s="5"/>
      <c r="E6785" s="150"/>
      <c r="F6785" s="5"/>
    </row>
    <row r="6786">
      <c r="B6786" s="5"/>
      <c r="C6786" s="5"/>
      <c r="D6786" s="5"/>
      <c r="E6786" s="150"/>
      <c r="F6786" s="5"/>
    </row>
    <row r="6787">
      <c r="B6787" s="5"/>
      <c r="C6787" s="5"/>
      <c r="D6787" s="5"/>
      <c r="E6787" s="150"/>
      <c r="F6787" s="5"/>
    </row>
    <row r="6788">
      <c r="B6788" s="5"/>
      <c r="C6788" s="5"/>
      <c r="D6788" s="5"/>
      <c r="E6788" s="150"/>
      <c r="F6788" s="5"/>
    </row>
    <row r="6789">
      <c r="B6789" s="5"/>
      <c r="C6789" s="5"/>
      <c r="D6789" s="5"/>
      <c r="E6789" s="150"/>
      <c r="F6789" s="5"/>
    </row>
    <row r="6790">
      <c r="B6790" s="5"/>
      <c r="C6790" s="5"/>
      <c r="D6790" s="5"/>
      <c r="E6790" s="150"/>
      <c r="F6790" s="5"/>
    </row>
    <row r="6791">
      <c r="B6791" s="5"/>
      <c r="C6791" s="5"/>
      <c r="D6791" s="5"/>
      <c r="E6791" s="150"/>
      <c r="F6791" s="5"/>
    </row>
    <row r="6792">
      <c r="B6792" s="5"/>
      <c r="C6792" s="5"/>
      <c r="D6792" s="5"/>
      <c r="E6792" s="150"/>
      <c r="F6792" s="5"/>
    </row>
    <row r="6793">
      <c r="B6793" s="5"/>
      <c r="C6793" s="5"/>
      <c r="D6793" s="5"/>
      <c r="E6793" s="150"/>
      <c r="F6793" s="5"/>
    </row>
    <row r="6794">
      <c r="B6794" s="5"/>
      <c r="C6794" s="5"/>
      <c r="D6794" s="5"/>
      <c r="E6794" s="150"/>
      <c r="F6794" s="5"/>
    </row>
    <row r="6795">
      <c r="B6795" s="5"/>
      <c r="C6795" s="5"/>
      <c r="D6795" s="5"/>
      <c r="E6795" s="150"/>
      <c r="F6795" s="5"/>
    </row>
    <row r="6796">
      <c r="B6796" s="5"/>
      <c r="C6796" s="5"/>
      <c r="D6796" s="5"/>
      <c r="E6796" s="150"/>
      <c r="F6796" s="5"/>
    </row>
    <row r="6797">
      <c r="B6797" s="5"/>
      <c r="C6797" s="5"/>
      <c r="D6797" s="5"/>
      <c r="E6797" s="150"/>
      <c r="F6797" s="5"/>
    </row>
    <row r="6798">
      <c r="B6798" s="5"/>
      <c r="C6798" s="5"/>
      <c r="D6798" s="5"/>
      <c r="E6798" s="150"/>
      <c r="F6798" s="5"/>
    </row>
    <row r="6799">
      <c r="B6799" s="5"/>
      <c r="C6799" s="5"/>
      <c r="D6799" s="5"/>
      <c r="E6799" s="150"/>
      <c r="F6799" s="5"/>
    </row>
    <row r="6800">
      <c r="B6800" s="5"/>
      <c r="C6800" s="5"/>
      <c r="D6800" s="5"/>
      <c r="E6800" s="150"/>
      <c r="F6800" s="5"/>
    </row>
    <row r="6801">
      <c r="B6801" s="5"/>
      <c r="C6801" s="5"/>
      <c r="D6801" s="5"/>
      <c r="E6801" s="150"/>
      <c r="F6801" s="5"/>
    </row>
    <row r="6802">
      <c r="B6802" s="5"/>
      <c r="C6802" s="5"/>
      <c r="D6802" s="5"/>
      <c r="E6802" s="150"/>
      <c r="F6802" s="5"/>
    </row>
    <row r="6803">
      <c r="B6803" s="5"/>
      <c r="C6803" s="5"/>
      <c r="D6803" s="5"/>
      <c r="E6803" s="150"/>
      <c r="F6803" s="5"/>
    </row>
    <row r="6804">
      <c r="B6804" s="5"/>
      <c r="C6804" s="5"/>
      <c r="D6804" s="5"/>
      <c r="E6804" s="150"/>
      <c r="F6804" s="5"/>
    </row>
    <row r="6805">
      <c r="B6805" s="5"/>
      <c r="C6805" s="5"/>
      <c r="D6805" s="5"/>
      <c r="E6805" s="150"/>
      <c r="F6805" s="5"/>
    </row>
    <row r="6806">
      <c r="B6806" s="5"/>
      <c r="C6806" s="5"/>
      <c r="D6806" s="5"/>
      <c r="E6806" s="150"/>
      <c r="F6806" s="5"/>
    </row>
    <row r="6807">
      <c r="B6807" s="5"/>
      <c r="C6807" s="5"/>
      <c r="D6807" s="5"/>
      <c r="E6807" s="150"/>
      <c r="F6807" s="5"/>
    </row>
    <row r="6808">
      <c r="B6808" s="5"/>
      <c r="C6808" s="5"/>
      <c r="D6808" s="5"/>
      <c r="E6808" s="150"/>
      <c r="F6808" s="5"/>
    </row>
    <row r="6809">
      <c r="B6809" s="5"/>
      <c r="C6809" s="5"/>
      <c r="D6809" s="5"/>
      <c r="E6809" s="150"/>
      <c r="F6809" s="5"/>
    </row>
    <row r="6810">
      <c r="B6810" s="5"/>
      <c r="C6810" s="5"/>
      <c r="D6810" s="5"/>
      <c r="E6810" s="150"/>
      <c r="F6810" s="5"/>
    </row>
    <row r="6811">
      <c r="B6811" s="5"/>
      <c r="C6811" s="5"/>
      <c r="D6811" s="5"/>
      <c r="E6811" s="150"/>
      <c r="F6811" s="5"/>
    </row>
    <row r="6812">
      <c r="B6812" s="5"/>
      <c r="C6812" s="5"/>
      <c r="D6812" s="5"/>
      <c r="E6812" s="150"/>
      <c r="F6812" s="5"/>
    </row>
    <row r="6813">
      <c r="B6813" s="5"/>
      <c r="C6813" s="5"/>
      <c r="D6813" s="5"/>
      <c r="E6813" s="150"/>
      <c r="F6813" s="5"/>
    </row>
    <row r="6814">
      <c r="B6814" s="5"/>
      <c r="C6814" s="5"/>
      <c r="D6814" s="5"/>
      <c r="E6814" s="150"/>
      <c r="F6814" s="5"/>
    </row>
    <row r="6815">
      <c r="B6815" s="5"/>
      <c r="C6815" s="5"/>
      <c r="D6815" s="5"/>
      <c r="E6815" s="150"/>
      <c r="F6815" s="5"/>
    </row>
    <row r="6816">
      <c r="B6816" s="5"/>
      <c r="C6816" s="5"/>
      <c r="D6816" s="5"/>
      <c r="E6816" s="150"/>
      <c r="F6816" s="5"/>
    </row>
    <row r="6817">
      <c r="B6817" s="5"/>
      <c r="C6817" s="5"/>
      <c r="D6817" s="5"/>
      <c r="E6817" s="150"/>
      <c r="F6817" s="5"/>
    </row>
    <row r="6818">
      <c r="B6818" s="5"/>
      <c r="C6818" s="5"/>
      <c r="D6818" s="5"/>
      <c r="E6818" s="150"/>
      <c r="F6818" s="5"/>
    </row>
    <row r="6819">
      <c r="B6819" s="5"/>
      <c r="C6819" s="5"/>
      <c r="D6819" s="5"/>
      <c r="E6819" s="150"/>
      <c r="F6819" s="5"/>
    </row>
    <row r="6820">
      <c r="B6820" s="5"/>
      <c r="C6820" s="5"/>
      <c r="D6820" s="5"/>
      <c r="E6820" s="150"/>
      <c r="F6820" s="5"/>
    </row>
    <row r="6821">
      <c r="B6821" s="5"/>
      <c r="C6821" s="5"/>
      <c r="D6821" s="5"/>
      <c r="E6821" s="150"/>
      <c r="F6821" s="5"/>
    </row>
    <row r="6822">
      <c r="B6822" s="5"/>
      <c r="C6822" s="5"/>
      <c r="D6822" s="5"/>
      <c r="E6822" s="150"/>
      <c r="F6822" s="5"/>
    </row>
    <row r="6823">
      <c r="B6823" s="5"/>
      <c r="C6823" s="5"/>
      <c r="D6823" s="5"/>
      <c r="E6823" s="150"/>
      <c r="F6823" s="5"/>
    </row>
    <row r="6824">
      <c r="B6824" s="5"/>
      <c r="C6824" s="5"/>
      <c r="D6824" s="5"/>
      <c r="E6824" s="150"/>
      <c r="F6824" s="5"/>
    </row>
    <row r="6825">
      <c r="B6825" s="5"/>
      <c r="C6825" s="5"/>
      <c r="D6825" s="5"/>
      <c r="E6825" s="150"/>
      <c r="F6825" s="5"/>
    </row>
    <row r="6826">
      <c r="B6826" s="5"/>
      <c r="C6826" s="5"/>
      <c r="D6826" s="5"/>
      <c r="E6826" s="150"/>
      <c r="F6826" s="5"/>
    </row>
    <row r="6827">
      <c r="B6827" s="5"/>
      <c r="C6827" s="5"/>
      <c r="D6827" s="5"/>
      <c r="E6827" s="150"/>
      <c r="F6827" s="5"/>
    </row>
    <row r="6828">
      <c r="B6828" s="5"/>
      <c r="C6828" s="5"/>
      <c r="D6828" s="5"/>
      <c r="E6828" s="150"/>
      <c r="F6828" s="5"/>
    </row>
    <row r="6829">
      <c r="B6829" s="5"/>
      <c r="C6829" s="5"/>
      <c r="D6829" s="5"/>
      <c r="E6829" s="150"/>
      <c r="F6829" s="5"/>
    </row>
    <row r="6830">
      <c r="B6830" s="5"/>
      <c r="C6830" s="5"/>
      <c r="D6830" s="5"/>
      <c r="E6830" s="150"/>
      <c r="F6830" s="5"/>
    </row>
    <row r="6831">
      <c r="B6831" s="5"/>
      <c r="C6831" s="5"/>
      <c r="D6831" s="5"/>
      <c r="E6831" s="150"/>
      <c r="F6831" s="5"/>
    </row>
    <row r="6832">
      <c r="B6832" s="5"/>
      <c r="C6832" s="5"/>
      <c r="D6832" s="5"/>
      <c r="E6832" s="150"/>
      <c r="F6832" s="5"/>
    </row>
    <row r="6833">
      <c r="B6833" s="5"/>
      <c r="C6833" s="5"/>
      <c r="D6833" s="5"/>
      <c r="E6833" s="150"/>
      <c r="F6833" s="5"/>
    </row>
    <row r="6834">
      <c r="B6834" s="5"/>
      <c r="C6834" s="5"/>
      <c r="D6834" s="5"/>
      <c r="E6834" s="150"/>
      <c r="F6834" s="5"/>
    </row>
    <row r="6835">
      <c r="B6835" s="5"/>
      <c r="C6835" s="5"/>
      <c r="D6835" s="5"/>
      <c r="E6835" s="150"/>
      <c r="F6835" s="5"/>
    </row>
    <row r="6836">
      <c r="B6836" s="5"/>
      <c r="C6836" s="5"/>
      <c r="D6836" s="5"/>
      <c r="E6836" s="150"/>
      <c r="F6836" s="5"/>
    </row>
    <row r="6837">
      <c r="B6837" s="5"/>
      <c r="C6837" s="5"/>
      <c r="D6837" s="5"/>
      <c r="E6837" s="150"/>
      <c r="F6837" s="5"/>
    </row>
    <row r="6838">
      <c r="B6838" s="5"/>
      <c r="C6838" s="5"/>
      <c r="D6838" s="5"/>
      <c r="E6838" s="150"/>
      <c r="F6838" s="5"/>
    </row>
    <row r="6839">
      <c r="B6839" s="5"/>
      <c r="C6839" s="5"/>
      <c r="D6839" s="5"/>
      <c r="E6839" s="150"/>
      <c r="F6839" s="5"/>
    </row>
    <row r="6840">
      <c r="B6840" s="5"/>
      <c r="C6840" s="5"/>
      <c r="D6840" s="5"/>
      <c r="E6840" s="150"/>
      <c r="F6840" s="5"/>
    </row>
    <row r="6841">
      <c r="B6841" s="5"/>
      <c r="C6841" s="5"/>
      <c r="D6841" s="5"/>
      <c r="E6841" s="150"/>
      <c r="F6841" s="5"/>
    </row>
    <row r="6842">
      <c r="B6842" s="5"/>
      <c r="C6842" s="5"/>
      <c r="D6842" s="5"/>
      <c r="E6842" s="150"/>
      <c r="F6842" s="5"/>
    </row>
    <row r="6843">
      <c r="B6843" s="5"/>
      <c r="C6843" s="5"/>
      <c r="D6843" s="5"/>
      <c r="E6843" s="150"/>
      <c r="F6843" s="5"/>
    </row>
    <row r="6844">
      <c r="B6844" s="5"/>
      <c r="C6844" s="5"/>
      <c r="D6844" s="5"/>
      <c r="E6844" s="150"/>
      <c r="F6844" s="5"/>
    </row>
    <row r="6845">
      <c r="B6845" s="5"/>
      <c r="C6845" s="5"/>
      <c r="D6845" s="5"/>
      <c r="E6845" s="150"/>
      <c r="F6845" s="5"/>
    </row>
    <row r="6846">
      <c r="B6846" s="5"/>
      <c r="C6846" s="5"/>
      <c r="D6846" s="5"/>
      <c r="E6846" s="150"/>
      <c r="F6846" s="5"/>
    </row>
    <row r="6847">
      <c r="B6847" s="5"/>
      <c r="C6847" s="5"/>
      <c r="D6847" s="5"/>
      <c r="E6847" s="150"/>
      <c r="F6847" s="5"/>
    </row>
    <row r="6848">
      <c r="B6848" s="5"/>
      <c r="C6848" s="5"/>
      <c r="D6848" s="5"/>
      <c r="E6848" s="150"/>
      <c r="F6848" s="5"/>
    </row>
    <row r="6849">
      <c r="B6849" s="5"/>
      <c r="C6849" s="5"/>
      <c r="D6849" s="5"/>
      <c r="E6849" s="150"/>
      <c r="F6849" s="5"/>
    </row>
    <row r="6850">
      <c r="B6850" s="5"/>
      <c r="C6850" s="5"/>
      <c r="D6850" s="5"/>
      <c r="E6850" s="150"/>
      <c r="F6850" s="5"/>
    </row>
    <row r="6851">
      <c r="B6851" s="5"/>
      <c r="C6851" s="5"/>
      <c r="D6851" s="5"/>
      <c r="E6851" s="150"/>
      <c r="F6851" s="5"/>
    </row>
    <row r="6852">
      <c r="B6852" s="5"/>
      <c r="C6852" s="5"/>
      <c r="D6852" s="5"/>
      <c r="E6852" s="150"/>
      <c r="F6852" s="5"/>
    </row>
    <row r="6853">
      <c r="B6853" s="5"/>
      <c r="C6853" s="5"/>
      <c r="D6853" s="5"/>
      <c r="E6853" s="150"/>
      <c r="F6853" s="5"/>
    </row>
    <row r="6854">
      <c r="B6854" s="5"/>
      <c r="C6854" s="5"/>
      <c r="D6854" s="5"/>
      <c r="E6854" s="150"/>
      <c r="F6854" s="5"/>
    </row>
    <row r="6855">
      <c r="B6855" s="5"/>
      <c r="C6855" s="5"/>
      <c r="D6855" s="5"/>
      <c r="E6855" s="150"/>
      <c r="F6855" s="5"/>
    </row>
    <row r="6856">
      <c r="B6856" s="5"/>
      <c r="C6856" s="5"/>
      <c r="D6856" s="5"/>
      <c r="E6856" s="150"/>
      <c r="F6856" s="5"/>
    </row>
    <row r="6857">
      <c r="B6857" s="5"/>
      <c r="C6857" s="5"/>
      <c r="D6857" s="5"/>
      <c r="E6857" s="150"/>
      <c r="F6857" s="5"/>
    </row>
    <row r="6858">
      <c r="B6858" s="5"/>
      <c r="C6858" s="5"/>
      <c r="D6858" s="5"/>
      <c r="E6858" s="150"/>
      <c r="F6858" s="5"/>
    </row>
    <row r="6859">
      <c r="B6859" s="5"/>
      <c r="C6859" s="5"/>
      <c r="D6859" s="5"/>
      <c r="E6859" s="150"/>
      <c r="F6859" s="5"/>
    </row>
    <row r="6860">
      <c r="B6860" s="5"/>
      <c r="C6860" s="5"/>
      <c r="D6860" s="5"/>
      <c r="E6860" s="150"/>
      <c r="F6860" s="5"/>
    </row>
    <row r="6861">
      <c r="B6861" s="5"/>
      <c r="C6861" s="5"/>
      <c r="D6861" s="5"/>
      <c r="E6861" s="150"/>
      <c r="F6861" s="5"/>
    </row>
    <row r="6862">
      <c r="B6862" s="5"/>
      <c r="C6862" s="5"/>
      <c r="D6862" s="5"/>
      <c r="E6862" s="150"/>
      <c r="F6862" s="5"/>
    </row>
    <row r="6863">
      <c r="B6863" s="5"/>
      <c r="C6863" s="5"/>
      <c r="D6863" s="5"/>
      <c r="E6863" s="150"/>
      <c r="F6863" s="5"/>
    </row>
    <row r="6864">
      <c r="B6864" s="5"/>
      <c r="C6864" s="5"/>
      <c r="D6864" s="5"/>
      <c r="E6864" s="150"/>
      <c r="F6864" s="5"/>
    </row>
    <row r="6865">
      <c r="B6865" s="5"/>
      <c r="C6865" s="5"/>
      <c r="D6865" s="5"/>
      <c r="E6865" s="150"/>
      <c r="F6865" s="5"/>
    </row>
    <row r="6866">
      <c r="B6866" s="5"/>
      <c r="C6866" s="5"/>
      <c r="D6866" s="5"/>
      <c r="E6866" s="150"/>
      <c r="F6866" s="5"/>
    </row>
    <row r="6867">
      <c r="B6867" s="5"/>
      <c r="C6867" s="5"/>
      <c r="D6867" s="5"/>
      <c r="E6867" s="150"/>
      <c r="F6867" s="5"/>
    </row>
    <row r="6868">
      <c r="B6868" s="5"/>
      <c r="C6868" s="5"/>
      <c r="D6868" s="5"/>
      <c r="E6868" s="150"/>
      <c r="F6868" s="5"/>
    </row>
    <row r="6869">
      <c r="B6869" s="5"/>
      <c r="C6869" s="5"/>
      <c r="D6869" s="5"/>
      <c r="E6869" s="150"/>
      <c r="F6869" s="5"/>
    </row>
    <row r="6870">
      <c r="B6870" s="5"/>
      <c r="C6870" s="5"/>
      <c r="D6870" s="5"/>
      <c r="E6870" s="150"/>
      <c r="F6870" s="5"/>
    </row>
    <row r="6871">
      <c r="B6871" s="5"/>
      <c r="C6871" s="5"/>
      <c r="D6871" s="5"/>
      <c r="E6871" s="150"/>
      <c r="F6871" s="5"/>
    </row>
    <row r="6872">
      <c r="B6872" s="5"/>
      <c r="C6872" s="5"/>
      <c r="D6872" s="5"/>
      <c r="E6872" s="150"/>
      <c r="F6872" s="5"/>
    </row>
    <row r="6873">
      <c r="B6873" s="5"/>
      <c r="C6873" s="5"/>
      <c r="D6873" s="5"/>
      <c r="E6873" s="150"/>
      <c r="F6873" s="5"/>
    </row>
    <row r="6874">
      <c r="B6874" s="5"/>
      <c r="C6874" s="5"/>
      <c r="D6874" s="5"/>
      <c r="E6874" s="150"/>
      <c r="F6874" s="5"/>
    </row>
    <row r="6875">
      <c r="B6875" s="5"/>
      <c r="C6875" s="5"/>
      <c r="D6875" s="5"/>
      <c r="E6875" s="150"/>
      <c r="F6875" s="5"/>
    </row>
    <row r="6876">
      <c r="B6876" s="5"/>
      <c r="C6876" s="5"/>
      <c r="D6876" s="5"/>
      <c r="E6876" s="150"/>
      <c r="F6876" s="5"/>
    </row>
    <row r="6877">
      <c r="B6877" s="5"/>
      <c r="C6877" s="5"/>
      <c r="D6877" s="5"/>
      <c r="E6877" s="150"/>
      <c r="F6877" s="5"/>
    </row>
    <row r="6878">
      <c r="B6878" s="5"/>
      <c r="C6878" s="5"/>
      <c r="D6878" s="5"/>
      <c r="E6878" s="150"/>
      <c r="F6878" s="5"/>
    </row>
    <row r="6879">
      <c r="B6879" s="5"/>
      <c r="C6879" s="5"/>
      <c r="D6879" s="5"/>
      <c r="E6879" s="150"/>
      <c r="F6879" s="5"/>
    </row>
    <row r="6880">
      <c r="B6880" s="5"/>
      <c r="C6880" s="5"/>
      <c r="D6880" s="5"/>
      <c r="E6880" s="150"/>
      <c r="F6880" s="5"/>
    </row>
    <row r="6881">
      <c r="B6881" s="5"/>
      <c r="C6881" s="5"/>
      <c r="D6881" s="5"/>
      <c r="E6881" s="150"/>
      <c r="F6881" s="5"/>
    </row>
    <row r="6882">
      <c r="B6882" s="5"/>
      <c r="C6882" s="5"/>
      <c r="D6882" s="5"/>
      <c r="E6882" s="150"/>
      <c r="F6882" s="5"/>
    </row>
    <row r="6883">
      <c r="B6883" s="5"/>
      <c r="C6883" s="5"/>
      <c r="D6883" s="5"/>
      <c r="E6883" s="150"/>
      <c r="F6883" s="5"/>
    </row>
    <row r="6884">
      <c r="B6884" s="5"/>
      <c r="C6884" s="5"/>
      <c r="D6884" s="5"/>
      <c r="E6884" s="150"/>
      <c r="F6884" s="5"/>
    </row>
    <row r="6885">
      <c r="B6885" s="5"/>
      <c r="C6885" s="5"/>
      <c r="D6885" s="5"/>
      <c r="E6885" s="150"/>
      <c r="F6885" s="5"/>
    </row>
    <row r="6886">
      <c r="B6886" s="5"/>
      <c r="C6886" s="5"/>
      <c r="D6886" s="5"/>
      <c r="E6886" s="150"/>
      <c r="F6886" s="5"/>
    </row>
    <row r="6887">
      <c r="B6887" s="5"/>
      <c r="C6887" s="5"/>
      <c r="D6887" s="5"/>
      <c r="E6887" s="150"/>
      <c r="F6887" s="5"/>
    </row>
    <row r="6888">
      <c r="B6888" s="5"/>
      <c r="C6888" s="5"/>
      <c r="D6888" s="5"/>
      <c r="E6888" s="150"/>
      <c r="F6888" s="5"/>
    </row>
    <row r="6889">
      <c r="B6889" s="5"/>
      <c r="C6889" s="5"/>
      <c r="D6889" s="5"/>
      <c r="E6889" s="150"/>
      <c r="F6889" s="5"/>
    </row>
    <row r="6890">
      <c r="B6890" s="5"/>
      <c r="C6890" s="5"/>
      <c r="D6890" s="5"/>
      <c r="E6890" s="150"/>
      <c r="F6890" s="5"/>
    </row>
  </sheetData>
  <hyperlinks>
    <hyperlink r:id="rId1" ref="E216"/>
    <hyperlink r:id="rId2" ref="F311"/>
    <hyperlink r:id="rId3" ref="D341"/>
    <hyperlink r:id="rId4" ref="B419"/>
    <hyperlink r:id="rId5" ref="D930"/>
    <hyperlink r:id="rId6" ref="D966"/>
    <hyperlink r:id="rId7" ref="D975"/>
    <hyperlink r:id="rId8" ref="F1183"/>
    <hyperlink r:id="rId9" ref="F1389"/>
    <hyperlink r:id="rId10" ref="D1693"/>
    <hyperlink r:id="rId11" ref="B1713"/>
    <hyperlink r:id="rId12" ref="E1838"/>
    <hyperlink r:id="rId13" ref="E2057"/>
    <hyperlink r:id="rId14" ref="C2199"/>
    <hyperlink r:id="rId15" ref="E2822"/>
    <hyperlink r:id="rId16" ref="E3350"/>
    <hyperlink r:id="rId17" ref="E3701"/>
    <hyperlink r:id="rId18" ref="E3737"/>
    <hyperlink r:id="rId19" ref="E4074"/>
    <hyperlink r:id="rId20" ref="I4271"/>
    <hyperlink r:id="rId21" ref="C4882"/>
    <hyperlink r:id="rId22" ref="C4902"/>
    <hyperlink r:id="rId23" ref="E4910"/>
    <hyperlink r:id="rId24" ref="E5001"/>
    <hyperlink r:id="rId25" ref="E5563"/>
    <hyperlink r:id="rId26" ref="E5564"/>
    <hyperlink r:id="rId27" ref="E5565"/>
    <hyperlink r:id="rId28" ref="E5582"/>
    <hyperlink r:id="rId29" ref="E5585"/>
    <hyperlink r:id="rId30" ref="E6137"/>
    <hyperlink r:id="rId31" ref="E6138"/>
    <hyperlink r:id="rId32" ref="E6140"/>
    <hyperlink r:id="rId33" ref="D6155"/>
    <hyperlink r:id="rId34" ref="E6314"/>
    <hyperlink r:id="rId35" ref="E6332"/>
    <hyperlink r:id="rId36" ref="E6344"/>
    <hyperlink r:id="rId37" ref="C6510"/>
    <hyperlink r:id="rId38" ref="C6511"/>
    <hyperlink r:id="rId39" ref="C6512"/>
    <hyperlink r:id="rId40" ref="B6514"/>
    <hyperlink r:id="rId41" ref="C6514"/>
    <hyperlink r:id="rId42" ref="D6514"/>
    <hyperlink r:id="rId43" ref="B6515"/>
    <hyperlink r:id="rId44" ref="C6515"/>
    <hyperlink r:id="rId45" ref="D6517"/>
    <hyperlink r:id="rId46" ref="F660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5.75"/>
    <col customWidth="1" min="5" max="5" width="14.25"/>
    <col customWidth="1" min="7" max="7" width="26.5"/>
    <col customWidth="1" min="8" max="8" width="16.13"/>
    <col customWidth="1" min="9" max="9" width="22.13"/>
  </cols>
  <sheetData>
    <row r="1">
      <c r="A1" s="645" t="s">
        <v>17608</v>
      </c>
      <c r="B1" s="646" t="s">
        <v>17609</v>
      </c>
      <c r="C1" s="646" t="s">
        <v>17610</v>
      </c>
      <c r="D1" s="646" t="s">
        <v>17611</v>
      </c>
      <c r="E1" s="646" t="s">
        <v>17612</v>
      </c>
      <c r="F1" s="646" t="s">
        <v>17613</v>
      </c>
      <c r="G1" s="647" t="s">
        <v>17614</v>
      </c>
      <c r="H1" s="646" t="s">
        <v>17615</v>
      </c>
      <c r="I1" s="646" t="s">
        <v>17616</v>
      </c>
      <c r="J1" s="646" t="s">
        <v>17617</v>
      </c>
      <c r="K1" s="646" t="s">
        <v>17618</v>
      </c>
      <c r="L1" s="646" t="s">
        <v>17619</v>
      </c>
      <c r="M1" s="646" t="s">
        <v>17620</v>
      </c>
      <c r="N1" s="646" t="s">
        <v>17621</v>
      </c>
    </row>
    <row r="2">
      <c r="A2" s="648"/>
      <c r="B2" s="648"/>
      <c r="C2" s="648"/>
      <c r="D2" s="649" t="s">
        <v>17622</v>
      </c>
      <c r="E2" s="649" t="s">
        <v>17623</v>
      </c>
      <c r="F2" s="649" t="s">
        <v>17624</v>
      </c>
      <c r="G2" s="650" t="s">
        <v>17625</v>
      </c>
      <c r="H2" s="649" t="s">
        <v>17626</v>
      </c>
      <c r="I2" s="649" t="s">
        <v>17627</v>
      </c>
      <c r="J2" s="649" t="s">
        <v>17628</v>
      </c>
      <c r="K2" s="649" t="s">
        <v>17629</v>
      </c>
      <c r="L2" s="649" t="s">
        <v>17628</v>
      </c>
    </row>
    <row r="3">
      <c r="A3" s="651">
        <v>45748.0</v>
      </c>
      <c r="B3" s="652"/>
      <c r="C3" s="652"/>
      <c r="D3" s="652"/>
      <c r="E3" s="652"/>
      <c r="F3" s="652"/>
      <c r="G3" s="653"/>
      <c r="H3" s="652"/>
      <c r="I3" s="652"/>
      <c r="J3" s="652"/>
      <c r="K3" s="652"/>
      <c r="L3" s="652"/>
    </row>
    <row r="4">
      <c r="A4" s="5" t="s">
        <v>25</v>
      </c>
      <c r="B4" s="22" t="s">
        <v>17630</v>
      </c>
      <c r="C4" s="1" t="s">
        <v>17631</v>
      </c>
      <c r="D4" s="1" t="s">
        <v>17632</v>
      </c>
      <c r="E4" s="1" t="s">
        <v>17633</v>
      </c>
      <c r="F4" s="4" t="s">
        <v>17634</v>
      </c>
      <c r="G4" s="5"/>
      <c r="H4" s="1" t="s">
        <v>17635</v>
      </c>
      <c r="I4" s="1" t="s">
        <v>17636</v>
      </c>
      <c r="K4" s="2" t="s">
        <v>17637</v>
      </c>
      <c r="L4" s="5"/>
      <c r="M4" s="8"/>
      <c r="N4" s="8"/>
      <c r="O4" s="8"/>
      <c r="P4" s="8"/>
      <c r="Q4" s="8"/>
      <c r="R4" s="8"/>
    </row>
    <row r="5">
      <c r="A5" s="1" t="s">
        <v>22</v>
      </c>
      <c r="B5" s="1" t="s">
        <v>17638</v>
      </c>
      <c r="C5" s="1" t="s">
        <v>17631</v>
      </c>
      <c r="D5" s="1" t="s">
        <v>17632</v>
      </c>
      <c r="E5" s="1" t="s">
        <v>17633</v>
      </c>
      <c r="F5" s="1" t="s">
        <v>17639</v>
      </c>
      <c r="G5" s="654"/>
      <c r="H5" s="1" t="s">
        <v>299</v>
      </c>
      <c r="I5" s="5" t="s">
        <v>17640</v>
      </c>
      <c r="K5" s="2" t="s">
        <v>17637</v>
      </c>
    </row>
    <row r="6">
      <c r="A6" s="1" t="s">
        <v>339</v>
      </c>
      <c r="B6" s="1" t="s">
        <v>17641</v>
      </c>
      <c r="C6" s="1" t="s">
        <v>17631</v>
      </c>
      <c r="D6" s="1" t="s">
        <v>17642</v>
      </c>
      <c r="E6" s="84"/>
      <c r="F6" s="84"/>
      <c r="G6" s="655" t="s">
        <v>11522</v>
      </c>
      <c r="H6" s="1" t="s">
        <v>17643</v>
      </c>
      <c r="I6" s="1" t="s">
        <v>17644</v>
      </c>
      <c r="K6" s="2" t="s">
        <v>17637</v>
      </c>
    </row>
    <row r="7">
      <c r="A7" s="1" t="s">
        <v>2798</v>
      </c>
      <c r="B7" s="1" t="s">
        <v>17645</v>
      </c>
      <c r="C7" s="1" t="s">
        <v>17631</v>
      </c>
      <c r="D7" s="1" t="s">
        <v>17632</v>
      </c>
      <c r="E7" s="1" t="s">
        <v>17646</v>
      </c>
      <c r="F7" s="1" t="s">
        <v>17647</v>
      </c>
      <c r="G7" s="655" t="s">
        <v>17648</v>
      </c>
      <c r="I7" s="5" t="s">
        <v>17649</v>
      </c>
      <c r="K7" s="2" t="s">
        <v>17637</v>
      </c>
      <c r="L7" s="8"/>
    </row>
    <row r="8">
      <c r="A8" s="1" t="s">
        <v>85</v>
      </c>
      <c r="B8" s="1" t="s">
        <v>17650</v>
      </c>
      <c r="C8" s="1" t="s">
        <v>17651</v>
      </c>
      <c r="D8" s="1" t="s">
        <v>17632</v>
      </c>
      <c r="E8" s="84"/>
      <c r="F8" s="1" t="s">
        <v>17652</v>
      </c>
      <c r="G8" s="655" t="s">
        <v>17648</v>
      </c>
      <c r="I8" s="1" t="s">
        <v>17653</v>
      </c>
      <c r="K8" s="33" t="s">
        <v>17654</v>
      </c>
      <c r="L8" s="1" t="s">
        <v>17655</v>
      </c>
    </row>
    <row r="9">
      <c r="A9" s="33" t="s">
        <v>17656</v>
      </c>
      <c r="B9" s="33" t="s">
        <v>17657</v>
      </c>
      <c r="C9" s="33" t="s">
        <v>17651</v>
      </c>
      <c r="D9" s="33" t="s">
        <v>17632</v>
      </c>
      <c r="E9" s="33" t="s">
        <v>17658</v>
      </c>
      <c r="F9" s="656" t="s">
        <v>17659</v>
      </c>
      <c r="G9" s="657" t="s">
        <v>17660</v>
      </c>
      <c r="H9" s="1" t="s">
        <v>17661</v>
      </c>
      <c r="I9" s="33" t="s">
        <v>17662</v>
      </c>
      <c r="J9" s="1" t="s">
        <v>17663</v>
      </c>
      <c r="K9" s="33" t="s">
        <v>17654</v>
      </c>
    </row>
    <row r="10">
      <c r="A10" s="658">
        <v>45901.0</v>
      </c>
      <c r="B10" s="648"/>
      <c r="C10" s="648"/>
      <c r="D10" s="648"/>
      <c r="E10" s="648"/>
      <c r="F10" s="648"/>
      <c r="G10" s="659"/>
      <c r="H10" s="648"/>
      <c r="I10" s="648"/>
      <c r="J10" s="648"/>
      <c r="K10" s="648"/>
      <c r="L10" s="648"/>
    </row>
    <row r="11">
      <c r="A11" s="33" t="s">
        <v>271</v>
      </c>
      <c r="B11" s="33" t="s">
        <v>9085</v>
      </c>
      <c r="C11" s="33" t="s">
        <v>17651</v>
      </c>
      <c r="D11" s="33" t="s">
        <v>17664</v>
      </c>
      <c r="E11" s="33" t="s">
        <v>4328</v>
      </c>
      <c r="F11" s="33" t="s">
        <v>17665</v>
      </c>
      <c r="G11" s="33" t="s">
        <v>17666</v>
      </c>
      <c r="H11" s="33" t="s">
        <v>17667</v>
      </c>
      <c r="I11" s="33" t="s">
        <v>17668</v>
      </c>
      <c r="J11" s="33" t="s">
        <v>17635</v>
      </c>
      <c r="K11" s="33" t="s">
        <v>17654</v>
      </c>
      <c r="L11" s="33" t="s">
        <v>17669</v>
      </c>
      <c r="M11" s="84"/>
    </row>
    <row r="12">
      <c r="A12" s="1" t="s">
        <v>876</v>
      </c>
      <c r="B12" s="1" t="s">
        <v>17670</v>
      </c>
      <c r="C12" s="1" t="s">
        <v>17651</v>
      </c>
      <c r="D12" s="1" t="s">
        <v>17671</v>
      </c>
      <c r="E12" s="1" t="s">
        <v>4328</v>
      </c>
      <c r="F12" s="1" t="s">
        <v>17672</v>
      </c>
      <c r="G12" s="655"/>
      <c r="H12" s="1" t="s">
        <v>17667</v>
      </c>
      <c r="I12" s="1" t="s">
        <v>17673</v>
      </c>
      <c r="J12" s="1" t="s">
        <v>17663</v>
      </c>
      <c r="K12" s="33" t="s">
        <v>17654</v>
      </c>
    </row>
    <row r="13">
      <c r="A13" s="4" t="s">
        <v>339</v>
      </c>
      <c r="B13" s="22" t="s">
        <v>17674</v>
      </c>
      <c r="C13" s="1" t="s">
        <v>17631</v>
      </c>
      <c r="D13" s="4" t="s">
        <v>17632</v>
      </c>
      <c r="E13" s="4" t="s">
        <v>17675</v>
      </c>
      <c r="F13" s="4" t="s">
        <v>17676</v>
      </c>
      <c r="H13" s="1" t="s">
        <v>17677</v>
      </c>
      <c r="I13" s="4" t="s">
        <v>17678</v>
      </c>
      <c r="J13" s="1" t="s">
        <v>17663</v>
      </c>
      <c r="K13" s="33" t="s">
        <v>17654</v>
      </c>
    </row>
    <row r="14">
      <c r="A14" s="1" t="s">
        <v>17679</v>
      </c>
      <c r="B14" s="22" t="s">
        <v>17680</v>
      </c>
      <c r="C14" s="1" t="s">
        <v>17651</v>
      </c>
      <c r="D14" s="1" t="s">
        <v>17632</v>
      </c>
      <c r="E14" s="1" t="s">
        <v>17681</v>
      </c>
      <c r="F14" s="1" t="s">
        <v>17682</v>
      </c>
      <c r="G14" s="660"/>
      <c r="H14" s="1" t="s">
        <v>17677</v>
      </c>
      <c r="I14" s="1" t="s">
        <v>17683</v>
      </c>
      <c r="J14" s="1" t="s">
        <v>17663</v>
      </c>
      <c r="K14" s="33" t="s">
        <v>17654</v>
      </c>
    </row>
    <row r="15">
      <c r="A15" s="661" t="s">
        <v>271</v>
      </c>
      <c r="B15" s="661" t="s">
        <v>17684</v>
      </c>
      <c r="C15" s="661" t="s">
        <v>17651</v>
      </c>
      <c r="D15" s="661" t="s">
        <v>17632</v>
      </c>
      <c r="E15" s="661" t="s">
        <v>17685</v>
      </c>
      <c r="F15" s="661" t="s">
        <v>17686</v>
      </c>
      <c r="G15" s="661"/>
      <c r="H15" s="1" t="s">
        <v>17687</v>
      </c>
      <c r="I15" s="661" t="s">
        <v>17688</v>
      </c>
      <c r="J15" s="661" t="s">
        <v>17663</v>
      </c>
      <c r="K15" s="2" t="s">
        <v>17637</v>
      </c>
      <c r="L15" s="1" t="s">
        <v>17689</v>
      </c>
    </row>
    <row r="16">
      <c r="A16" s="1" t="s">
        <v>25</v>
      </c>
      <c r="B16" s="1" t="s">
        <v>17690</v>
      </c>
      <c r="C16" s="1" t="s">
        <v>17651</v>
      </c>
      <c r="D16" s="1" t="s">
        <v>17632</v>
      </c>
      <c r="E16" s="1" t="s">
        <v>17633</v>
      </c>
      <c r="F16" s="4" t="s">
        <v>17691</v>
      </c>
      <c r="G16" s="654"/>
      <c r="H16" s="1" t="s">
        <v>17667</v>
      </c>
      <c r="I16" s="5" t="s">
        <v>17692</v>
      </c>
      <c r="J16" s="5" t="s">
        <v>17635</v>
      </c>
      <c r="K16" s="33" t="s">
        <v>17654</v>
      </c>
    </row>
    <row r="17">
      <c r="A17" s="1" t="s">
        <v>183</v>
      </c>
      <c r="B17" s="5" t="s">
        <v>17693</v>
      </c>
      <c r="C17" s="1" t="s">
        <v>17631</v>
      </c>
      <c r="D17" s="1" t="s">
        <v>17632</v>
      </c>
      <c r="E17" s="1" t="s">
        <v>17694</v>
      </c>
      <c r="F17" s="1" t="s">
        <v>17695</v>
      </c>
      <c r="G17" s="655"/>
      <c r="H17" s="1" t="s">
        <v>17667</v>
      </c>
      <c r="I17" s="1" t="s">
        <v>17696</v>
      </c>
      <c r="J17" s="1" t="s">
        <v>17663</v>
      </c>
      <c r="K17" s="2" t="s">
        <v>17637</v>
      </c>
    </row>
    <row r="18">
      <c r="A18" s="1" t="s">
        <v>77</v>
      </c>
      <c r="B18" s="1" t="s">
        <v>17697</v>
      </c>
      <c r="C18" s="1" t="s">
        <v>17651</v>
      </c>
      <c r="D18" s="1" t="s">
        <v>17632</v>
      </c>
      <c r="E18" s="1" t="s">
        <v>17698</v>
      </c>
      <c r="F18" s="1" t="s">
        <v>17699</v>
      </c>
      <c r="G18" s="654"/>
      <c r="H18" s="1" t="s">
        <v>17667</v>
      </c>
      <c r="I18" s="1" t="s">
        <v>17700</v>
      </c>
      <c r="J18" s="1" t="s">
        <v>17635</v>
      </c>
      <c r="K18" s="84"/>
    </row>
    <row r="19">
      <c r="A19" s="1" t="s">
        <v>17701</v>
      </c>
      <c r="B19" s="1" t="s">
        <v>17702</v>
      </c>
      <c r="C19" s="1" t="s">
        <v>17631</v>
      </c>
      <c r="D19" s="1" t="s">
        <v>17632</v>
      </c>
      <c r="E19" s="1" t="s">
        <v>17703</v>
      </c>
      <c r="F19" s="1" t="s">
        <v>17704</v>
      </c>
      <c r="H19" s="1" t="s">
        <v>17677</v>
      </c>
      <c r="I19" s="4" t="s">
        <v>17705</v>
      </c>
      <c r="J19" s="1" t="s">
        <v>17663</v>
      </c>
      <c r="K19" s="33" t="s">
        <v>17654</v>
      </c>
    </row>
    <row r="20">
      <c r="A20" s="1" t="s">
        <v>22</v>
      </c>
      <c r="B20" s="22" t="s">
        <v>17706</v>
      </c>
      <c r="C20" s="1" t="s">
        <v>17651</v>
      </c>
      <c r="D20" s="1" t="s">
        <v>17632</v>
      </c>
      <c r="E20" s="4" t="s">
        <v>17707</v>
      </c>
      <c r="F20" s="4" t="s">
        <v>17708</v>
      </c>
      <c r="H20" s="1" t="s">
        <v>17667</v>
      </c>
      <c r="I20" s="5" t="s">
        <v>17709</v>
      </c>
      <c r="J20" s="1" t="s">
        <v>17635</v>
      </c>
      <c r="K20" s="33" t="s">
        <v>17654</v>
      </c>
    </row>
    <row r="21">
      <c r="A21" s="1" t="s">
        <v>22</v>
      </c>
      <c r="B21" s="1" t="s">
        <v>17710</v>
      </c>
      <c r="C21" s="1" t="s">
        <v>17651</v>
      </c>
      <c r="D21" s="1" t="s">
        <v>17632</v>
      </c>
      <c r="E21" s="1" t="s">
        <v>17707</v>
      </c>
      <c r="F21" s="1" t="s">
        <v>17711</v>
      </c>
      <c r="G21" s="655"/>
      <c r="H21" s="1" t="s">
        <v>17667</v>
      </c>
      <c r="I21" s="22" t="s">
        <v>17712</v>
      </c>
      <c r="J21" s="1" t="s">
        <v>17635</v>
      </c>
      <c r="K21" s="33" t="s">
        <v>17654</v>
      </c>
    </row>
    <row r="22">
      <c r="A22" s="5" t="s">
        <v>166</v>
      </c>
      <c r="B22" s="22" t="s">
        <v>17674</v>
      </c>
      <c r="C22" s="1" t="s">
        <v>17651</v>
      </c>
      <c r="D22" s="1" t="s">
        <v>17632</v>
      </c>
      <c r="E22" s="1" t="s">
        <v>17713</v>
      </c>
      <c r="F22" s="4" t="s">
        <v>17714</v>
      </c>
      <c r="G22" s="8"/>
      <c r="H22" s="1" t="s">
        <v>17677</v>
      </c>
      <c r="I22" s="1" t="s">
        <v>17715</v>
      </c>
      <c r="J22" s="1" t="s">
        <v>17663</v>
      </c>
      <c r="K22" s="84"/>
    </row>
    <row r="23">
      <c r="A23" s="5" t="s">
        <v>22</v>
      </c>
      <c r="B23" s="22" t="s">
        <v>17716</v>
      </c>
      <c r="C23" s="5" t="s">
        <v>17651</v>
      </c>
      <c r="D23" s="5" t="s">
        <v>17632</v>
      </c>
      <c r="E23" s="5" t="s">
        <v>17717</v>
      </c>
      <c r="F23" s="5" t="s">
        <v>17718</v>
      </c>
      <c r="H23" s="5" t="s">
        <v>17667</v>
      </c>
      <c r="J23" s="1" t="s">
        <v>17643</v>
      </c>
      <c r="K23" s="33" t="s">
        <v>17654</v>
      </c>
      <c r="L23" s="655"/>
    </row>
    <row r="24">
      <c r="A24" s="1" t="s">
        <v>28</v>
      </c>
      <c r="B24" s="1" t="s">
        <v>300</v>
      </c>
      <c r="C24" s="1" t="s">
        <v>17651</v>
      </c>
      <c r="D24" s="1" t="s">
        <v>17632</v>
      </c>
      <c r="E24" s="1" t="s">
        <v>17719</v>
      </c>
      <c r="F24" s="1" t="s">
        <v>17720</v>
      </c>
      <c r="G24" s="654"/>
      <c r="H24" s="1" t="s">
        <v>17667</v>
      </c>
      <c r="I24" s="5" t="s">
        <v>17721</v>
      </c>
      <c r="J24" s="1" t="s">
        <v>302</v>
      </c>
      <c r="K24" s="33" t="s">
        <v>17654</v>
      </c>
    </row>
    <row r="25">
      <c r="A25" s="1" t="s">
        <v>25</v>
      </c>
      <c r="B25" s="5" t="s">
        <v>17722</v>
      </c>
      <c r="C25" s="1" t="s">
        <v>17651</v>
      </c>
      <c r="D25" s="4" t="s">
        <v>17723</v>
      </c>
      <c r="E25" s="4" t="s">
        <v>17724</v>
      </c>
      <c r="F25" s="4" t="s">
        <v>17725</v>
      </c>
      <c r="G25" s="4" t="s">
        <v>11522</v>
      </c>
      <c r="H25" s="1" t="s">
        <v>2734</v>
      </c>
      <c r="I25" s="1" t="s">
        <v>17649</v>
      </c>
      <c r="J25" s="22" t="s">
        <v>17726</v>
      </c>
      <c r="K25" s="2" t="s">
        <v>17637</v>
      </c>
      <c r="L25" s="1" t="s">
        <v>17727</v>
      </c>
    </row>
    <row r="26">
      <c r="B26" s="662" t="s">
        <v>17728</v>
      </c>
      <c r="F26" s="1" t="s">
        <v>17729</v>
      </c>
      <c r="G26" s="655" t="s">
        <v>17730</v>
      </c>
      <c r="H26" s="1" t="s">
        <v>17731</v>
      </c>
      <c r="K26" s="84"/>
      <c r="N26" s="18"/>
    </row>
    <row r="27">
      <c r="A27" s="663">
        <v>46113.0</v>
      </c>
      <c r="B27" s="664"/>
      <c r="C27" s="26"/>
      <c r="D27" s="26"/>
      <c r="E27" s="26"/>
      <c r="F27" s="26"/>
      <c r="G27" s="66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1" t="s">
        <v>103</v>
      </c>
      <c r="B28" s="1" t="s">
        <v>17732</v>
      </c>
      <c r="C28" s="1" t="s">
        <v>17631</v>
      </c>
      <c r="D28" s="1" t="s">
        <v>17733</v>
      </c>
      <c r="E28" s="4" t="s">
        <v>17734</v>
      </c>
      <c r="F28" s="4" t="s">
        <v>17735</v>
      </c>
      <c r="H28" s="1" t="s">
        <v>17736</v>
      </c>
      <c r="I28" s="1" t="s">
        <v>17737</v>
      </c>
      <c r="J28" s="1" t="s">
        <v>17677</v>
      </c>
      <c r="K28" s="33" t="s">
        <v>17654</v>
      </c>
    </row>
    <row r="29">
      <c r="F29" s="190" t="s">
        <v>17738</v>
      </c>
      <c r="G29" s="38" t="s">
        <v>17739</v>
      </c>
      <c r="K29" s="84"/>
    </row>
    <row r="30">
      <c r="A30" s="51" t="s">
        <v>25</v>
      </c>
      <c r="B30" s="51" t="s">
        <v>17740</v>
      </c>
      <c r="C30" s="51" t="s">
        <v>17631</v>
      </c>
      <c r="D30" s="51" t="s">
        <v>17741</v>
      </c>
      <c r="E30" s="4" t="s">
        <v>17742</v>
      </c>
      <c r="F30" s="4" t="s">
        <v>17743</v>
      </c>
      <c r="H30" s="1" t="s">
        <v>3720</v>
      </c>
      <c r="I30" s="51" t="s">
        <v>17744</v>
      </c>
      <c r="J30" s="1" t="s">
        <v>17667</v>
      </c>
      <c r="K30" s="2" t="s">
        <v>17637</v>
      </c>
    </row>
    <row r="31">
      <c r="A31" s="1" t="s">
        <v>28</v>
      </c>
      <c r="B31" s="5" t="s">
        <v>17745</v>
      </c>
      <c r="C31" s="1" t="s">
        <v>17631</v>
      </c>
      <c r="D31" s="1" t="s">
        <v>17632</v>
      </c>
      <c r="E31" s="1" t="s">
        <v>17633</v>
      </c>
      <c r="F31" s="1" t="s">
        <v>17746</v>
      </c>
      <c r="I31" s="1" t="s">
        <v>17747</v>
      </c>
      <c r="J31" s="1" t="s">
        <v>1997</v>
      </c>
      <c r="K31" s="33" t="s">
        <v>17654</v>
      </c>
    </row>
    <row r="32">
      <c r="A32" s="5" t="s">
        <v>17748</v>
      </c>
      <c r="B32" s="5" t="s">
        <v>17749</v>
      </c>
      <c r="C32" s="5" t="s">
        <v>17631</v>
      </c>
      <c r="D32" s="5" t="s">
        <v>17632</v>
      </c>
      <c r="E32" s="5" t="s">
        <v>17750</v>
      </c>
      <c r="F32" s="5" t="s">
        <v>17751</v>
      </c>
      <c r="I32" s="5" t="s">
        <v>17752</v>
      </c>
      <c r="J32" s="4" t="s">
        <v>2239</v>
      </c>
      <c r="K32" s="2" t="s">
        <v>17637</v>
      </c>
    </row>
    <row r="33">
      <c r="E33" s="5" t="s">
        <v>17753</v>
      </c>
      <c r="F33" s="5" t="s">
        <v>17754</v>
      </c>
      <c r="G33" s="5" t="s">
        <v>17755</v>
      </c>
      <c r="H33" s="5" t="s">
        <v>17648</v>
      </c>
      <c r="K33" s="84"/>
    </row>
    <row r="34">
      <c r="A34" s="5" t="s">
        <v>25</v>
      </c>
      <c r="B34" s="5" t="s">
        <v>17756</v>
      </c>
      <c r="C34" s="5" t="s">
        <v>17631</v>
      </c>
      <c r="D34" s="5" t="s">
        <v>17632</v>
      </c>
      <c r="E34" s="5" t="s">
        <v>17757</v>
      </c>
      <c r="F34" s="5" t="s">
        <v>17758</v>
      </c>
      <c r="G34" s="5"/>
      <c r="I34" s="5" t="s">
        <v>17759</v>
      </c>
      <c r="J34" s="1" t="s">
        <v>17667</v>
      </c>
      <c r="K34" s="2" t="s">
        <v>17637</v>
      </c>
    </row>
    <row r="35">
      <c r="A35" s="1" t="s">
        <v>25</v>
      </c>
      <c r="B35" s="5" t="s">
        <v>6192</v>
      </c>
      <c r="C35" s="1" t="s">
        <v>17631</v>
      </c>
      <c r="D35" s="1" t="s">
        <v>17723</v>
      </c>
      <c r="E35" s="1" t="s">
        <v>17757</v>
      </c>
      <c r="F35" s="1" t="s">
        <v>17760</v>
      </c>
      <c r="G35" s="654"/>
      <c r="I35" s="1" t="s">
        <v>17761</v>
      </c>
      <c r="J35" s="1" t="s">
        <v>17667</v>
      </c>
      <c r="K35" s="2" t="s">
        <v>17637</v>
      </c>
    </row>
    <row r="36">
      <c r="A36" s="1" t="s">
        <v>41</v>
      </c>
      <c r="B36" s="1" t="s">
        <v>17762</v>
      </c>
      <c r="C36" s="1" t="s">
        <v>17631</v>
      </c>
      <c r="D36" s="1" t="s">
        <v>17632</v>
      </c>
      <c r="E36" s="1" t="s">
        <v>17763</v>
      </c>
      <c r="F36" s="1" t="s">
        <v>17764</v>
      </c>
      <c r="G36" s="654"/>
      <c r="I36" s="1" t="s">
        <v>17765</v>
      </c>
      <c r="J36" s="4" t="s">
        <v>2239</v>
      </c>
      <c r="K36" s="2" t="s">
        <v>17637</v>
      </c>
    </row>
    <row r="37">
      <c r="A37" s="1" t="s">
        <v>58</v>
      </c>
      <c r="B37" s="1" t="s">
        <v>17766</v>
      </c>
      <c r="C37" s="1" t="s">
        <v>17631</v>
      </c>
      <c r="D37" s="4" t="s">
        <v>17632</v>
      </c>
      <c r="E37" s="4" t="s">
        <v>17767</v>
      </c>
      <c r="F37" s="4" t="s">
        <v>17768</v>
      </c>
      <c r="I37" s="1" t="s">
        <v>17769</v>
      </c>
      <c r="J37" s="1" t="s">
        <v>17677</v>
      </c>
      <c r="K37" s="2" t="s">
        <v>17637</v>
      </c>
    </row>
    <row r="38">
      <c r="A38" s="5" t="s">
        <v>271</v>
      </c>
      <c r="B38" s="5" t="s">
        <v>17770</v>
      </c>
      <c r="C38" s="5" t="s">
        <v>17631</v>
      </c>
      <c r="D38" s="5" t="s">
        <v>17632</v>
      </c>
      <c r="E38" s="4" t="s">
        <v>17771</v>
      </c>
      <c r="F38" s="4" t="s">
        <v>17772</v>
      </c>
      <c r="G38" s="666"/>
      <c r="I38" s="5" t="s">
        <v>17773</v>
      </c>
      <c r="J38" s="1" t="s">
        <v>17677</v>
      </c>
      <c r="K38" s="2" t="s">
        <v>17637</v>
      </c>
    </row>
    <row r="39">
      <c r="A39" s="1" t="s">
        <v>17774</v>
      </c>
      <c r="B39" s="1" t="s">
        <v>17775</v>
      </c>
      <c r="C39" s="1" t="s">
        <v>17651</v>
      </c>
      <c r="D39" s="1" t="s">
        <v>17632</v>
      </c>
      <c r="E39" s="1" t="s">
        <v>17776</v>
      </c>
      <c r="F39" s="1" t="s">
        <v>17777</v>
      </c>
      <c r="G39" s="654"/>
      <c r="I39" s="1" t="s">
        <v>17778</v>
      </c>
      <c r="J39" s="1" t="s">
        <v>17677</v>
      </c>
      <c r="K39" s="33" t="s">
        <v>17654</v>
      </c>
    </row>
    <row r="40">
      <c r="A40" s="1" t="s">
        <v>22</v>
      </c>
      <c r="B40" s="22" t="s">
        <v>17779</v>
      </c>
      <c r="C40" s="1" t="s">
        <v>17631</v>
      </c>
      <c r="D40" s="1" t="s">
        <v>17632</v>
      </c>
      <c r="E40" s="1" t="s">
        <v>17780</v>
      </c>
      <c r="F40" s="1" t="s">
        <v>17781</v>
      </c>
      <c r="H40" s="1" t="s">
        <v>3229</v>
      </c>
      <c r="I40" s="1" t="s">
        <v>17782</v>
      </c>
      <c r="J40" s="1" t="s">
        <v>17687</v>
      </c>
      <c r="K40" s="2" t="s">
        <v>17637</v>
      </c>
    </row>
    <row r="41">
      <c r="A41" s="1" t="s">
        <v>97</v>
      </c>
      <c r="B41" s="1" t="s">
        <v>17783</v>
      </c>
      <c r="C41" s="1" t="s">
        <v>17631</v>
      </c>
      <c r="D41" s="1" t="s">
        <v>17784</v>
      </c>
      <c r="E41" s="4" t="s">
        <v>17785</v>
      </c>
      <c r="F41" s="4" t="s">
        <v>17786</v>
      </c>
      <c r="G41" s="4"/>
      <c r="I41" s="5" t="s">
        <v>17787</v>
      </c>
      <c r="J41" s="1" t="s">
        <v>17677</v>
      </c>
      <c r="K41" s="2" t="s">
        <v>17637</v>
      </c>
    </row>
    <row r="42">
      <c r="A42" s="1" t="s">
        <v>308</v>
      </c>
      <c r="B42" s="5" t="s">
        <v>412</v>
      </c>
      <c r="C42" s="1" t="s">
        <v>17631</v>
      </c>
      <c r="D42" s="1" t="s">
        <v>17632</v>
      </c>
      <c r="E42" s="1" t="s">
        <v>17788</v>
      </c>
      <c r="F42" s="1" t="s">
        <v>17789</v>
      </c>
      <c r="G42" s="654"/>
      <c r="I42" s="1" t="s">
        <v>17790</v>
      </c>
      <c r="J42" s="1" t="s">
        <v>17667</v>
      </c>
      <c r="K42" s="2" t="s">
        <v>17637</v>
      </c>
    </row>
    <row r="43">
      <c r="A43" s="1" t="s">
        <v>28</v>
      </c>
      <c r="B43" s="5" t="s">
        <v>17791</v>
      </c>
      <c r="C43" s="1" t="s">
        <v>17631</v>
      </c>
      <c r="D43" s="1" t="s">
        <v>17632</v>
      </c>
      <c r="E43" s="1" t="s">
        <v>17792</v>
      </c>
      <c r="F43" s="1" t="s">
        <v>17793</v>
      </c>
      <c r="G43" s="654"/>
      <c r="I43" s="1" t="s">
        <v>17794</v>
      </c>
      <c r="J43" s="1" t="s">
        <v>1997</v>
      </c>
      <c r="K43" s="2" t="s">
        <v>17637</v>
      </c>
      <c r="L43" s="1" t="s">
        <v>17795</v>
      </c>
    </row>
    <row r="44">
      <c r="A44" s="1" t="s">
        <v>22</v>
      </c>
      <c r="B44" s="5" t="s">
        <v>9935</v>
      </c>
      <c r="C44" s="1" t="s">
        <v>17631</v>
      </c>
      <c r="D44" s="1" t="s">
        <v>17632</v>
      </c>
      <c r="E44" s="1" t="s">
        <v>17780</v>
      </c>
      <c r="F44" s="1" t="s">
        <v>17796</v>
      </c>
      <c r="G44" s="655"/>
      <c r="I44" s="1" t="s">
        <v>17797</v>
      </c>
      <c r="J44" s="1" t="s">
        <v>2123</v>
      </c>
      <c r="K44" s="2" t="s">
        <v>17637</v>
      </c>
    </row>
    <row r="45">
      <c r="A45" s="1" t="s">
        <v>22</v>
      </c>
      <c r="B45" s="22" t="s">
        <v>17798</v>
      </c>
      <c r="C45" s="1" t="s">
        <v>17631</v>
      </c>
      <c r="D45" s="1" t="s">
        <v>17632</v>
      </c>
      <c r="E45" s="1" t="s">
        <v>17799</v>
      </c>
      <c r="F45" s="1" t="s">
        <v>17800</v>
      </c>
      <c r="I45" s="1" t="s">
        <v>17801</v>
      </c>
      <c r="J45" s="1" t="s">
        <v>17667</v>
      </c>
      <c r="K45" s="33" t="s">
        <v>17654</v>
      </c>
    </row>
    <row r="46">
      <c r="A46" s="1" t="s">
        <v>308</v>
      </c>
      <c r="B46" s="1" t="s">
        <v>6192</v>
      </c>
      <c r="C46" s="1" t="s">
        <v>17631</v>
      </c>
      <c r="D46" s="1" t="s">
        <v>17741</v>
      </c>
      <c r="E46" s="1" t="s">
        <v>17788</v>
      </c>
      <c r="F46" s="1" t="s">
        <v>17802</v>
      </c>
      <c r="G46" s="655"/>
      <c r="I46" s="1" t="s">
        <v>17803</v>
      </c>
      <c r="J46" s="1" t="s">
        <v>17667</v>
      </c>
      <c r="K46" s="2" t="s">
        <v>17637</v>
      </c>
    </row>
    <row r="47">
      <c r="A47" s="4" t="s">
        <v>58</v>
      </c>
      <c r="B47" s="1" t="s">
        <v>2608</v>
      </c>
      <c r="C47" s="1" t="s">
        <v>17631</v>
      </c>
      <c r="D47" s="4" t="s">
        <v>17632</v>
      </c>
      <c r="E47" s="4" t="s">
        <v>17675</v>
      </c>
      <c r="F47" s="4" t="s">
        <v>17804</v>
      </c>
      <c r="I47" s="4" t="s">
        <v>17805</v>
      </c>
      <c r="J47" s="1" t="s">
        <v>17677</v>
      </c>
      <c r="K47" s="2" t="s">
        <v>17637</v>
      </c>
    </row>
    <row r="48">
      <c r="A48" s="5" t="s">
        <v>1317</v>
      </c>
      <c r="B48" s="5" t="s">
        <v>15325</v>
      </c>
      <c r="C48" s="5" t="s">
        <v>17631</v>
      </c>
      <c r="D48" s="4" t="s">
        <v>17632</v>
      </c>
      <c r="E48" s="4" t="s">
        <v>17806</v>
      </c>
      <c r="F48" s="4" t="s">
        <v>17807</v>
      </c>
      <c r="G48" s="4"/>
      <c r="I48" s="5" t="s">
        <v>17808</v>
      </c>
      <c r="J48" s="1" t="s">
        <v>17677</v>
      </c>
      <c r="K48" s="2" t="s">
        <v>17637</v>
      </c>
      <c r="L48" s="4"/>
    </row>
    <row r="49">
      <c r="A49" s="1" t="s">
        <v>17809</v>
      </c>
      <c r="B49" s="1" t="s">
        <v>684</v>
      </c>
      <c r="C49" s="1" t="s">
        <v>17631</v>
      </c>
      <c r="D49" s="1" t="s">
        <v>17632</v>
      </c>
      <c r="E49" s="1" t="s">
        <v>17810</v>
      </c>
      <c r="F49" s="1" t="s">
        <v>17811</v>
      </c>
      <c r="G49" s="1"/>
      <c r="I49" s="1" t="s">
        <v>17812</v>
      </c>
      <c r="J49" s="4" t="s">
        <v>2430</v>
      </c>
      <c r="K49" s="2" t="s">
        <v>17637</v>
      </c>
    </row>
    <row r="50">
      <c r="A50" s="1" t="s">
        <v>1454</v>
      </c>
      <c r="B50" s="22" t="s">
        <v>17716</v>
      </c>
      <c r="C50" s="1" t="s">
        <v>17631</v>
      </c>
      <c r="D50" s="1" t="s">
        <v>17632</v>
      </c>
      <c r="E50" s="1" t="s">
        <v>17813</v>
      </c>
      <c r="F50" s="1" t="s">
        <v>17814</v>
      </c>
      <c r="G50" s="655"/>
      <c r="I50" s="1" t="s">
        <v>17815</v>
      </c>
      <c r="J50" s="1" t="s">
        <v>17677</v>
      </c>
      <c r="K50" s="33" t="s">
        <v>17654</v>
      </c>
    </row>
    <row r="51">
      <c r="A51" s="1" t="s">
        <v>219</v>
      </c>
      <c r="B51" s="1" t="s">
        <v>2608</v>
      </c>
      <c r="C51" s="1" t="s">
        <v>17631</v>
      </c>
      <c r="D51" s="1" t="s">
        <v>17632</v>
      </c>
      <c r="E51" s="1" t="s">
        <v>17816</v>
      </c>
      <c r="F51" s="1" t="s">
        <v>17817</v>
      </c>
      <c r="G51" s="655"/>
      <c r="I51" s="5" t="s">
        <v>17818</v>
      </c>
      <c r="J51" s="1" t="s">
        <v>17677</v>
      </c>
      <c r="K51" s="2" t="s">
        <v>17637</v>
      </c>
    </row>
    <row r="52">
      <c r="A52" s="1" t="s">
        <v>25</v>
      </c>
      <c r="B52" s="1" t="s">
        <v>27</v>
      </c>
      <c r="C52" s="1" t="s">
        <v>17631</v>
      </c>
      <c r="D52" s="4" t="s">
        <v>17632</v>
      </c>
      <c r="E52" s="4" t="s">
        <v>17819</v>
      </c>
      <c r="F52" s="4" t="s">
        <v>17820</v>
      </c>
      <c r="G52" s="4" t="s">
        <v>11522</v>
      </c>
      <c r="I52" s="5" t="s">
        <v>17821</v>
      </c>
      <c r="J52" s="1" t="s">
        <v>2734</v>
      </c>
      <c r="K52" s="2" t="s">
        <v>17637</v>
      </c>
    </row>
    <row r="53">
      <c r="A53" s="1" t="s">
        <v>41</v>
      </c>
      <c r="B53" s="22" t="s">
        <v>17674</v>
      </c>
      <c r="C53" s="1" t="s">
        <v>17631</v>
      </c>
      <c r="D53" s="1" t="s">
        <v>17632</v>
      </c>
      <c r="E53" s="1" t="s">
        <v>17822</v>
      </c>
      <c r="F53" s="4" t="s">
        <v>17823</v>
      </c>
      <c r="I53" s="5" t="s">
        <v>17824</v>
      </c>
      <c r="J53" s="1" t="s">
        <v>17677</v>
      </c>
      <c r="K53" s="33" t="s">
        <v>17654</v>
      </c>
    </row>
    <row r="54">
      <c r="A54" s="5" t="s">
        <v>85</v>
      </c>
      <c r="B54" s="22" t="s">
        <v>17825</v>
      </c>
      <c r="C54" s="5" t="s">
        <v>17631</v>
      </c>
      <c r="D54" s="5" t="s">
        <v>17632</v>
      </c>
      <c r="E54" s="5" t="s">
        <v>17826</v>
      </c>
      <c r="F54" s="5" t="s">
        <v>17827</v>
      </c>
      <c r="G54" s="660"/>
      <c r="I54" s="5" t="s">
        <v>17828</v>
      </c>
      <c r="J54" s="1" t="s">
        <v>17677</v>
      </c>
      <c r="K54" s="2" t="s">
        <v>17637</v>
      </c>
    </row>
    <row r="55">
      <c r="A55" s="5" t="s">
        <v>25</v>
      </c>
      <c r="B55" s="5" t="s">
        <v>17829</v>
      </c>
      <c r="C55" s="5" t="s">
        <v>17631</v>
      </c>
      <c r="D55" s="5" t="s">
        <v>17632</v>
      </c>
      <c r="E55" s="5" t="s">
        <v>17830</v>
      </c>
      <c r="F55" s="5" t="s">
        <v>17831</v>
      </c>
      <c r="I55" s="5" t="s">
        <v>17832</v>
      </c>
      <c r="J55" s="1" t="s">
        <v>17667</v>
      </c>
      <c r="K55" s="2" t="s">
        <v>17637</v>
      </c>
    </row>
    <row r="56">
      <c r="A56" s="1" t="s">
        <v>733</v>
      </c>
      <c r="B56" s="1" t="s">
        <v>2526</v>
      </c>
      <c r="C56" s="1" t="s">
        <v>17631</v>
      </c>
      <c r="D56" s="1" t="s">
        <v>17833</v>
      </c>
      <c r="E56" s="1" t="s">
        <v>17834</v>
      </c>
      <c r="F56" s="1" t="s">
        <v>17835</v>
      </c>
      <c r="G56" s="655" t="s">
        <v>17836</v>
      </c>
      <c r="I56" s="1" t="s">
        <v>17837</v>
      </c>
      <c r="K56" s="2" t="s">
        <v>17637</v>
      </c>
    </row>
    <row r="57">
      <c r="A57" s="5" t="s">
        <v>333</v>
      </c>
      <c r="B57" s="5" t="s">
        <v>17838</v>
      </c>
      <c r="C57" s="1" t="s">
        <v>17631</v>
      </c>
      <c r="D57" s="5" t="s">
        <v>17632</v>
      </c>
      <c r="E57" s="5" t="s">
        <v>17839</v>
      </c>
      <c r="F57" s="5" t="s">
        <v>17840</v>
      </c>
      <c r="G57" s="666"/>
      <c r="I57" s="5" t="s">
        <v>17841</v>
      </c>
      <c r="J57" s="1" t="s">
        <v>17677</v>
      </c>
      <c r="K57" s="33" t="s">
        <v>17654</v>
      </c>
    </row>
    <row r="58">
      <c r="A58" s="5" t="s">
        <v>266</v>
      </c>
      <c r="B58" s="5" t="s">
        <v>17842</v>
      </c>
      <c r="C58" s="5" t="s">
        <v>17631</v>
      </c>
      <c r="D58" s="4" t="s">
        <v>17843</v>
      </c>
      <c r="E58" s="4" t="s">
        <v>17844</v>
      </c>
      <c r="F58" s="4" t="s">
        <v>17845</v>
      </c>
      <c r="G58" s="4" t="s">
        <v>6359</v>
      </c>
      <c r="I58" s="1" t="s">
        <v>17846</v>
      </c>
      <c r="J58" s="1" t="s">
        <v>17677</v>
      </c>
      <c r="K58" s="33" t="s">
        <v>17654</v>
      </c>
    </row>
    <row r="59">
      <c r="A59" s="5" t="s">
        <v>17847</v>
      </c>
      <c r="B59" s="5" t="s">
        <v>10216</v>
      </c>
      <c r="C59" s="5" t="s">
        <v>17631</v>
      </c>
      <c r="D59" s="5" t="s">
        <v>17632</v>
      </c>
      <c r="E59" s="5" t="s">
        <v>17658</v>
      </c>
      <c r="F59" s="149" t="s">
        <v>17659</v>
      </c>
      <c r="G59" s="660"/>
      <c r="I59" s="5" t="s">
        <v>17848</v>
      </c>
      <c r="J59" s="1" t="s">
        <v>17677</v>
      </c>
      <c r="K59" s="33" t="s">
        <v>17654</v>
      </c>
    </row>
    <row r="60">
      <c r="A60" s="1" t="s">
        <v>28</v>
      </c>
      <c r="B60" s="1" t="s">
        <v>17849</v>
      </c>
      <c r="C60" s="1" t="s">
        <v>17631</v>
      </c>
      <c r="D60" s="1" t="s">
        <v>17632</v>
      </c>
      <c r="E60" s="1" t="s">
        <v>17850</v>
      </c>
      <c r="F60" s="1" t="s">
        <v>17851</v>
      </c>
      <c r="G60" s="654"/>
      <c r="I60" s="1" t="s">
        <v>17852</v>
      </c>
      <c r="J60" s="1" t="s">
        <v>17667</v>
      </c>
      <c r="K60" s="2" t="s">
        <v>17637</v>
      </c>
    </row>
    <row r="61">
      <c r="A61" s="5" t="s">
        <v>339</v>
      </c>
      <c r="B61" s="5" t="s">
        <v>17853</v>
      </c>
      <c r="C61" s="1" t="s">
        <v>17631</v>
      </c>
      <c r="D61" s="5" t="s">
        <v>17632</v>
      </c>
      <c r="E61" s="5" t="s">
        <v>17675</v>
      </c>
      <c r="F61" s="5" t="s">
        <v>17854</v>
      </c>
      <c r="G61" s="666"/>
      <c r="I61" s="5" t="s">
        <v>17855</v>
      </c>
      <c r="J61" s="1" t="s">
        <v>17677</v>
      </c>
      <c r="K61" s="33" t="s">
        <v>17654</v>
      </c>
    </row>
    <row r="62">
      <c r="A62" s="1" t="s">
        <v>342</v>
      </c>
      <c r="B62" s="5" t="s">
        <v>408</v>
      </c>
      <c r="C62" s="1" t="s">
        <v>17631</v>
      </c>
      <c r="D62" s="1" t="s">
        <v>17632</v>
      </c>
      <c r="E62" s="4" t="s">
        <v>17856</v>
      </c>
      <c r="F62" s="4" t="s">
        <v>17857</v>
      </c>
      <c r="I62" s="1" t="s">
        <v>17858</v>
      </c>
      <c r="J62" s="1" t="s">
        <v>17677</v>
      </c>
      <c r="K62" s="2" t="s">
        <v>17637</v>
      </c>
    </row>
    <row r="63">
      <c r="A63" s="5" t="s">
        <v>17859</v>
      </c>
      <c r="B63" s="5" t="s">
        <v>17860</v>
      </c>
      <c r="C63" s="5" t="s">
        <v>17631</v>
      </c>
      <c r="D63" s="5" t="s">
        <v>17632</v>
      </c>
      <c r="E63" s="4" t="s">
        <v>17861</v>
      </c>
      <c r="F63" s="4" t="s">
        <v>17862</v>
      </c>
      <c r="H63" s="1" t="s">
        <v>3720</v>
      </c>
      <c r="I63" s="5" t="s">
        <v>17863</v>
      </c>
      <c r="J63" s="1" t="s">
        <v>17677</v>
      </c>
      <c r="K63" s="33" t="s">
        <v>17654</v>
      </c>
    </row>
    <row r="64">
      <c r="A64" s="1" t="s">
        <v>17864</v>
      </c>
      <c r="B64" s="1" t="s">
        <v>7218</v>
      </c>
      <c r="C64" s="1" t="s">
        <v>17631</v>
      </c>
      <c r="D64" s="1" t="s">
        <v>17632</v>
      </c>
      <c r="E64" s="1" t="s">
        <v>17865</v>
      </c>
      <c r="F64" s="1" t="s">
        <v>17866</v>
      </c>
      <c r="I64" s="1" t="s">
        <v>17867</v>
      </c>
      <c r="J64" s="1" t="s">
        <v>17677</v>
      </c>
      <c r="K64" s="2" t="s">
        <v>17637</v>
      </c>
    </row>
    <row r="65">
      <c r="A65" s="1" t="s">
        <v>88</v>
      </c>
      <c r="B65" s="5" t="s">
        <v>17868</v>
      </c>
      <c r="C65" s="1" t="s">
        <v>17631</v>
      </c>
      <c r="D65" s="1" t="s">
        <v>17632</v>
      </c>
      <c r="E65" s="1" t="s">
        <v>17675</v>
      </c>
      <c r="F65" s="1" t="s">
        <v>17869</v>
      </c>
      <c r="G65" s="654"/>
      <c r="I65" s="1" t="s">
        <v>17870</v>
      </c>
      <c r="J65" s="1" t="s">
        <v>17677</v>
      </c>
      <c r="K65" s="2" t="s">
        <v>17637</v>
      </c>
    </row>
    <row r="66">
      <c r="A66" s="1" t="s">
        <v>25</v>
      </c>
      <c r="B66" s="1" t="s">
        <v>17791</v>
      </c>
      <c r="C66" s="1" t="s">
        <v>17631</v>
      </c>
      <c r="D66" s="1" t="s">
        <v>17632</v>
      </c>
      <c r="E66" s="1" t="s">
        <v>17830</v>
      </c>
      <c r="F66" s="4" t="s">
        <v>17871</v>
      </c>
      <c r="I66" s="1" t="s">
        <v>17696</v>
      </c>
      <c r="J66" s="1" t="s">
        <v>17667</v>
      </c>
      <c r="K66" s="2" t="s">
        <v>17637</v>
      </c>
    </row>
    <row r="67">
      <c r="A67" s="1" t="s">
        <v>25</v>
      </c>
      <c r="B67" s="1" t="s">
        <v>17872</v>
      </c>
      <c r="C67" s="1" t="s">
        <v>17631</v>
      </c>
      <c r="D67" s="1" t="s">
        <v>17632</v>
      </c>
      <c r="E67" s="1" t="s">
        <v>17633</v>
      </c>
      <c r="F67" s="1" t="s">
        <v>17873</v>
      </c>
      <c r="G67" s="654"/>
      <c r="I67" s="1" t="s">
        <v>17874</v>
      </c>
      <c r="J67" s="1" t="s">
        <v>17667</v>
      </c>
      <c r="K67" s="33" t="s">
        <v>17654</v>
      </c>
    </row>
    <row r="68">
      <c r="A68" s="1" t="s">
        <v>219</v>
      </c>
      <c r="B68" s="1" t="s">
        <v>16510</v>
      </c>
      <c r="C68" s="1" t="s">
        <v>17631</v>
      </c>
      <c r="D68" s="1" t="s">
        <v>17875</v>
      </c>
      <c r="E68" s="1" t="s">
        <v>17876</v>
      </c>
      <c r="F68" s="1" t="s">
        <v>17877</v>
      </c>
      <c r="G68" s="655"/>
      <c r="I68" s="1" t="s">
        <v>17832</v>
      </c>
      <c r="J68" s="1" t="s">
        <v>17677</v>
      </c>
      <c r="K68" s="2" t="s">
        <v>17637</v>
      </c>
    </row>
    <row r="69">
      <c r="A69" s="1" t="s">
        <v>4739</v>
      </c>
      <c r="B69" s="5" t="s">
        <v>17878</v>
      </c>
      <c r="C69" s="1" t="s">
        <v>17631</v>
      </c>
      <c r="D69" s="4" t="s">
        <v>17632</v>
      </c>
      <c r="E69" s="4" t="s">
        <v>17879</v>
      </c>
      <c r="F69" s="4" t="s">
        <v>17880</v>
      </c>
      <c r="I69" s="5" t="s">
        <v>17881</v>
      </c>
      <c r="J69" s="1" t="s">
        <v>17677</v>
      </c>
      <c r="K69" s="33" t="s">
        <v>17654</v>
      </c>
    </row>
    <row r="70">
      <c r="A70" s="1" t="s">
        <v>17882</v>
      </c>
      <c r="B70" s="1" t="s">
        <v>17883</v>
      </c>
      <c r="C70" s="1" t="s">
        <v>17631</v>
      </c>
      <c r="D70" s="1" t="s">
        <v>17632</v>
      </c>
      <c r="E70" s="1" t="s">
        <v>17884</v>
      </c>
      <c r="F70" s="1" t="s">
        <v>17885</v>
      </c>
      <c r="G70" s="654"/>
      <c r="I70" s="5" t="s">
        <v>17886</v>
      </c>
      <c r="J70" s="1" t="s">
        <v>2456</v>
      </c>
      <c r="K70" s="2" t="s">
        <v>17637</v>
      </c>
    </row>
    <row r="71">
      <c r="A71" s="1" t="s">
        <v>411</v>
      </c>
      <c r="B71" s="1" t="s">
        <v>17770</v>
      </c>
      <c r="C71" s="1" t="s">
        <v>17631</v>
      </c>
      <c r="D71" s="1" t="s">
        <v>17632</v>
      </c>
      <c r="E71" s="1" t="s">
        <v>17887</v>
      </c>
      <c r="F71" s="1" t="s">
        <v>17888</v>
      </c>
      <c r="G71" s="654"/>
      <c r="I71" s="1" t="s">
        <v>17889</v>
      </c>
      <c r="J71" s="1" t="s">
        <v>17667</v>
      </c>
      <c r="K71" s="2" t="s">
        <v>17637</v>
      </c>
    </row>
    <row r="72">
      <c r="A72" s="1" t="s">
        <v>210</v>
      </c>
      <c r="B72" s="22" t="s">
        <v>17890</v>
      </c>
      <c r="C72" s="1" t="s">
        <v>17631</v>
      </c>
      <c r="D72" s="1" t="s">
        <v>17632</v>
      </c>
      <c r="E72" s="1" t="s">
        <v>17891</v>
      </c>
      <c r="F72" s="1" t="s">
        <v>17892</v>
      </c>
      <c r="G72" s="655"/>
      <c r="I72" s="5" t="s">
        <v>17893</v>
      </c>
      <c r="J72" s="1" t="s">
        <v>17677</v>
      </c>
      <c r="K72" s="2" t="s">
        <v>17637</v>
      </c>
    </row>
    <row r="73">
      <c r="A73" s="1" t="s">
        <v>271</v>
      </c>
      <c r="B73" s="5" t="s">
        <v>17894</v>
      </c>
      <c r="C73" s="1" t="s">
        <v>17631</v>
      </c>
      <c r="D73" s="1" t="s">
        <v>17632</v>
      </c>
      <c r="E73" s="1" t="s">
        <v>4328</v>
      </c>
      <c r="F73" s="1" t="s">
        <v>17895</v>
      </c>
      <c r="G73" s="655"/>
      <c r="H73" s="1" t="s">
        <v>3786</v>
      </c>
      <c r="I73" s="1" t="s">
        <v>17896</v>
      </c>
      <c r="J73" s="1" t="s">
        <v>17667</v>
      </c>
      <c r="K73" s="2" t="s">
        <v>17637</v>
      </c>
    </row>
    <row r="74">
      <c r="A74" s="5" t="s">
        <v>2035</v>
      </c>
      <c r="B74" s="5" t="s">
        <v>17897</v>
      </c>
      <c r="C74" s="5" t="s">
        <v>17631</v>
      </c>
      <c r="D74" s="1" t="s">
        <v>17898</v>
      </c>
      <c r="E74" s="4" t="s">
        <v>17899</v>
      </c>
      <c r="F74" s="4" t="s">
        <v>17900</v>
      </c>
      <c r="I74" s="5" t="s">
        <v>17824</v>
      </c>
      <c r="J74" s="1" t="s">
        <v>17677</v>
      </c>
      <c r="K74" s="33" t="s">
        <v>17654</v>
      </c>
    </row>
    <row r="75">
      <c r="A75" s="1" t="s">
        <v>77</v>
      </c>
      <c r="B75" s="5" t="s">
        <v>17901</v>
      </c>
      <c r="C75" s="5" t="s">
        <v>17631</v>
      </c>
      <c r="D75" s="1" t="s">
        <v>17902</v>
      </c>
      <c r="E75" s="1" t="s">
        <v>4328</v>
      </c>
      <c r="F75" s="4" t="s">
        <v>17903</v>
      </c>
      <c r="H75" s="5" t="s">
        <v>3936</v>
      </c>
      <c r="I75" s="5" t="s">
        <v>17904</v>
      </c>
      <c r="J75" s="1" t="s">
        <v>17667</v>
      </c>
      <c r="K75" s="2" t="s">
        <v>17637</v>
      </c>
    </row>
    <row r="76">
      <c r="A76" s="5" t="s">
        <v>81</v>
      </c>
      <c r="B76" s="5" t="s">
        <v>6571</v>
      </c>
      <c r="C76" s="51" t="s">
        <v>17631</v>
      </c>
      <c r="D76" s="1" t="s">
        <v>17632</v>
      </c>
      <c r="E76" s="1" t="s">
        <v>17905</v>
      </c>
      <c r="F76" s="1" t="s">
        <v>17906</v>
      </c>
      <c r="G76" s="1" t="s">
        <v>6359</v>
      </c>
      <c r="I76" s="5" t="s">
        <v>17907</v>
      </c>
      <c r="J76" s="1" t="s">
        <v>17677</v>
      </c>
      <c r="K76" s="2" t="s">
        <v>17637</v>
      </c>
      <c r="L76" s="51"/>
    </row>
    <row r="77">
      <c r="A77" s="1" t="s">
        <v>17908</v>
      </c>
      <c r="B77" s="1" t="s">
        <v>17909</v>
      </c>
      <c r="C77" s="1" t="s">
        <v>17631</v>
      </c>
      <c r="D77" s="1" t="s">
        <v>17632</v>
      </c>
      <c r="E77" s="1" t="s">
        <v>17910</v>
      </c>
      <c r="F77" s="1" t="s">
        <v>17911</v>
      </c>
      <c r="G77" s="654"/>
      <c r="I77" s="1" t="s">
        <v>17688</v>
      </c>
      <c r="J77" s="1" t="s">
        <v>17677</v>
      </c>
      <c r="K77" s="2" t="s">
        <v>17637</v>
      </c>
    </row>
    <row r="78">
      <c r="A78" s="1" t="s">
        <v>17809</v>
      </c>
      <c r="B78" s="5" t="s">
        <v>17912</v>
      </c>
      <c r="C78" s="1" t="s">
        <v>17631</v>
      </c>
      <c r="D78" s="1" t="s">
        <v>17632</v>
      </c>
      <c r="E78" s="1" t="s">
        <v>17913</v>
      </c>
      <c r="F78" s="1" t="s">
        <v>17914</v>
      </c>
      <c r="H78" s="22" t="s">
        <v>17915</v>
      </c>
      <c r="I78" s="1" t="s">
        <v>17916</v>
      </c>
      <c r="J78" s="1" t="s">
        <v>2430</v>
      </c>
      <c r="K78" s="2" t="s">
        <v>17637</v>
      </c>
      <c r="L78" s="8"/>
    </row>
    <row r="79">
      <c r="B79" s="24"/>
      <c r="C79" s="22" t="s">
        <v>17876</v>
      </c>
      <c r="D79" s="24"/>
      <c r="E79" s="667" t="s">
        <v>17917</v>
      </c>
      <c r="F79" s="24"/>
      <c r="G79" s="668"/>
      <c r="H79" s="22" t="s">
        <v>17918</v>
      </c>
      <c r="I79" s="24"/>
      <c r="K79" s="84"/>
    </row>
    <row r="80">
      <c r="A80" s="1" t="s">
        <v>394</v>
      </c>
      <c r="B80" s="1" t="s">
        <v>17919</v>
      </c>
      <c r="C80" s="1" t="s">
        <v>17631</v>
      </c>
      <c r="D80" s="1" t="s">
        <v>17632</v>
      </c>
      <c r="E80" s="4" t="s">
        <v>17920</v>
      </c>
      <c r="F80" s="4" t="s">
        <v>17921</v>
      </c>
      <c r="G80" s="654"/>
      <c r="I80" s="1" t="s">
        <v>17765</v>
      </c>
      <c r="J80" s="1" t="s">
        <v>17677</v>
      </c>
      <c r="K80" s="2" t="s">
        <v>17637</v>
      </c>
    </row>
    <row r="81">
      <c r="A81" s="1" t="s">
        <v>430</v>
      </c>
      <c r="B81" s="1" t="s">
        <v>17922</v>
      </c>
      <c r="C81" s="1" t="s">
        <v>17631</v>
      </c>
      <c r="D81" s="1" t="s">
        <v>17923</v>
      </c>
      <c r="E81" s="1" t="s">
        <v>17924</v>
      </c>
      <c r="F81" s="1" t="s">
        <v>17925</v>
      </c>
      <c r="G81" s="654"/>
      <c r="H81" s="1" t="s">
        <v>3786</v>
      </c>
      <c r="I81" s="1" t="s">
        <v>17926</v>
      </c>
      <c r="J81" s="1" t="s">
        <v>17677</v>
      </c>
      <c r="K81" s="33" t="s">
        <v>17654</v>
      </c>
    </row>
    <row r="82">
      <c r="A82" s="1" t="s">
        <v>1182</v>
      </c>
      <c r="B82" s="5" t="s">
        <v>27</v>
      </c>
      <c r="C82" s="1" t="s">
        <v>17631</v>
      </c>
      <c r="D82" s="1" t="s">
        <v>17632</v>
      </c>
      <c r="E82" s="1" t="s">
        <v>4328</v>
      </c>
      <c r="F82" s="1" t="s">
        <v>4362</v>
      </c>
      <c r="G82" s="666"/>
      <c r="I82" s="1" t="s">
        <v>17927</v>
      </c>
      <c r="J82" s="1" t="s">
        <v>17667</v>
      </c>
      <c r="K82" s="2" t="s">
        <v>17637</v>
      </c>
    </row>
    <row r="83">
      <c r="A83" s="5" t="s">
        <v>2581</v>
      </c>
      <c r="B83" s="5" t="s">
        <v>17928</v>
      </c>
      <c r="C83" s="5" t="s">
        <v>17631</v>
      </c>
      <c r="D83" s="5" t="s">
        <v>17632</v>
      </c>
      <c r="E83" s="4" t="s">
        <v>17929</v>
      </c>
      <c r="F83" s="4" t="s">
        <v>17930</v>
      </c>
      <c r="G83" s="5"/>
      <c r="I83" s="5" t="s">
        <v>17931</v>
      </c>
      <c r="J83" s="1" t="s">
        <v>17677</v>
      </c>
      <c r="K83" s="33" t="s">
        <v>17654</v>
      </c>
    </row>
    <row r="84">
      <c r="A84" s="1" t="s">
        <v>2276</v>
      </c>
      <c r="B84" s="1" t="s">
        <v>17932</v>
      </c>
      <c r="C84" s="1" t="s">
        <v>17631</v>
      </c>
      <c r="D84" s="4" t="s">
        <v>17632</v>
      </c>
      <c r="E84" s="4" t="s">
        <v>17933</v>
      </c>
      <c r="F84" s="4" t="s">
        <v>17934</v>
      </c>
      <c r="G84" s="4" t="s">
        <v>11522</v>
      </c>
      <c r="I84" s="5" t="s">
        <v>17935</v>
      </c>
      <c r="J84" s="1" t="s">
        <v>2734</v>
      </c>
      <c r="K84" s="33" t="s">
        <v>17654</v>
      </c>
    </row>
    <row r="85">
      <c r="A85" s="1" t="s">
        <v>41</v>
      </c>
      <c r="B85" s="1" t="s">
        <v>17936</v>
      </c>
      <c r="C85" s="1" t="s">
        <v>17631</v>
      </c>
      <c r="D85" s="1" t="s">
        <v>17937</v>
      </c>
      <c r="E85" s="190" t="s">
        <v>17938</v>
      </c>
      <c r="F85" s="1" t="s">
        <v>17939</v>
      </c>
      <c r="G85" s="75" t="s">
        <v>17940</v>
      </c>
      <c r="H85" s="38" t="s">
        <v>3229</v>
      </c>
      <c r="I85" s="1" t="s">
        <v>17941</v>
      </c>
      <c r="K85" s="2" t="s">
        <v>17637</v>
      </c>
    </row>
    <row r="86">
      <c r="A86" s="1" t="s">
        <v>41</v>
      </c>
      <c r="B86" s="1" t="s">
        <v>17942</v>
      </c>
      <c r="C86" s="1" t="s">
        <v>17943</v>
      </c>
      <c r="D86" s="1" t="s">
        <v>17944</v>
      </c>
      <c r="E86" s="1" t="s">
        <v>17945</v>
      </c>
      <c r="F86" s="1" t="s">
        <v>17939</v>
      </c>
      <c r="G86" s="655" t="s">
        <v>17946</v>
      </c>
      <c r="I86" s="5" t="s">
        <v>17947</v>
      </c>
      <c r="J86" s="1" t="s">
        <v>17687</v>
      </c>
      <c r="K86" s="33" t="s">
        <v>17654</v>
      </c>
    </row>
    <row r="87">
      <c r="A87" s="1" t="s">
        <v>77</v>
      </c>
      <c r="B87" s="1" t="s">
        <v>6192</v>
      </c>
      <c r="C87" s="1" t="s">
        <v>17631</v>
      </c>
      <c r="D87" s="1" t="s">
        <v>17723</v>
      </c>
      <c r="E87" s="4" t="s">
        <v>17948</v>
      </c>
      <c r="F87" s="4" t="s">
        <v>17949</v>
      </c>
      <c r="I87" s="5" t="s">
        <v>17950</v>
      </c>
      <c r="J87" s="1" t="s">
        <v>17667</v>
      </c>
      <c r="K87" s="2" t="s">
        <v>17637</v>
      </c>
    </row>
    <row r="88">
      <c r="A88" s="1" t="s">
        <v>170</v>
      </c>
      <c r="B88" s="5" t="s">
        <v>17951</v>
      </c>
      <c r="C88" s="1" t="s">
        <v>17631</v>
      </c>
      <c r="D88" s="1" t="s">
        <v>17632</v>
      </c>
      <c r="E88" s="1" t="s">
        <v>17952</v>
      </c>
      <c r="F88" s="1" t="s">
        <v>17953</v>
      </c>
      <c r="I88" s="1" t="s">
        <v>17954</v>
      </c>
      <c r="J88" s="1" t="s">
        <v>17687</v>
      </c>
      <c r="K88" s="2" t="s">
        <v>17637</v>
      </c>
    </row>
    <row r="89">
      <c r="A89" s="1" t="s">
        <v>91</v>
      </c>
      <c r="B89" s="1" t="s">
        <v>17955</v>
      </c>
      <c r="C89" s="1" t="s">
        <v>17631</v>
      </c>
      <c r="D89" s="1" t="s">
        <v>17632</v>
      </c>
      <c r="E89" s="1" t="s">
        <v>17956</v>
      </c>
      <c r="F89" s="1" t="s">
        <v>17957</v>
      </c>
      <c r="G89" s="654"/>
      <c r="I89" s="1" t="s">
        <v>17958</v>
      </c>
      <c r="K89" s="2" t="s">
        <v>17637</v>
      </c>
    </row>
    <row r="90">
      <c r="A90" s="1" t="s">
        <v>25</v>
      </c>
      <c r="B90" s="5" t="s">
        <v>17959</v>
      </c>
      <c r="C90" s="1" t="s">
        <v>17631</v>
      </c>
      <c r="D90" s="1" t="s">
        <v>17632</v>
      </c>
      <c r="E90" s="1" t="s">
        <v>17819</v>
      </c>
      <c r="F90" s="4" t="s">
        <v>17960</v>
      </c>
      <c r="I90" s="1" t="s">
        <v>17961</v>
      </c>
      <c r="J90" s="1" t="s">
        <v>3028</v>
      </c>
      <c r="K90" s="2" t="s">
        <v>17637</v>
      </c>
    </row>
    <row r="91">
      <c r="A91" s="1" t="s">
        <v>52</v>
      </c>
      <c r="B91" s="1" t="s">
        <v>17962</v>
      </c>
      <c r="C91" s="1" t="s">
        <v>17631</v>
      </c>
      <c r="D91" s="1" t="s">
        <v>17632</v>
      </c>
      <c r="E91" s="1" t="s">
        <v>17899</v>
      </c>
      <c r="F91" s="1" t="s">
        <v>17963</v>
      </c>
      <c r="G91" s="654"/>
      <c r="I91" s="1" t="s">
        <v>17964</v>
      </c>
      <c r="K91" s="2" t="s">
        <v>17637</v>
      </c>
    </row>
    <row r="92">
      <c r="A92" s="1" t="s">
        <v>17965</v>
      </c>
      <c r="B92" s="1" t="s">
        <v>17966</v>
      </c>
      <c r="C92" s="1" t="s">
        <v>17631</v>
      </c>
      <c r="D92" s="1" t="s">
        <v>17632</v>
      </c>
      <c r="E92" s="1" t="s">
        <v>17967</v>
      </c>
      <c r="F92" s="1" t="s">
        <v>17968</v>
      </c>
      <c r="G92" s="654"/>
      <c r="I92" s="1" t="s">
        <v>17964</v>
      </c>
      <c r="K92" s="2" t="s">
        <v>17637</v>
      </c>
    </row>
    <row r="93">
      <c r="A93" s="5" t="s">
        <v>17969</v>
      </c>
      <c r="B93" s="5" t="s">
        <v>7218</v>
      </c>
      <c r="C93" s="5" t="s">
        <v>17631</v>
      </c>
      <c r="D93" s="5" t="s">
        <v>17970</v>
      </c>
      <c r="E93" s="5" t="s">
        <v>17971</v>
      </c>
      <c r="F93" s="5" t="s">
        <v>17972</v>
      </c>
      <c r="G93" s="660" t="s">
        <v>17973</v>
      </c>
      <c r="I93" s="5" t="s">
        <v>17974</v>
      </c>
      <c r="J93" s="1" t="s">
        <v>17677</v>
      </c>
      <c r="K93" s="33" t="s">
        <v>17654</v>
      </c>
    </row>
    <row r="94">
      <c r="A94" s="1" t="s">
        <v>58</v>
      </c>
      <c r="B94" s="1" t="s">
        <v>17975</v>
      </c>
      <c r="C94" s="5" t="s">
        <v>17631</v>
      </c>
      <c r="D94" s="1" t="s">
        <v>17632</v>
      </c>
      <c r="E94" s="1" t="s">
        <v>17856</v>
      </c>
      <c r="F94" s="525" t="s">
        <v>17976</v>
      </c>
      <c r="G94" s="666"/>
      <c r="I94" s="1" t="s">
        <v>17977</v>
      </c>
      <c r="J94" s="1" t="s">
        <v>17677</v>
      </c>
      <c r="K94" s="2" t="s">
        <v>17637</v>
      </c>
    </row>
    <row r="95">
      <c r="A95" s="1" t="s">
        <v>25</v>
      </c>
      <c r="B95" s="1" t="s">
        <v>27</v>
      </c>
      <c r="C95" s="1" t="s">
        <v>17631</v>
      </c>
      <c r="D95" s="1" t="s">
        <v>17632</v>
      </c>
      <c r="E95" s="1" t="s">
        <v>17819</v>
      </c>
      <c r="F95" s="1" t="s">
        <v>17978</v>
      </c>
      <c r="G95" s="655" t="s">
        <v>11522</v>
      </c>
      <c r="I95" s="5" t="s">
        <v>17824</v>
      </c>
      <c r="J95" s="1" t="s">
        <v>2711</v>
      </c>
      <c r="K95" s="33" t="s">
        <v>17654</v>
      </c>
    </row>
    <row r="96">
      <c r="A96" s="1" t="s">
        <v>25</v>
      </c>
      <c r="B96" s="22" t="s">
        <v>17979</v>
      </c>
      <c r="C96" s="1" t="s">
        <v>17631</v>
      </c>
      <c r="D96" s="1" t="s">
        <v>17980</v>
      </c>
      <c r="E96" s="1" t="s">
        <v>17757</v>
      </c>
      <c r="F96" s="1" t="s">
        <v>17981</v>
      </c>
      <c r="G96" s="655"/>
      <c r="I96" s="5" t="s">
        <v>17982</v>
      </c>
      <c r="J96" s="1" t="s">
        <v>17667</v>
      </c>
      <c r="K96" s="33" t="s">
        <v>17654</v>
      </c>
    </row>
    <row r="97">
      <c r="A97" s="5" t="s">
        <v>25</v>
      </c>
      <c r="B97" s="5" t="s">
        <v>27</v>
      </c>
      <c r="C97" s="5" t="s">
        <v>17631</v>
      </c>
      <c r="D97" s="5" t="s">
        <v>17632</v>
      </c>
      <c r="E97" s="4" t="s">
        <v>17983</v>
      </c>
      <c r="F97" s="4" t="s">
        <v>17819</v>
      </c>
      <c r="G97" s="4"/>
      <c r="I97" s="5" t="s">
        <v>17984</v>
      </c>
      <c r="J97" s="4" t="s">
        <v>2486</v>
      </c>
      <c r="K97" s="2" t="s">
        <v>17637</v>
      </c>
      <c r="L97" s="4"/>
    </row>
    <row r="98">
      <c r="A98" s="5" t="s">
        <v>17809</v>
      </c>
      <c r="B98" s="5" t="s">
        <v>3135</v>
      </c>
      <c r="C98" s="5" t="s">
        <v>17631</v>
      </c>
      <c r="D98" s="5" t="s">
        <v>17985</v>
      </c>
      <c r="E98" s="5" t="s">
        <v>17986</v>
      </c>
      <c r="F98" s="5" t="s">
        <v>17987</v>
      </c>
      <c r="G98" s="657" t="s">
        <v>17988</v>
      </c>
      <c r="I98" s="5" t="s">
        <v>17989</v>
      </c>
      <c r="J98" s="1" t="s">
        <v>17677</v>
      </c>
      <c r="K98" s="2">
        <v>8.0</v>
      </c>
      <c r="L98" s="1" t="s">
        <v>17990</v>
      </c>
    </row>
    <row r="99">
      <c r="A99" s="1" t="s">
        <v>276</v>
      </c>
      <c r="B99" s="1" t="s">
        <v>17991</v>
      </c>
      <c r="C99" s="1" t="s">
        <v>17631</v>
      </c>
      <c r="D99" s="4" t="s">
        <v>17992</v>
      </c>
      <c r="E99" s="4" t="s">
        <v>17771</v>
      </c>
      <c r="F99" s="4" t="s">
        <v>17993</v>
      </c>
      <c r="I99" s="1" t="s">
        <v>17994</v>
      </c>
      <c r="J99" s="1" t="s">
        <v>17677</v>
      </c>
      <c r="K99" s="33" t="s">
        <v>17654</v>
      </c>
    </row>
    <row r="100">
      <c r="A100" s="1" t="s">
        <v>17995</v>
      </c>
      <c r="B100" s="5" t="s">
        <v>17996</v>
      </c>
      <c r="C100" s="1" t="s">
        <v>17631</v>
      </c>
      <c r="D100" s="1" t="s">
        <v>17632</v>
      </c>
      <c r="E100" s="1" t="s">
        <v>17997</v>
      </c>
      <c r="F100" s="1" t="s">
        <v>17998</v>
      </c>
      <c r="I100" s="1" t="s">
        <v>17752</v>
      </c>
      <c r="J100" s="1" t="s">
        <v>17677</v>
      </c>
      <c r="K100" s="2" t="s">
        <v>17637</v>
      </c>
    </row>
    <row r="101">
      <c r="A101" s="1" t="s">
        <v>77</v>
      </c>
      <c r="B101" s="1" t="s">
        <v>17999</v>
      </c>
      <c r="C101" s="1" t="s">
        <v>17631</v>
      </c>
      <c r="D101" s="1" t="s">
        <v>17632</v>
      </c>
      <c r="E101" s="4" t="s">
        <v>18000</v>
      </c>
      <c r="F101" s="4" t="s">
        <v>18001</v>
      </c>
      <c r="G101" s="654"/>
      <c r="I101" s="1" t="s">
        <v>18002</v>
      </c>
      <c r="J101" s="1" t="s">
        <v>17667</v>
      </c>
      <c r="K101" s="2" t="s">
        <v>17637</v>
      </c>
    </row>
    <row r="102">
      <c r="A102" s="1" t="s">
        <v>18003</v>
      </c>
      <c r="B102" s="1" t="s">
        <v>18004</v>
      </c>
      <c r="C102" s="1" t="s">
        <v>17631</v>
      </c>
      <c r="D102" s="1" t="s">
        <v>17632</v>
      </c>
      <c r="E102" s="1" t="s">
        <v>18005</v>
      </c>
      <c r="F102" s="4" t="s">
        <v>18006</v>
      </c>
      <c r="G102" s="5"/>
      <c r="I102" s="5" t="s">
        <v>18007</v>
      </c>
      <c r="J102" s="1" t="s">
        <v>17677</v>
      </c>
      <c r="K102" s="2" t="s">
        <v>17637</v>
      </c>
    </row>
    <row r="103">
      <c r="A103" s="1" t="s">
        <v>18008</v>
      </c>
      <c r="B103" s="5" t="s">
        <v>18009</v>
      </c>
      <c r="C103" s="1" t="s">
        <v>17631</v>
      </c>
      <c r="D103" s="1" t="s">
        <v>18010</v>
      </c>
      <c r="E103" s="1" t="s">
        <v>18011</v>
      </c>
      <c r="F103" s="1" t="s">
        <v>18012</v>
      </c>
      <c r="G103" s="660"/>
      <c r="H103" s="1" t="s">
        <v>3786</v>
      </c>
      <c r="I103" s="5" t="s">
        <v>18013</v>
      </c>
      <c r="J103" s="1" t="s">
        <v>17677</v>
      </c>
      <c r="K103" s="2" t="s">
        <v>17637</v>
      </c>
    </row>
    <row r="104">
      <c r="A104" s="1" t="s">
        <v>25</v>
      </c>
      <c r="B104" s="1" t="s">
        <v>18014</v>
      </c>
      <c r="C104" s="1" t="s">
        <v>17631</v>
      </c>
      <c r="D104" s="1" t="s">
        <v>17723</v>
      </c>
      <c r="E104" s="1" t="s">
        <v>18015</v>
      </c>
      <c r="F104" s="1" t="s">
        <v>18016</v>
      </c>
      <c r="G104" s="654"/>
      <c r="I104" s="1" t="s">
        <v>18017</v>
      </c>
      <c r="K104" s="2" t="s">
        <v>17637</v>
      </c>
    </row>
    <row r="105">
      <c r="A105" s="1" t="s">
        <v>22</v>
      </c>
      <c r="B105" s="1" t="s">
        <v>18018</v>
      </c>
      <c r="C105" s="1" t="s">
        <v>17631</v>
      </c>
      <c r="D105" s="1" t="s">
        <v>17632</v>
      </c>
      <c r="E105" s="1" t="s">
        <v>17707</v>
      </c>
      <c r="F105" s="1" t="s">
        <v>17708</v>
      </c>
      <c r="G105" s="654"/>
      <c r="I105" s="5" t="s">
        <v>18019</v>
      </c>
      <c r="K105" s="33" t="s">
        <v>17654</v>
      </c>
      <c r="L105" s="1" t="s">
        <v>18020</v>
      </c>
    </row>
    <row r="106">
      <c r="G106" s="654"/>
    </row>
    <row r="107">
      <c r="G107" s="654"/>
    </row>
    <row r="108">
      <c r="G108" s="654"/>
    </row>
    <row r="109">
      <c r="G109" s="654"/>
    </row>
    <row r="110">
      <c r="G110" s="654"/>
    </row>
    <row r="111">
      <c r="G111" s="654"/>
    </row>
    <row r="112">
      <c r="G112" s="654"/>
    </row>
    <row r="113">
      <c r="G113" s="654"/>
    </row>
    <row r="114">
      <c r="G114" s="654"/>
    </row>
    <row r="115">
      <c r="G115" s="654"/>
    </row>
    <row r="116">
      <c r="G116" s="654"/>
    </row>
    <row r="117">
      <c r="G117" s="654"/>
    </row>
    <row r="118">
      <c r="G118" s="654"/>
    </row>
    <row r="119">
      <c r="G119" s="654"/>
    </row>
    <row r="120">
      <c r="G120" s="654"/>
    </row>
    <row r="121">
      <c r="G121" s="654"/>
    </row>
    <row r="122">
      <c r="G122" s="654"/>
    </row>
    <row r="123">
      <c r="G123" s="654"/>
    </row>
    <row r="124">
      <c r="G124" s="654"/>
    </row>
    <row r="125">
      <c r="G125" s="654"/>
    </row>
    <row r="126">
      <c r="G126" s="654"/>
    </row>
    <row r="127">
      <c r="G127" s="654"/>
    </row>
    <row r="128">
      <c r="G128" s="654"/>
    </row>
    <row r="129">
      <c r="G129" s="654"/>
    </row>
    <row r="130">
      <c r="G130" s="654"/>
    </row>
    <row r="131">
      <c r="G131" s="654"/>
    </row>
    <row r="132">
      <c r="G132" s="654"/>
    </row>
    <row r="133">
      <c r="G133" s="654"/>
    </row>
    <row r="134">
      <c r="G134" s="654"/>
    </row>
    <row r="135">
      <c r="G135" s="654"/>
    </row>
    <row r="136">
      <c r="G136" s="654"/>
    </row>
    <row r="137">
      <c r="G137" s="654"/>
    </row>
    <row r="138">
      <c r="G138" s="654"/>
    </row>
    <row r="139">
      <c r="G139" s="654"/>
    </row>
    <row r="140">
      <c r="G140" s="654"/>
    </row>
    <row r="141">
      <c r="G141" s="654"/>
    </row>
    <row r="142">
      <c r="G142" s="654"/>
    </row>
    <row r="143">
      <c r="G143" s="654"/>
    </row>
    <row r="144">
      <c r="G144" s="654"/>
    </row>
    <row r="145">
      <c r="G145" s="654"/>
    </row>
    <row r="146">
      <c r="G146" s="654"/>
    </row>
    <row r="147">
      <c r="G147" s="654"/>
    </row>
    <row r="148">
      <c r="G148" s="654"/>
    </row>
    <row r="149">
      <c r="G149" s="654"/>
    </row>
    <row r="150">
      <c r="G150" s="654"/>
    </row>
    <row r="151">
      <c r="G151" s="654"/>
    </row>
    <row r="152">
      <c r="G152" s="654"/>
    </row>
    <row r="153">
      <c r="G153" s="654"/>
    </row>
    <row r="154">
      <c r="G154" s="654"/>
    </row>
    <row r="155">
      <c r="G155" s="654"/>
    </row>
    <row r="156">
      <c r="G156" s="654"/>
    </row>
    <row r="157">
      <c r="G157" s="654"/>
    </row>
    <row r="158">
      <c r="G158" s="654"/>
    </row>
    <row r="159">
      <c r="G159" s="654"/>
    </row>
    <row r="160">
      <c r="G160" s="654"/>
    </row>
    <row r="161">
      <c r="G161" s="654"/>
    </row>
    <row r="162">
      <c r="G162" s="654"/>
    </row>
    <row r="163">
      <c r="G163" s="654"/>
    </row>
    <row r="164">
      <c r="G164" s="654"/>
    </row>
    <row r="165">
      <c r="G165" s="654"/>
    </row>
    <row r="166">
      <c r="G166" s="654"/>
    </row>
    <row r="167">
      <c r="G167" s="654"/>
    </row>
    <row r="168">
      <c r="G168" s="654"/>
    </row>
    <row r="169">
      <c r="G169" s="654"/>
    </row>
    <row r="170">
      <c r="G170" s="654"/>
    </row>
    <row r="171">
      <c r="G171" s="654"/>
    </row>
    <row r="172">
      <c r="G172" s="654"/>
    </row>
    <row r="173">
      <c r="G173" s="654"/>
    </row>
    <row r="174">
      <c r="G174" s="654"/>
    </row>
    <row r="175">
      <c r="G175" s="654"/>
    </row>
    <row r="176">
      <c r="G176" s="654"/>
    </row>
    <row r="177">
      <c r="G177" s="654"/>
    </row>
    <row r="178">
      <c r="G178" s="654"/>
    </row>
    <row r="179">
      <c r="G179" s="654"/>
    </row>
    <row r="180">
      <c r="G180" s="654"/>
    </row>
    <row r="181">
      <c r="G181" s="654"/>
    </row>
    <row r="182">
      <c r="G182" s="654"/>
    </row>
    <row r="183">
      <c r="G183" s="654"/>
    </row>
    <row r="184">
      <c r="G184" s="654"/>
    </row>
    <row r="185">
      <c r="G185" s="654"/>
    </row>
    <row r="186">
      <c r="G186" s="654"/>
    </row>
    <row r="187">
      <c r="G187" s="654"/>
    </row>
    <row r="188">
      <c r="G188" s="654"/>
    </row>
    <row r="189">
      <c r="G189" s="654"/>
    </row>
    <row r="190">
      <c r="G190" s="654"/>
    </row>
    <row r="191">
      <c r="G191" s="654"/>
    </row>
    <row r="192">
      <c r="G192" s="654"/>
    </row>
    <row r="193">
      <c r="G193" s="654"/>
    </row>
    <row r="194">
      <c r="G194" s="654"/>
    </row>
    <row r="195">
      <c r="G195" s="654"/>
    </row>
    <row r="196">
      <c r="G196" s="654"/>
    </row>
    <row r="197">
      <c r="G197" s="654"/>
    </row>
    <row r="198">
      <c r="G198" s="654"/>
    </row>
    <row r="199">
      <c r="G199" s="654"/>
    </row>
    <row r="200">
      <c r="G200" s="654"/>
    </row>
    <row r="201">
      <c r="G201" s="654"/>
    </row>
    <row r="202">
      <c r="G202" s="654"/>
    </row>
    <row r="203">
      <c r="G203" s="654"/>
    </row>
    <row r="204">
      <c r="G204" s="654"/>
    </row>
    <row r="205">
      <c r="G205" s="654"/>
    </row>
    <row r="206">
      <c r="G206" s="654"/>
    </row>
    <row r="207">
      <c r="G207" s="654"/>
    </row>
    <row r="208">
      <c r="G208" s="654"/>
    </row>
    <row r="209">
      <c r="G209" s="654"/>
    </row>
    <row r="210">
      <c r="G210" s="654"/>
    </row>
    <row r="211">
      <c r="G211" s="654"/>
    </row>
    <row r="212">
      <c r="G212" s="654"/>
    </row>
    <row r="213">
      <c r="G213" s="654"/>
    </row>
    <row r="214">
      <c r="G214" s="654"/>
    </row>
    <row r="215">
      <c r="G215" s="654"/>
    </row>
    <row r="216">
      <c r="G216" s="654"/>
    </row>
    <row r="217">
      <c r="G217" s="654"/>
    </row>
    <row r="218">
      <c r="G218" s="654"/>
    </row>
    <row r="219">
      <c r="G219" s="654"/>
    </row>
    <row r="220">
      <c r="G220" s="654"/>
    </row>
    <row r="221">
      <c r="G221" s="654"/>
    </row>
    <row r="222">
      <c r="G222" s="654"/>
    </row>
    <row r="223">
      <c r="G223" s="654"/>
    </row>
    <row r="224">
      <c r="G224" s="654"/>
    </row>
    <row r="225">
      <c r="G225" s="654"/>
    </row>
    <row r="226">
      <c r="G226" s="654"/>
    </row>
    <row r="227">
      <c r="G227" s="654"/>
    </row>
    <row r="228">
      <c r="G228" s="654"/>
    </row>
    <row r="229">
      <c r="G229" s="654"/>
    </row>
    <row r="230">
      <c r="G230" s="654"/>
    </row>
    <row r="231">
      <c r="G231" s="654"/>
    </row>
    <row r="232">
      <c r="G232" s="654"/>
    </row>
    <row r="233">
      <c r="G233" s="654"/>
    </row>
    <row r="234">
      <c r="G234" s="654"/>
    </row>
    <row r="235">
      <c r="G235" s="654"/>
    </row>
    <row r="236">
      <c r="G236" s="654"/>
    </row>
    <row r="237">
      <c r="G237" s="654"/>
    </row>
    <row r="238">
      <c r="G238" s="654"/>
    </row>
    <row r="239">
      <c r="G239" s="654"/>
    </row>
    <row r="240">
      <c r="G240" s="654"/>
    </row>
    <row r="241">
      <c r="G241" s="654"/>
    </row>
    <row r="242">
      <c r="G242" s="654"/>
    </row>
    <row r="243">
      <c r="G243" s="654"/>
    </row>
    <row r="244">
      <c r="G244" s="654"/>
    </row>
    <row r="245">
      <c r="G245" s="654"/>
    </row>
    <row r="246">
      <c r="G246" s="654"/>
    </row>
    <row r="247">
      <c r="G247" s="654"/>
    </row>
    <row r="248">
      <c r="G248" s="654"/>
    </row>
    <row r="249">
      <c r="G249" s="654"/>
    </row>
    <row r="250">
      <c r="G250" s="654"/>
    </row>
    <row r="251">
      <c r="G251" s="654"/>
    </row>
    <row r="252">
      <c r="G252" s="654"/>
    </row>
    <row r="253">
      <c r="G253" s="654"/>
    </row>
    <row r="254">
      <c r="G254" s="654"/>
    </row>
    <row r="255">
      <c r="G255" s="654"/>
    </row>
    <row r="256">
      <c r="G256" s="654"/>
    </row>
    <row r="257">
      <c r="G257" s="654"/>
    </row>
    <row r="258">
      <c r="G258" s="654"/>
    </row>
    <row r="259">
      <c r="G259" s="654"/>
    </row>
    <row r="260">
      <c r="G260" s="654"/>
    </row>
    <row r="261">
      <c r="G261" s="654"/>
    </row>
    <row r="262">
      <c r="G262" s="654"/>
    </row>
    <row r="263">
      <c r="G263" s="654"/>
    </row>
    <row r="264">
      <c r="G264" s="654"/>
    </row>
    <row r="265">
      <c r="G265" s="654"/>
    </row>
    <row r="266">
      <c r="G266" s="654"/>
    </row>
    <row r="267">
      <c r="G267" s="654"/>
    </row>
    <row r="268">
      <c r="G268" s="654"/>
    </row>
    <row r="269">
      <c r="G269" s="654"/>
    </row>
    <row r="270">
      <c r="G270" s="654"/>
    </row>
    <row r="271">
      <c r="G271" s="654"/>
    </row>
    <row r="272">
      <c r="G272" s="654"/>
    </row>
    <row r="273">
      <c r="G273" s="654"/>
    </row>
    <row r="274">
      <c r="G274" s="654"/>
    </row>
    <row r="275">
      <c r="G275" s="654"/>
    </row>
    <row r="276">
      <c r="G276" s="654"/>
    </row>
    <row r="277">
      <c r="G277" s="654"/>
    </row>
    <row r="278">
      <c r="G278" s="654"/>
    </row>
    <row r="279">
      <c r="G279" s="654"/>
    </row>
    <row r="280">
      <c r="G280" s="654"/>
    </row>
    <row r="281">
      <c r="G281" s="654"/>
    </row>
    <row r="282">
      <c r="G282" s="654"/>
    </row>
    <row r="283">
      <c r="G283" s="654"/>
    </row>
    <row r="284">
      <c r="G284" s="654"/>
    </row>
    <row r="285">
      <c r="G285" s="654"/>
    </row>
    <row r="286">
      <c r="G286" s="654"/>
    </row>
    <row r="287">
      <c r="G287" s="654"/>
    </row>
    <row r="288">
      <c r="G288" s="654"/>
    </row>
    <row r="289">
      <c r="G289" s="654"/>
    </row>
    <row r="290">
      <c r="G290" s="654"/>
    </row>
    <row r="291">
      <c r="G291" s="654"/>
    </row>
    <row r="292">
      <c r="G292" s="654"/>
    </row>
    <row r="293">
      <c r="G293" s="654"/>
    </row>
    <row r="294">
      <c r="G294" s="654"/>
    </row>
    <row r="295">
      <c r="G295" s="654"/>
    </row>
    <row r="296">
      <c r="G296" s="654"/>
    </row>
    <row r="297">
      <c r="G297" s="654"/>
    </row>
    <row r="298">
      <c r="G298" s="654"/>
    </row>
    <row r="299">
      <c r="G299" s="654"/>
    </row>
    <row r="300">
      <c r="G300" s="654"/>
    </row>
    <row r="301">
      <c r="G301" s="654"/>
    </row>
    <row r="302">
      <c r="G302" s="654"/>
    </row>
    <row r="303">
      <c r="G303" s="654"/>
    </row>
    <row r="304">
      <c r="G304" s="654"/>
    </row>
    <row r="305">
      <c r="G305" s="654"/>
    </row>
    <row r="306">
      <c r="G306" s="654"/>
    </row>
    <row r="307">
      <c r="G307" s="654"/>
    </row>
    <row r="308">
      <c r="G308" s="654"/>
    </row>
    <row r="309">
      <c r="G309" s="654"/>
    </row>
    <row r="310">
      <c r="G310" s="654"/>
    </row>
    <row r="311">
      <c r="G311" s="654"/>
    </row>
    <row r="312">
      <c r="G312" s="654"/>
    </row>
    <row r="313">
      <c r="G313" s="654"/>
    </row>
    <row r="314">
      <c r="G314" s="654"/>
    </row>
    <row r="315">
      <c r="G315" s="654"/>
    </row>
    <row r="316">
      <c r="G316" s="654"/>
    </row>
    <row r="317">
      <c r="G317" s="654"/>
    </row>
    <row r="318">
      <c r="G318" s="654"/>
    </row>
    <row r="319">
      <c r="G319" s="654"/>
    </row>
    <row r="320">
      <c r="G320" s="654"/>
    </row>
    <row r="321">
      <c r="G321" s="654"/>
    </row>
    <row r="322">
      <c r="G322" s="654"/>
    </row>
    <row r="323">
      <c r="G323" s="654"/>
    </row>
    <row r="324">
      <c r="G324" s="654"/>
    </row>
    <row r="325">
      <c r="G325" s="654"/>
    </row>
    <row r="326">
      <c r="G326" s="654"/>
    </row>
    <row r="327">
      <c r="G327" s="654"/>
    </row>
    <row r="328">
      <c r="G328" s="654"/>
    </row>
    <row r="329">
      <c r="G329" s="654"/>
    </row>
    <row r="330">
      <c r="G330" s="654"/>
    </row>
    <row r="331">
      <c r="G331" s="654"/>
    </row>
    <row r="332">
      <c r="G332" s="654"/>
    </row>
    <row r="333">
      <c r="G333" s="654"/>
    </row>
    <row r="334">
      <c r="G334" s="654"/>
    </row>
    <row r="335">
      <c r="G335" s="654"/>
    </row>
    <row r="336">
      <c r="G336" s="654"/>
    </row>
    <row r="337">
      <c r="G337" s="654"/>
    </row>
    <row r="338">
      <c r="G338" s="654"/>
    </row>
    <row r="339">
      <c r="G339" s="654"/>
    </row>
    <row r="340">
      <c r="G340" s="654"/>
    </row>
    <row r="341">
      <c r="G341" s="654"/>
    </row>
    <row r="342">
      <c r="G342" s="654"/>
    </row>
    <row r="343">
      <c r="G343" s="654"/>
    </row>
    <row r="344">
      <c r="G344" s="654"/>
    </row>
    <row r="345">
      <c r="G345" s="654"/>
    </row>
    <row r="346">
      <c r="G346" s="654"/>
    </row>
    <row r="347">
      <c r="G347" s="654"/>
    </row>
    <row r="348">
      <c r="G348" s="654"/>
    </row>
    <row r="349">
      <c r="G349" s="654"/>
    </row>
    <row r="350">
      <c r="G350" s="654"/>
    </row>
    <row r="351">
      <c r="G351" s="654"/>
    </row>
    <row r="352">
      <c r="G352" s="654"/>
    </row>
    <row r="353">
      <c r="G353" s="654"/>
    </row>
    <row r="354">
      <c r="G354" s="654"/>
    </row>
    <row r="355">
      <c r="G355" s="654"/>
    </row>
    <row r="356">
      <c r="G356" s="654"/>
    </row>
    <row r="357">
      <c r="G357" s="654"/>
    </row>
    <row r="358">
      <c r="G358" s="654"/>
    </row>
    <row r="359">
      <c r="G359" s="654"/>
    </row>
    <row r="360">
      <c r="G360" s="654"/>
    </row>
    <row r="361">
      <c r="G361" s="654"/>
    </row>
    <row r="362">
      <c r="G362" s="654"/>
    </row>
    <row r="363">
      <c r="G363" s="654"/>
    </row>
    <row r="364">
      <c r="G364" s="654"/>
    </row>
    <row r="365">
      <c r="G365" s="654"/>
    </row>
    <row r="366">
      <c r="G366" s="654"/>
    </row>
    <row r="367">
      <c r="G367" s="654"/>
    </row>
    <row r="368">
      <c r="G368" s="654"/>
    </row>
    <row r="369">
      <c r="G369" s="654"/>
    </row>
    <row r="370">
      <c r="G370" s="654"/>
    </row>
    <row r="371">
      <c r="G371" s="654"/>
    </row>
    <row r="372">
      <c r="G372" s="654"/>
    </row>
    <row r="373">
      <c r="G373" s="654"/>
    </row>
    <row r="374">
      <c r="G374" s="654"/>
    </row>
    <row r="375">
      <c r="G375" s="654"/>
    </row>
    <row r="376">
      <c r="G376" s="654"/>
    </row>
    <row r="377">
      <c r="G377" s="654"/>
    </row>
    <row r="378">
      <c r="G378" s="654"/>
    </row>
    <row r="379">
      <c r="G379" s="654"/>
    </row>
    <row r="380">
      <c r="G380" s="654"/>
    </row>
    <row r="381">
      <c r="G381" s="654"/>
    </row>
    <row r="382">
      <c r="G382" s="654"/>
    </row>
    <row r="383">
      <c r="G383" s="654"/>
    </row>
    <row r="384">
      <c r="G384" s="654"/>
    </row>
    <row r="385">
      <c r="G385" s="654"/>
    </row>
    <row r="386">
      <c r="G386" s="654"/>
    </row>
    <row r="387">
      <c r="G387" s="654"/>
    </row>
    <row r="388">
      <c r="G388" s="654"/>
    </row>
    <row r="389">
      <c r="G389" s="654"/>
    </row>
    <row r="390">
      <c r="G390" s="654"/>
    </row>
    <row r="391">
      <c r="G391" s="654"/>
    </row>
    <row r="392">
      <c r="G392" s="654"/>
    </row>
    <row r="393">
      <c r="G393" s="654"/>
    </row>
    <row r="394">
      <c r="G394" s="654"/>
    </row>
    <row r="395">
      <c r="G395" s="654"/>
    </row>
    <row r="396">
      <c r="G396" s="654"/>
    </row>
    <row r="397">
      <c r="G397" s="654"/>
    </row>
    <row r="398">
      <c r="G398" s="654"/>
    </row>
    <row r="399">
      <c r="G399" s="654"/>
    </row>
    <row r="400">
      <c r="G400" s="654"/>
    </row>
    <row r="401">
      <c r="G401" s="654"/>
    </row>
    <row r="402">
      <c r="G402" s="654"/>
    </row>
    <row r="403">
      <c r="G403" s="654"/>
    </row>
    <row r="404">
      <c r="G404" s="654"/>
    </row>
    <row r="405">
      <c r="G405" s="654"/>
    </row>
    <row r="406">
      <c r="G406" s="654"/>
    </row>
    <row r="407">
      <c r="G407" s="654"/>
    </row>
    <row r="408">
      <c r="G408" s="654"/>
    </row>
    <row r="409">
      <c r="G409" s="654"/>
    </row>
    <row r="410">
      <c r="G410" s="654"/>
    </row>
    <row r="411">
      <c r="G411" s="654"/>
    </row>
    <row r="412">
      <c r="G412" s="654"/>
    </row>
    <row r="413">
      <c r="G413" s="654"/>
    </row>
    <row r="414">
      <c r="G414" s="654"/>
    </row>
    <row r="415">
      <c r="G415" s="654"/>
    </row>
    <row r="416">
      <c r="G416" s="654"/>
    </row>
    <row r="417">
      <c r="G417" s="654"/>
    </row>
    <row r="418">
      <c r="G418" s="654"/>
    </row>
    <row r="419">
      <c r="G419" s="654"/>
    </row>
    <row r="420">
      <c r="G420" s="654"/>
    </row>
    <row r="421">
      <c r="G421" s="654"/>
    </row>
    <row r="422">
      <c r="G422" s="654"/>
    </row>
    <row r="423">
      <c r="G423" s="654"/>
    </row>
    <row r="424">
      <c r="G424" s="654"/>
    </row>
    <row r="425">
      <c r="G425" s="654"/>
    </row>
    <row r="426">
      <c r="G426" s="654"/>
    </row>
    <row r="427">
      <c r="G427" s="654"/>
    </row>
    <row r="428">
      <c r="G428" s="654"/>
    </row>
    <row r="429">
      <c r="G429" s="654"/>
    </row>
    <row r="430">
      <c r="G430" s="654"/>
    </row>
    <row r="431">
      <c r="G431" s="654"/>
    </row>
    <row r="432">
      <c r="G432" s="654"/>
    </row>
    <row r="433">
      <c r="G433" s="654"/>
    </row>
    <row r="434">
      <c r="G434" s="654"/>
    </row>
    <row r="435">
      <c r="G435" s="654"/>
    </row>
    <row r="436">
      <c r="G436" s="654"/>
    </row>
    <row r="437">
      <c r="G437" s="654"/>
    </row>
    <row r="438">
      <c r="G438" s="654"/>
    </row>
    <row r="439">
      <c r="G439" s="654"/>
    </row>
    <row r="440">
      <c r="G440" s="654"/>
    </row>
    <row r="441">
      <c r="G441" s="654"/>
    </row>
    <row r="442">
      <c r="G442" s="654"/>
    </row>
    <row r="443">
      <c r="G443" s="654"/>
    </row>
    <row r="444">
      <c r="G444" s="654"/>
    </row>
    <row r="445">
      <c r="G445" s="654"/>
    </row>
    <row r="446">
      <c r="G446" s="654"/>
    </row>
    <row r="447">
      <c r="G447" s="654"/>
    </row>
    <row r="448">
      <c r="G448" s="654"/>
    </row>
    <row r="449">
      <c r="G449" s="654"/>
    </row>
    <row r="450">
      <c r="G450" s="654"/>
    </row>
    <row r="451">
      <c r="G451" s="654"/>
    </row>
    <row r="452">
      <c r="G452" s="654"/>
    </row>
    <row r="453">
      <c r="G453" s="654"/>
    </row>
    <row r="454">
      <c r="G454" s="654"/>
    </row>
    <row r="455">
      <c r="G455" s="654"/>
    </row>
    <row r="456">
      <c r="G456" s="654"/>
    </row>
    <row r="457">
      <c r="G457" s="654"/>
    </row>
    <row r="458">
      <c r="G458" s="654"/>
    </row>
    <row r="459">
      <c r="G459" s="654"/>
    </row>
    <row r="460">
      <c r="G460" s="654"/>
    </row>
    <row r="461">
      <c r="G461" s="654"/>
    </row>
    <row r="462">
      <c r="G462" s="654"/>
    </row>
    <row r="463">
      <c r="G463" s="654"/>
    </row>
    <row r="464">
      <c r="G464" s="654"/>
    </row>
    <row r="465">
      <c r="G465" s="654"/>
    </row>
    <row r="466">
      <c r="G466" s="654"/>
    </row>
    <row r="467">
      <c r="G467" s="654"/>
    </row>
    <row r="468">
      <c r="G468" s="654"/>
    </row>
    <row r="469">
      <c r="G469" s="654"/>
    </row>
    <row r="470">
      <c r="G470" s="654"/>
    </row>
    <row r="471">
      <c r="G471" s="654"/>
    </row>
    <row r="472">
      <c r="G472" s="654"/>
    </row>
    <row r="473">
      <c r="G473" s="654"/>
    </row>
    <row r="474">
      <c r="G474" s="654"/>
    </row>
    <row r="475">
      <c r="G475" s="654"/>
    </row>
    <row r="476">
      <c r="G476" s="654"/>
    </row>
    <row r="477">
      <c r="G477" s="654"/>
    </row>
    <row r="478">
      <c r="G478" s="654"/>
    </row>
    <row r="479">
      <c r="G479" s="654"/>
    </row>
    <row r="480">
      <c r="G480" s="654"/>
    </row>
    <row r="481">
      <c r="G481" s="654"/>
    </row>
    <row r="482">
      <c r="G482" s="654"/>
    </row>
    <row r="483">
      <c r="G483" s="654"/>
    </row>
    <row r="484">
      <c r="G484" s="654"/>
    </row>
    <row r="485">
      <c r="G485" s="654"/>
    </row>
    <row r="486">
      <c r="G486" s="654"/>
    </row>
    <row r="487">
      <c r="G487" s="654"/>
    </row>
    <row r="488">
      <c r="G488" s="654"/>
    </row>
    <row r="489">
      <c r="G489" s="654"/>
    </row>
    <row r="490">
      <c r="G490" s="654"/>
    </row>
    <row r="491">
      <c r="G491" s="654"/>
    </row>
    <row r="492">
      <c r="G492" s="654"/>
    </row>
    <row r="493">
      <c r="G493" s="654"/>
    </row>
    <row r="494">
      <c r="G494" s="654"/>
    </row>
    <row r="495">
      <c r="G495" s="654"/>
    </row>
    <row r="496">
      <c r="G496" s="654"/>
    </row>
    <row r="497">
      <c r="G497" s="654"/>
    </row>
    <row r="498">
      <c r="G498" s="654"/>
    </row>
    <row r="499">
      <c r="G499" s="654"/>
    </row>
    <row r="500">
      <c r="G500" s="654"/>
    </row>
    <row r="501">
      <c r="G501" s="654"/>
    </row>
    <row r="502">
      <c r="G502" s="654"/>
    </row>
    <row r="503">
      <c r="G503" s="654"/>
    </row>
    <row r="504">
      <c r="G504" s="654"/>
    </row>
    <row r="505">
      <c r="G505" s="654"/>
    </row>
    <row r="506">
      <c r="G506" s="654"/>
    </row>
    <row r="507">
      <c r="G507" s="654"/>
    </row>
    <row r="508">
      <c r="G508" s="654"/>
    </row>
    <row r="509">
      <c r="G509" s="654"/>
    </row>
    <row r="510">
      <c r="G510" s="654"/>
    </row>
    <row r="511">
      <c r="G511" s="654"/>
    </row>
    <row r="512">
      <c r="G512" s="654"/>
    </row>
    <row r="513">
      <c r="G513" s="654"/>
    </row>
    <row r="514">
      <c r="G514" s="654"/>
    </row>
    <row r="515">
      <c r="G515" s="654"/>
    </row>
    <row r="516">
      <c r="G516" s="654"/>
    </row>
    <row r="517">
      <c r="G517" s="654"/>
    </row>
    <row r="518">
      <c r="G518" s="654"/>
    </row>
    <row r="519">
      <c r="G519" s="654"/>
    </row>
    <row r="520">
      <c r="G520" s="654"/>
    </row>
    <row r="521">
      <c r="G521" s="654"/>
    </row>
    <row r="522">
      <c r="G522" s="654"/>
    </row>
    <row r="523">
      <c r="G523" s="654"/>
    </row>
    <row r="524">
      <c r="G524" s="654"/>
    </row>
    <row r="525">
      <c r="G525" s="654"/>
    </row>
    <row r="526">
      <c r="G526" s="654"/>
    </row>
    <row r="527">
      <c r="G527" s="654"/>
    </row>
    <row r="528">
      <c r="G528" s="654"/>
    </row>
    <row r="529">
      <c r="G529" s="654"/>
    </row>
    <row r="530">
      <c r="G530" s="654"/>
    </row>
    <row r="531">
      <c r="G531" s="654"/>
    </row>
    <row r="532">
      <c r="G532" s="654"/>
    </row>
    <row r="533">
      <c r="G533" s="654"/>
    </row>
    <row r="534">
      <c r="G534" s="654"/>
    </row>
    <row r="535">
      <c r="G535" s="654"/>
    </row>
    <row r="536">
      <c r="G536" s="654"/>
    </row>
    <row r="537">
      <c r="G537" s="654"/>
    </row>
    <row r="538">
      <c r="G538" s="654"/>
    </row>
    <row r="539">
      <c r="G539" s="654"/>
    </row>
    <row r="540">
      <c r="G540" s="654"/>
    </row>
    <row r="541">
      <c r="G541" s="654"/>
    </row>
    <row r="542">
      <c r="G542" s="654"/>
    </row>
    <row r="543">
      <c r="G543" s="654"/>
    </row>
    <row r="544">
      <c r="G544" s="654"/>
    </row>
    <row r="545">
      <c r="G545" s="654"/>
    </row>
    <row r="546">
      <c r="G546" s="654"/>
    </row>
    <row r="547">
      <c r="G547" s="654"/>
    </row>
    <row r="548">
      <c r="G548" s="654"/>
    </row>
    <row r="549">
      <c r="G549" s="654"/>
    </row>
    <row r="550">
      <c r="G550" s="654"/>
    </row>
    <row r="551">
      <c r="G551" s="654"/>
    </row>
    <row r="552">
      <c r="G552" s="654"/>
    </row>
    <row r="553">
      <c r="G553" s="654"/>
    </row>
    <row r="554">
      <c r="G554" s="654"/>
    </row>
    <row r="555">
      <c r="G555" s="654"/>
    </row>
    <row r="556">
      <c r="G556" s="654"/>
    </row>
    <row r="557">
      <c r="G557" s="654"/>
    </row>
    <row r="558">
      <c r="G558" s="654"/>
    </row>
    <row r="559">
      <c r="G559" s="654"/>
    </row>
    <row r="560">
      <c r="G560" s="654"/>
    </row>
    <row r="561">
      <c r="G561" s="654"/>
    </row>
    <row r="562">
      <c r="G562" s="654"/>
    </row>
    <row r="563">
      <c r="G563" s="654"/>
    </row>
    <row r="564">
      <c r="G564" s="654"/>
    </row>
    <row r="565">
      <c r="G565" s="654"/>
    </row>
    <row r="566">
      <c r="G566" s="654"/>
    </row>
    <row r="567">
      <c r="G567" s="654"/>
    </row>
    <row r="568">
      <c r="G568" s="654"/>
    </row>
    <row r="569">
      <c r="G569" s="654"/>
    </row>
    <row r="570">
      <c r="G570" s="654"/>
    </row>
    <row r="571">
      <c r="G571" s="654"/>
    </row>
    <row r="572">
      <c r="G572" s="654"/>
    </row>
    <row r="573">
      <c r="G573" s="654"/>
    </row>
    <row r="574">
      <c r="G574" s="654"/>
    </row>
    <row r="575">
      <c r="G575" s="654"/>
    </row>
    <row r="576">
      <c r="G576" s="654"/>
    </row>
    <row r="577">
      <c r="G577" s="654"/>
    </row>
    <row r="578">
      <c r="G578" s="654"/>
    </row>
    <row r="579">
      <c r="G579" s="654"/>
    </row>
    <row r="580">
      <c r="G580" s="654"/>
    </row>
    <row r="581">
      <c r="G581" s="654"/>
    </row>
    <row r="582">
      <c r="G582" s="654"/>
    </row>
    <row r="583">
      <c r="G583" s="654"/>
    </row>
    <row r="584">
      <c r="G584" s="654"/>
    </row>
    <row r="585">
      <c r="G585" s="654"/>
    </row>
    <row r="586">
      <c r="G586" s="654"/>
    </row>
    <row r="587">
      <c r="G587" s="654"/>
    </row>
    <row r="588">
      <c r="G588" s="654"/>
    </row>
    <row r="589">
      <c r="G589" s="654"/>
    </row>
    <row r="590">
      <c r="G590" s="654"/>
    </row>
    <row r="591">
      <c r="G591" s="654"/>
    </row>
    <row r="592">
      <c r="G592" s="654"/>
    </row>
    <row r="593">
      <c r="G593" s="654"/>
    </row>
    <row r="594">
      <c r="G594" s="654"/>
    </row>
    <row r="595">
      <c r="G595" s="654"/>
    </row>
    <row r="596">
      <c r="G596" s="654"/>
    </row>
    <row r="597">
      <c r="G597" s="654"/>
    </row>
    <row r="598">
      <c r="G598" s="654"/>
    </row>
    <row r="599">
      <c r="G599" s="654"/>
    </row>
    <row r="600">
      <c r="G600" s="654"/>
    </row>
    <row r="601">
      <c r="G601" s="654"/>
    </row>
    <row r="602">
      <c r="G602" s="654"/>
    </row>
    <row r="603">
      <c r="G603" s="654"/>
    </row>
    <row r="604">
      <c r="G604" s="654"/>
    </row>
    <row r="605">
      <c r="G605" s="654"/>
    </row>
    <row r="606">
      <c r="G606" s="654"/>
    </row>
    <row r="607">
      <c r="G607" s="654"/>
    </row>
    <row r="608">
      <c r="G608" s="654"/>
    </row>
    <row r="609">
      <c r="G609" s="654"/>
    </row>
    <row r="610">
      <c r="G610" s="654"/>
    </row>
    <row r="611">
      <c r="G611" s="654"/>
    </row>
    <row r="612">
      <c r="G612" s="654"/>
    </row>
    <row r="613">
      <c r="G613" s="654"/>
    </row>
    <row r="614">
      <c r="G614" s="654"/>
    </row>
    <row r="615">
      <c r="G615" s="654"/>
    </row>
    <row r="616">
      <c r="G616" s="654"/>
    </row>
    <row r="617">
      <c r="G617" s="654"/>
    </row>
    <row r="618">
      <c r="G618" s="654"/>
    </row>
    <row r="619">
      <c r="G619" s="654"/>
    </row>
    <row r="620">
      <c r="G620" s="654"/>
    </row>
    <row r="621">
      <c r="G621" s="654"/>
    </row>
    <row r="622">
      <c r="G622" s="654"/>
    </row>
    <row r="623">
      <c r="G623" s="654"/>
    </row>
    <row r="624">
      <c r="G624" s="654"/>
    </row>
    <row r="625">
      <c r="G625" s="654"/>
    </row>
    <row r="626">
      <c r="G626" s="654"/>
    </row>
    <row r="627">
      <c r="G627" s="654"/>
    </row>
    <row r="628">
      <c r="G628" s="654"/>
    </row>
    <row r="629">
      <c r="G629" s="654"/>
    </row>
    <row r="630">
      <c r="G630" s="654"/>
    </row>
    <row r="631">
      <c r="G631" s="654"/>
    </row>
    <row r="632">
      <c r="G632" s="654"/>
    </row>
    <row r="633">
      <c r="G633" s="654"/>
    </row>
    <row r="634">
      <c r="G634" s="654"/>
    </row>
    <row r="635">
      <c r="G635" s="654"/>
    </row>
    <row r="636">
      <c r="G636" s="654"/>
    </row>
    <row r="637">
      <c r="G637" s="654"/>
    </row>
    <row r="638">
      <c r="G638" s="654"/>
    </row>
    <row r="639">
      <c r="G639" s="654"/>
    </row>
    <row r="640">
      <c r="G640" s="654"/>
    </row>
    <row r="641">
      <c r="G641" s="654"/>
    </row>
    <row r="642">
      <c r="G642" s="654"/>
    </row>
    <row r="643">
      <c r="G643" s="654"/>
    </row>
    <row r="644">
      <c r="G644" s="654"/>
    </row>
    <row r="645">
      <c r="G645" s="654"/>
    </row>
    <row r="646">
      <c r="G646" s="654"/>
    </row>
    <row r="647">
      <c r="G647" s="654"/>
    </row>
    <row r="648">
      <c r="G648" s="654"/>
    </row>
    <row r="649">
      <c r="G649" s="654"/>
    </row>
    <row r="650">
      <c r="G650" s="654"/>
    </row>
    <row r="651">
      <c r="G651" s="654"/>
    </row>
    <row r="652">
      <c r="G652" s="654"/>
    </row>
    <row r="653">
      <c r="G653" s="654"/>
    </row>
    <row r="654">
      <c r="G654" s="654"/>
    </row>
    <row r="655">
      <c r="G655" s="654"/>
    </row>
    <row r="656">
      <c r="G656" s="654"/>
    </row>
    <row r="657">
      <c r="G657" s="654"/>
    </row>
    <row r="658">
      <c r="G658" s="654"/>
    </row>
    <row r="659">
      <c r="G659" s="654"/>
    </row>
    <row r="660">
      <c r="G660" s="654"/>
    </row>
    <row r="661">
      <c r="G661" s="654"/>
    </row>
    <row r="662">
      <c r="G662" s="654"/>
    </row>
    <row r="663">
      <c r="G663" s="654"/>
    </row>
    <row r="664">
      <c r="G664" s="654"/>
    </row>
    <row r="665">
      <c r="G665" s="654"/>
    </row>
    <row r="666">
      <c r="G666" s="654"/>
    </row>
    <row r="667">
      <c r="G667" s="654"/>
    </row>
    <row r="668">
      <c r="G668" s="654"/>
    </row>
    <row r="669">
      <c r="G669" s="654"/>
    </row>
    <row r="670">
      <c r="G670" s="654"/>
    </row>
    <row r="671">
      <c r="G671" s="654"/>
    </row>
    <row r="672">
      <c r="G672" s="654"/>
    </row>
    <row r="673">
      <c r="G673" s="654"/>
    </row>
    <row r="674">
      <c r="G674" s="654"/>
    </row>
    <row r="675">
      <c r="G675" s="654"/>
    </row>
    <row r="676">
      <c r="G676" s="654"/>
    </row>
    <row r="677">
      <c r="G677" s="654"/>
    </row>
    <row r="678">
      <c r="G678" s="654"/>
    </row>
    <row r="679">
      <c r="G679" s="654"/>
    </row>
    <row r="680">
      <c r="G680" s="654"/>
    </row>
    <row r="681">
      <c r="G681" s="654"/>
    </row>
    <row r="682">
      <c r="G682" s="654"/>
    </row>
    <row r="683">
      <c r="G683" s="654"/>
    </row>
    <row r="684">
      <c r="G684" s="654"/>
    </row>
    <row r="685">
      <c r="G685" s="654"/>
    </row>
    <row r="686">
      <c r="G686" s="654"/>
    </row>
    <row r="687">
      <c r="G687" s="654"/>
    </row>
    <row r="688">
      <c r="G688" s="654"/>
    </row>
    <row r="689">
      <c r="G689" s="654"/>
    </row>
    <row r="690">
      <c r="G690" s="654"/>
    </row>
    <row r="691">
      <c r="G691" s="654"/>
    </row>
    <row r="692">
      <c r="G692" s="654"/>
    </row>
    <row r="693">
      <c r="G693" s="654"/>
    </row>
    <row r="694">
      <c r="G694" s="654"/>
    </row>
    <row r="695">
      <c r="G695" s="654"/>
    </row>
    <row r="696">
      <c r="G696" s="654"/>
    </row>
    <row r="697">
      <c r="G697" s="654"/>
    </row>
    <row r="698">
      <c r="G698" s="654"/>
    </row>
    <row r="699">
      <c r="G699" s="654"/>
    </row>
    <row r="700">
      <c r="G700" s="654"/>
    </row>
    <row r="701">
      <c r="G701" s="654"/>
    </row>
    <row r="702">
      <c r="G702" s="654"/>
    </row>
    <row r="703">
      <c r="G703" s="654"/>
    </row>
    <row r="704">
      <c r="G704" s="654"/>
    </row>
    <row r="705">
      <c r="G705" s="654"/>
    </row>
    <row r="706">
      <c r="G706" s="654"/>
    </row>
    <row r="707">
      <c r="G707" s="654"/>
    </row>
    <row r="708">
      <c r="G708" s="654"/>
    </row>
    <row r="709">
      <c r="G709" s="654"/>
    </row>
    <row r="710">
      <c r="G710" s="654"/>
    </row>
    <row r="711">
      <c r="G711" s="654"/>
    </row>
    <row r="712">
      <c r="G712" s="654"/>
    </row>
    <row r="713">
      <c r="G713" s="654"/>
    </row>
    <row r="714">
      <c r="G714" s="654"/>
    </row>
    <row r="715">
      <c r="G715" s="654"/>
    </row>
    <row r="716">
      <c r="G716" s="654"/>
    </row>
    <row r="717">
      <c r="G717" s="654"/>
    </row>
    <row r="718">
      <c r="G718" s="654"/>
    </row>
    <row r="719">
      <c r="G719" s="654"/>
    </row>
    <row r="720">
      <c r="G720" s="654"/>
    </row>
    <row r="721">
      <c r="G721" s="654"/>
    </row>
    <row r="722">
      <c r="G722" s="654"/>
    </row>
    <row r="723">
      <c r="G723" s="654"/>
    </row>
    <row r="724">
      <c r="G724" s="654"/>
    </row>
    <row r="725">
      <c r="G725" s="654"/>
    </row>
    <row r="726">
      <c r="G726" s="654"/>
    </row>
    <row r="727">
      <c r="G727" s="654"/>
    </row>
    <row r="728">
      <c r="G728" s="654"/>
    </row>
    <row r="729">
      <c r="G729" s="654"/>
    </row>
    <row r="730">
      <c r="G730" s="654"/>
    </row>
    <row r="731">
      <c r="G731" s="654"/>
    </row>
    <row r="732">
      <c r="G732" s="654"/>
    </row>
    <row r="733">
      <c r="G733" s="654"/>
    </row>
    <row r="734">
      <c r="G734" s="654"/>
    </row>
    <row r="735">
      <c r="G735" s="654"/>
    </row>
    <row r="736">
      <c r="G736" s="654"/>
    </row>
    <row r="737">
      <c r="G737" s="654"/>
    </row>
    <row r="738">
      <c r="G738" s="654"/>
    </row>
    <row r="739">
      <c r="G739" s="654"/>
    </row>
    <row r="740">
      <c r="G740" s="654"/>
    </row>
    <row r="741">
      <c r="G741" s="654"/>
    </row>
    <row r="742">
      <c r="G742" s="654"/>
    </row>
    <row r="743">
      <c r="G743" s="654"/>
    </row>
    <row r="744">
      <c r="G744" s="654"/>
    </row>
    <row r="745">
      <c r="G745" s="654"/>
    </row>
    <row r="746">
      <c r="G746" s="654"/>
    </row>
    <row r="747">
      <c r="G747" s="654"/>
    </row>
    <row r="748">
      <c r="G748" s="654"/>
    </row>
    <row r="749">
      <c r="G749" s="654"/>
    </row>
    <row r="750">
      <c r="G750" s="654"/>
    </row>
    <row r="751">
      <c r="G751" s="654"/>
    </row>
    <row r="752">
      <c r="G752" s="654"/>
    </row>
    <row r="753">
      <c r="G753" s="654"/>
    </row>
    <row r="754">
      <c r="G754" s="654"/>
    </row>
    <row r="755">
      <c r="G755" s="654"/>
    </row>
    <row r="756">
      <c r="G756" s="654"/>
    </row>
    <row r="757">
      <c r="G757" s="654"/>
    </row>
    <row r="758">
      <c r="G758" s="654"/>
    </row>
    <row r="759">
      <c r="G759" s="654"/>
    </row>
    <row r="760">
      <c r="G760" s="654"/>
    </row>
    <row r="761">
      <c r="G761" s="654"/>
    </row>
    <row r="762">
      <c r="G762" s="654"/>
    </row>
    <row r="763">
      <c r="G763" s="654"/>
    </row>
    <row r="764">
      <c r="G764" s="654"/>
    </row>
    <row r="765">
      <c r="G765" s="654"/>
    </row>
    <row r="766">
      <c r="G766" s="654"/>
    </row>
    <row r="767">
      <c r="G767" s="654"/>
    </row>
    <row r="768">
      <c r="G768" s="654"/>
    </row>
    <row r="769">
      <c r="G769" s="654"/>
    </row>
    <row r="770">
      <c r="G770" s="654"/>
    </row>
    <row r="771">
      <c r="G771" s="654"/>
    </row>
    <row r="772">
      <c r="G772" s="654"/>
    </row>
    <row r="773">
      <c r="G773" s="654"/>
    </row>
    <row r="774">
      <c r="G774" s="654"/>
    </row>
    <row r="775">
      <c r="G775" s="654"/>
    </row>
    <row r="776">
      <c r="G776" s="654"/>
    </row>
    <row r="777">
      <c r="G777" s="654"/>
    </row>
    <row r="778">
      <c r="G778" s="654"/>
    </row>
    <row r="779">
      <c r="G779" s="654"/>
    </row>
    <row r="780">
      <c r="G780" s="654"/>
    </row>
    <row r="781">
      <c r="G781" s="654"/>
    </row>
    <row r="782">
      <c r="G782" s="654"/>
    </row>
    <row r="783">
      <c r="G783" s="654"/>
    </row>
    <row r="784">
      <c r="G784" s="654"/>
    </row>
    <row r="785">
      <c r="G785" s="654"/>
    </row>
    <row r="786">
      <c r="G786" s="654"/>
    </row>
    <row r="787">
      <c r="G787" s="654"/>
    </row>
    <row r="788">
      <c r="G788" s="654"/>
    </row>
    <row r="789">
      <c r="G789" s="654"/>
    </row>
    <row r="790">
      <c r="G790" s="654"/>
    </row>
    <row r="791">
      <c r="G791" s="654"/>
    </row>
    <row r="792">
      <c r="G792" s="654"/>
    </row>
    <row r="793">
      <c r="G793" s="654"/>
    </row>
    <row r="794">
      <c r="G794" s="654"/>
    </row>
    <row r="795">
      <c r="G795" s="654"/>
    </row>
    <row r="796">
      <c r="G796" s="654"/>
    </row>
    <row r="797">
      <c r="G797" s="654"/>
    </row>
    <row r="798">
      <c r="G798" s="654"/>
    </row>
    <row r="799">
      <c r="G799" s="654"/>
    </row>
    <row r="800">
      <c r="G800" s="654"/>
    </row>
    <row r="801">
      <c r="G801" s="654"/>
    </row>
    <row r="802">
      <c r="G802" s="654"/>
    </row>
    <row r="803">
      <c r="G803" s="654"/>
    </row>
    <row r="804">
      <c r="G804" s="654"/>
    </row>
    <row r="805">
      <c r="G805" s="654"/>
    </row>
    <row r="806">
      <c r="G806" s="654"/>
    </row>
    <row r="807">
      <c r="G807" s="654"/>
    </row>
    <row r="808">
      <c r="G808" s="654"/>
    </row>
    <row r="809">
      <c r="G809" s="654"/>
    </row>
    <row r="810">
      <c r="G810" s="654"/>
    </row>
    <row r="811">
      <c r="G811" s="654"/>
    </row>
    <row r="812">
      <c r="G812" s="654"/>
    </row>
    <row r="813">
      <c r="G813" s="654"/>
    </row>
    <row r="814">
      <c r="G814" s="654"/>
    </row>
    <row r="815">
      <c r="G815" s="654"/>
    </row>
    <row r="816">
      <c r="G816" s="654"/>
    </row>
    <row r="817">
      <c r="G817" s="654"/>
    </row>
    <row r="818">
      <c r="G818" s="654"/>
    </row>
    <row r="819">
      <c r="G819" s="654"/>
    </row>
    <row r="820">
      <c r="G820" s="654"/>
    </row>
    <row r="821">
      <c r="G821" s="654"/>
    </row>
    <row r="822">
      <c r="G822" s="654"/>
    </row>
    <row r="823">
      <c r="G823" s="654"/>
    </row>
    <row r="824">
      <c r="G824" s="654"/>
    </row>
    <row r="825">
      <c r="G825" s="654"/>
    </row>
    <row r="826">
      <c r="G826" s="654"/>
    </row>
    <row r="827">
      <c r="G827" s="654"/>
    </row>
    <row r="828">
      <c r="G828" s="654"/>
    </row>
    <row r="829">
      <c r="G829" s="654"/>
    </row>
    <row r="830">
      <c r="G830" s="654"/>
    </row>
    <row r="831">
      <c r="G831" s="654"/>
    </row>
    <row r="832">
      <c r="G832" s="654"/>
    </row>
    <row r="833">
      <c r="G833" s="654"/>
    </row>
    <row r="834">
      <c r="G834" s="654"/>
    </row>
    <row r="835">
      <c r="G835" s="654"/>
    </row>
    <row r="836">
      <c r="G836" s="654"/>
    </row>
    <row r="837">
      <c r="G837" s="654"/>
    </row>
    <row r="838">
      <c r="G838" s="654"/>
    </row>
    <row r="839">
      <c r="G839" s="654"/>
    </row>
    <row r="840">
      <c r="G840" s="654"/>
    </row>
    <row r="841">
      <c r="G841" s="654"/>
    </row>
    <row r="842">
      <c r="G842" s="654"/>
    </row>
    <row r="843">
      <c r="G843" s="654"/>
    </row>
    <row r="844">
      <c r="G844" s="654"/>
    </row>
    <row r="845">
      <c r="G845" s="654"/>
    </row>
    <row r="846">
      <c r="G846" s="654"/>
    </row>
    <row r="847">
      <c r="G847" s="654"/>
    </row>
    <row r="848">
      <c r="G848" s="654"/>
    </row>
    <row r="849">
      <c r="G849" s="654"/>
    </row>
    <row r="850">
      <c r="G850" s="654"/>
    </row>
    <row r="851">
      <c r="G851" s="654"/>
    </row>
    <row r="852">
      <c r="G852" s="654"/>
    </row>
    <row r="853">
      <c r="G853" s="654"/>
    </row>
    <row r="854">
      <c r="G854" s="654"/>
    </row>
    <row r="855">
      <c r="G855" s="654"/>
    </row>
    <row r="856">
      <c r="G856" s="654"/>
    </row>
    <row r="857">
      <c r="G857" s="654"/>
    </row>
    <row r="858">
      <c r="G858" s="654"/>
    </row>
    <row r="859">
      <c r="G859" s="654"/>
    </row>
    <row r="860">
      <c r="G860" s="654"/>
    </row>
    <row r="861">
      <c r="G861" s="654"/>
    </row>
    <row r="862">
      <c r="G862" s="654"/>
    </row>
    <row r="863">
      <c r="G863" s="654"/>
    </row>
    <row r="864">
      <c r="G864" s="654"/>
    </row>
    <row r="865">
      <c r="G865" s="654"/>
    </row>
    <row r="866">
      <c r="G866" s="654"/>
    </row>
    <row r="867">
      <c r="G867" s="654"/>
    </row>
    <row r="868">
      <c r="G868" s="654"/>
    </row>
    <row r="869">
      <c r="G869" s="654"/>
    </row>
    <row r="870">
      <c r="G870" s="654"/>
    </row>
    <row r="871">
      <c r="G871" s="654"/>
    </row>
    <row r="872">
      <c r="G872" s="654"/>
    </row>
    <row r="873">
      <c r="G873" s="654"/>
    </row>
    <row r="874">
      <c r="G874" s="654"/>
    </row>
    <row r="875">
      <c r="G875" s="654"/>
    </row>
    <row r="876">
      <c r="G876" s="654"/>
    </row>
    <row r="877">
      <c r="G877" s="654"/>
    </row>
    <row r="878">
      <c r="G878" s="654"/>
    </row>
    <row r="879">
      <c r="G879" s="654"/>
    </row>
    <row r="880">
      <c r="G880" s="654"/>
    </row>
    <row r="881">
      <c r="G881" s="654"/>
    </row>
    <row r="882">
      <c r="G882" s="654"/>
    </row>
    <row r="883">
      <c r="G883" s="654"/>
    </row>
    <row r="884">
      <c r="G884" s="654"/>
    </row>
    <row r="885">
      <c r="G885" s="654"/>
    </row>
    <row r="886">
      <c r="G886" s="654"/>
    </row>
    <row r="887">
      <c r="G887" s="654"/>
    </row>
    <row r="888">
      <c r="G888" s="654"/>
    </row>
    <row r="889">
      <c r="G889" s="654"/>
    </row>
    <row r="890">
      <c r="G890" s="654"/>
    </row>
    <row r="891">
      <c r="G891" s="654"/>
    </row>
    <row r="892">
      <c r="G892" s="654"/>
    </row>
    <row r="893">
      <c r="G893" s="654"/>
    </row>
    <row r="894">
      <c r="G894" s="654"/>
    </row>
    <row r="895">
      <c r="G895" s="654"/>
    </row>
    <row r="896">
      <c r="G896" s="654"/>
    </row>
    <row r="897">
      <c r="G897" s="654"/>
    </row>
    <row r="898">
      <c r="G898" s="654"/>
    </row>
    <row r="899">
      <c r="G899" s="654"/>
    </row>
    <row r="900">
      <c r="G900" s="654"/>
    </row>
    <row r="901">
      <c r="G901" s="654"/>
    </row>
    <row r="902">
      <c r="G902" s="654"/>
    </row>
    <row r="903">
      <c r="G903" s="654"/>
    </row>
    <row r="904">
      <c r="G904" s="654"/>
    </row>
    <row r="905">
      <c r="G905" s="654"/>
    </row>
    <row r="906">
      <c r="G906" s="654"/>
    </row>
    <row r="907">
      <c r="G907" s="654"/>
    </row>
    <row r="908">
      <c r="G908" s="654"/>
    </row>
    <row r="909">
      <c r="G909" s="654"/>
    </row>
    <row r="910">
      <c r="G910" s="654"/>
    </row>
    <row r="911">
      <c r="G911" s="654"/>
    </row>
    <row r="912">
      <c r="G912" s="654"/>
    </row>
    <row r="913">
      <c r="G913" s="654"/>
    </row>
    <row r="914">
      <c r="G914" s="654"/>
    </row>
    <row r="915">
      <c r="G915" s="654"/>
    </row>
    <row r="916">
      <c r="G916" s="654"/>
    </row>
    <row r="917">
      <c r="G917" s="654"/>
    </row>
    <row r="918">
      <c r="G918" s="654"/>
    </row>
    <row r="919">
      <c r="G919" s="654"/>
    </row>
    <row r="920">
      <c r="G920" s="654"/>
    </row>
    <row r="921">
      <c r="G921" s="654"/>
    </row>
    <row r="922">
      <c r="G922" s="654"/>
    </row>
    <row r="923">
      <c r="G923" s="654"/>
    </row>
    <row r="924">
      <c r="G924" s="654"/>
    </row>
    <row r="925">
      <c r="G925" s="654"/>
    </row>
    <row r="926">
      <c r="G926" s="654"/>
    </row>
    <row r="927">
      <c r="G927" s="654"/>
    </row>
    <row r="928">
      <c r="G928" s="654"/>
    </row>
    <row r="929">
      <c r="G929" s="654"/>
    </row>
    <row r="930">
      <c r="G930" s="654"/>
    </row>
    <row r="931">
      <c r="G931" s="654"/>
    </row>
    <row r="932">
      <c r="G932" s="654"/>
    </row>
    <row r="933">
      <c r="G933" s="654"/>
    </row>
    <row r="934">
      <c r="G934" s="654"/>
    </row>
    <row r="935">
      <c r="G935" s="654"/>
    </row>
    <row r="936">
      <c r="G936" s="654"/>
    </row>
    <row r="937">
      <c r="G937" s="654"/>
    </row>
    <row r="938">
      <c r="G938" s="654"/>
    </row>
    <row r="939">
      <c r="G939" s="654"/>
    </row>
    <row r="940">
      <c r="G940" s="654"/>
    </row>
    <row r="941">
      <c r="G941" s="654"/>
    </row>
    <row r="942">
      <c r="G942" s="654"/>
    </row>
    <row r="943">
      <c r="G943" s="654"/>
    </row>
    <row r="944">
      <c r="G944" s="654"/>
    </row>
    <row r="945">
      <c r="G945" s="654"/>
    </row>
    <row r="946">
      <c r="G946" s="654"/>
    </row>
    <row r="947">
      <c r="G947" s="654"/>
    </row>
    <row r="948">
      <c r="G948" s="654"/>
    </row>
    <row r="949">
      <c r="G949" s="654"/>
    </row>
    <row r="950">
      <c r="G950" s="654"/>
    </row>
    <row r="951">
      <c r="G951" s="654"/>
    </row>
    <row r="952">
      <c r="G952" s="654"/>
    </row>
    <row r="953">
      <c r="G953" s="654"/>
    </row>
    <row r="954">
      <c r="G954" s="654"/>
    </row>
    <row r="955">
      <c r="G955" s="654"/>
    </row>
    <row r="956">
      <c r="G956" s="654"/>
    </row>
    <row r="957">
      <c r="G957" s="654"/>
    </row>
    <row r="958">
      <c r="G958" s="654"/>
    </row>
    <row r="959">
      <c r="G959" s="654"/>
    </row>
    <row r="960">
      <c r="G960" s="654"/>
    </row>
    <row r="961">
      <c r="G961" s="654"/>
    </row>
    <row r="962">
      <c r="G962" s="654"/>
    </row>
    <row r="963">
      <c r="G963" s="654"/>
    </row>
    <row r="964">
      <c r="G964" s="654"/>
    </row>
    <row r="965">
      <c r="G965" s="654"/>
    </row>
    <row r="966">
      <c r="G966" s="654"/>
    </row>
    <row r="967">
      <c r="G967" s="654"/>
    </row>
    <row r="968">
      <c r="G968" s="654"/>
    </row>
    <row r="969">
      <c r="G969" s="654"/>
    </row>
    <row r="970">
      <c r="G970" s="654"/>
    </row>
    <row r="971">
      <c r="G971" s="654"/>
    </row>
    <row r="972">
      <c r="G972" s="654"/>
    </row>
    <row r="973">
      <c r="G973" s="654"/>
    </row>
    <row r="974">
      <c r="G974" s="654"/>
    </row>
    <row r="975">
      <c r="G975" s="654"/>
    </row>
    <row r="976">
      <c r="G976" s="654"/>
    </row>
    <row r="977">
      <c r="G977" s="654"/>
    </row>
    <row r="978">
      <c r="G978" s="654"/>
    </row>
    <row r="979">
      <c r="G979" s="654"/>
    </row>
    <row r="980">
      <c r="G980" s="654"/>
    </row>
    <row r="981">
      <c r="G981" s="654"/>
    </row>
    <row r="982">
      <c r="G982" s="654"/>
    </row>
    <row r="983">
      <c r="G983" s="654"/>
    </row>
    <row r="984">
      <c r="G984" s="654"/>
    </row>
    <row r="985">
      <c r="G985" s="654"/>
    </row>
    <row r="986">
      <c r="G986" s="654"/>
    </row>
    <row r="987">
      <c r="G987" s="654"/>
    </row>
    <row r="988">
      <c r="G988" s="654"/>
    </row>
    <row r="989">
      <c r="G989" s="654"/>
    </row>
    <row r="990">
      <c r="G990" s="654"/>
    </row>
    <row r="991">
      <c r="G991" s="654"/>
    </row>
    <row r="992">
      <c r="G992" s="654"/>
    </row>
    <row r="993">
      <c r="G993" s="654"/>
    </row>
    <row r="994">
      <c r="G994" s="654"/>
    </row>
    <row r="995">
      <c r="G995" s="654"/>
    </row>
    <row r="996">
      <c r="G996" s="654"/>
    </row>
    <row r="997">
      <c r="G997" s="654"/>
    </row>
    <row r="998">
      <c r="G998" s="654"/>
    </row>
    <row r="999">
      <c r="G999" s="654"/>
    </row>
    <row r="1000">
      <c r="G1000" s="654"/>
    </row>
    <row r="1001">
      <c r="G1001" s="654"/>
    </row>
    <row r="1002">
      <c r="G1002" s="654"/>
    </row>
    <row r="1003">
      <c r="G1003" s="654"/>
    </row>
    <row r="1004">
      <c r="G1004" s="654"/>
    </row>
    <row r="1005">
      <c r="G1005" s="654"/>
    </row>
    <row r="1006">
      <c r="G1006" s="654"/>
    </row>
    <row r="1007">
      <c r="G1007" s="654"/>
    </row>
    <row r="1008">
      <c r="G1008" s="654"/>
    </row>
    <row r="1009">
      <c r="G1009" s="654"/>
    </row>
    <row r="1010">
      <c r="G1010" s="654"/>
    </row>
    <row r="1011">
      <c r="G1011" s="654"/>
    </row>
    <row r="1012">
      <c r="G1012" s="654"/>
    </row>
    <row r="1013">
      <c r="G1013" s="654"/>
    </row>
    <row r="1014">
      <c r="G1014" s="654"/>
    </row>
    <row r="1015">
      <c r="G1015" s="654"/>
    </row>
    <row r="1016">
      <c r="G1016" s="654"/>
    </row>
    <row r="1017">
      <c r="G1017" s="654"/>
    </row>
    <row r="1018">
      <c r="G1018" s="654"/>
    </row>
    <row r="1019">
      <c r="G1019" s="654"/>
    </row>
    <row r="1020">
      <c r="G1020" s="654"/>
    </row>
    <row r="1021">
      <c r="G1021" s="654"/>
    </row>
    <row r="1022">
      <c r="G1022" s="654"/>
    </row>
    <row r="1023">
      <c r="G1023" s="654"/>
    </row>
    <row r="1024">
      <c r="G1024" s="654"/>
    </row>
    <row r="1025">
      <c r="G1025" s="654"/>
    </row>
    <row r="1026">
      <c r="G1026" s="654"/>
    </row>
    <row r="1027">
      <c r="G1027" s="654"/>
    </row>
    <row r="1028">
      <c r="G1028" s="654"/>
    </row>
    <row r="1029">
      <c r="G1029" s="654"/>
    </row>
    <row r="1030">
      <c r="G1030" s="654"/>
    </row>
    <row r="1031">
      <c r="G1031" s="654"/>
    </row>
    <row r="1032">
      <c r="G1032" s="654"/>
    </row>
    <row r="1033">
      <c r="G1033" s="654"/>
    </row>
    <row r="1034">
      <c r="G1034" s="654"/>
    </row>
    <row r="1035">
      <c r="G1035" s="654"/>
    </row>
    <row r="1036">
      <c r="G1036" s="654"/>
    </row>
    <row r="1037">
      <c r="G1037" s="654"/>
    </row>
    <row r="1038">
      <c r="G1038" s="654"/>
    </row>
    <row r="1039">
      <c r="G1039" s="654"/>
    </row>
    <row r="1040">
      <c r="G1040" s="654"/>
    </row>
    <row r="1041">
      <c r="G1041" s="654"/>
    </row>
    <row r="1042">
      <c r="G1042" s="654"/>
    </row>
    <row r="1043">
      <c r="G1043" s="654"/>
    </row>
    <row r="1044">
      <c r="G1044" s="654"/>
    </row>
    <row r="1045">
      <c r="G1045" s="654"/>
    </row>
    <row r="1046">
      <c r="G1046" s="654"/>
    </row>
    <row r="1047">
      <c r="G1047" s="654"/>
    </row>
    <row r="1048">
      <c r="G1048" s="654"/>
    </row>
    <row r="1049">
      <c r="G1049" s="654"/>
    </row>
    <row r="1050">
      <c r="G1050" s="654"/>
    </row>
    <row r="1051">
      <c r="G1051" s="654"/>
    </row>
    <row r="1052">
      <c r="G1052" s="654"/>
    </row>
    <row r="1053">
      <c r="G1053" s="654"/>
    </row>
    <row r="1054">
      <c r="G1054" s="654"/>
    </row>
    <row r="1055">
      <c r="G1055" s="654"/>
    </row>
    <row r="1056">
      <c r="G1056" s="654"/>
    </row>
    <row r="1057">
      <c r="G1057" s="654"/>
    </row>
    <row r="1058">
      <c r="G1058" s="654"/>
    </row>
    <row r="1059">
      <c r="G1059" s="654"/>
    </row>
    <row r="1060">
      <c r="G1060" s="654"/>
    </row>
  </sheetData>
  <hyperlinks>
    <hyperlink r:id="rId1" ref="G8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9.25"/>
    <col customWidth="1" min="3" max="3" width="7.0"/>
    <col customWidth="1" min="4" max="4" width="9.38"/>
    <col customWidth="1" min="5" max="5" width="15.63"/>
    <col customWidth="1" min="7" max="7" width="14.75"/>
    <col customWidth="1" min="8" max="8" width="11.25"/>
    <col customWidth="1" min="9" max="9" width="12.88"/>
    <col customWidth="1" min="10" max="10" width="13.75"/>
  </cols>
  <sheetData>
    <row r="1">
      <c r="A1" s="149"/>
      <c r="B1" s="18" t="s">
        <v>18021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 t="s">
        <v>18022</v>
      </c>
      <c r="B2" s="669" t="s">
        <v>18023</v>
      </c>
      <c r="C2" s="670" t="s">
        <v>18024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0.0" customHeight="1">
      <c r="A3" s="671" t="s">
        <v>18025</v>
      </c>
      <c r="B3" s="672"/>
      <c r="C3" s="673">
        <v>41810.0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4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674" t="s">
        <v>18026</v>
      </c>
      <c r="B5" s="674" t="s">
        <v>17609</v>
      </c>
      <c r="C5" s="674" t="s">
        <v>17610</v>
      </c>
      <c r="D5" s="674" t="s">
        <v>17611</v>
      </c>
      <c r="E5" s="674" t="s">
        <v>17612</v>
      </c>
      <c r="F5" s="674" t="s">
        <v>17613</v>
      </c>
      <c r="G5" s="674" t="s">
        <v>17614</v>
      </c>
      <c r="H5" s="674" t="s">
        <v>17615</v>
      </c>
      <c r="I5" s="674" t="s">
        <v>17616</v>
      </c>
      <c r="J5" s="674" t="s">
        <v>17617</v>
      </c>
      <c r="K5" s="674" t="s">
        <v>17618</v>
      </c>
      <c r="L5" s="674" t="s">
        <v>17619</v>
      </c>
      <c r="M5" s="674" t="s">
        <v>17620</v>
      </c>
      <c r="N5" s="674" t="s">
        <v>17621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5" t="s">
        <v>430</v>
      </c>
      <c r="B6" s="45" t="s">
        <v>18027</v>
      </c>
      <c r="C6" s="5" t="s">
        <v>17631</v>
      </c>
      <c r="D6" s="5" t="s">
        <v>17632</v>
      </c>
      <c r="E6" s="8"/>
      <c r="F6" s="8"/>
      <c r="G6" s="5" t="s">
        <v>18028</v>
      </c>
      <c r="H6" s="8"/>
      <c r="I6" s="24"/>
      <c r="J6" s="5" t="s">
        <v>18029</v>
      </c>
      <c r="K6" s="5" t="s">
        <v>18030</v>
      </c>
      <c r="L6" s="18"/>
      <c r="M6" s="18"/>
      <c r="N6" s="675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648"/>
      <c r="B7" s="648"/>
      <c r="C7" s="648"/>
      <c r="D7" s="649" t="s">
        <v>17622</v>
      </c>
      <c r="E7" s="649" t="s">
        <v>17623</v>
      </c>
      <c r="F7" s="649" t="s">
        <v>17624</v>
      </c>
      <c r="G7" s="649" t="s">
        <v>17625</v>
      </c>
      <c r="H7" s="676"/>
      <c r="I7" s="22" t="s">
        <v>17626</v>
      </c>
      <c r="J7" s="649" t="s">
        <v>17627</v>
      </c>
      <c r="K7" s="649" t="s">
        <v>17628</v>
      </c>
      <c r="L7" s="649" t="s">
        <v>17629</v>
      </c>
      <c r="M7" s="649" t="s">
        <v>17628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51" t="s">
        <v>982</v>
      </c>
      <c r="B8" s="51" t="s">
        <v>11649</v>
      </c>
      <c r="C8" s="677" t="s">
        <v>17651</v>
      </c>
      <c r="D8" s="51" t="s">
        <v>17632</v>
      </c>
      <c r="E8" s="51" t="s">
        <v>18031</v>
      </c>
      <c r="F8" s="51" t="s">
        <v>18032</v>
      </c>
      <c r="G8" s="51"/>
      <c r="H8" s="51"/>
      <c r="I8" s="22" t="s">
        <v>13907</v>
      </c>
      <c r="J8" s="1" t="s">
        <v>18033</v>
      </c>
      <c r="K8" s="51"/>
      <c r="L8" s="678" t="s">
        <v>17637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679">
        <v>45566.0</v>
      </c>
      <c r="B9" s="680"/>
      <c r="C9" s="680"/>
      <c r="D9" s="680"/>
      <c r="E9" s="680"/>
      <c r="F9" s="680"/>
      <c r="G9" s="680"/>
      <c r="H9" s="680"/>
      <c r="I9" s="681"/>
      <c r="J9" s="680"/>
      <c r="K9" s="680"/>
      <c r="L9" s="680"/>
      <c r="M9" s="680"/>
      <c r="N9" s="680"/>
      <c r="O9" s="680"/>
      <c r="P9" s="680"/>
      <c r="Q9" s="680"/>
      <c r="R9" s="680"/>
      <c r="S9" s="680"/>
      <c r="T9" s="680"/>
      <c r="U9" s="680"/>
      <c r="V9" s="680"/>
      <c r="W9" s="680"/>
      <c r="X9" s="680"/>
      <c r="Y9" s="680"/>
      <c r="Z9" s="680"/>
    </row>
    <row r="10">
      <c r="A10" s="5" t="s">
        <v>18034</v>
      </c>
      <c r="B10" s="5" t="s">
        <v>18035</v>
      </c>
      <c r="C10" s="45" t="s">
        <v>17651</v>
      </c>
      <c r="D10" s="5" t="s">
        <v>18036</v>
      </c>
      <c r="E10" s="5" t="s">
        <v>18037</v>
      </c>
      <c r="F10" s="5" t="s">
        <v>18038</v>
      </c>
      <c r="G10" s="5" t="s">
        <v>6359</v>
      </c>
      <c r="H10" s="1" t="s">
        <v>18039</v>
      </c>
      <c r="I10" s="22" t="s">
        <v>16204</v>
      </c>
      <c r="J10" s="1" t="s">
        <v>18040</v>
      </c>
      <c r="L10" s="68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683" t="s">
        <v>18041</v>
      </c>
      <c r="B11" s="684"/>
      <c r="C11" s="684"/>
      <c r="D11" s="684"/>
      <c r="E11" s="684"/>
      <c r="F11" s="684"/>
      <c r="G11" s="684"/>
      <c r="H11" s="684"/>
      <c r="I11" s="681"/>
      <c r="J11" s="684"/>
      <c r="K11" s="684"/>
      <c r="L11" s="684"/>
      <c r="M11" s="684"/>
      <c r="N11" s="684"/>
      <c r="O11" s="684"/>
      <c r="P11" s="684"/>
      <c r="Q11" s="684"/>
      <c r="R11" s="684"/>
      <c r="S11" s="684"/>
      <c r="T11" s="684"/>
      <c r="U11" s="684"/>
      <c r="V11" s="684"/>
      <c r="W11" s="684"/>
      <c r="X11" s="684"/>
      <c r="Y11" s="684"/>
      <c r="Z11" s="684"/>
    </row>
    <row r="12">
      <c r="A12" s="1" t="s">
        <v>1407</v>
      </c>
      <c r="B12" s="1" t="s">
        <v>18042</v>
      </c>
      <c r="C12" s="1" t="s">
        <v>18043</v>
      </c>
      <c r="D12" s="1" t="s">
        <v>18044</v>
      </c>
      <c r="E12" s="1" t="s">
        <v>18045</v>
      </c>
      <c r="F12" s="1" t="s">
        <v>18046</v>
      </c>
      <c r="G12" s="5" t="s">
        <v>6359</v>
      </c>
      <c r="H12" s="1" t="s">
        <v>18047</v>
      </c>
      <c r="I12" s="22" t="s">
        <v>18048</v>
      </c>
      <c r="J12" s="5" t="s">
        <v>18049</v>
      </c>
      <c r="L12" s="33" t="s">
        <v>17654</v>
      </c>
      <c r="M12" s="685" t="s">
        <v>18050</v>
      </c>
      <c r="N12" s="68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686">
        <v>45930.0</v>
      </c>
      <c r="B13" s="676"/>
      <c r="C13" s="676"/>
      <c r="D13" s="676"/>
      <c r="E13" s="676"/>
      <c r="F13" s="676"/>
      <c r="G13" s="676"/>
      <c r="H13" s="676"/>
      <c r="I13" s="681"/>
      <c r="J13" s="676"/>
      <c r="K13" s="676"/>
      <c r="L13" s="676"/>
      <c r="M13" s="676"/>
      <c r="N13" s="676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" t="s">
        <v>25</v>
      </c>
      <c r="B14" s="5" t="s">
        <v>4326</v>
      </c>
      <c r="C14" s="1" t="s">
        <v>17651</v>
      </c>
      <c r="D14" s="1" t="s">
        <v>17632</v>
      </c>
      <c r="E14" s="1" t="s">
        <v>17757</v>
      </c>
      <c r="F14" s="1" t="s">
        <v>18051</v>
      </c>
      <c r="G14" s="1" t="s">
        <v>18052</v>
      </c>
      <c r="I14" s="1" t="s">
        <v>18053</v>
      </c>
      <c r="J14" s="5" t="s">
        <v>18013</v>
      </c>
      <c r="K14" s="1" t="s">
        <v>18054</v>
      </c>
      <c r="L14" s="2" t="s">
        <v>17637</v>
      </c>
      <c r="M14" s="51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51" t="s">
        <v>339</v>
      </c>
      <c r="B15" s="51" t="s">
        <v>18055</v>
      </c>
      <c r="C15" s="51" t="s">
        <v>17651</v>
      </c>
      <c r="D15" s="18" t="s">
        <v>17632</v>
      </c>
      <c r="E15" s="18" t="s">
        <v>18056</v>
      </c>
      <c r="F15" s="687" t="s">
        <v>18057</v>
      </c>
      <c r="G15" s="51" t="s">
        <v>18058</v>
      </c>
      <c r="I15" s="1" t="s">
        <v>2229</v>
      </c>
      <c r="J15" s="1" t="s">
        <v>18059</v>
      </c>
      <c r="K15" s="1" t="s">
        <v>18060</v>
      </c>
      <c r="L15" s="2" t="s">
        <v>17637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5" t="s">
        <v>77</v>
      </c>
      <c r="B17" s="5" t="s">
        <v>4326</v>
      </c>
      <c r="C17" s="45" t="s">
        <v>17651</v>
      </c>
      <c r="D17" s="34" t="s">
        <v>17632</v>
      </c>
      <c r="E17" s="34" t="s">
        <v>18061</v>
      </c>
      <c r="F17" s="688" t="s">
        <v>18062</v>
      </c>
      <c r="G17" s="5" t="s">
        <v>18058</v>
      </c>
      <c r="I17" s="1" t="s">
        <v>2229</v>
      </c>
      <c r="J17" s="1" t="s">
        <v>18063</v>
      </c>
      <c r="K17" s="1" t="s">
        <v>18064</v>
      </c>
      <c r="L17" s="2" t="s">
        <v>17637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51" t="s">
        <v>77</v>
      </c>
      <c r="B18" s="45" t="s">
        <v>4326</v>
      </c>
      <c r="C18" s="5" t="s">
        <v>17651</v>
      </c>
      <c r="D18" s="51" t="s">
        <v>17632</v>
      </c>
      <c r="E18" s="51" t="s">
        <v>18061</v>
      </c>
      <c r="F18" s="51" t="s">
        <v>4325</v>
      </c>
      <c r="G18" s="689"/>
      <c r="I18" s="1" t="s">
        <v>18065</v>
      </c>
      <c r="J18" s="1" t="s">
        <v>18066</v>
      </c>
      <c r="K18" s="1" t="s">
        <v>18064</v>
      </c>
      <c r="L18" s="2" t="s">
        <v>17637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" t="s">
        <v>77</v>
      </c>
      <c r="B19" s="45" t="s">
        <v>4326</v>
      </c>
      <c r="C19" s="45" t="s">
        <v>17651</v>
      </c>
      <c r="D19" s="1" t="s">
        <v>17632</v>
      </c>
      <c r="E19" s="1" t="s">
        <v>18061</v>
      </c>
      <c r="F19" s="1" t="s">
        <v>18067</v>
      </c>
      <c r="I19" s="1" t="s">
        <v>18065</v>
      </c>
      <c r="J19" s="51" t="s">
        <v>18068</v>
      </c>
      <c r="K19" s="1" t="s">
        <v>18064</v>
      </c>
      <c r="L19" s="2" t="s">
        <v>17637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51" t="s">
        <v>28</v>
      </c>
      <c r="B20" s="51" t="s">
        <v>18069</v>
      </c>
      <c r="C20" s="51" t="s">
        <v>17651</v>
      </c>
      <c r="D20" s="51" t="s">
        <v>17632</v>
      </c>
      <c r="E20" s="51" t="s">
        <v>18070</v>
      </c>
      <c r="F20" s="51" t="s">
        <v>18071</v>
      </c>
      <c r="G20" s="18"/>
      <c r="H20" s="18"/>
      <c r="I20" s="1" t="s">
        <v>18065</v>
      </c>
      <c r="J20" s="51" t="s">
        <v>18072</v>
      </c>
      <c r="K20" s="1" t="s">
        <v>18064</v>
      </c>
      <c r="L20" s="2" t="s">
        <v>17637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51" t="s">
        <v>339</v>
      </c>
      <c r="B21" s="5" t="s">
        <v>18073</v>
      </c>
      <c r="C21" s="51" t="s">
        <v>17631</v>
      </c>
      <c r="D21" s="51" t="s">
        <v>17632</v>
      </c>
      <c r="E21" s="51" t="s">
        <v>17675</v>
      </c>
      <c r="F21" s="51" t="s">
        <v>18074</v>
      </c>
      <c r="G21" s="18"/>
      <c r="H21" s="18"/>
      <c r="I21" s="1" t="s">
        <v>2298</v>
      </c>
      <c r="J21" s="45" t="s">
        <v>18075</v>
      </c>
      <c r="K21" s="1" t="s">
        <v>293</v>
      </c>
      <c r="L21" s="2" t="s">
        <v>17637</v>
      </c>
      <c r="M21" s="51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51" t="s">
        <v>755</v>
      </c>
      <c r="B22" s="45" t="s">
        <v>18076</v>
      </c>
      <c r="C22" s="51" t="s">
        <v>17631</v>
      </c>
      <c r="D22" s="51" t="s">
        <v>17632</v>
      </c>
      <c r="E22" s="51" t="s">
        <v>18077</v>
      </c>
      <c r="F22" s="51" t="s">
        <v>18078</v>
      </c>
      <c r="G22" s="4" t="s">
        <v>18079</v>
      </c>
      <c r="H22" s="51"/>
      <c r="I22" s="1" t="s">
        <v>1785</v>
      </c>
      <c r="J22" s="51" t="s">
        <v>18080</v>
      </c>
      <c r="K22" s="1" t="s">
        <v>18081</v>
      </c>
      <c r="L22" s="2" t="s">
        <v>17637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45" t="s">
        <v>2698</v>
      </c>
      <c r="B24" s="690" t="s">
        <v>18082</v>
      </c>
      <c r="C24" s="45" t="s">
        <v>17631</v>
      </c>
      <c r="D24" s="45" t="s">
        <v>17632</v>
      </c>
      <c r="E24" s="45" t="s">
        <v>18083</v>
      </c>
      <c r="F24" s="525" t="s">
        <v>18084</v>
      </c>
      <c r="G24" s="34"/>
      <c r="H24" s="34"/>
      <c r="I24" s="1" t="s">
        <v>18085</v>
      </c>
      <c r="J24" s="45" t="s">
        <v>18086</v>
      </c>
      <c r="K24" s="5" t="s">
        <v>18064</v>
      </c>
      <c r="L24" s="33" t="s">
        <v>17654</v>
      </c>
      <c r="M24" s="51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 t="s">
        <v>22</v>
      </c>
      <c r="B25" s="45" t="s">
        <v>18087</v>
      </c>
      <c r="C25" s="1" t="s">
        <v>17631</v>
      </c>
      <c r="D25" s="18" t="s">
        <v>17632</v>
      </c>
      <c r="E25" s="51" t="s">
        <v>17707</v>
      </c>
      <c r="F25" s="18" t="s">
        <v>18088</v>
      </c>
      <c r="G25" s="18"/>
      <c r="H25" s="51"/>
      <c r="I25" s="1" t="s">
        <v>18065</v>
      </c>
      <c r="J25" s="51" t="s">
        <v>18089</v>
      </c>
      <c r="K25" s="1" t="s">
        <v>18064</v>
      </c>
      <c r="L25" s="2" t="s">
        <v>17637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5" t="s">
        <v>88</v>
      </c>
      <c r="B27" s="5" t="s">
        <v>18090</v>
      </c>
      <c r="C27" s="45" t="s">
        <v>17651</v>
      </c>
      <c r="D27" s="5" t="s">
        <v>17632</v>
      </c>
      <c r="E27" s="5" t="s">
        <v>17675</v>
      </c>
      <c r="F27" s="5" t="s">
        <v>18091</v>
      </c>
      <c r="G27" s="5" t="s">
        <v>18092</v>
      </c>
      <c r="H27" s="5" t="s">
        <v>18093</v>
      </c>
      <c r="I27" s="1" t="s">
        <v>1785</v>
      </c>
      <c r="J27" s="5" t="s">
        <v>18094</v>
      </c>
      <c r="K27" s="1" t="s">
        <v>18081</v>
      </c>
      <c r="L27" s="33" t="s">
        <v>17654</v>
      </c>
      <c r="M27" s="51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" t="s">
        <v>7578</v>
      </c>
      <c r="B28" s="22" t="s">
        <v>2212</v>
      </c>
      <c r="C28" s="1" t="s">
        <v>17631</v>
      </c>
      <c r="D28" s="1" t="s">
        <v>18095</v>
      </c>
      <c r="E28" t="s">
        <v>18096</v>
      </c>
      <c r="F28" t="s">
        <v>18097</v>
      </c>
      <c r="I28" s="5" t="s">
        <v>2298</v>
      </c>
      <c r="J28" s="5" t="s">
        <v>18098</v>
      </c>
      <c r="K28" s="5" t="s">
        <v>18064</v>
      </c>
      <c r="L28" s="678" t="s">
        <v>17637</v>
      </c>
      <c r="M28" s="51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5" t="s">
        <v>357</v>
      </c>
      <c r="B31" s="5" t="s">
        <v>18099</v>
      </c>
      <c r="C31" s="5" t="s">
        <v>17651</v>
      </c>
      <c r="D31" s="5" t="s">
        <v>17632</v>
      </c>
      <c r="E31" s="5" t="s">
        <v>18100</v>
      </c>
      <c r="F31" s="5" t="s">
        <v>18101</v>
      </c>
      <c r="G31" s="5" t="s">
        <v>18102</v>
      </c>
      <c r="H31" s="5" t="s">
        <v>17661</v>
      </c>
      <c r="I31" s="5" t="s">
        <v>18103</v>
      </c>
      <c r="J31" s="51" t="s">
        <v>17709</v>
      </c>
      <c r="L31" s="84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5" t="s">
        <v>25</v>
      </c>
      <c r="B32" s="5" t="s">
        <v>5939</v>
      </c>
      <c r="C32" s="5" t="s">
        <v>17651</v>
      </c>
      <c r="D32" s="5" t="s">
        <v>17632</v>
      </c>
      <c r="E32" s="5" t="s">
        <v>18104</v>
      </c>
      <c r="F32" s="5" t="s">
        <v>18105</v>
      </c>
      <c r="G32" s="15" t="s">
        <v>18106</v>
      </c>
      <c r="H32" s="5" t="s">
        <v>17661</v>
      </c>
      <c r="I32" s="5" t="s">
        <v>18103</v>
      </c>
      <c r="J32" s="51" t="s">
        <v>18107</v>
      </c>
      <c r="L32" s="84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51" t="s">
        <v>339</v>
      </c>
      <c r="B33" s="51" t="s">
        <v>18108</v>
      </c>
      <c r="C33" s="1" t="s">
        <v>17631</v>
      </c>
      <c r="D33" s="18" t="s">
        <v>17632</v>
      </c>
      <c r="E33" s="18" t="s">
        <v>18056</v>
      </c>
      <c r="F33" s="687" t="s">
        <v>4318</v>
      </c>
      <c r="G33" s="687"/>
      <c r="I33" s="51" t="s">
        <v>18085</v>
      </c>
      <c r="J33" s="1" t="s">
        <v>18109</v>
      </c>
      <c r="K33" s="1" t="s">
        <v>18110</v>
      </c>
      <c r="L33" s="2" t="s">
        <v>17637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45" t="s">
        <v>128</v>
      </c>
      <c r="B34" s="51" t="s">
        <v>18111</v>
      </c>
      <c r="C34" s="1" t="s">
        <v>17651</v>
      </c>
      <c r="D34" s="45" t="s">
        <v>17632</v>
      </c>
      <c r="E34" s="45" t="s">
        <v>18112</v>
      </c>
      <c r="F34" s="691" t="s">
        <v>18113</v>
      </c>
      <c r="G34" s="45" t="s">
        <v>18114</v>
      </c>
      <c r="I34" s="1" t="s">
        <v>1672</v>
      </c>
      <c r="J34" s="45" t="s">
        <v>18115</v>
      </c>
      <c r="K34" s="1" t="s">
        <v>131</v>
      </c>
      <c r="L34" s="692"/>
      <c r="M34" s="51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693">
        <v>46113.0</v>
      </c>
      <c r="B36" s="676"/>
      <c r="C36" s="676"/>
      <c r="D36" s="676"/>
      <c r="E36" s="676"/>
      <c r="F36" s="676"/>
      <c r="G36" s="676"/>
      <c r="H36" s="676"/>
      <c r="I36" s="676"/>
      <c r="J36" s="676"/>
      <c r="K36" s="676"/>
      <c r="L36" s="676"/>
      <c r="M36" s="676"/>
      <c r="N36" s="676"/>
      <c r="O36" s="676"/>
      <c r="P36" s="676"/>
      <c r="Q36" s="676"/>
      <c r="R36" s="676"/>
      <c r="S36" s="676"/>
      <c r="T36" s="676"/>
      <c r="U36" s="676"/>
      <c r="V36" s="676"/>
      <c r="W36" s="676"/>
      <c r="X36" s="676"/>
      <c r="Y36" s="676"/>
      <c r="Z36" s="676"/>
    </row>
    <row r="37">
      <c r="A37" s="51" t="s">
        <v>4563</v>
      </c>
      <c r="B37" s="5" t="s">
        <v>18116</v>
      </c>
      <c r="C37" s="677" t="s">
        <v>17631</v>
      </c>
      <c r="D37" s="51" t="s">
        <v>17632</v>
      </c>
      <c r="E37" s="18" t="s">
        <v>18117</v>
      </c>
      <c r="F37" s="18" t="s">
        <v>18118</v>
      </c>
      <c r="J37" s="51" t="s">
        <v>18119</v>
      </c>
      <c r="K37" s="51" t="s">
        <v>18085</v>
      </c>
      <c r="L37" s="2" t="s">
        <v>17637</v>
      </c>
      <c r="M37" s="51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 t="s">
        <v>266</v>
      </c>
      <c r="B38" s="22" t="s">
        <v>18120</v>
      </c>
      <c r="C38" s="51" t="s">
        <v>17631</v>
      </c>
      <c r="D38" s="18" t="s">
        <v>17632</v>
      </c>
      <c r="E38" s="18" t="s">
        <v>18121</v>
      </c>
      <c r="F38" s="18" t="s">
        <v>18122</v>
      </c>
      <c r="G38" s="18" t="s">
        <v>18123</v>
      </c>
      <c r="H38" s="51"/>
      <c r="J38" s="1" t="s">
        <v>18124</v>
      </c>
      <c r="K38" s="1" t="s">
        <v>18125</v>
      </c>
      <c r="L38" s="2" t="s">
        <v>17637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51" t="s">
        <v>271</v>
      </c>
      <c r="B39" s="45" t="s">
        <v>18126</v>
      </c>
      <c r="C39" s="51" t="s">
        <v>17631</v>
      </c>
      <c r="D39" s="51" t="s">
        <v>17632</v>
      </c>
      <c r="E39" s="149" t="s">
        <v>17713</v>
      </c>
      <c r="F39" s="694" t="s">
        <v>18127</v>
      </c>
      <c r="G39" s="18"/>
      <c r="H39" s="51"/>
      <c r="J39" s="51" t="s">
        <v>18128</v>
      </c>
      <c r="K39" s="1" t="s">
        <v>2199</v>
      </c>
      <c r="L39" s="2" t="s">
        <v>17637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34" t="s">
        <v>81</v>
      </c>
      <c r="B40" s="45" t="s">
        <v>7038</v>
      </c>
      <c r="C40" s="5" t="s">
        <v>17631</v>
      </c>
      <c r="D40" s="34" t="s">
        <v>17632</v>
      </c>
      <c r="E40" s="34" t="s">
        <v>17905</v>
      </c>
      <c r="F40" s="34" t="s">
        <v>18129</v>
      </c>
      <c r="G40" s="34" t="s">
        <v>18130</v>
      </c>
      <c r="H40" s="45"/>
      <c r="J40" s="5" t="s">
        <v>18131</v>
      </c>
      <c r="K40" s="1" t="s">
        <v>18085</v>
      </c>
      <c r="L40" s="2" t="s">
        <v>17637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51" t="s">
        <v>430</v>
      </c>
      <c r="B41" s="690" t="s">
        <v>18132</v>
      </c>
      <c r="C41" s="51" t="s">
        <v>17631</v>
      </c>
      <c r="D41" s="51" t="s">
        <v>17833</v>
      </c>
      <c r="E41" s="18" t="s">
        <v>4341</v>
      </c>
      <c r="F41" s="18" t="s">
        <v>13185</v>
      </c>
      <c r="G41" s="18"/>
      <c r="J41" s="1" t="s">
        <v>18133</v>
      </c>
      <c r="K41" s="1" t="s">
        <v>18085</v>
      </c>
      <c r="L41" s="2" t="s">
        <v>17637</v>
      </c>
      <c r="M41" s="51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51" t="s">
        <v>333</v>
      </c>
      <c r="B42" s="45" t="s">
        <v>12771</v>
      </c>
      <c r="C42" s="51" t="s">
        <v>17631</v>
      </c>
      <c r="D42" s="51" t="s">
        <v>17632</v>
      </c>
      <c r="E42" s="51" t="s">
        <v>17856</v>
      </c>
      <c r="F42" s="51" t="s">
        <v>18134</v>
      </c>
      <c r="G42" s="51" t="s">
        <v>18058</v>
      </c>
      <c r="H42" s="51"/>
      <c r="J42" s="5" t="s">
        <v>18135</v>
      </c>
      <c r="K42" s="1" t="s">
        <v>2229</v>
      </c>
      <c r="L42" s="2" t="s">
        <v>17637</v>
      </c>
      <c r="M42" s="51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51" t="s">
        <v>25</v>
      </c>
      <c r="B43" s="690" t="s">
        <v>18136</v>
      </c>
      <c r="C43" s="51" t="s">
        <v>17631</v>
      </c>
      <c r="D43" s="18" t="s">
        <v>17632</v>
      </c>
      <c r="E43" s="18" t="s">
        <v>4345</v>
      </c>
      <c r="F43" s="687" t="s">
        <v>4346</v>
      </c>
      <c r="G43" s="51"/>
      <c r="J43" s="51" t="s">
        <v>17958</v>
      </c>
      <c r="K43" s="1" t="s">
        <v>18065</v>
      </c>
      <c r="L43" s="678" t="s">
        <v>17637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 t="s">
        <v>81</v>
      </c>
      <c r="B44" s="45" t="s">
        <v>18137</v>
      </c>
      <c r="C44" s="51" t="s">
        <v>17631</v>
      </c>
      <c r="D44" s="18" t="s">
        <v>17632</v>
      </c>
      <c r="E44" s="18" t="s">
        <v>17905</v>
      </c>
      <c r="F44" s="18" t="s">
        <v>18138</v>
      </c>
      <c r="G44" s="51"/>
      <c r="H44" s="51"/>
      <c r="J44" s="1" t="s">
        <v>18139</v>
      </c>
      <c r="K44" s="51" t="s">
        <v>18085</v>
      </c>
      <c r="L44" s="2" t="s">
        <v>17637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" t="s">
        <v>1296</v>
      </c>
      <c r="B45" s="5" t="s">
        <v>2296</v>
      </c>
      <c r="C45" s="1" t="s">
        <v>17631</v>
      </c>
      <c r="D45" s="1" t="s">
        <v>17632</v>
      </c>
      <c r="E45" t="s">
        <v>18096</v>
      </c>
      <c r="F45" t="s">
        <v>18097</v>
      </c>
      <c r="I45" s="5" t="s">
        <v>18140</v>
      </c>
      <c r="J45" s="5" t="s">
        <v>18141</v>
      </c>
      <c r="K45" s="5"/>
      <c r="L45" s="2" t="s">
        <v>17637</v>
      </c>
      <c r="M45" s="51" t="s">
        <v>18142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" t="s">
        <v>9822</v>
      </c>
      <c r="B46" s="1" t="s">
        <v>18143</v>
      </c>
      <c r="C46" s="1" t="s">
        <v>18043</v>
      </c>
      <c r="D46" s="1" t="s">
        <v>18144</v>
      </c>
      <c r="E46" s="1" t="s">
        <v>18145</v>
      </c>
      <c r="F46" s="1" t="s">
        <v>4314</v>
      </c>
      <c r="G46" s="695" t="s">
        <v>18146</v>
      </c>
      <c r="H46" s="1" t="s">
        <v>18147</v>
      </c>
      <c r="I46" s="1" t="s">
        <v>18148</v>
      </c>
      <c r="J46" s="1" t="s">
        <v>18149</v>
      </c>
      <c r="L46" s="84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" t="s">
        <v>18150</v>
      </c>
      <c r="B47" s="5" t="s">
        <v>672</v>
      </c>
      <c r="C47" s="1" t="s">
        <v>17631</v>
      </c>
      <c r="D47" s="4" t="s">
        <v>17632</v>
      </c>
      <c r="E47" s="4" t="s">
        <v>18151</v>
      </c>
      <c r="F47" s="4" t="s">
        <v>18152</v>
      </c>
      <c r="I47" s="1" t="s">
        <v>18140</v>
      </c>
      <c r="J47" s="1" t="s">
        <v>18153</v>
      </c>
      <c r="K47" s="1" t="s">
        <v>2207</v>
      </c>
      <c r="L47" s="2" t="s">
        <v>17637</v>
      </c>
      <c r="M47" s="51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" t="s">
        <v>18154</v>
      </c>
      <c r="B48" s="5" t="s">
        <v>427</v>
      </c>
      <c r="C48" s="1" t="s">
        <v>17631</v>
      </c>
      <c r="D48" s="1" t="s">
        <v>18155</v>
      </c>
      <c r="E48" s="4" t="s">
        <v>18145</v>
      </c>
      <c r="F48" s="4" t="s">
        <v>18156</v>
      </c>
      <c r="G48" s="695" t="s">
        <v>18157</v>
      </c>
      <c r="H48" s="18"/>
      <c r="J48" s="51" t="s">
        <v>18158</v>
      </c>
      <c r="K48" s="1" t="s">
        <v>18085</v>
      </c>
      <c r="L48" s="2" t="s">
        <v>17637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" t="s">
        <v>339</v>
      </c>
      <c r="B49" s="5" t="s">
        <v>50</v>
      </c>
      <c r="C49" s="1" t="s">
        <v>17631</v>
      </c>
      <c r="D49" s="1" t="s">
        <v>17632</v>
      </c>
      <c r="E49" s="1" t="s">
        <v>18159</v>
      </c>
      <c r="F49" s="1" t="s">
        <v>18160</v>
      </c>
      <c r="G49" s="45"/>
      <c r="H49" s="5"/>
      <c r="J49" s="1" t="s">
        <v>18161</v>
      </c>
      <c r="K49" s="1" t="s">
        <v>2207</v>
      </c>
      <c r="L49" s="33" t="s">
        <v>17654</v>
      </c>
      <c r="M49" s="51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45" t="s">
        <v>140</v>
      </c>
      <c r="B50" s="690" t="s">
        <v>18162</v>
      </c>
      <c r="C50" s="45" t="s">
        <v>17631</v>
      </c>
      <c r="D50" s="51" t="s">
        <v>17632</v>
      </c>
      <c r="E50" s="51" t="s">
        <v>4328</v>
      </c>
      <c r="F50" s="51" t="s">
        <v>18163</v>
      </c>
      <c r="G50" s="18"/>
      <c r="H50" s="18"/>
      <c r="I50" s="1" t="s">
        <v>18140</v>
      </c>
      <c r="J50" s="45"/>
      <c r="K50" s="1" t="s">
        <v>2196</v>
      </c>
      <c r="L50" s="33" t="s">
        <v>17654</v>
      </c>
      <c r="M50" s="51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51" t="s">
        <v>261</v>
      </c>
      <c r="B51" s="45" t="s">
        <v>2795</v>
      </c>
      <c r="C51" s="51" t="s">
        <v>17631</v>
      </c>
      <c r="D51" s="51" t="s">
        <v>18164</v>
      </c>
      <c r="E51" s="51" t="s">
        <v>18165</v>
      </c>
      <c r="F51" s="51" t="s">
        <v>18166</v>
      </c>
      <c r="G51" s="51" t="s">
        <v>18114</v>
      </c>
      <c r="J51" s="1" t="s">
        <v>18167</v>
      </c>
      <c r="K51" s="5" t="s">
        <v>1672</v>
      </c>
      <c r="L51" s="2" t="s">
        <v>17637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" t="s">
        <v>271</v>
      </c>
      <c r="B52" s="22" t="s">
        <v>18162</v>
      </c>
      <c r="C52" s="1" t="s">
        <v>17631</v>
      </c>
      <c r="D52" s="1" t="s">
        <v>17632</v>
      </c>
      <c r="E52" s="1" t="s">
        <v>18168</v>
      </c>
      <c r="F52" s="1" t="s">
        <v>18169</v>
      </c>
      <c r="G52" s="660" t="s">
        <v>18170</v>
      </c>
      <c r="J52" s="5" t="s">
        <v>17935</v>
      </c>
      <c r="K52" s="1" t="s">
        <v>18171</v>
      </c>
      <c r="L52" s="33" t="s">
        <v>17654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" t="s">
        <v>1513</v>
      </c>
      <c r="B53" s="1" t="s">
        <v>18172</v>
      </c>
      <c r="C53" s="51" t="s">
        <v>17631</v>
      </c>
      <c r="D53" s="1" t="s">
        <v>17632</v>
      </c>
      <c r="E53" s="1" t="s">
        <v>18173</v>
      </c>
      <c r="F53" s="15" t="s">
        <v>18174</v>
      </c>
      <c r="G53" s="660" t="s">
        <v>18175</v>
      </c>
      <c r="H53" s="8"/>
      <c r="J53" s="1" t="s">
        <v>18176</v>
      </c>
      <c r="K53" s="5" t="s">
        <v>18177</v>
      </c>
      <c r="L53" s="33" t="s">
        <v>17654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51" t="s">
        <v>140</v>
      </c>
      <c r="B54" s="51" t="s">
        <v>50</v>
      </c>
      <c r="C54" s="51" t="s">
        <v>17631</v>
      </c>
      <c r="D54" s="51" t="s">
        <v>17632</v>
      </c>
      <c r="E54" s="51" t="s">
        <v>4331</v>
      </c>
      <c r="F54" s="190" t="s">
        <v>18178</v>
      </c>
      <c r="G54" s="18"/>
      <c r="H54" s="18"/>
      <c r="J54" s="51" t="s">
        <v>18098</v>
      </c>
      <c r="K54" s="51" t="s">
        <v>18179</v>
      </c>
      <c r="L54" s="2" t="s">
        <v>17637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4" t="s">
        <v>342</v>
      </c>
      <c r="B55" s="1" t="s">
        <v>18180</v>
      </c>
      <c r="C55" s="1" t="s">
        <v>17631</v>
      </c>
      <c r="D55" s="4" t="s">
        <v>17632</v>
      </c>
      <c r="E55" s="4" t="s">
        <v>17856</v>
      </c>
      <c r="F55" s="4" t="s">
        <v>18181</v>
      </c>
      <c r="J55" s="4" t="s">
        <v>18182</v>
      </c>
      <c r="K55" s="4" t="s">
        <v>18085</v>
      </c>
      <c r="L55" s="2" t="s">
        <v>17637</v>
      </c>
      <c r="M55" s="34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51" t="s">
        <v>271</v>
      </c>
      <c r="B56" s="51" t="s">
        <v>18183</v>
      </c>
      <c r="C56" s="51" t="s">
        <v>17631</v>
      </c>
      <c r="D56" s="51" t="s">
        <v>17632</v>
      </c>
      <c r="E56" s="51" t="s">
        <v>4331</v>
      </c>
      <c r="F56" s="51" t="s">
        <v>18184</v>
      </c>
      <c r="G56" s="5" t="s">
        <v>18170</v>
      </c>
      <c r="J56" s="45" t="s">
        <v>18185</v>
      </c>
      <c r="K56" s="51" t="s">
        <v>18171</v>
      </c>
      <c r="L56" s="2" t="s">
        <v>17637</v>
      </c>
      <c r="M56" s="51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 t="s">
        <v>81</v>
      </c>
      <c r="B57" s="45" t="s">
        <v>7038</v>
      </c>
      <c r="C57" s="1" t="s">
        <v>17631</v>
      </c>
      <c r="D57" s="18" t="s">
        <v>17632</v>
      </c>
      <c r="E57" s="18" t="s">
        <v>17905</v>
      </c>
      <c r="F57" s="18" t="s">
        <v>18186</v>
      </c>
      <c r="G57" s="51"/>
      <c r="I57" s="1" t="s">
        <v>11366</v>
      </c>
      <c r="J57" s="1" t="s">
        <v>18187</v>
      </c>
      <c r="K57" s="1" t="s">
        <v>18085</v>
      </c>
      <c r="L57" s="2" t="s">
        <v>17637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51" t="s">
        <v>41</v>
      </c>
      <c r="B58" s="51" t="s">
        <v>18188</v>
      </c>
      <c r="C58" s="1" t="s">
        <v>17631</v>
      </c>
      <c r="D58" s="1" t="s">
        <v>17632</v>
      </c>
      <c r="E58" s="51" t="s">
        <v>18189</v>
      </c>
      <c r="F58" s="51" t="s">
        <v>18190</v>
      </c>
      <c r="G58" s="51" t="s">
        <v>18191</v>
      </c>
      <c r="H58" s="18"/>
      <c r="J58" s="51" t="s">
        <v>17935</v>
      </c>
      <c r="K58" s="690" t="s">
        <v>18192</v>
      </c>
      <c r="L58" s="33" t="s">
        <v>17654</v>
      </c>
      <c r="M58" s="51" t="s">
        <v>18193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51" t="s">
        <v>333</v>
      </c>
      <c r="B59" s="51" t="s">
        <v>18194</v>
      </c>
      <c r="C59" s="51" t="s">
        <v>18043</v>
      </c>
      <c r="D59" s="51" t="s">
        <v>17632</v>
      </c>
      <c r="E59" s="51" t="s">
        <v>18195</v>
      </c>
      <c r="F59" s="51" t="s">
        <v>18196</v>
      </c>
      <c r="G59" s="45" t="s">
        <v>18170</v>
      </c>
      <c r="H59" s="8"/>
      <c r="J59" s="45" t="s">
        <v>18197</v>
      </c>
      <c r="K59" s="45" t="s">
        <v>18171</v>
      </c>
      <c r="L59" s="685" t="s">
        <v>17654</v>
      </c>
      <c r="M59" s="51" t="s">
        <v>18198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" t="s">
        <v>25</v>
      </c>
      <c r="B60" s="5" t="s">
        <v>18199</v>
      </c>
      <c r="C60" s="51" t="s">
        <v>17631</v>
      </c>
      <c r="D60" s="1" t="s">
        <v>17632</v>
      </c>
      <c r="E60" s="1" t="s">
        <v>17633</v>
      </c>
      <c r="F60" s="1" t="s">
        <v>18200</v>
      </c>
      <c r="H60" s="1"/>
      <c r="J60" s="1" t="s">
        <v>18201</v>
      </c>
      <c r="K60" s="1" t="s">
        <v>18065</v>
      </c>
      <c r="L60" s="2" t="s">
        <v>17637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" t="s">
        <v>9822</v>
      </c>
      <c r="B61" s="45" t="s">
        <v>18202</v>
      </c>
      <c r="C61" s="51" t="s">
        <v>17631</v>
      </c>
      <c r="D61" s="1" t="s">
        <v>17632</v>
      </c>
      <c r="E61" s="1" t="s">
        <v>18203</v>
      </c>
      <c r="F61" s="1" t="s">
        <v>18204</v>
      </c>
      <c r="G61" s="22" t="s">
        <v>18205</v>
      </c>
      <c r="H61" s="51" t="s">
        <v>18206</v>
      </c>
      <c r="J61" s="1" t="s">
        <v>18207</v>
      </c>
      <c r="K61" s="1" t="s">
        <v>18085</v>
      </c>
      <c r="L61" s="2" t="s">
        <v>17637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51" t="s">
        <v>31</v>
      </c>
      <c r="B62" s="51" t="s">
        <v>18208</v>
      </c>
      <c r="C62" s="51" t="s">
        <v>17631</v>
      </c>
      <c r="D62" s="51" t="s">
        <v>17632</v>
      </c>
      <c r="E62" s="51" t="s">
        <v>18096</v>
      </c>
      <c r="F62" s="51" t="s">
        <v>18209</v>
      </c>
      <c r="G62" s="525"/>
      <c r="H62" s="18"/>
      <c r="J62" s="45" t="s">
        <v>18066</v>
      </c>
      <c r="K62" s="1" t="s">
        <v>18085</v>
      </c>
      <c r="L62" s="2" t="s">
        <v>17637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5" t="s">
        <v>31</v>
      </c>
      <c r="B63" s="5" t="s">
        <v>17791</v>
      </c>
      <c r="C63" s="51" t="s">
        <v>17631</v>
      </c>
      <c r="D63" s="18" t="s">
        <v>17632</v>
      </c>
      <c r="E63" s="18" t="s">
        <v>18210</v>
      </c>
      <c r="F63" s="18" t="s">
        <v>18211</v>
      </c>
      <c r="J63" s="1" t="s">
        <v>18212</v>
      </c>
      <c r="K63" s="1" t="s">
        <v>2201</v>
      </c>
      <c r="L63" s="2" t="s">
        <v>17637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5" t="s">
        <v>271</v>
      </c>
      <c r="B64" s="5" t="s">
        <v>18126</v>
      </c>
      <c r="C64" s="51" t="s">
        <v>17631</v>
      </c>
      <c r="D64" s="5" t="s">
        <v>17632</v>
      </c>
      <c r="E64" s="5" t="s">
        <v>4334</v>
      </c>
      <c r="F64" s="5" t="s">
        <v>4335</v>
      </c>
      <c r="G64" s="8"/>
      <c r="H64" s="8"/>
      <c r="I64" s="1" t="s">
        <v>18213</v>
      </c>
      <c r="J64" s="1" t="s">
        <v>17896</v>
      </c>
      <c r="K64" s="1" t="s">
        <v>2199</v>
      </c>
      <c r="L64" s="2" t="s">
        <v>17637</v>
      </c>
      <c r="M64" s="51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51" t="s">
        <v>18214</v>
      </c>
      <c r="C65" s="18"/>
      <c r="D65" s="18"/>
      <c r="E65" s="4" t="s">
        <v>18215</v>
      </c>
      <c r="F65" s="4" t="s">
        <v>18216</v>
      </c>
      <c r="G65" s="51" t="s">
        <v>18217</v>
      </c>
      <c r="J65" s="18"/>
      <c r="K65" s="5" t="s">
        <v>18218</v>
      </c>
      <c r="L65" s="682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4" t="s">
        <v>271</v>
      </c>
      <c r="B66" s="5" t="s">
        <v>18219</v>
      </c>
      <c r="C66" s="1" t="s">
        <v>17631</v>
      </c>
      <c r="D66" s="4" t="s">
        <v>17632</v>
      </c>
      <c r="E66" s="4" t="s">
        <v>4334</v>
      </c>
      <c r="F66" s="4" t="s">
        <v>18220</v>
      </c>
      <c r="G66" s="4" t="s">
        <v>18114</v>
      </c>
      <c r="J66" s="1" t="s">
        <v>18221</v>
      </c>
      <c r="K66" s="1" t="s">
        <v>1672</v>
      </c>
      <c r="L66" s="2" t="s">
        <v>17637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5" t="s">
        <v>876</v>
      </c>
      <c r="B67" s="22" t="s">
        <v>18222</v>
      </c>
      <c r="C67" s="45" t="s">
        <v>17651</v>
      </c>
      <c r="D67" s="22" t="s">
        <v>18223</v>
      </c>
      <c r="E67" s="5" t="s">
        <v>18224</v>
      </c>
      <c r="F67" s="5" t="s">
        <v>18225</v>
      </c>
      <c r="G67" s="5" t="s">
        <v>18226</v>
      </c>
      <c r="H67" s="15"/>
      <c r="I67" s="51" t="s">
        <v>18227</v>
      </c>
      <c r="J67" s="5" t="s">
        <v>18228</v>
      </c>
      <c r="K67" s="1" t="s">
        <v>18085</v>
      </c>
      <c r="L67" s="2" t="s">
        <v>17637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45" t="s">
        <v>3056</v>
      </c>
      <c r="B68" s="45" t="s">
        <v>17868</v>
      </c>
      <c r="C68" s="45" t="s">
        <v>17631</v>
      </c>
      <c r="D68" s="45" t="s">
        <v>17632</v>
      </c>
      <c r="E68" s="45" t="s">
        <v>18070</v>
      </c>
      <c r="F68" s="488" t="s">
        <v>18229</v>
      </c>
      <c r="G68" s="45" t="s">
        <v>18230</v>
      </c>
      <c r="H68" s="34"/>
      <c r="J68" s="45" t="s">
        <v>18231</v>
      </c>
      <c r="K68" s="1" t="s">
        <v>1785</v>
      </c>
      <c r="L68" s="33" t="s">
        <v>17654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45" t="s">
        <v>261</v>
      </c>
      <c r="B69" s="45" t="s">
        <v>2795</v>
      </c>
      <c r="C69" s="45" t="s">
        <v>17631</v>
      </c>
      <c r="D69" s="34" t="s">
        <v>17632</v>
      </c>
      <c r="E69" s="34" t="s">
        <v>18232</v>
      </c>
      <c r="F69" s="34" t="s">
        <v>18233</v>
      </c>
      <c r="G69" s="18"/>
      <c r="H69" s="5"/>
      <c r="J69" s="1" t="s">
        <v>18234</v>
      </c>
      <c r="K69" s="1" t="s">
        <v>18085</v>
      </c>
      <c r="L69" s="2" t="s">
        <v>17637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51" t="s">
        <v>81</v>
      </c>
      <c r="B70" s="696" t="s">
        <v>18235</v>
      </c>
      <c r="C70" s="1" t="s">
        <v>17631</v>
      </c>
      <c r="D70" s="18" t="s">
        <v>17632</v>
      </c>
      <c r="E70" s="18" t="s">
        <v>17905</v>
      </c>
      <c r="F70" s="697" t="s">
        <v>18236</v>
      </c>
      <c r="G70" s="1" t="s">
        <v>18058</v>
      </c>
      <c r="J70" s="5" t="s">
        <v>18237</v>
      </c>
      <c r="K70" s="1" t="s">
        <v>2229</v>
      </c>
      <c r="L70" s="2" t="s">
        <v>17637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5" t="s">
        <v>271</v>
      </c>
      <c r="B71" s="45" t="s">
        <v>27</v>
      </c>
      <c r="C71" s="677" t="s">
        <v>17631</v>
      </c>
      <c r="D71" s="15" t="s">
        <v>17632</v>
      </c>
      <c r="E71" s="4" t="s">
        <v>4331</v>
      </c>
      <c r="F71" s="4" t="s">
        <v>4332</v>
      </c>
      <c r="G71" s="8"/>
      <c r="H71" s="8"/>
      <c r="J71" s="1" t="s">
        <v>18238</v>
      </c>
      <c r="K71" s="1" t="s">
        <v>2201</v>
      </c>
      <c r="L71" s="685" t="s">
        <v>17654</v>
      </c>
      <c r="M71" s="51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" t="s">
        <v>271</v>
      </c>
      <c r="B72" s="690" t="s">
        <v>18239</v>
      </c>
      <c r="C72" s="1" t="s">
        <v>17631</v>
      </c>
      <c r="D72" s="1" t="s">
        <v>17632</v>
      </c>
      <c r="E72" s="1" t="s">
        <v>4338</v>
      </c>
      <c r="F72" s="1" t="s">
        <v>4339</v>
      </c>
      <c r="G72" s="698"/>
      <c r="I72" s="1" t="s">
        <v>18240</v>
      </c>
      <c r="J72" s="51" t="s">
        <v>18241</v>
      </c>
      <c r="K72" s="1" t="s">
        <v>18065</v>
      </c>
      <c r="L72" s="2" t="s">
        <v>17637</v>
      </c>
      <c r="M72" s="51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" t="s">
        <v>1010</v>
      </c>
      <c r="B73" s="5" t="s">
        <v>18242</v>
      </c>
      <c r="C73" s="51" t="s">
        <v>17631</v>
      </c>
      <c r="D73" s="18" t="s">
        <v>17632</v>
      </c>
      <c r="E73" s="699" t="s">
        <v>18243</v>
      </c>
      <c r="F73" s="54" t="s">
        <v>18244</v>
      </c>
      <c r="J73" s="1" t="s">
        <v>17916</v>
      </c>
      <c r="K73" s="1" t="s">
        <v>18085</v>
      </c>
      <c r="L73" s="2" t="s">
        <v>17637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34" t="s">
        <v>430</v>
      </c>
      <c r="B74" s="45" t="s">
        <v>2795</v>
      </c>
      <c r="C74" s="51" t="s">
        <v>17631</v>
      </c>
      <c r="D74" s="45" t="s">
        <v>17632</v>
      </c>
      <c r="E74" s="34" t="s">
        <v>4349</v>
      </c>
      <c r="F74" s="45" t="s">
        <v>18245</v>
      </c>
      <c r="G74" s="690" t="s">
        <v>18246</v>
      </c>
      <c r="H74" s="8"/>
      <c r="J74" s="5" t="s">
        <v>18247</v>
      </c>
      <c r="K74" s="1" t="s">
        <v>18085</v>
      </c>
      <c r="L74" s="2" t="s">
        <v>17637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51" t="s">
        <v>271</v>
      </c>
      <c r="B75" s="51" t="s">
        <v>17756</v>
      </c>
      <c r="C75" s="51" t="s">
        <v>17631</v>
      </c>
      <c r="D75" s="51" t="s">
        <v>17632</v>
      </c>
      <c r="E75" s="51" t="s">
        <v>4331</v>
      </c>
      <c r="F75" s="51" t="s">
        <v>18248</v>
      </c>
      <c r="G75" s="18"/>
      <c r="H75" s="18"/>
      <c r="J75" s="45" t="s">
        <v>18249</v>
      </c>
      <c r="K75" s="1" t="s">
        <v>18065</v>
      </c>
      <c r="L75" s="33" t="s">
        <v>17654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51" t="s">
        <v>88</v>
      </c>
      <c r="B76" s="45" t="s">
        <v>18250</v>
      </c>
      <c r="C76" s="45" t="s">
        <v>17631</v>
      </c>
      <c r="D76" s="51" t="s">
        <v>17632</v>
      </c>
      <c r="E76" s="51" t="s">
        <v>17675</v>
      </c>
      <c r="F76" s="5" t="s">
        <v>18251</v>
      </c>
      <c r="G76" s="51" t="s">
        <v>18058</v>
      </c>
      <c r="H76" s="51"/>
      <c r="I76" s="1" t="s">
        <v>18252</v>
      </c>
      <c r="J76" s="51" t="s">
        <v>18253</v>
      </c>
      <c r="K76" s="1" t="s">
        <v>2229</v>
      </c>
      <c r="L76" s="33" t="s">
        <v>17654</v>
      </c>
      <c r="M76" s="51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45" t="s">
        <v>271</v>
      </c>
      <c r="B77" s="45" t="s">
        <v>16510</v>
      </c>
      <c r="C77" s="45" t="s">
        <v>17631</v>
      </c>
      <c r="D77" s="45" t="s">
        <v>17632</v>
      </c>
      <c r="E77" s="45" t="s">
        <v>4331</v>
      </c>
      <c r="F77" s="45" t="s">
        <v>18254</v>
      </c>
      <c r="G77" s="45" t="s">
        <v>18255</v>
      </c>
      <c r="H77" s="34"/>
      <c r="J77" s="45" t="s">
        <v>18256</v>
      </c>
      <c r="K77" s="1" t="s">
        <v>18065</v>
      </c>
      <c r="L77" s="2" t="s">
        <v>17637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5" t="s">
        <v>81</v>
      </c>
      <c r="B78" s="5" t="s">
        <v>18257</v>
      </c>
      <c r="C78" s="5" t="s">
        <v>17631</v>
      </c>
      <c r="D78" s="5" t="s">
        <v>17632</v>
      </c>
      <c r="E78" s="5" t="s">
        <v>18258</v>
      </c>
      <c r="F78" s="5" t="s">
        <v>18259</v>
      </c>
      <c r="G78" s="15" t="s">
        <v>18106</v>
      </c>
      <c r="H78" s="5"/>
      <c r="J78" s="51" t="s">
        <v>18260</v>
      </c>
      <c r="K78" s="5" t="s">
        <v>18103</v>
      </c>
      <c r="L78" s="33" t="s">
        <v>17654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" t="s">
        <v>339</v>
      </c>
      <c r="B79" s="5" t="s">
        <v>18261</v>
      </c>
      <c r="C79" s="1" t="s">
        <v>17631</v>
      </c>
      <c r="D79" s="1" t="s">
        <v>17671</v>
      </c>
      <c r="E79" s="1" t="s">
        <v>17675</v>
      </c>
      <c r="F79" s="4" t="s">
        <v>18262</v>
      </c>
      <c r="G79" s="5"/>
      <c r="J79" s="1" t="s">
        <v>18263</v>
      </c>
      <c r="K79" s="1" t="s">
        <v>2194</v>
      </c>
      <c r="L79" s="2" t="s">
        <v>17637</v>
      </c>
      <c r="M79" s="51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51" t="s">
        <v>333</v>
      </c>
      <c r="B80" s="51" t="s">
        <v>18264</v>
      </c>
      <c r="C80" s="1" t="s">
        <v>17631</v>
      </c>
      <c r="D80" s="51" t="s">
        <v>18265</v>
      </c>
      <c r="E80" s="51" t="s">
        <v>18266</v>
      </c>
      <c r="F80" s="4" t="s">
        <v>18267</v>
      </c>
      <c r="G80" s="18"/>
      <c r="H80" s="18"/>
      <c r="J80" s="45" t="s">
        <v>17935</v>
      </c>
      <c r="K80" s="51" t="s">
        <v>2201</v>
      </c>
      <c r="L80" s="685" t="s">
        <v>17654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51" t="s">
        <v>416</v>
      </c>
      <c r="B81" s="1" t="s">
        <v>18268</v>
      </c>
      <c r="C81" s="51" t="s">
        <v>17631</v>
      </c>
      <c r="D81" s="51" t="s">
        <v>17632</v>
      </c>
      <c r="E81" s="51" t="s">
        <v>18269</v>
      </c>
      <c r="F81" s="4" t="s">
        <v>18270</v>
      </c>
      <c r="G81" s="18"/>
      <c r="H81" s="18"/>
      <c r="I81" s="1" t="s">
        <v>18271</v>
      </c>
      <c r="J81" s="51" t="s">
        <v>18272</v>
      </c>
      <c r="K81" s="4" t="s">
        <v>2201</v>
      </c>
      <c r="L81" s="2" t="s">
        <v>17637</v>
      </c>
      <c r="M81" s="51" t="s">
        <v>18273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" t="s">
        <v>339</v>
      </c>
      <c r="B82" s="5" t="s">
        <v>672</v>
      </c>
      <c r="C82" s="51" t="s">
        <v>17631</v>
      </c>
      <c r="D82" s="1" t="s">
        <v>17632</v>
      </c>
      <c r="E82" s="1" t="s">
        <v>18159</v>
      </c>
      <c r="F82" s="1" t="s">
        <v>4321</v>
      </c>
      <c r="G82" s="1" t="s">
        <v>18274</v>
      </c>
      <c r="H82" s="51"/>
      <c r="I82" s="1" t="s">
        <v>18271</v>
      </c>
      <c r="J82" s="1" t="s">
        <v>18275</v>
      </c>
      <c r="K82" s="1" t="s">
        <v>2207</v>
      </c>
      <c r="L82" s="678" t="s">
        <v>17637</v>
      </c>
      <c r="M82" s="51" t="s">
        <v>18142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45" t="s">
        <v>276</v>
      </c>
      <c r="B83" s="45" t="s">
        <v>18276</v>
      </c>
      <c r="C83" s="45" t="s">
        <v>17631</v>
      </c>
      <c r="D83" s="45" t="s">
        <v>17632</v>
      </c>
      <c r="E83" s="45" t="s">
        <v>18277</v>
      </c>
      <c r="F83" s="45" t="s">
        <v>18278</v>
      </c>
      <c r="G83" s="15" t="s">
        <v>18279</v>
      </c>
      <c r="H83" s="34"/>
      <c r="J83" s="51" t="s">
        <v>18280</v>
      </c>
      <c r="K83" s="1" t="s">
        <v>18085</v>
      </c>
      <c r="L83" s="33" t="s">
        <v>17654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51" t="s">
        <v>77</v>
      </c>
      <c r="B84" s="45" t="s">
        <v>6427</v>
      </c>
      <c r="C84" s="51" t="s">
        <v>17631</v>
      </c>
      <c r="D84" s="51" t="s">
        <v>17632</v>
      </c>
      <c r="E84" s="51" t="s">
        <v>18061</v>
      </c>
      <c r="F84" s="51" t="s">
        <v>4329</v>
      </c>
      <c r="G84" s="51"/>
      <c r="H84" s="51"/>
      <c r="J84" s="51" t="s">
        <v>17752</v>
      </c>
      <c r="K84" s="1" t="s">
        <v>2196</v>
      </c>
      <c r="L84" s="2" t="s">
        <v>17637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51" t="s">
        <v>271</v>
      </c>
      <c r="B85" s="690" t="s">
        <v>18281</v>
      </c>
      <c r="C85" s="51" t="s">
        <v>17631</v>
      </c>
      <c r="D85" s="51" t="s">
        <v>17632</v>
      </c>
      <c r="E85" s="51" t="s">
        <v>4328</v>
      </c>
      <c r="F85" s="488" t="s">
        <v>18282</v>
      </c>
      <c r="G85" s="51"/>
      <c r="H85" s="18"/>
      <c r="J85" s="51" t="s">
        <v>18283</v>
      </c>
      <c r="K85" s="1" t="s">
        <v>2194</v>
      </c>
      <c r="L85" s="2" t="s">
        <v>17637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45" t="s">
        <v>77</v>
      </c>
      <c r="B86" s="45" t="s">
        <v>433</v>
      </c>
      <c r="C86" s="45" t="s">
        <v>17631</v>
      </c>
      <c r="D86" s="34" t="s">
        <v>17632</v>
      </c>
      <c r="E86" s="34" t="s">
        <v>18061</v>
      </c>
      <c r="F86" s="688" t="s">
        <v>18284</v>
      </c>
      <c r="G86" s="700"/>
      <c r="H86" s="45"/>
      <c r="J86" s="5" t="s">
        <v>18285</v>
      </c>
      <c r="K86" s="5" t="s">
        <v>2194</v>
      </c>
      <c r="L86" s="2" t="s">
        <v>17637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45" t="s">
        <v>2035</v>
      </c>
      <c r="B87" s="5" t="s">
        <v>2212</v>
      </c>
      <c r="C87" s="701" t="s">
        <v>17631</v>
      </c>
      <c r="D87" s="45" t="s">
        <v>18286</v>
      </c>
      <c r="E87" s="45" t="s">
        <v>18287</v>
      </c>
      <c r="F87" s="45" t="s">
        <v>18288</v>
      </c>
      <c r="G87" s="45" t="s">
        <v>18289</v>
      </c>
      <c r="H87" s="34"/>
      <c r="J87" s="45" t="s">
        <v>18290</v>
      </c>
      <c r="K87" s="1" t="s">
        <v>18085</v>
      </c>
      <c r="L87" s="2" t="s">
        <v>17637</v>
      </c>
      <c r="M87" s="51" t="s">
        <v>18291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 t="s">
        <v>81</v>
      </c>
      <c r="B88" s="22" t="s">
        <v>18292</v>
      </c>
      <c r="C88" s="51" t="s">
        <v>17631</v>
      </c>
      <c r="D88" s="18" t="s">
        <v>17632</v>
      </c>
      <c r="E88" s="18" t="s">
        <v>17905</v>
      </c>
      <c r="F88" s="54" t="s">
        <v>18293</v>
      </c>
      <c r="G88" s="51"/>
      <c r="H88" s="702"/>
      <c r="J88" s="1" t="s">
        <v>18294</v>
      </c>
      <c r="K88" s="51" t="s">
        <v>18085</v>
      </c>
      <c r="L88" s="2" t="s">
        <v>17637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45" t="s">
        <v>81</v>
      </c>
      <c r="B89" s="696" t="s">
        <v>18295</v>
      </c>
      <c r="C89" s="45" t="s">
        <v>17631</v>
      </c>
      <c r="D89" s="45" t="s">
        <v>17632</v>
      </c>
      <c r="E89" s="45" t="s">
        <v>17876</v>
      </c>
      <c r="F89" s="45" t="s">
        <v>18296</v>
      </c>
      <c r="G89" s="34"/>
      <c r="H89" s="45"/>
      <c r="J89" s="5" t="s">
        <v>18297</v>
      </c>
      <c r="K89" s="1" t="s">
        <v>2328</v>
      </c>
      <c r="L89" s="2" t="s">
        <v>17637</v>
      </c>
      <c r="M89" s="51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5" t="s">
        <v>18298</v>
      </c>
      <c r="B90" s="5" t="s">
        <v>18299</v>
      </c>
      <c r="C90" s="5" t="s">
        <v>17631</v>
      </c>
      <c r="D90" s="5" t="s">
        <v>17980</v>
      </c>
      <c r="E90" s="5" t="s">
        <v>18300</v>
      </c>
      <c r="F90" s="5" t="s">
        <v>18301</v>
      </c>
      <c r="G90" s="5" t="s">
        <v>18302</v>
      </c>
      <c r="H90" s="8"/>
      <c r="J90" s="5" t="s">
        <v>18167</v>
      </c>
      <c r="K90" s="1" t="s">
        <v>18085</v>
      </c>
      <c r="L90" s="2" t="s">
        <v>17637</v>
      </c>
      <c r="M90" s="51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88"/>
    <col customWidth="1" min="3" max="3" width="6.38"/>
    <col customWidth="1" min="4" max="4" width="9.75"/>
    <col customWidth="1" min="5" max="5" width="12.38"/>
    <col customWidth="1" min="6" max="6" width="13.5"/>
    <col customWidth="1" min="7" max="7" width="28.88"/>
    <col customWidth="1" min="8" max="8" width="33.88"/>
    <col customWidth="1" min="9" max="9" width="20.38"/>
    <col customWidth="1" min="10" max="10" width="16.0"/>
    <col customWidth="1" min="11" max="11" width="8.5"/>
  </cols>
  <sheetData>
    <row r="1">
      <c r="A1" s="646"/>
      <c r="B1" s="646" t="s">
        <v>17609</v>
      </c>
      <c r="C1" s="645" t="s">
        <v>18303</v>
      </c>
      <c r="D1" s="646" t="s">
        <v>17611</v>
      </c>
      <c r="E1" s="646" t="s">
        <v>17612</v>
      </c>
      <c r="F1" s="646" t="s">
        <v>17613</v>
      </c>
      <c r="G1" s="646" t="s">
        <v>17614</v>
      </c>
      <c r="H1" s="646" t="s">
        <v>17615</v>
      </c>
      <c r="I1" s="646" t="s">
        <v>17616</v>
      </c>
      <c r="J1" s="646" t="s">
        <v>17617</v>
      </c>
      <c r="K1" s="703" t="s">
        <v>17618</v>
      </c>
      <c r="L1" s="646" t="s">
        <v>17619</v>
      </c>
      <c r="M1" s="646" t="s">
        <v>17620</v>
      </c>
      <c r="N1" s="646" t="s">
        <v>17621</v>
      </c>
    </row>
    <row r="2">
      <c r="A2" s="1" t="s">
        <v>18304</v>
      </c>
      <c r="B2" s="1" t="s">
        <v>18305</v>
      </c>
      <c r="C2" s="1" t="s">
        <v>17651</v>
      </c>
      <c r="D2" s="1" t="s">
        <v>17632</v>
      </c>
      <c r="E2" s="1" t="s">
        <v>18306</v>
      </c>
      <c r="F2" s="317" t="s">
        <v>18307</v>
      </c>
      <c r="G2" s="1" t="s">
        <v>18308</v>
      </c>
      <c r="H2" s="22" t="s">
        <v>18309</v>
      </c>
      <c r="I2" s="1" t="s">
        <v>18310</v>
      </c>
      <c r="K2" s="84"/>
      <c r="Y2" s="8"/>
      <c r="Z2" s="8"/>
    </row>
    <row r="3">
      <c r="A3" s="8"/>
      <c r="B3" s="1" t="s">
        <v>18311</v>
      </c>
      <c r="C3" s="1" t="s">
        <v>17631</v>
      </c>
      <c r="D3" s="1" t="s">
        <v>17632</v>
      </c>
      <c r="E3" s="1" t="s">
        <v>5361</v>
      </c>
      <c r="F3" s="1" t="s">
        <v>18312</v>
      </c>
      <c r="G3" s="1" t="s">
        <v>2914</v>
      </c>
      <c r="H3" s="1" t="s">
        <v>18313</v>
      </c>
      <c r="I3" s="1" t="s">
        <v>2252</v>
      </c>
      <c r="J3" s="1" t="s">
        <v>18314</v>
      </c>
      <c r="K3" s="84"/>
      <c r="Y3" s="8"/>
      <c r="Z3" s="8"/>
    </row>
    <row r="4">
      <c r="A4" s="1" t="s">
        <v>416</v>
      </c>
      <c r="B4" s="5" t="s">
        <v>123</v>
      </c>
      <c r="C4" s="1" t="s">
        <v>17651</v>
      </c>
      <c r="D4" s="1" t="s">
        <v>17632</v>
      </c>
      <c r="E4" s="1" t="s">
        <v>18315</v>
      </c>
      <c r="F4" s="1" t="s">
        <v>18316</v>
      </c>
      <c r="G4" s="1" t="s">
        <v>18317</v>
      </c>
      <c r="H4" s="1" t="s">
        <v>18318</v>
      </c>
      <c r="I4" s="1" t="s">
        <v>18319</v>
      </c>
      <c r="K4" s="2" t="s">
        <v>17637</v>
      </c>
      <c r="Y4" s="8"/>
      <c r="Z4" s="8"/>
    </row>
    <row r="5">
      <c r="A5" s="648"/>
      <c r="B5" s="648"/>
      <c r="C5" s="648"/>
      <c r="D5" s="649" t="s">
        <v>17622</v>
      </c>
      <c r="E5" s="649" t="s">
        <v>17623</v>
      </c>
      <c r="F5" s="649" t="s">
        <v>17624</v>
      </c>
      <c r="G5" s="649" t="s">
        <v>18320</v>
      </c>
      <c r="H5" s="649" t="s">
        <v>17626</v>
      </c>
      <c r="I5" s="649" t="s">
        <v>17627</v>
      </c>
      <c r="J5" s="649" t="s">
        <v>17628</v>
      </c>
      <c r="K5" s="33" t="s">
        <v>17629</v>
      </c>
      <c r="L5" s="5" t="s">
        <v>17628</v>
      </c>
      <c r="Y5" s="8"/>
      <c r="Z5" s="8"/>
    </row>
    <row r="6">
      <c r="A6" s="1" t="s">
        <v>77</v>
      </c>
      <c r="B6" s="1" t="s">
        <v>1495</v>
      </c>
      <c r="C6" s="1" t="s">
        <v>17651</v>
      </c>
      <c r="D6" s="1" t="s">
        <v>17632</v>
      </c>
      <c r="E6" s="1" t="s">
        <v>18321</v>
      </c>
      <c r="F6" s="1" t="s">
        <v>18322</v>
      </c>
      <c r="G6" s="1" t="s">
        <v>18323</v>
      </c>
      <c r="H6" s="22" t="s">
        <v>18324</v>
      </c>
      <c r="I6" s="1" t="s">
        <v>18325</v>
      </c>
      <c r="K6" s="2" t="s">
        <v>17637</v>
      </c>
      <c r="Y6" s="8"/>
      <c r="Z6" s="8"/>
    </row>
    <row r="7">
      <c r="A7" s="1" t="s">
        <v>512</v>
      </c>
      <c r="B7" s="22" t="s">
        <v>18326</v>
      </c>
      <c r="C7" s="1" t="s">
        <v>17651</v>
      </c>
      <c r="D7" s="1" t="s">
        <v>18327</v>
      </c>
      <c r="E7" s="1" t="s">
        <v>17830</v>
      </c>
      <c r="F7" s="1" t="s">
        <v>18328</v>
      </c>
      <c r="G7" s="1" t="s">
        <v>12807</v>
      </c>
      <c r="H7" s="22" t="s">
        <v>18329</v>
      </c>
      <c r="I7" s="1" t="s">
        <v>18330</v>
      </c>
      <c r="J7" s="22" t="s">
        <v>18331</v>
      </c>
      <c r="K7" s="33"/>
      <c r="Y7" s="8"/>
      <c r="Z7" s="8"/>
    </row>
    <row r="8">
      <c r="A8" s="704" t="s">
        <v>18332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Y8" s="8"/>
      <c r="Z8" s="8"/>
    </row>
    <row r="9">
      <c r="A9" s="4" t="s">
        <v>718</v>
      </c>
      <c r="B9" s="4" t="s">
        <v>684</v>
      </c>
      <c r="C9" s="4" t="s">
        <v>17631</v>
      </c>
      <c r="D9" s="4" t="s">
        <v>17632</v>
      </c>
      <c r="E9" s="4" t="s">
        <v>17819</v>
      </c>
      <c r="F9" s="4" t="s">
        <v>18333</v>
      </c>
      <c r="G9" s="4" t="s">
        <v>2914</v>
      </c>
      <c r="H9" s="1" t="s">
        <v>18334</v>
      </c>
      <c r="I9" s="4" t="s">
        <v>18335</v>
      </c>
      <c r="J9" s="4" t="s">
        <v>18336</v>
      </c>
      <c r="K9" s="84"/>
      <c r="L9" s="1" t="s">
        <v>18337</v>
      </c>
      <c r="M9" s="705" t="s">
        <v>18338</v>
      </c>
      <c r="N9" s="706">
        <v>44881.0</v>
      </c>
      <c r="O9" s="705" t="s">
        <v>18339</v>
      </c>
      <c r="P9" s="705" t="s">
        <v>18314</v>
      </c>
      <c r="Q9" s="707"/>
      <c r="Y9" s="8"/>
      <c r="Z9" s="8"/>
    </row>
    <row r="10">
      <c r="B10" s="1" t="s">
        <v>18340</v>
      </c>
      <c r="C10" s="1" t="s">
        <v>17651</v>
      </c>
      <c r="D10" s="1" t="s">
        <v>17632</v>
      </c>
      <c r="E10" s="1" t="s">
        <v>17819</v>
      </c>
      <c r="F10" s="1" t="s">
        <v>18333</v>
      </c>
      <c r="G10" s="1" t="s">
        <v>2914</v>
      </c>
      <c r="H10" s="1" t="s">
        <v>18341</v>
      </c>
      <c r="I10" s="705" t="s">
        <v>18342</v>
      </c>
      <c r="J10" s="1" t="s">
        <v>18343</v>
      </c>
      <c r="K10" s="33"/>
      <c r="L10" s="707"/>
      <c r="M10" s="705" t="s">
        <v>18338</v>
      </c>
      <c r="N10" s="706">
        <v>44881.0</v>
      </c>
      <c r="O10" s="705" t="s">
        <v>18344</v>
      </c>
      <c r="P10" s="707"/>
      <c r="Q10" s="707"/>
      <c r="Y10" s="8"/>
      <c r="Z10" s="8"/>
    </row>
    <row r="11">
      <c r="A11" s="1" t="s">
        <v>2285</v>
      </c>
      <c r="B11" s="1" t="s">
        <v>18345</v>
      </c>
      <c r="C11" s="1" t="s">
        <v>17631</v>
      </c>
      <c r="D11" s="1" t="s">
        <v>17632</v>
      </c>
      <c r="E11" s="1" t="s">
        <v>18346</v>
      </c>
      <c r="F11" s="1" t="s">
        <v>18347</v>
      </c>
      <c r="G11" s="1" t="s">
        <v>18348</v>
      </c>
      <c r="H11" s="5" t="s">
        <v>15380</v>
      </c>
      <c r="I11" s="1" t="s">
        <v>18349</v>
      </c>
      <c r="J11" s="5"/>
      <c r="K11" s="2" t="s">
        <v>17637</v>
      </c>
      <c r="Y11" s="8"/>
      <c r="Z11" s="8"/>
    </row>
    <row r="12">
      <c r="A12" s="708" t="s">
        <v>18350</v>
      </c>
      <c r="B12" s="652"/>
      <c r="C12" s="652"/>
      <c r="D12" s="652"/>
      <c r="E12" s="652"/>
      <c r="F12" s="652"/>
      <c r="G12" s="652"/>
      <c r="H12" s="652"/>
      <c r="I12" s="652"/>
      <c r="J12" s="652"/>
      <c r="K12" s="652"/>
      <c r="Y12" s="8"/>
      <c r="Z12" s="8"/>
    </row>
    <row r="13">
      <c r="A13" s="5" t="s">
        <v>177</v>
      </c>
      <c r="B13" s="5" t="s">
        <v>5608</v>
      </c>
      <c r="C13" s="5" t="s">
        <v>17651</v>
      </c>
      <c r="D13" s="5" t="s">
        <v>17632</v>
      </c>
      <c r="E13" s="5" t="s">
        <v>18351</v>
      </c>
      <c r="F13" s="5" t="s">
        <v>18352</v>
      </c>
      <c r="G13" s="5" t="s">
        <v>11702</v>
      </c>
      <c r="H13" s="1" t="s">
        <v>18353</v>
      </c>
      <c r="I13" s="5" t="s">
        <v>18354</v>
      </c>
      <c r="J13" s="5"/>
      <c r="K13" s="2" t="s">
        <v>17637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" t="s">
        <v>205</v>
      </c>
      <c r="B14" s="1" t="s">
        <v>18099</v>
      </c>
      <c r="C14" s="1" t="s">
        <v>17651</v>
      </c>
      <c r="D14" s="1" t="s">
        <v>17632</v>
      </c>
      <c r="E14" s="1" t="s">
        <v>17694</v>
      </c>
      <c r="F14" s="1" t="s">
        <v>18355</v>
      </c>
      <c r="G14" s="709" t="s">
        <v>18356</v>
      </c>
      <c r="H14" s="1" t="s">
        <v>18357</v>
      </c>
      <c r="I14" s="1" t="s">
        <v>18358</v>
      </c>
      <c r="K14" s="2" t="s">
        <v>17637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D15" s="1" t="s">
        <v>17632</v>
      </c>
      <c r="E15" s="1" t="s">
        <v>18359</v>
      </c>
      <c r="F15" s="1" t="s">
        <v>18360</v>
      </c>
      <c r="G15" s="1" t="s">
        <v>2914</v>
      </c>
      <c r="H15" s="22" t="s">
        <v>18361</v>
      </c>
      <c r="I15" s="1" t="s">
        <v>18362</v>
      </c>
      <c r="J15" s="1" t="s">
        <v>18363</v>
      </c>
      <c r="K15" s="33"/>
      <c r="L15" s="22" t="s">
        <v>18364</v>
      </c>
      <c r="M15" s="22" t="s">
        <v>18365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18366</v>
      </c>
      <c r="B16" s="5" t="s">
        <v>18367</v>
      </c>
      <c r="C16" s="5" t="s">
        <v>17943</v>
      </c>
      <c r="D16" s="5" t="s">
        <v>18368</v>
      </c>
      <c r="E16" s="5" t="s">
        <v>18369</v>
      </c>
      <c r="F16" s="5" t="s">
        <v>18370</v>
      </c>
      <c r="G16" s="5" t="s">
        <v>18371</v>
      </c>
      <c r="H16" s="5" t="s">
        <v>16905</v>
      </c>
      <c r="I16" s="5" t="s">
        <v>18372</v>
      </c>
      <c r="J16" s="8"/>
      <c r="K16" s="33" t="s">
        <v>17654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" t="s">
        <v>177</v>
      </c>
      <c r="B17" s="1" t="s">
        <v>6296</v>
      </c>
      <c r="C17" s="1" t="s">
        <v>17651</v>
      </c>
      <c r="D17" s="1" t="s">
        <v>18373</v>
      </c>
      <c r="E17" s="1" t="s">
        <v>18374</v>
      </c>
      <c r="G17" s="1" t="s">
        <v>4240</v>
      </c>
      <c r="H17" s="1" t="s">
        <v>18375</v>
      </c>
      <c r="I17" s="1" t="s">
        <v>18376</v>
      </c>
      <c r="K17" s="33"/>
      <c r="L17" s="22" t="s">
        <v>18377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710">
        <v>45738.0</v>
      </c>
      <c r="B18" s="711"/>
      <c r="C18" s="648"/>
      <c r="D18" s="648"/>
      <c r="E18" s="648"/>
      <c r="F18" s="648"/>
      <c r="G18" s="648"/>
      <c r="H18" s="648"/>
      <c r="I18" s="648"/>
      <c r="J18" s="648"/>
      <c r="K18" s="64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5" t="s">
        <v>354</v>
      </c>
      <c r="B19" s="5" t="s">
        <v>684</v>
      </c>
      <c r="C19" s="701" t="s">
        <v>17631</v>
      </c>
      <c r="D19" s="5" t="s">
        <v>17632</v>
      </c>
      <c r="E19" s="5" t="s">
        <v>18378</v>
      </c>
      <c r="F19" s="5" t="s">
        <v>18379</v>
      </c>
      <c r="G19" s="5" t="s">
        <v>18380</v>
      </c>
      <c r="H19" s="1" t="s">
        <v>2252</v>
      </c>
      <c r="I19" s="1" t="s">
        <v>18381</v>
      </c>
      <c r="J19" s="1" t="s">
        <v>18382</v>
      </c>
      <c r="K19" s="33" t="s">
        <v>17654</v>
      </c>
    </row>
    <row r="20">
      <c r="A20" s="1" t="s">
        <v>18383</v>
      </c>
      <c r="B20" s="22" t="s">
        <v>18384</v>
      </c>
      <c r="C20" s="1" t="s">
        <v>17651</v>
      </c>
      <c r="D20" s="1" t="s">
        <v>17632</v>
      </c>
      <c r="E20" s="1" t="s">
        <v>18385</v>
      </c>
      <c r="F20" s="1" t="s">
        <v>18386</v>
      </c>
      <c r="G20" s="1" t="s">
        <v>1218</v>
      </c>
      <c r="H20" s="1" t="s">
        <v>1219</v>
      </c>
      <c r="I20" s="1" t="s">
        <v>18387</v>
      </c>
      <c r="J20" s="5"/>
      <c r="K20" s="2" t="s">
        <v>17637</v>
      </c>
    </row>
    <row r="21">
      <c r="A21" s="4" t="s">
        <v>718</v>
      </c>
      <c r="B21" s="1" t="s">
        <v>684</v>
      </c>
      <c r="C21" s="1" t="s">
        <v>17631</v>
      </c>
      <c r="D21" s="4" t="s">
        <v>17632</v>
      </c>
      <c r="E21" s="4" t="s">
        <v>18388</v>
      </c>
      <c r="F21" s="4" t="s">
        <v>18389</v>
      </c>
      <c r="G21" s="4" t="s">
        <v>1351</v>
      </c>
      <c r="H21" s="5" t="s">
        <v>2252</v>
      </c>
      <c r="I21" s="1" t="s">
        <v>17870</v>
      </c>
      <c r="K21" s="2" t="s">
        <v>17637</v>
      </c>
    </row>
    <row r="22">
      <c r="A22" s="45" t="s">
        <v>214</v>
      </c>
      <c r="B22" s="45" t="s">
        <v>18390</v>
      </c>
      <c r="C22" s="45" t="s">
        <v>17651</v>
      </c>
      <c r="D22" s="34" t="s">
        <v>17632</v>
      </c>
      <c r="E22" s="34" t="s">
        <v>18391</v>
      </c>
      <c r="F22" s="34" t="s">
        <v>18392</v>
      </c>
      <c r="G22" s="34" t="s">
        <v>132</v>
      </c>
      <c r="H22" s="18" t="s">
        <v>2252</v>
      </c>
      <c r="I22" s="45" t="s">
        <v>18393</v>
      </c>
      <c r="J22" s="34"/>
      <c r="K22" s="33" t="s">
        <v>17654</v>
      </c>
    </row>
    <row r="23">
      <c r="A23" s="649" t="s">
        <v>18394</v>
      </c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8"/>
      <c r="P23" s="648"/>
      <c r="Q23" s="648"/>
      <c r="R23" s="648"/>
      <c r="S23" s="648"/>
      <c r="T23" s="648"/>
      <c r="U23" s="648"/>
      <c r="V23" s="648"/>
      <c r="W23" s="648"/>
      <c r="X23" s="648"/>
      <c r="Y23" s="648"/>
      <c r="Z23" s="648"/>
    </row>
    <row r="24">
      <c r="A24" s="1" t="s">
        <v>58</v>
      </c>
      <c r="B24" s="5" t="s">
        <v>11373</v>
      </c>
      <c r="C24" s="1" t="s">
        <v>17651</v>
      </c>
      <c r="D24" s="1" t="s">
        <v>17632</v>
      </c>
      <c r="E24" s="1" t="s">
        <v>18395</v>
      </c>
      <c r="F24" s="1" t="s">
        <v>17675</v>
      </c>
      <c r="G24" s="1" t="s">
        <v>9007</v>
      </c>
      <c r="H24" s="1" t="s">
        <v>1418</v>
      </c>
      <c r="I24" s="1" t="s">
        <v>18396</v>
      </c>
      <c r="K24" s="2" t="s">
        <v>17637</v>
      </c>
      <c r="L24" s="5"/>
    </row>
    <row r="25">
      <c r="A25" s="1" t="s">
        <v>22</v>
      </c>
      <c r="B25" s="1" t="s">
        <v>18397</v>
      </c>
      <c r="C25" s="1" t="s">
        <v>17651</v>
      </c>
      <c r="D25" s="1" t="s">
        <v>17632</v>
      </c>
      <c r="E25" s="1" t="s">
        <v>18398</v>
      </c>
      <c r="F25" s="488" t="s">
        <v>18399</v>
      </c>
      <c r="G25" s="4" t="s">
        <v>18400</v>
      </c>
      <c r="H25" s="1" t="s">
        <v>2379</v>
      </c>
      <c r="I25" s="1" t="s">
        <v>18401</v>
      </c>
      <c r="K25" s="2" t="s">
        <v>17637</v>
      </c>
    </row>
    <row r="26">
      <c r="A26" s="5" t="s">
        <v>18402</v>
      </c>
      <c r="B26" s="5" t="s">
        <v>18403</v>
      </c>
      <c r="C26" s="1" t="s">
        <v>17651</v>
      </c>
      <c r="D26" s="1" t="s">
        <v>2053</v>
      </c>
      <c r="E26" s="1" t="s">
        <v>18404</v>
      </c>
      <c r="F26" s="5" t="s">
        <v>18405</v>
      </c>
      <c r="G26" s="1" t="s">
        <v>4787</v>
      </c>
      <c r="H26" s="1" t="s">
        <v>18406</v>
      </c>
      <c r="I26" s="5" t="s">
        <v>18407</v>
      </c>
      <c r="J26" s="5"/>
      <c r="K26" s="33" t="s">
        <v>17654</v>
      </c>
    </row>
    <row r="27">
      <c r="A27" s="5" t="s">
        <v>128</v>
      </c>
      <c r="B27" s="5" t="s">
        <v>18408</v>
      </c>
      <c r="C27" s="5" t="s">
        <v>17651</v>
      </c>
      <c r="D27" s="5" t="s">
        <v>17632</v>
      </c>
      <c r="E27" s="5" t="s">
        <v>18409</v>
      </c>
      <c r="F27" s="5" t="s">
        <v>18410</v>
      </c>
      <c r="G27" s="5" t="s">
        <v>2571</v>
      </c>
      <c r="H27" s="22" t="s">
        <v>2575</v>
      </c>
      <c r="I27" s="5" t="s">
        <v>17935</v>
      </c>
      <c r="J27" s="5" t="s">
        <v>18411</v>
      </c>
      <c r="K27" s="33" t="s">
        <v>17654</v>
      </c>
    </row>
    <row r="29">
      <c r="A29" s="5" t="s">
        <v>430</v>
      </c>
      <c r="B29" s="5" t="s">
        <v>1359</v>
      </c>
      <c r="C29" s="5" t="s">
        <v>17651</v>
      </c>
      <c r="D29" s="5" t="s">
        <v>17632</v>
      </c>
      <c r="E29" s="5" t="s">
        <v>18412</v>
      </c>
      <c r="F29" s="5" t="s">
        <v>4349</v>
      </c>
      <c r="G29" s="5" t="s">
        <v>18413</v>
      </c>
      <c r="H29" s="1" t="s">
        <v>2252</v>
      </c>
      <c r="I29" s="1" t="s">
        <v>18414</v>
      </c>
      <c r="K29" s="33" t="s">
        <v>17654</v>
      </c>
    </row>
    <row r="31">
      <c r="A31" s="5" t="s">
        <v>28</v>
      </c>
      <c r="B31" s="5" t="s">
        <v>6427</v>
      </c>
      <c r="C31" s="5" t="s">
        <v>17631</v>
      </c>
      <c r="D31" s="5" t="s">
        <v>17632</v>
      </c>
      <c r="E31" s="5" t="s">
        <v>18415</v>
      </c>
      <c r="F31" s="5" t="s">
        <v>18416</v>
      </c>
      <c r="G31" s="712" t="s">
        <v>18417</v>
      </c>
      <c r="H31" s="1" t="s">
        <v>2169</v>
      </c>
      <c r="I31" s="5" t="s">
        <v>18418</v>
      </c>
      <c r="J31" s="5"/>
      <c r="K31" s="2" t="s">
        <v>17637</v>
      </c>
    </row>
    <row r="33">
      <c r="A33" s="1" t="s">
        <v>91</v>
      </c>
      <c r="B33" s="22" t="s">
        <v>18419</v>
      </c>
      <c r="C33" s="1"/>
      <c r="D33" s="1"/>
      <c r="E33" s="1"/>
      <c r="F33" s="1"/>
      <c r="G33" s="1" t="s">
        <v>15696</v>
      </c>
      <c r="H33" s="5" t="s">
        <v>2252</v>
      </c>
      <c r="I33" s="1"/>
      <c r="K33" s="33"/>
    </row>
    <row r="34">
      <c r="A34" s="1" t="s">
        <v>25</v>
      </c>
      <c r="B34" s="1" t="s">
        <v>18420</v>
      </c>
      <c r="C34" s="1" t="s">
        <v>17651</v>
      </c>
      <c r="D34" s="1" t="s">
        <v>17632</v>
      </c>
      <c r="E34" s="1" t="s">
        <v>18421</v>
      </c>
      <c r="F34" s="1" t="s">
        <v>18422</v>
      </c>
      <c r="G34" s="1" t="s">
        <v>18423</v>
      </c>
      <c r="H34" s="22" t="s">
        <v>18424</v>
      </c>
      <c r="I34" s="1" t="s">
        <v>18197</v>
      </c>
      <c r="J34" s="5"/>
      <c r="K34" s="33"/>
    </row>
    <row r="36">
      <c r="A36" s="5" t="s">
        <v>4405</v>
      </c>
      <c r="B36" s="5" t="s">
        <v>18425</v>
      </c>
      <c r="C36" s="5" t="s">
        <v>17651</v>
      </c>
      <c r="D36" s="5" t="s">
        <v>18426</v>
      </c>
      <c r="E36" s="5" t="s">
        <v>18277</v>
      </c>
      <c r="F36" s="15" t="s">
        <v>18427</v>
      </c>
      <c r="G36" s="15" t="s">
        <v>12380</v>
      </c>
      <c r="H36" s="1" t="s">
        <v>2252</v>
      </c>
      <c r="I36" s="5"/>
      <c r="J36" s="5"/>
      <c r="K36" s="33" t="s">
        <v>17654</v>
      </c>
    </row>
    <row r="37">
      <c r="A37" s="4" t="s">
        <v>2333</v>
      </c>
      <c r="B37" s="1" t="s">
        <v>18428</v>
      </c>
      <c r="C37" s="1" t="s">
        <v>17651</v>
      </c>
      <c r="D37" s="4" t="s">
        <v>17632</v>
      </c>
      <c r="E37" s="4" t="s">
        <v>18429</v>
      </c>
      <c r="F37" s="4" t="s">
        <v>18430</v>
      </c>
      <c r="G37" s="4" t="s">
        <v>18431</v>
      </c>
      <c r="H37" s="1" t="s">
        <v>18432</v>
      </c>
      <c r="I37" s="1" t="s">
        <v>18433</v>
      </c>
      <c r="K37" s="33" t="s">
        <v>17654</v>
      </c>
    </row>
    <row r="38">
      <c r="A38" s="1" t="s">
        <v>210</v>
      </c>
      <c r="B38" s="1" t="s">
        <v>50</v>
      </c>
      <c r="C38" s="1" t="s">
        <v>17631</v>
      </c>
      <c r="D38" s="1" t="s">
        <v>17632</v>
      </c>
      <c r="E38" s="1" t="s">
        <v>18434</v>
      </c>
      <c r="F38" s="4" t="s">
        <v>18435</v>
      </c>
      <c r="G38" s="1" t="s">
        <v>10734</v>
      </c>
      <c r="H38" s="1" t="s">
        <v>2252</v>
      </c>
      <c r="I38" s="5" t="s">
        <v>18436</v>
      </c>
      <c r="K38" s="33" t="s">
        <v>17654</v>
      </c>
    </row>
    <row r="39">
      <c r="A39" s="22" t="s">
        <v>2276</v>
      </c>
      <c r="B39" s="667" t="s">
        <v>18437</v>
      </c>
      <c r="C39" s="1" t="s">
        <v>17651</v>
      </c>
      <c r="D39" s="4" t="s">
        <v>17632</v>
      </c>
      <c r="E39" s="4" t="s">
        <v>17884</v>
      </c>
      <c r="F39" s="4" t="s">
        <v>18438</v>
      </c>
      <c r="G39" s="4" t="s">
        <v>18439</v>
      </c>
      <c r="H39" s="1" t="s">
        <v>2342</v>
      </c>
      <c r="K39" s="84"/>
    </row>
    <row r="40">
      <c r="A40" s="1" t="s">
        <v>416</v>
      </c>
      <c r="B40" s="5" t="s">
        <v>18440</v>
      </c>
      <c r="C40" s="1" t="s">
        <v>17651</v>
      </c>
      <c r="D40" s="1" t="s">
        <v>17632</v>
      </c>
      <c r="E40" s="1" t="s">
        <v>18441</v>
      </c>
      <c r="F40" s="1" t="s">
        <v>18442</v>
      </c>
      <c r="G40" s="18" t="s">
        <v>2223</v>
      </c>
      <c r="H40" s="5" t="s">
        <v>2224</v>
      </c>
      <c r="I40" s="1" t="s">
        <v>18158</v>
      </c>
      <c r="J40" s="5"/>
      <c r="K40" s="2" t="s">
        <v>17637</v>
      </c>
    </row>
    <row r="42">
      <c r="A42" s="1" t="s">
        <v>271</v>
      </c>
      <c r="B42" s="1" t="s">
        <v>18443</v>
      </c>
      <c r="C42" s="1" t="s">
        <v>18444</v>
      </c>
      <c r="D42" s="1" t="s">
        <v>17632</v>
      </c>
      <c r="E42" s="4" t="s">
        <v>18445</v>
      </c>
      <c r="F42" s="4" t="s">
        <v>18446</v>
      </c>
      <c r="G42" s="155" t="s">
        <v>18447</v>
      </c>
      <c r="H42" s="1" t="s">
        <v>18448</v>
      </c>
      <c r="I42" s="1" t="s">
        <v>18017</v>
      </c>
      <c r="K42" s="2" t="s">
        <v>17637</v>
      </c>
    </row>
    <row r="43">
      <c r="A43" s="5" t="s">
        <v>733</v>
      </c>
      <c r="B43" s="5" t="s">
        <v>18449</v>
      </c>
      <c r="C43" s="5" t="s">
        <v>17651</v>
      </c>
      <c r="D43" s="5" t="s">
        <v>17632</v>
      </c>
      <c r="E43" s="5" t="s">
        <v>18450</v>
      </c>
      <c r="F43" s="488" t="s">
        <v>18451</v>
      </c>
      <c r="G43" s="1" t="s">
        <v>18452</v>
      </c>
      <c r="H43" s="22" t="s">
        <v>18453</v>
      </c>
      <c r="I43" s="1" t="s">
        <v>18454</v>
      </c>
      <c r="J43" s="5" t="s">
        <v>2252</v>
      </c>
      <c r="K43" s="2" t="s">
        <v>17637</v>
      </c>
    </row>
    <row r="45">
      <c r="A45" s="1" t="s">
        <v>271</v>
      </c>
      <c r="B45" s="1" t="s">
        <v>18455</v>
      </c>
      <c r="C45" s="1" t="s">
        <v>17651</v>
      </c>
      <c r="D45" s="1" t="s">
        <v>17632</v>
      </c>
      <c r="E45" s="4" t="s">
        <v>17713</v>
      </c>
      <c r="F45" s="4" t="s">
        <v>18456</v>
      </c>
      <c r="G45" s="1" t="s">
        <v>18457</v>
      </c>
      <c r="H45" s="1" t="s">
        <v>18458</v>
      </c>
      <c r="I45" s="1" t="s">
        <v>18459</v>
      </c>
      <c r="K45" s="33" t="s">
        <v>17654</v>
      </c>
    </row>
    <row r="46">
      <c r="A46" s="1" t="s">
        <v>1513</v>
      </c>
      <c r="B46" s="22" t="s">
        <v>17674</v>
      </c>
      <c r="C46" s="1" t="s">
        <v>17651</v>
      </c>
      <c r="D46" s="1" t="s">
        <v>17632</v>
      </c>
      <c r="E46" s="525" t="s">
        <v>18460</v>
      </c>
      <c r="F46" s="1" t="s">
        <v>18461</v>
      </c>
      <c r="G46" s="525" t="s">
        <v>18462</v>
      </c>
      <c r="H46" s="1" t="s">
        <v>2252</v>
      </c>
      <c r="I46" s="1" t="s">
        <v>18463</v>
      </c>
      <c r="J46" s="5"/>
      <c r="K46" s="33" t="s">
        <v>17654</v>
      </c>
    </row>
    <row r="48">
      <c r="A48" s="1" t="s">
        <v>18464</v>
      </c>
      <c r="B48" s="1" t="s">
        <v>18465</v>
      </c>
      <c r="C48" s="1" t="s">
        <v>17631</v>
      </c>
      <c r="D48" s="1" t="s">
        <v>17632</v>
      </c>
      <c r="E48" s="4" t="s">
        <v>18466</v>
      </c>
      <c r="F48" s="1" t="s">
        <v>18467</v>
      </c>
      <c r="G48" s="4" t="s">
        <v>18468</v>
      </c>
      <c r="H48" s="1" t="s">
        <v>18469</v>
      </c>
      <c r="I48" s="1" t="s">
        <v>18470</v>
      </c>
      <c r="J48" s="1" t="s">
        <v>244</v>
      </c>
      <c r="K48" s="33" t="s">
        <v>17654</v>
      </c>
    </row>
    <row r="49">
      <c r="A49" s="1" t="s">
        <v>18471</v>
      </c>
      <c r="B49" s="22" t="s">
        <v>18472</v>
      </c>
      <c r="C49" s="1" t="s">
        <v>17651</v>
      </c>
      <c r="D49" s="1" t="s">
        <v>18473</v>
      </c>
      <c r="E49" s="1" t="s">
        <v>18474</v>
      </c>
      <c r="F49" s="1" t="s">
        <v>18475</v>
      </c>
      <c r="G49" s="1" t="s">
        <v>18476</v>
      </c>
      <c r="H49" s="1" t="s">
        <v>2252</v>
      </c>
      <c r="I49" s="1" t="s">
        <v>18454</v>
      </c>
      <c r="K49" s="2" t="s">
        <v>17637</v>
      </c>
      <c r="L49" s="1" t="s">
        <v>18477</v>
      </c>
    </row>
    <row r="50">
      <c r="A50" s="5" t="s">
        <v>183</v>
      </c>
      <c r="B50" s="1" t="s">
        <v>18478</v>
      </c>
      <c r="C50" s="1" t="s">
        <v>17651</v>
      </c>
      <c r="D50" s="5" t="s">
        <v>17671</v>
      </c>
      <c r="E50" s="5" t="s">
        <v>18479</v>
      </c>
      <c r="F50" s="5" t="s">
        <v>4328</v>
      </c>
      <c r="G50" s="5" t="s">
        <v>18480</v>
      </c>
      <c r="H50" s="5" t="s">
        <v>2252</v>
      </c>
      <c r="I50" s="1" t="s">
        <v>18139</v>
      </c>
      <c r="J50" s="5"/>
      <c r="K50" s="2" t="s">
        <v>17637</v>
      </c>
      <c r="L50" s="5"/>
      <c r="M50" s="8"/>
      <c r="N50" s="8"/>
    </row>
    <row r="51">
      <c r="A51" s="1" t="s">
        <v>85</v>
      </c>
      <c r="B51" s="5" t="s">
        <v>50</v>
      </c>
      <c r="C51" s="1" t="s">
        <v>17631</v>
      </c>
      <c r="D51" s="1" t="s">
        <v>17632</v>
      </c>
      <c r="E51" s="1" t="s">
        <v>18481</v>
      </c>
      <c r="F51" s="1" t="s">
        <v>18482</v>
      </c>
      <c r="G51" s="525" t="s">
        <v>18483</v>
      </c>
      <c r="H51" s="1" t="s">
        <v>2332</v>
      </c>
      <c r="I51" s="1" t="s">
        <v>18484</v>
      </c>
      <c r="J51" s="1" t="s">
        <v>256</v>
      </c>
      <c r="K51" s="2" t="s">
        <v>17637</v>
      </c>
      <c r="L51" s="22" t="s">
        <v>18485</v>
      </c>
      <c r="M51" s="24"/>
      <c r="N51" s="24"/>
    </row>
    <row r="52">
      <c r="A52" s="1" t="s">
        <v>219</v>
      </c>
      <c r="B52" s="1" t="s">
        <v>18486</v>
      </c>
      <c r="C52" s="1" t="s">
        <v>17651</v>
      </c>
      <c r="D52" s="1" t="s">
        <v>17632</v>
      </c>
      <c r="E52" s="1" t="s">
        <v>17876</v>
      </c>
      <c r="F52" s="1" t="s">
        <v>18487</v>
      </c>
      <c r="G52" s="1" t="s">
        <v>7184</v>
      </c>
      <c r="H52" s="22" t="s">
        <v>18488</v>
      </c>
      <c r="I52" s="1" t="s">
        <v>18489</v>
      </c>
      <c r="J52" s="1" t="s">
        <v>18490</v>
      </c>
      <c r="K52" s="33" t="s">
        <v>17654</v>
      </c>
    </row>
    <row r="53">
      <c r="A53" s="1" t="s">
        <v>354</v>
      </c>
      <c r="B53" s="1" t="s">
        <v>6296</v>
      </c>
      <c r="C53" s="1" t="s">
        <v>17651</v>
      </c>
      <c r="D53" s="1" t="s">
        <v>17632</v>
      </c>
      <c r="E53" s="1" t="s">
        <v>18491</v>
      </c>
      <c r="F53" s="1" t="s">
        <v>18492</v>
      </c>
      <c r="G53" s="196" t="s">
        <v>18493</v>
      </c>
      <c r="H53" s="4" t="s">
        <v>18494</v>
      </c>
      <c r="I53" s="5" t="s">
        <v>18454</v>
      </c>
      <c r="K53" s="2" t="s">
        <v>17637</v>
      </c>
    </row>
    <row r="55">
      <c r="A55" s="5" t="s">
        <v>6201</v>
      </c>
      <c r="B55" s="5" t="s">
        <v>18495</v>
      </c>
      <c r="C55" s="5" t="s">
        <v>17651</v>
      </c>
      <c r="D55" s="5" t="s">
        <v>17632</v>
      </c>
      <c r="E55" s="5" t="s">
        <v>18496</v>
      </c>
      <c r="F55" s="5" t="s">
        <v>18497</v>
      </c>
      <c r="G55" s="5" t="s">
        <v>132</v>
      </c>
      <c r="H55" s="5" t="s">
        <v>2252</v>
      </c>
      <c r="I55" s="5" t="s">
        <v>18498</v>
      </c>
      <c r="K55" s="33"/>
    </row>
    <row r="57">
      <c r="A57" s="5" t="s">
        <v>18499</v>
      </c>
      <c r="B57" s="5" t="s">
        <v>18500</v>
      </c>
      <c r="C57" s="5" t="s">
        <v>17651</v>
      </c>
      <c r="D57" s="5" t="s">
        <v>17723</v>
      </c>
      <c r="E57" s="4" t="s">
        <v>18501</v>
      </c>
      <c r="F57" s="4" t="s">
        <v>18502</v>
      </c>
      <c r="G57" s="4" t="s">
        <v>18503</v>
      </c>
      <c r="H57" s="1" t="s">
        <v>2826</v>
      </c>
      <c r="I57" s="1" t="s">
        <v>18454</v>
      </c>
      <c r="K57" s="2" t="s">
        <v>17637</v>
      </c>
    </row>
    <row r="58">
      <c r="A58" s="1" t="s">
        <v>3682</v>
      </c>
      <c r="B58" s="22" t="s">
        <v>18504</v>
      </c>
      <c r="C58" s="1" t="s">
        <v>17651</v>
      </c>
      <c r="D58" s="1" t="s">
        <v>17632</v>
      </c>
      <c r="E58" s="1" t="s">
        <v>18505</v>
      </c>
      <c r="F58" s="1" t="s">
        <v>18506</v>
      </c>
      <c r="G58" s="1" t="s">
        <v>10219</v>
      </c>
      <c r="H58" s="1" t="s">
        <v>1963</v>
      </c>
      <c r="I58" s="1" t="s">
        <v>18507</v>
      </c>
      <c r="J58" s="1" t="s">
        <v>393</v>
      </c>
      <c r="K58" s="2" t="s">
        <v>17637</v>
      </c>
    </row>
    <row r="60">
      <c r="A60" s="1" t="s">
        <v>18508</v>
      </c>
      <c r="B60" s="5" t="s">
        <v>18509</v>
      </c>
      <c r="C60" s="1" t="s">
        <v>17651</v>
      </c>
      <c r="D60" s="1" t="s">
        <v>17632</v>
      </c>
      <c r="E60" s="1" t="s">
        <v>18510</v>
      </c>
      <c r="F60" s="1" t="s">
        <v>18511</v>
      </c>
      <c r="G60" s="1" t="s">
        <v>5287</v>
      </c>
      <c r="H60" s="1" t="s">
        <v>2252</v>
      </c>
      <c r="I60" s="5" t="s">
        <v>18512</v>
      </c>
      <c r="K60" s="33" t="s">
        <v>17654</v>
      </c>
    </row>
    <row r="61">
      <c r="A61" s="1" t="s">
        <v>411</v>
      </c>
      <c r="B61" s="1" t="s">
        <v>433</v>
      </c>
      <c r="C61" s="1" t="s">
        <v>17631</v>
      </c>
      <c r="D61" s="1" t="s">
        <v>17632</v>
      </c>
      <c r="E61" s="4" t="s">
        <v>18070</v>
      </c>
      <c r="F61" s="4" t="s">
        <v>18513</v>
      </c>
      <c r="G61" s="4" t="s">
        <v>18514</v>
      </c>
      <c r="H61" s="1" t="s">
        <v>2332</v>
      </c>
      <c r="I61" s="1" t="s">
        <v>18133</v>
      </c>
      <c r="J61" s="1" t="s">
        <v>256</v>
      </c>
      <c r="K61" s="2" t="s">
        <v>17637</v>
      </c>
    </row>
    <row r="63">
      <c r="A63" s="1" t="s">
        <v>1006</v>
      </c>
      <c r="B63" s="1" t="s">
        <v>18515</v>
      </c>
      <c r="C63" s="1" t="s">
        <v>17651</v>
      </c>
      <c r="D63" s="1" t="s">
        <v>17632</v>
      </c>
      <c r="E63" s="4" t="s">
        <v>18516</v>
      </c>
      <c r="F63" s="1" t="s">
        <v>18517</v>
      </c>
      <c r="G63" s="4" t="s">
        <v>1351</v>
      </c>
      <c r="H63" s="1" t="s">
        <v>14652</v>
      </c>
      <c r="I63" s="5" t="s">
        <v>17761</v>
      </c>
      <c r="J63" s="5" t="s">
        <v>2252</v>
      </c>
      <c r="K63" s="2" t="s">
        <v>17637</v>
      </c>
    </row>
    <row r="64">
      <c r="A64" s="4" t="s">
        <v>22</v>
      </c>
      <c r="B64" s="1" t="s">
        <v>18500</v>
      </c>
      <c r="C64" s="1" t="s">
        <v>17631</v>
      </c>
      <c r="D64" s="1" t="s">
        <v>18518</v>
      </c>
      <c r="E64" s="4" t="s">
        <v>18422</v>
      </c>
      <c r="F64" s="4" t="s">
        <v>18519</v>
      </c>
      <c r="G64" s="4" t="s">
        <v>7306</v>
      </c>
      <c r="H64" s="5" t="s">
        <v>18520</v>
      </c>
      <c r="I64" s="5" t="s">
        <v>18521</v>
      </c>
      <c r="K64" s="2" t="s">
        <v>17637</v>
      </c>
    </row>
    <row r="65">
      <c r="A65" s="1" t="s">
        <v>18522</v>
      </c>
      <c r="B65" s="5" t="s">
        <v>18523</v>
      </c>
      <c r="C65" s="1" t="s">
        <v>17651</v>
      </c>
      <c r="D65" s="1" t="s">
        <v>17632</v>
      </c>
      <c r="E65" s="1" t="s">
        <v>18306</v>
      </c>
      <c r="F65" s="317" t="s">
        <v>18307</v>
      </c>
      <c r="G65" s="1" t="s">
        <v>18524</v>
      </c>
      <c r="I65" s="5" t="s">
        <v>17855</v>
      </c>
      <c r="J65" s="1" t="s">
        <v>2252</v>
      </c>
      <c r="K65" s="33" t="s">
        <v>17654</v>
      </c>
    </row>
    <row r="66">
      <c r="A66" s="5" t="s">
        <v>88</v>
      </c>
      <c r="B66" s="5" t="s">
        <v>684</v>
      </c>
      <c r="C66" s="5" t="s">
        <v>17631</v>
      </c>
      <c r="D66" s="5" t="s">
        <v>17632</v>
      </c>
      <c r="E66" s="4" t="s">
        <v>18525</v>
      </c>
      <c r="F66" s="4" t="s">
        <v>17675</v>
      </c>
      <c r="G66" s="1" t="s">
        <v>18526</v>
      </c>
      <c r="H66" s="22" t="s">
        <v>18527</v>
      </c>
      <c r="I66" s="5" t="s">
        <v>17935</v>
      </c>
      <c r="K66" s="84"/>
    </row>
    <row r="68">
      <c r="A68" s="1" t="s">
        <v>4563</v>
      </c>
      <c r="B68" s="5" t="s">
        <v>18528</v>
      </c>
      <c r="C68" s="1" t="s">
        <v>17631</v>
      </c>
      <c r="D68" s="1" t="s">
        <v>18529</v>
      </c>
      <c r="E68" s="1" t="s">
        <v>18530</v>
      </c>
      <c r="F68" s="1" t="s">
        <v>18531</v>
      </c>
      <c r="G68" s="1" t="s">
        <v>18532</v>
      </c>
      <c r="H68" s="1" t="s">
        <v>18533</v>
      </c>
      <c r="I68" s="1" t="s">
        <v>18534</v>
      </c>
      <c r="K68" s="2" t="s">
        <v>17637</v>
      </c>
    </row>
    <row r="69">
      <c r="A69" s="1" t="s">
        <v>411</v>
      </c>
      <c r="B69" s="1" t="s">
        <v>5939</v>
      </c>
      <c r="C69" s="1" t="s">
        <v>17651</v>
      </c>
      <c r="D69" s="1" t="s">
        <v>17632</v>
      </c>
      <c r="E69" s="1" t="s">
        <v>18535</v>
      </c>
      <c r="F69" s="1" t="s">
        <v>18536</v>
      </c>
      <c r="G69" s="1" t="s">
        <v>18537</v>
      </c>
      <c r="H69" s="1" t="s">
        <v>18538</v>
      </c>
      <c r="I69" s="1" t="s">
        <v>18539</v>
      </c>
      <c r="J69" s="5"/>
      <c r="K69" s="33" t="s">
        <v>17654</v>
      </c>
    </row>
    <row r="70">
      <c r="A70" s="5" t="s">
        <v>333</v>
      </c>
      <c r="B70" s="5" t="s">
        <v>50</v>
      </c>
      <c r="C70" s="5" t="s">
        <v>17631</v>
      </c>
      <c r="D70" s="5" t="s">
        <v>17632</v>
      </c>
      <c r="E70" s="5" t="s">
        <v>17856</v>
      </c>
      <c r="F70" s="5" t="s">
        <v>18540</v>
      </c>
      <c r="G70" s="5" t="s">
        <v>10219</v>
      </c>
      <c r="H70" s="5" t="s">
        <v>2183</v>
      </c>
      <c r="I70" s="5" t="s">
        <v>18541</v>
      </c>
      <c r="J70" s="8"/>
      <c r="K70" s="33" t="s">
        <v>17654</v>
      </c>
    </row>
    <row r="71">
      <c r="A71" s="1" t="s">
        <v>25</v>
      </c>
      <c r="B71" s="5" t="s">
        <v>18542</v>
      </c>
      <c r="C71" s="1" t="s">
        <v>17651</v>
      </c>
      <c r="D71" s="1" t="s">
        <v>17632</v>
      </c>
      <c r="E71" s="1" t="s">
        <v>18543</v>
      </c>
      <c r="F71" s="1" t="s">
        <v>18544</v>
      </c>
      <c r="G71" s="317" t="s">
        <v>18545</v>
      </c>
      <c r="H71" s="1" t="s">
        <v>18546</v>
      </c>
      <c r="I71" s="1" t="s">
        <v>18547</v>
      </c>
      <c r="J71" s="5" t="s">
        <v>1429</v>
      </c>
      <c r="K71" s="2" t="s">
        <v>17637</v>
      </c>
    </row>
    <row r="72">
      <c r="A72" s="22" t="s">
        <v>1264</v>
      </c>
      <c r="B72" s="22" t="s">
        <v>18548</v>
      </c>
      <c r="C72" s="22" t="s">
        <v>17651</v>
      </c>
      <c r="D72" s="22" t="s">
        <v>18549</v>
      </c>
      <c r="E72" s="713" t="s">
        <v>18550</v>
      </c>
      <c r="F72" s="22" t="s">
        <v>18497</v>
      </c>
      <c r="G72" s="714" t="s">
        <v>18551</v>
      </c>
      <c r="H72" s="22" t="s">
        <v>18552</v>
      </c>
      <c r="I72" s="22" t="s">
        <v>18553</v>
      </c>
      <c r="J72" s="22" t="s">
        <v>348</v>
      </c>
      <c r="K72" s="2" t="s">
        <v>17637</v>
      </c>
      <c r="L72" s="24"/>
    </row>
    <row r="73">
      <c r="A73" s="5" t="s">
        <v>978</v>
      </c>
      <c r="B73" s="22" t="s">
        <v>18554</v>
      </c>
      <c r="C73" s="5" t="s">
        <v>17651</v>
      </c>
      <c r="D73" s="5" t="s">
        <v>17632</v>
      </c>
      <c r="E73" s="5" t="s">
        <v>18555</v>
      </c>
      <c r="F73" s="5" t="s">
        <v>18556</v>
      </c>
      <c r="G73" s="15" t="s">
        <v>18557</v>
      </c>
      <c r="H73" s="1" t="s">
        <v>18558</v>
      </c>
      <c r="I73" s="5" t="s">
        <v>18197</v>
      </c>
      <c r="J73" s="5" t="s">
        <v>981</v>
      </c>
      <c r="K73" s="33" t="s">
        <v>17654</v>
      </c>
      <c r="L73" s="1" t="s">
        <v>18559</v>
      </c>
    </row>
    <row r="76">
      <c r="A76" s="1" t="s">
        <v>31</v>
      </c>
      <c r="B76" s="5" t="s">
        <v>211</v>
      </c>
      <c r="C76" s="5" t="s">
        <v>17651</v>
      </c>
      <c r="D76" s="1" t="s">
        <v>18560</v>
      </c>
      <c r="E76" s="1" t="s">
        <v>18210</v>
      </c>
      <c r="F76" s="1" t="s">
        <v>18561</v>
      </c>
      <c r="G76" s="1" t="s">
        <v>18562</v>
      </c>
      <c r="H76" s="5" t="s">
        <v>18563</v>
      </c>
      <c r="I76" s="1" t="s">
        <v>17958</v>
      </c>
      <c r="K76" s="33" t="s">
        <v>17654</v>
      </c>
    </row>
    <row r="78">
      <c r="A78" s="1" t="s">
        <v>7159</v>
      </c>
      <c r="B78" s="1" t="s">
        <v>18564</v>
      </c>
      <c r="C78" s="1" t="s">
        <v>17651</v>
      </c>
      <c r="D78" s="1" t="s">
        <v>17632</v>
      </c>
      <c r="E78" s="525" t="s">
        <v>18565</v>
      </c>
      <c r="F78" s="1" t="s">
        <v>18566</v>
      </c>
      <c r="G78" s="1" t="s">
        <v>7819</v>
      </c>
      <c r="H78" s="22" t="s">
        <v>18567</v>
      </c>
      <c r="I78" s="1" t="s">
        <v>18568</v>
      </c>
      <c r="J78" s="38" t="s">
        <v>1002</v>
      </c>
      <c r="K78" s="33" t="s">
        <v>17654</v>
      </c>
    </row>
    <row r="79">
      <c r="A79" s="22" t="s">
        <v>153</v>
      </c>
      <c r="B79" s="22" t="s">
        <v>18569</v>
      </c>
      <c r="C79" s="22" t="s">
        <v>17651</v>
      </c>
      <c r="D79" s="22" t="s">
        <v>17632</v>
      </c>
      <c r="E79" s="22" t="s">
        <v>18570</v>
      </c>
      <c r="F79" s="667" t="s">
        <v>18571</v>
      </c>
      <c r="G79" s="667" t="s">
        <v>1309</v>
      </c>
      <c r="H79" s="22" t="s">
        <v>18572</v>
      </c>
      <c r="I79" s="22" t="s">
        <v>18573</v>
      </c>
      <c r="J79" s="22" t="s">
        <v>939</v>
      </c>
      <c r="K79" s="33" t="s">
        <v>17654</v>
      </c>
      <c r="L79" s="24"/>
    </row>
    <row r="80">
      <c r="A80" s="5" t="s">
        <v>153</v>
      </c>
      <c r="B80" s="715" t="s">
        <v>18574</v>
      </c>
      <c r="C80" s="5" t="s">
        <v>17651</v>
      </c>
      <c r="D80" s="5" t="s">
        <v>17632</v>
      </c>
      <c r="E80" s="5" t="s">
        <v>18570</v>
      </c>
      <c r="F80" s="15" t="s">
        <v>18571</v>
      </c>
      <c r="G80" s="15" t="s">
        <v>1309</v>
      </c>
      <c r="H80" s="1" t="s">
        <v>2453</v>
      </c>
      <c r="I80" s="5" t="s">
        <v>18575</v>
      </c>
      <c r="J80" s="1" t="s">
        <v>1311</v>
      </c>
      <c r="K80" s="33" t="s">
        <v>17654</v>
      </c>
    </row>
    <row r="81">
      <c r="A81" s="1" t="s">
        <v>177</v>
      </c>
      <c r="B81" s="1" t="s">
        <v>18055</v>
      </c>
      <c r="C81" s="5" t="s">
        <v>17651</v>
      </c>
      <c r="D81" s="5" t="s">
        <v>17632</v>
      </c>
      <c r="E81" s="4" t="s">
        <v>18576</v>
      </c>
      <c r="F81" s="4" t="s">
        <v>18577</v>
      </c>
      <c r="G81" s="4" t="s">
        <v>18578</v>
      </c>
      <c r="I81" s="5" t="s">
        <v>18280</v>
      </c>
      <c r="J81" s="1" t="s">
        <v>181</v>
      </c>
      <c r="K81" s="33" t="s">
        <v>17654</v>
      </c>
      <c r="L81" s="1" t="s">
        <v>18579</v>
      </c>
    </row>
    <row r="83">
      <c r="A83" s="5" t="s">
        <v>140</v>
      </c>
      <c r="B83" s="1" t="s">
        <v>18580</v>
      </c>
      <c r="C83" s="5" t="s">
        <v>17631</v>
      </c>
      <c r="D83" s="5" t="s">
        <v>18581</v>
      </c>
      <c r="E83" s="5" t="s">
        <v>18582</v>
      </c>
      <c r="F83" s="716" t="s">
        <v>18583</v>
      </c>
      <c r="G83" s="488" t="s">
        <v>18584</v>
      </c>
      <c r="H83" s="1" t="s">
        <v>18585</v>
      </c>
      <c r="I83" s="5" t="s">
        <v>18586</v>
      </c>
      <c r="J83" s="1" t="s">
        <v>18587</v>
      </c>
      <c r="K83" s="33" t="s">
        <v>17654</v>
      </c>
    </row>
    <row r="84">
      <c r="A84" s="4" t="s">
        <v>18588</v>
      </c>
      <c r="B84" s="1" t="s">
        <v>18589</v>
      </c>
      <c r="C84" s="1" t="s">
        <v>17651</v>
      </c>
      <c r="D84" s="4" t="s">
        <v>17632</v>
      </c>
      <c r="E84" s="4" t="s">
        <v>18590</v>
      </c>
      <c r="F84" s="4" t="s">
        <v>18591</v>
      </c>
      <c r="G84" s="4" t="s">
        <v>18592</v>
      </c>
      <c r="H84" s="22" t="s">
        <v>18593</v>
      </c>
      <c r="I84" s="1" t="s">
        <v>18594</v>
      </c>
      <c r="J84" s="1" t="s">
        <v>18595</v>
      </c>
      <c r="K84" s="33" t="s">
        <v>17654</v>
      </c>
      <c r="L84" s="5"/>
    </row>
    <row r="85">
      <c r="A85" s="5" t="s">
        <v>283</v>
      </c>
      <c r="B85" s="22" t="s">
        <v>18596</v>
      </c>
      <c r="C85" s="5" t="s">
        <v>17631</v>
      </c>
      <c r="D85" s="5" t="s">
        <v>17632</v>
      </c>
      <c r="E85" s="4" t="s">
        <v>18378</v>
      </c>
      <c r="F85" s="4" t="s">
        <v>18597</v>
      </c>
      <c r="G85" s="4" t="s">
        <v>18598</v>
      </c>
      <c r="H85" s="1" t="s">
        <v>2325</v>
      </c>
      <c r="I85" s="5" t="s">
        <v>18599</v>
      </c>
      <c r="K85" s="33"/>
    </row>
    <row r="87">
      <c r="A87" s="1" t="s">
        <v>18600</v>
      </c>
      <c r="B87" s="1" t="s">
        <v>18601</v>
      </c>
      <c r="C87" s="1" t="s">
        <v>17651</v>
      </c>
      <c r="D87" s="1" t="s">
        <v>17632</v>
      </c>
      <c r="E87" s="1" t="s">
        <v>18602</v>
      </c>
      <c r="F87" s="1" t="s">
        <v>18603</v>
      </c>
      <c r="G87" s="1" t="s">
        <v>18604</v>
      </c>
      <c r="H87" s="1" t="s">
        <v>2252</v>
      </c>
      <c r="I87" s="1" t="s">
        <v>18605</v>
      </c>
      <c r="K87" s="2" t="s">
        <v>17637</v>
      </c>
    </row>
    <row r="89">
      <c r="A89" s="1" t="s">
        <v>1454</v>
      </c>
      <c r="B89" s="5" t="s">
        <v>18606</v>
      </c>
      <c r="C89" s="1" t="s">
        <v>17651</v>
      </c>
      <c r="D89" s="1" t="s">
        <v>17632</v>
      </c>
      <c r="E89" s="4" t="s">
        <v>18607</v>
      </c>
      <c r="F89" s="717" t="s">
        <v>18608</v>
      </c>
      <c r="G89" s="4" t="s">
        <v>18609</v>
      </c>
      <c r="H89" s="22" t="s">
        <v>18593</v>
      </c>
      <c r="I89" s="5" t="s">
        <v>18610</v>
      </c>
      <c r="J89" s="22" t="s">
        <v>18611</v>
      </c>
      <c r="K89" s="2" t="s">
        <v>17637</v>
      </c>
    </row>
    <row r="91">
      <c r="A91" s="1" t="s">
        <v>81</v>
      </c>
      <c r="B91" s="22" t="s">
        <v>18612</v>
      </c>
      <c r="C91" s="1" t="s">
        <v>17631</v>
      </c>
      <c r="D91" s="1" t="s">
        <v>17632</v>
      </c>
      <c r="E91" s="1" t="s">
        <v>17816</v>
      </c>
      <c r="F91" s="1" t="s">
        <v>18613</v>
      </c>
      <c r="G91" s="1" t="s">
        <v>3162</v>
      </c>
      <c r="H91" s="1" t="s">
        <v>18614</v>
      </c>
      <c r="I91" s="1" t="s">
        <v>18610</v>
      </c>
      <c r="K91" s="2" t="s">
        <v>17637</v>
      </c>
      <c r="L91" s="1" t="s">
        <v>18615</v>
      </c>
    </row>
    <row r="92">
      <c r="A92" s="1" t="s">
        <v>18616</v>
      </c>
      <c r="B92" s="1" t="s">
        <v>18617</v>
      </c>
      <c r="C92" s="1" t="s">
        <v>17651</v>
      </c>
      <c r="D92" s="1" t="s">
        <v>17632</v>
      </c>
      <c r="E92" s="1" t="s">
        <v>18618</v>
      </c>
      <c r="F92" s="149" t="s">
        <v>18405</v>
      </c>
      <c r="G92" s="1" t="s">
        <v>18619</v>
      </c>
      <c r="H92" s="1" t="s">
        <v>18406</v>
      </c>
      <c r="I92" s="1" t="s">
        <v>18620</v>
      </c>
      <c r="K92" s="84"/>
    </row>
    <row r="93">
      <c r="A93" s="1" t="s">
        <v>18621</v>
      </c>
      <c r="B93" s="1" t="s">
        <v>18622</v>
      </c>
      <c r="C93" s="1" t="s">
        <v>17651</v>
      </c>
      <c r="D93" s="1" t="s">
        <v>17632</v>
      </c>
      <c r="E93" s="1" t="s">
        <v>18618</v>
      </c>
      <c r="F93" s="149" t="s">
        <v>18405</v>
      </c>
      <c r="G93" s="1" t="s">
        <v>18619</v>
      </c>
      <c r="H93" s="1" t="s">
        <v>18406</v>
      </c>
      <c r="I93" s="1" t="s">
        <v>18620</v>
      </c>
      <c r="K93" s="33" t="s">
        <v>18623</v>
      </c>
    </row>
    <row r="94">
      <c r="A94" s="1" t="s">
        <v>18624</v>
      </c>
      <c r="B94" s="1" t="s">
        <v>18625</v>
      </c>
      <c r="C94" s="1" t="s">
        <v>17651</v>
      </c>
      <c r="D94" s="1" t="s">
        <v>17632</v>
      </c>
      <c r="E94" s="1" t="s">
        <v>18618</v>
      </c>
      <c r="F94" s="149" t="s">
        <v>18405</v>
      </c>
      <c r="G94" s="1" t="s">
        <v>18619</v>
      </c>
      <c r="H94" s="1" t="s">
        <v>18406</v>
      </c>
      <c r="I94" s="1" t="s">
        <v>18626</v>
      </c>
      <c r="K94" s="33" t="s">
        <v>18627</v>
      </c>
    </row>
    <row r="96">
      <c r="A96" s="1" t="s">
        <v>308</v>
      </c>
      <c r="B96" s="1" t="s">
        <v>18628</v>
      </c>
      <c r="C96" s="1" t="s">
        <v>17651</v>
      </c>
      <c r="D96" s="1" t="s">
        <v>17632</v>
      </c>
      <c r="E96" s="1" t="s">
        <v>18629</v>
      </c>
      <c r="F96" s="1" t="s">
        <v>18630</v>
      </c>
      <c r="G96" s="5" t="s">
        <v>18631</v>
      </c>
      <c r="I96" s="1" t="s">
        <v>18632</v>
      </c>
      <c r="K96" s="33" t="s">
        <v>17654</v>
      </c>
    </row>
    <row r="97">
      <c r="A97" s="1" t="s">
        <v>18633</v>
      </c>
      <c r="B97" s="1" t="s">
        <v>18634</v>
      </c>
      <c r="C97" s="1" t="s">
        <v>17651</v>
      </c>
      <c r="D97" s="1" t="s">
        <v>17632</v>
      </c>
      <c r="E97" s="1" t="s">
        <v>18635</v>
      </c>
      <c r="F97" s="1" t="s">
        <v>18636</v>
      </c>
      <c r="G97" s="1" t="s">
        <v>11622</v>
      </c>
      <c r="I97" s="1" t="s">
        <v>18637</v>
      </c>
      <c r="K97" s="33" t="s">
        <v>17654</v>
      </c>
    </row>
    <row r="98">
      <c r="A98" s="658">
        <v>46113.0</v>
      </c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8"/>
      <c r="P98" s="648"/>
      <c r="Q98" s="648"/>
      <c r="R98" s="648"/>
      <c r="S98" s="648"/>
      <c r="T98" s="648"/>
      <c r="U98" s="648"/>
      <c r="V98" s="648"/>
      <c r="W98" s="648"/>
      <c r="X98" s="648"/>
      <c r="Y98" s="648"/>
      <c r="Z98" s="648"/>
    </row>
    <row r="99">
      <c r="A99" s="51" t="s">
        <v>875</v>
      </c>
      <c r="B99" s="51" t="s">
        <v>18638</v>
      </c>
      <c r="C99" s="1" t="s">
        <v>17631</v>
      </c>
      <c r="D99" s="18" t="s">
        <v>17632</v>
      </c>
      <c r="E99" s="18" t="s">
        <v>18639</v>
      </c>
      <c r="F99" s="18" t="s">
        <v>18640</v>
      </c>
      <c r="G99" s="718" t="s">
        <v>18641</v>
      </c>
      <c r="H99" s="1" t="s">
        <v>18642</v>
      </c>
      <c r="I99" s="51" t="s">
        <v>18643</v>
      </c>
      <c r="K99" s="33" t="s">
        <v>17654</v>
      </c>
    </row>
    <row r="100">
      <c r="A100" s="1" t="s">
        <v>394</v>
      </c>
      <c r="B100" s="1" t="s">
        <v>18644</v>
      </c>
      <c r="C100" s="1" t="s">
        <v>17631</v>
      </c>
      <c r="D100" s="1" t="s">
        <v>18645</v>
      </c>
      <c r="E100" s="1" t="s">
        <v>18646</v>
      </c>
      <c r="F100" s="1" t="s">
        <v>18647</v>
      </c>
      <c r="G100" s="1" t="s">
        <v>18648</v>
      </c>
      <c r="H100" s="1" t="s">
        <v>3369</v>
      </c>
      <c r="I100" s="1" t="s">
        <v>18649</v>
      </c>
      <c r="K100" s="33" t="s">
        <v>17654</v>
      </c>
    </row>
    <row r="101">
      <c r="A101" s="5" t="s">
        <v>18650</v>
      </c>
      <c r="B101" s="5" t="s">
        <v>684</v>
      </c>
      <c r="C101" s="5" t="s">
        <v>17631</v>
      </c>
      <c r="D101" s="5" t="s">
        <v>18651</v>
      </c>
      <c r="E101" s="5" t="s">
        <v>17819</v>
      </c>
      <c r="F101" s="5" t="s">
        <v>18652</v>
      </c>
      <c r="G101" s="5" t="s">
        <v>2914</v>
      </c>
      <c r="H101" s="1" t="s">
        <v>18653</v>
      </c>
      <c r="I101" s="5" t="s">
        <v>17855</v>
      </c>
      <c r="J101" s="1" t="s">
        <v>18654</v>
      </c>
      <c r="K101" s="33" t="s">
        <v>18655</v>
      </c>
      <c r="L101" s="5" t="s">
        <v>18656</v>
      </c>
      <c r="M101" s="33"/>
      <c r="N101" s="1" t="s">
        <v>18657</v>
      </c>
      <c r="O101" s="1" t="s">
        <v>18658</v>
      </c>
      <c r="P101" s="705" t="s">
        <v>14860</v>
      </c>
    </row>
    <row r="102">
      <c r="A102" s="719" t="s">
        <v>718</v>
      </c>
      <c r="B102" s="719" t="s">
        <v>18659</v>
      </c>
      <c r="C102" s="719" t="s">
        <v>17631</v>
      </c>
      <c r="D102" s="719" t="s">
        <v>17632</v>
      </c>
      <c r="E102" s="719" t="s">
        <v>18660</v>
      </c>
      <c r="F102" s="190" t="s">
        <v>4173</v>
      </c>
      <c r="G102" s="720" t="s">
        <v>18661</v>
      </c>
      <c r="H102" s="1" t="s">
        <v>3418</v>
      </c>
      <c r="I102" s="719" t="s">
        <v>18662</v>
      </c>
      <c r="J102" s="719"/>
      <c r="K102" s="84"/>
    </row>
    <row r="103">
      <c r="A103" s="1" t="s">
        <v>354</v>
      </c>
      <c r="B103" s="5" t="s">
        <v>18663</v>
      </c>
      <c r="C103" s="1" t="s">
        <v>17631</v>
      </c>
      <c r="D103" s="1" t="s">
        <v>17632</v>
      </c>
      <c r="E103" s="1" t="s">
        <v>18664</v>
      </c>
      <c r="F103" s="1" t="s">
        <v>18665</v>
      </c>
      <c r="G103" s="721" t="s">
        <v>18666</v>
      </c>
      <c r="I103" s="1" t="s">
        <v>18667</v>
      </c>
      <c r="J103" s="1" t="s">
        <v>18668</v>
      </c>
      <c r="K103" s="2" t="s">
        <v>17637</v>
      </c>
    </row>
    <row r="104">
      <c r="A104" s="5" t="s">
        <v>416</v>
      </c>
      <c r="B104" s="5" t="s">
        <v>18669</v>
      </c>
      <c r="C104" s="5" t="s">
        <v>17631</v>
      </c>
      <c r="D104" s="5" t="s">
        <v>17632</v>
      </c>
      <c r="E104" s="5" t="s">
        <v>18670</v>
      </c>
      <c r="F104" s="5" t="s">
        <v>18671</v>
      </c>
      <c r="G104" s="5" t="s">
        <v>7819</v>
      </c>
      <c r="H104" s="5" t="s">
        <v>3626</v>
      </c>
      <c r="I104" s="5" t="s">
        <v>18672</v>
      </c>
      <c r="J104" s="5"/>
      <c r="K104" s="2" t="s">
        <v>17637</v>
      </c>
    </row>
    <row r="105">
      <c r="A105" s="5" t="s">
        <v>103</v>
      </c>
      <c r="B105" s="5" t="s">
        <v>18673</v>
      </c>
      <c r="C105" s="5" t="s">
        <v>17631</v>
      </c>
      <c r="D105" s="5" t="s">
        <v>17632</v>
      </c>
      <c r="E105" s="5" t="s">
        <v>18391</v>
      </c>
      <c r="F105" s="5" t="s">
        <v>18392</v>
      </c>
      <c r="G105" s="4" t="s">
        <v>18592</v>
      </c>
      <c r="H105" s="1" t="s">
        <v>18674</v>
      </c>
      <c r="I105" s="5" t="s">
        <v>18454</v>
      </c>
      <c r="J105" s="1" t="s">
        <v>18675</v>
      </c>
      <c r="K105" s="2" t="s">
        <v>17637</v>
      </c>
    </row>
    <row r="106">
      <c r="A106" s="5" t="s">
        <v>18676</v>
      </c>
      <c r="B106" s="5" t="s">
        <v>18677</v>
      </c>
      <c r="C106" s="5" t="s">
        <v>17631</v>
      </c>
      <c r="D106" s="5" t="s">
        <v>18678</v>
      </c>
      <c r="E106" s="5" t="s">
        <v>18679</v>
      </c>
      <c r="F106" s="5" t="s">
        <v>18680</v>
      </c>
      <c r="G106" s="5" t="s">
        <v>18681</v>
      </c>
      <c r="I106" s="5" t="s">
        <v>18197</v>
      </c>
      <c r="J106" s="22" t="s">
        <v>18567</v>
      </c>
      <c r="K106" s="33" t="s">
        <v>17654</v>
      </c>
    </row>
    <row r="107">
      <c r="A107" s="1" t="s">
        <v>18682</v>
      </c>
      <c r="B107" s="5" t="s">
        <v>18683</v>
      </c>
      <c r="C107" s="1" t="s">
        <v>17631</v>
      </c>
      <c r="D107" s="1" t="s">
        <v>17632</v>
      </c>
      <c r="E107" s="1" t="s">
        <v>18684</v>
      </c>
      <c r="F107" s="4" t="s">
        <v>18685</v>
      </c>
      <c r="G107" s="4" t="s">
        <v>18686</v>
      </c>
      <c r="H107" s="1" t="s">
        <v>3428</v>
      </c>
      <c r="I107" s="1" t="s">
        <v>18687</v>
      </c>
      <c r="K107" s="33" t="s">
        <v>17654</v>
      </c>
    </row>
    <row r="108">
      <c r="A108" s="1" t="s">
        <v>25</v>
      </c>
      <c r="B108" s="1" t="s">
        <v>18688</v>
      </c>
      <c r="C108" s="1" t="s">
        <v>17631</v>
      </c>
      <c r="D108" s="1" t="s">
        <v>17632</v>
      </c>
      <c r="E108" s="1" t="s">
        <v>18689</v>
      </c>
      <c r="F108" s="1" t="s">
        <v>18690</v>
      </c>
      <c r="G108" s="1" t="s">
        <v>18691</v>
      </c>
      <c r="I108" s="1" t="s">
        <v>18692</v>
      </c>
      <c r="J108" s="1" t="s">
        <v>18693</v>
      </c>
      <c r="K108" s="2" t="s">
        <v>17637</v>
      </c>
    </row>
    <row r="109">
      <c r="A109" s="1" t="s">
        <v>949</v>
      </c>
      <c r="B109" s="1" t="s">
        <v>6156</v>
      </c>
      <c r="C109" s="1" t="s">
        <v>17631</v>
      </c>
      <c r="D109" s="1" t="s">
        <v>18694</v>
      </c>
      <c r="E109" s="1" t="s">
        <v>17891</v>
      </c>
      <c r="F109" s="1" t="s">
        <v>18695</v>
      </c>
      <c r="G109" s="4" t="s">
        <v>18696</v>
      </c>
      <c r="I109" s="5" t="s">
        <v>17855</v>
      </c>
      <c r="J109" s="1" t="s">
        <v>18697</v>
      </c>
      <c r="K109" s="33" t="s">
        <v>17654</v>
      </c>
    </row>
    <row r="110">
      <c r="A110" s="5" t="s">
        <v>271</v>
      </c>
      <c r="B110" s="5" t="s">
        <v>9638</v>
      </c>
      <c r="C110" s="5" t="s">
        <v>17631</v>
      </c>
      <c r="D110" s="5" t="s">
        <v>17632</v>
      </c>
      <c r="E110" s="5" t="s">
        <v>18698</v>
      </c>
      <c r="F110" s="5" t="s">
        <v>18699</v>
      </c>
      <c r="G110" s="722" t="s">
        <v>18700</v>
      </c>
      <c r="I110" s="1" t="s">
        <v>18701</v>
      </c>
      <c r="J110" s="5" t="s">
        <v>18693</v>
      </c>
      <c r="K110" s="2" t="s">
        <v>17637</v>
      </c>
    </row>
    <row r="111">
      <c r="A111" s="1" t="s">
        <v>4970</v>
      </c>
      <c r="B111" s="1" t="s">
        <v>412</v>
      </c>
      <c r="C111" s="1" t="s">
        <v>17631</v>
      </c>
      <c r="D111" s="1" t="s">
        <v>17632</v>
      </c>
      <c r="E111" s="1" t="s">
        <v>18702</v>
      </c>
      <c r="F111" s="1" t="s">
        <v>18703</v>
      </c>
      <c r="G111" s="1" t="s">
        <v>18704</v>
      </c>
      <c r="H111" s="1" t="s">
        <v>18705</v>
      </c>
      <c r="I111" s="1" t="s">
        <v>18706</v>
      </c>
      <c r="K111" s="2" t="s">
        <v>17637</v>
      </c>
    </row>
    <row r="112">
      <c r="A112" s="5" t="s">
        <v>283</v>
      </c>
      <c r="B112" s="5" t="s">
        <v>7218</v>
      </c>
      <c r="C112" s="5" t="s">
        <v>17631</v>
      </c>
      <c r="D112" s="5" t="s">
        <v>18707</v>
      </c>
      <c r="E112" s="5" t="s">
        <v>18708</v>
      </c>
      <c r="F112" s="196" t="s">
        <v>18709</v>
      </c>
      <c r="G112" s="5" t="s">
        <v>1496</v>
      </c>
      <c r="I112" s="5" t="s">
        <v>18710</v>
      </c>
      <c r="J112" s="1" t="s">
        <v>2566</v>
      </c>
      <c r="K112" s="33" t="s">
        <v>17654</v>
      </c>
    </row>
    <row r="113">
      <c r="A113" s="719" t="s">
        <v>91</v>
      </c>
      <c r="B113" s="719" t="s">
        <v>2032</v>
      </c>
      <c r="C113" s="719" t="s">
        <v>17631</v>
      </c>
      <c r="D113" s="1" t="s">
        <v>18711</v>
      </c>
      <c r="E113" s="4" t="s">
        <v>18712</v>
      </c>
      <c r="F113" s="4" t="s">
        <v>4179</v>
      </c>
      <c r="G113" s="4" t="s">
        <v>18661</v>
      </c>
      <c r="H113" s="22" t="s">
        <v>18713</v>
      </c>
      <c r="I113" s="719" t="s">
        <v>18662</v>
      </c>
      <c r="J113" s="22" t="s">
        <v>18714</v>
      </c>
      <c r="K113" s="33" t="s">
        <v>17654</v>
      </c>
      <c r="L113" s="719" t="s">
        <v>1571</v>
      </c>
      <c r="N113" s="723"/>
    </row>
    <row r="114">
      <c r="A114" s="1" t="s">
        <v>25</v>
      </c>
      <c r="B114" s="5" t="s">
        <v>18715</v>
      </c>
      <c r="C114" s="1" t="s">
        <v>17631</v>
      </c>
      <c r="D114" s="1" t="s">
        <v>17632</v>
      </c>
      <c r="E114" s="1" t="s">
        <v>17633</v>
      </c>
      <c r="F114" s="525" t="s">
        <v>18716</v>
      </c>
      <c r="G114" s="525" t="s">
        <v>18717</v>
      </c>
      <c r="I114" s="1" t="s">
        <v>18414</v>
      </c>
      <c r="J114" s="1" t="s">
        <v>2332</v>
      </c>
      <c r="K114" s="33" t="s">
        <v>17654</v>
      </c>
    </row>
    <row r="115">
      <c r="A115" s="1" t="s">
        <v>16185</v>
      </c>
      <c r="B115" s="1" t="s">
        <v>18718</v>
      </c>
      <c r="C115" s="1" t="s">
        <v>17631</v>
      </c>
      <c r="D115" s="1" t="s">
        <v>18719</v>
      </c>
      <c r="E115" s="1" t="s">
        <v>18720</v>
      </c>
      <c r="F115" s="1" t="s">
        <v>11885</v>
      </c>
      <c r="G115" s="1" t="s">
        <v>371</v>
      </c>
      <c r="H115" s="22" t="s">
        <v>18721</v>
      </c>
      <c r="I115" s="5" t="s">
        <v>18722</v>
      </c>
      <c r="J115" s="22" t="s">
        <v>18723</v>
      </c>
      <c r="K115" s="33" t="s">
        <v>17654</v>
      </c>
      <c r="L115" s="22" t="s">
        <v>18724</v>
      </c>
      <c r="M115" s="22" t="s">
        <v>18725</v>
      </c>
    </row>
    <row r="116">
      <c r="A116" s="1" t="s">
        <v>41</v>
      </c>
      <c r="B116" s="1" t="s">
        <v>18726</v>
      </c>
      <c r="C116" s="1" t="s">
        <v>17631</v>
      </c>
      <c r="D116" s="1" t="s">
        <v>17632</v>
      </c>
      <c r="E116" s="1" t="s">
        <v>18727</v>
      </c>
      <c r="F116" s="4" t="s">
        <v>18728</v>
      </c>
      <c r="G116" s="1" t="s">
        <v>18729</v>
      </c>
      <c r="H116" s="1" t="s">
        <v>3365</v>
      </c>
      <c r="I116" s="1" t="s">
        <v>18730</v>
      </c>
      <c r="K116" s="33" t="s">
        <v>17654</v>
      </c>
    </row>
    <row r="117">
      <c r="A117" s="1" t="s">
        <v>18731</v>
      </c>
      <c r="B117" s="1" t="s">
        <v>15159</v>
      </c>
      <c r="C117" s="5" t="s">
        <v>17631</v>
      </c>
      <c r="D117" s="1" t="s">
        <v>17632</v>
      </c>
      <c r="E117" s="1" t="s">
        <v>18732</v>
      </c>
      <c r="F117" s="1" t="s">
        <v>18733</v>
      </c>
      <c r="G117" s="4" t="s">
        <v>18734</v>
      </c>
      <c r="H117" s="1" t="s">
        <v>2252</v>
      </c>
      <c r="I117" s="1" t="s">
        <v>18735</v>
      </c>
      <c r="K117" s="33" t="s">
        <v>17654</v>
      </c>
    </row>
    <row r="118">
      <c r="A118" s="1" t="s">
        <v>18736</v>
      </c>
      <c r="B118" s="1" t="s">
        <v>18737</v>
      </c>
      <c r="C118" s="1" t="s">
        <v>17631</v>
      </c>
      <c r="D118" s="1" t="s">
        <v>18738</v>
      </c>
      <c r="E118" s="1" t="s">
        <v>18739</v>
      </c>
      <c r="F118" s="525" t="s">
        <v>17104</v>
      </c>
      <c r="G118" s="525" t="s">
        <v>18740</v>
      </c>
      <c r="H118" s="1" t="s">
        <v>14652</v>
      </c>
      <c r="I118" s="1" t="s">
        <v>18741</v>
      </c>
      <c r="J118" s="1" t="s">
        <v>18432</v>
      </c>
      <c r="K118" s="33"/>
    </row>
    <row r="119">
      <c r="A119" s="5" t="s">
        <v>755</v>
      </c>
      <c r="B119" s="5" t="s">
        <v>18742</v>
      </c>
      <c r="C119" s="5" t="s">
        <v>17631</v>
      </c>
      <c r="D119" s="5" t="s">
        <v>17632</v>
      </c>
      <c r="E119" s="525" t="s">
        <v>18743</v>
      </c>
      <c r="F119" s="1" t="s">
        <v>18744</v>
      </c>
      <c r="G119" s="4" t="s">
        <v>18557</v>
      </c>
      <c r="I119" s="1" t="s">
        <v>18745</v>
      </c>
      <c r="J119" s="22" t="s">
        <v>18567</v>
      </c>
      <c r="K119" s="33" t="s">
        <v>17654</v>
      </c>
    </row>
    <row r="120">
      <c r="A120" s="5" t="s">
        <v>283</v>
      </c>
      <c r="B120" s="5" t="s">
        <v>2340</v>
      </c>
      <c r="C120" s="5" t="s">
        <v>17631</v>
      </c>
      <c r="D120" s="5" t="s">
        <v>18746</v>
      </c>
      <c r="E120" s="5" t="s">
        <v>18747</v>
      </c>
      <c r="F120" s="5" t="s">
        <v>18378</v>
      </c>
      <c r="G120" s="5" t="s">
        <v>138</v>
      </c>
      <c r="I120" s="1" t="s">
        <v>18748</v>
      </c>
      <c r="J120" s="1" t="s">
        <v>2809</v>
      </c>
      <c r="K120" s="33" t="s">
        <v>17654</v>
      </c>
    </row>
    <row r="121">
      <c r="A121" s="1" t="s">
        <v>18749</v>
      </c>
      <c r="B121" s="22" t="s">
        <v>18750</v>
      </c>
      <c r="C121" s="1" t="s">
        <v>17631</v>
      </c>
      <c r="D121" s="1" t="s">
        <v>17843</v>
      </c>
      <c r="E121" s="4" t="s">
        <v>18751</v>
      </c>
      <c r="F121" s="4" t="s">
        <v>18752</v>
      </c>
      <c r="G121" s="4" t="s">
        <v>138</v>
      </c>
      <c r="I121" s="5" t="s">
        <v>18753</v>
      </c>
      <c r="J121" s="1" t="s">
        <v>2809</v>
      </c>
      <c r="K121" s="33" t="s">
        <v>17654</v>
      </c>
    </row>
    <row r="122">
      <c r="A122" s="1" t="s">
        <v>333</v>
      </c>
      <c r="B122" s="1" t="s">
        <v>18754</v>
      </c>
      <c r="C122" s="1" t="s">
        <v>17631</v>
      </c>
      <c r="D122" s="1" t="s">
        <v>17632</v>
      </c>
      <c r="E122" s="1" t="s">
        <v>15832</v>
      </c>
      <c r="F122" s="1" t="s">
        <v>18755</v>
      </c>
      <c r="G122" s="1" t="s">
        <v>1755</v>
      </c>
      <c r="I122" s="1" t="s">
        <v>18756</v>
      </c>
      <c r="J122" s="1" t="s">
        <v>18757</v>
      </c>
      <c r="K122" s="33" t="s">
        <v>17654</v>
      </c>
    </row>
    <row r="123">
      <c r="A123" s="1" t="s">
        <v>58</v>
      </c>
      <c r="B123" s="1" t="s">
        <v>18758</v>
      </c>
      <c r="C123" s="1" t="s">
        <v>17631</v>
      </c>
      <c r="D123" s="1" t="s">
        <v>18759</v>
      </c>
      <c r="E123" s="1" t="s">
        <v>18760</v>
      </c>
      <c r="F123" s="1" t="s">
        <v>17856</v>
      </c>
      <c r="G123" s="1" t="s">
        <v>18761</v>
      </c>
      <c r="I123" s="5" t="s">
        <v>18762</v>
      </c>
      <c r="J123" s="22" t="s">
        <v>18763</v>
      </c>
      <c r="K123" s="33" t="s">
        <v>17654</v>
      </c>
    </row>
    <row r="124">
      <c r="A124" s="1" t="s">
        <v>411</v>
      </c>
      <c r="B124" s="1" t="s">
        <v>433</v>
      </c>
      <c r="C124" s="1" t="s">
        <v>17631</v>
      </c>
      <c r="D124" s="1" t="s">
        <v>17632</v>
      </c>
      <c r="E124" s="1" t="s">
        <v>18070</v>
      </c>
      <c r="F124" s="525" t="s">
        <v>18764</v>
      </c>
      <c r="G124" s="1" t="s">
        <v>18765</v>
      </c>
      <c r="I124" s="1" t="s">
        <v>18463</v>
      </c>
      <c r="J124" s="1" t="s">
        <v>2332</v>
      </c>
      <c r="K124" s="2" t="s">
        <v>17637</v>
      </c>
    </row>
    <row r="125">
      <c r="A125" s="1" t="s">
        <v>41</v>
      </c>
      <c r="B125" s="1" t="s">
        <v>2032</v>
      </c>
      <c r="C125" s="1" t="s">
        <v>17631</v>
      </c>
      <c r="D125" s="1" t="s">
        <v>17632</v>
      </c>
      <c r="E125" s="1" t="s">
        <v>18766</v>
      </c>
      <c r="F125" s="196" t="s">
        <v>18767</v>
      </c>
      <c r="G125" s="196" t="s">
        <v>18768</v>
      </c>
      <c r="I125" s="5" t="s">
        <v>17935</v>
      </c>
      <c r="J125" s="1" t="s">
        <v>2825</v>
      </c>
      <c r="K125" s="33" t="s">
        <v>17654</v>
      </c>
    </row>
    <row r="126">
      <c r="A126" s="5" t="s">
        <v>276</v>
      </c>
      <c r="B126" s="5" t="s">
        <v>9735</v>
      </c>
      <c r="C126" s="5" t="s">
        <v>17631</v>
      </c>
      <c r="D126" s="5" t="s">
        <v>17632</v>
      </c>
      <c r="E126" s="5" t="s">
        <v>18769</v>
      </c>
      <c r="F126" s="5" t="s">
        <v>18770</v>
      </c>
      <c r="G126" s="5" t="s">
        <v>1072</v>
      </c>
      <c r="I126" s="1" t="s">
        <v>18771</v>
      </c>
      <c r="J126" s="22" t="s">
        <v>18593</v>
      </c>
      <c r="K126" s="2" t="s">
        <v>17637</v>
      </c>
    </row>
    <row r="127">
      <c r="A127" s="5"/>
      <c r="B127" s="5"/>
      <c r="C127" s="5"/>
      <c r="D127" s="5"/>
      <c r="E127" s="190" t="s">
        <v>18772</v>
      </c>
      <c r="F127" s="5"/>
      <c r="G127" s="5" t="s">
        <v>1072</v>
      </c>
      <c r="H127" s="1" t="s">
        <v>18773</v>
      </c>
      <c r="I127" s="1"/>
      <c r="J127" s="22"/>
      <c r="K127" s="33"/>
    </row>
    <row r="128">
      <c r="A128" s="5"/>
      <c r="B128" s="5"/>
      <c r="C128" s="5"/>
      <c r="D128" s="5"/>
      <c r="E128" s="190" t="s">
        <v>18774</v>
      </c>
      <c r="F128" s="5"/>
      <c r="G128" s="5" t="s">
        <v>1072</v>
      </c>
      <c r="H128" s="1" t="s">
        <v>18773</v>
      </c>
      <c r="I128" s="1"/>
      <c r="J128" s="22"/>
      <c r="K128" s="33"/>
    </row>
    <row r="129">
      <c r="A129" s="5"/>
      <c r="B129" s="5"/>
      <c r="C129" s="5"/>
      <c r="D129" s="5"/>
      <c r="E129" s="190" t="s">
        <v>18775</v>
      </c>
      <c r="F129" s="5"/>
      <c r="G129" s="5" t="s">
        <v>1072</v>
      </c>
      <c r="H129" s="1" t="s">
        <v>18773</v>
      </c>
      <c r="I129" s="1"/>
      <c r="J129" s="22"/>
      <c r="K129" s="33"/>
    </row>
    <row r="130">
      <c r="A130" s="1" t="s">
        <v>718</v>
      </c>
      <c r="B130" s="5" t="s">
        <v>6747</v>
      </c>
      <c r="C130" s="1" t="s">
        <v>17631</v>
      </c>
      <c r="D130" s="1" t="s">
        <v>18776</v>
      </c>
      <c r="E130" s="1" t="s">
        <v>17750</v>
      </c>
      <c r="F130" s="1" t="s">
        <v>18777</v>
      </c>
      <c r="G130" s="1" t="s">
        <v>18778</v>
      </c>
      <c r="H130" s="1" t="s">
        <v>3987</v>
      </c>
      <c r="I130" s="1" t="s">
        <v>18779</v>
      </c>
      <c r="J130" s="5"/>
      <c r="K130" s="33" t="s">
        <v>17654</v>
      </c>
    </row>
    <row r="131">
      <c r="A131" s="1" t="s">
        <v>18780</v>
      </c>
      <c r="B131" s="5" t="s">
        <v>2423</v>
      </c>
      <c r="C131" s="5" t="s">
        <v>17631</v>
      </c>
      <c r="D131" s="5" t="s">
        <v>17632</v>
      </c>
      <c r="E131" s="5" t="s">
        <v>18781</v>
      </c>
      <c r="F131" s="5" t="s">
        <v>18782</v>
      </c>
      <c r="G131" s="5" t="s">
        <v>18619</v>
      </c>
      <c r="H131" s="1" t="s">
        <v>14652</v>
      </c>
      <c r="I131" s="1" t="s">
        <v>18783</v>
      </c>
      <c r="J131" s="1" t="s">
        <v>18406</v>
      </c>
      <c r="K131" s="33" t="s">
        <v>17654</v>
      </c>
    </row>
    <row r="132">
      <c r="A132" s="1" t="s">
        <v>18784</v>
      </c>
      <c r="B132" s="5" t="s">
        <v>672</v>
      </c>
      <c r="C132" s="5" t="s">
        <v>17631</v>
      </c>
      <c r="D132" s="5" t="s">
        <v>17632</v>
      </c>
      <c r="E132" s="5" t="s">
        <v>18785</v>
      </c>
      <c r="F132" s="5" t="s">
        <v>18786</v>
      </c>
      <c r="G132" s="5" t="s">
        <v>2613</v>
      </c>
      <c r="H132" s="1" t="s">
        <v>18787</v>
      </c>
      <c r="I132" s="5" t="s">
        <v>18788</v>
      </c>
      <c r="K132" s="33" t="s">
        <v>17654</v>
      </c>
    </row>
    <row r="133">
      <c r="A133" s="1" t="s">
        <v>339</v>
      </c>
      <c r="B133" s="5" t="s">
        <v>18789</v>
      </c>
      <c r="C133" s="5" t="s">
        <v>17631</v>
      </c>
      <c r="D133" s="5" t="s">
        <v>17632</v>
      </c>
      <c r="E133" s="5" t="s">
        <v>18790</v>
      </c>
      <c r="F133" s="5" t="s">
        <v>18791</v>
      </c>
      <c r="G133" s="196" t="s">
        <v>18792</v>
      </c>
      <c r="H133" s="1" t="s">
        <v>18793</v>
      </c>
      <c r="I133" s="5" t="s">
        <v>18794</v>
      </c>
      <c r="K133" s="33" t="s">
        <v>17654</v>
      </c>
    </row>
    <row r="134">
      <c r="A134" s="1" t="s">
        <v>789</v>
      </c>
      <c r="B134" s="5" t="s">
        <v>672</v>
      </c>
      <c r="C134" s="5" t="s">
        <v>17631</v>
      </c>
      <c r="D134" s="5" t="s">
        <v>17632</v>
      </c>
      <c r="E134" s="5" t="s">
        <v>18795</v>
      </c>
      <c r="F134" s="196" t="s">
        <v>18796</v>
      </c>
      <c r="G134" s="196" t="s">
        <v>18797</v>
      </c>
      <c r="H134" s="5" t="s">
        <v>18798</v>
      </c>
      <c r="I134" s="5" t="s">
        <v>18799</v>
      </c>
      <c r="K134" s="2" t="s">
        <v>17637</v>
      </c>
    </row>
    <row r="135">
      <c r="A135" s="1" t="s">
        <v>18154</v>
      </c>
      <c r="B135" s="5" t="s">
        <v>18800</v>
      </c>
      <c r="C135" s="5" t="s">
        <v>17631</v>
      </c>
      <c r="D135" s="5" t="s">
        <v>18155</v>
      </c>
      <c r="E135" s="5" t="s">
        <v>18145</v>
      </c>
      <c r="F135" s="5" t="s">
        <v>18801</v>
      </c>
      <c r="G135" s="5" t="s">
        <v>18802</v>
      </c>
      <c r="I135" s="1" t="s">
        <v>18803</v>
      </c>
      <c r="J135" s="1" t="s">
        <v>18804</v>
      </c>
      <c r="K135" s="33" t="s">
        <v>17654</v>
      </c>
    </row>
    <row r="136">
      <c r="A136" s="1" t="s">
        <v>18805</v>
      </c>
      <c r="B136" s="5" t="s">
        <v>7218</v>
      </c>
      <c r="C136" s="1" t="s">
        <v>17631</v>
      </c>
      <c r="D136" s="1" t="s">
        <v>17632</v>
      </c>
      <c r="E136" s="1" t="s">
        <v>18806</v>
      </c>
      <c r="F136" s="1" t="s">
        <v>18807</v>
      </c>
      <c r="G136" s="4" t="s">
        <v>18619</v>
      </c>
      <c r="H136" s="1" t="s">
        <v>14652</v>
      </c>
      <c r="I136" s="1" t="s">
        <v>18808</v>
      </c>
      <c r="J136" s="1" t="s">
        <v>18406</v>
      </c>
      <c r="K136" s="33" t="s">
        <v>17654</v>
      </c>
    </row>
    <row r="137">
      <c r="A137" s="1" t="s">
        <v>18809</v>
      </c>
      <c r="B137" s="1" t="s">
        <v>18810</v>
      </c>
      <c r="C137" s="1" t="s">
        <v>17631</v>
      </c>
      <c r="D137" s="1" t="s">
        <v>17632</v>
      </c>
      <c r="E137" s="1" t="s">
        <v>18811</v>
      </c>
      <c r="F137" s="1" t="s">
        <v>18812</v>
      </c>
      <c r="G137" s="655" t="s">
        <v>18813</v>
      </c>
      <c r="H137" s="5" t="s">
        <v>2575</v>
      </c>
      <c r="I137" s="5" t="s">
        <v>18814</v>
      </c>
      <c r="J137" s="1" t="s">
        <v>2226</v>
      </c>
      <c r="K137" s="33" t="s">
        <v>17654</v>
      </c>
    </row>
    <row r="138">
      <c r="A138" s="5" t="s">
        <v>18815</v>
      </c>
      <c r="B138" s="5" t="s">
        <v>18816</v>
      </c>
      <c r="C138" s="5" t="s">
        <v>17631</v>
      </c>
      <c r="D138" s="4" t="s">
        <v>17632</v>
      </c>
      <c r="E138" s="4" t="s">
        <v>18817</v>
      </c>
      <c r="F138" s="4" t="s">
        <v>17826</v>
      </c>
      <c r="G138" s="4" t="s">
        <v>18818</v>
      </c>
      <c r="H138" s="5" t="s">
        <v>18819</v>
      </c>
      <c r="I138" s="5" t="s">
        <v>18820</v>
      </c>
      <c r="J138" s="5"/>
      <c r="K138" s="33" t="s">
        <v>17654</v>
      </c>
    </row>
    <row r="139">
      <c r="A139" s="1" t="s">
        <v>52</v>
      </c>
      <c r="B139" s="1" t="s">
        <v>18821</v>
      </c>
      <c r="C139" s="1" t="s">
        <v>17651</v>
      </c>
      <c r="D139" s="1" t="s">
        <v>18822</v>
      </c>
      <c r="E139" s="190" t="s">
        <v>18823</v>
      </c>
      <c r="F139" s="1" t="s">
        <v>18824</v>
      </c>
      <c r="G139" s="190" t="s">
        <v>18825</v>
      </c>
      <c r="H139" s="1" t="s">
        <v>18826</v>
      </c>
      <c r="I139" s="5" t="s">
        <v>18827</v>
      </c>
      <c r="J139" s="22" t="s">
        <v>18828</v>
      </c>
      <c r="K139" s="33" t="s">
        <v>17654</v>
      </c>
      <c r="L139" s="1" t="s">
        <v>18829</v>
      </c>
    </row>
    <row r="140">
      <c r="A140" s="1" t="s">
        <v>2548</v>
      </c>
      <c r="B140" s="1" t="s">
        <v>18830</v>
      </c>
      <c r="C140" s="1" t="s">
        <v>17631</v>
      </c>
      <c r="D140" s="1" t="s">
        <v>17632</v>
      </c>
      <c r="E140" s="1" t="s">
        <v>17899</v>
      </c>
      <c r="F140" s="1" t="s">
        <v>18831</v>
      </c>
      <c r="G140" s="525" t="s">
        <v>18832</v>
      </c>
      <c r="H140" s="22" t="s">
        <v>18833</v>
      </c>
      <c r="I140" s="1" t="s">
        <v>18834</v>
      </c>
      <c r="J140" s="1" t="s">
        <v>2252</v>
      </c>
      <c r="K140" s="33" t="s">
        <v>17654</v>
      </c>
    </row>
    <row r="141">
      <c r="A141" s="1" t="s">
        <v>58</v>
      </c>
      <c r="B141" s="1" t="s">
        <v>2171</v>
      </c>
      <c r="C141" s="1" t="s">
        <v>17631</v>
      </c>
      <c r="D141" s="1" t="s">
        <v>17632</v>
      </c>
      <c r="E141" s="1" t="s">
        <v>18835</v>
      </c>
      <c r="F141" s="1" t="s">
        <v>18232</v>
      </c>
      <c r="G141" s="525" t="s">
        <v>18836</v>
      </c>
      <c r="H141" s="5" t="s">
        <v>18837</v>
      </c>
      <c r="I141" s="1" t="s">
        <v>18838</v>
      </c>
      <c r="J141" s="5"/>
      <c r="K141" s="2" t="s">
        <v>17637</v>
      </c>
    </row>
    <row r="142">
      <c r="A142" s="5" t="s">
        <v>2365</v>
      </c>
      <c r="B142" s="5" t="s">
        <v>18839</v>
      </c>
      <c r="C142" s="5" t="s">
        <v>17631</v>
      </c>
      <c r="D142" s="5" t="s">
        <v>17632</v>
      </c>
      <c r="E142" s="5" t="s">
        <v>18840</v>
      </c>
      <c r="F142" s="5" t="s">
        <v>18841</v>
      </c>
      <c r="G142" s="525" t="s">
        <v>18842</v>
      </c>
      <c r="I142" s="5" t="s">
        <v>18843</v>
      </c>
      <c r="J142" s="1" t="s">
        <v>18844</v>
      </c>
      <c r="K142" s="33" t="s">
        <v>17654</v>
      </c>
    </row>
    <row r="143">
      <c r="A143" s="1" t="s">
        <v>354</v>
      </c>
      <c r="B143" s="1" t="s">
        <v>684</v>
      </c>
      <c r="C143" s="1" t="s">
        <v>17631</v>
      </c>
      <c r="D143" s="1" t="s">
        <v>18581</v>
      </c>
      <c r="E143" s="1" t="s">
        <v>17891</v>
      </c>
      <c r="F143" s="488" t="s">
        <v>18845</v>
      </c>
      <c r="G143" s="4" t="s">
        <v>18836</v>
      </c>
      <c r="H143" s="1" t="s">
        <v>2252</v>
      </c>
      <c r="I143" s="5" t="s">
        <v>18846</v>
      </c>
      <c r="K143" s="33" t="s">
        <v>17654</v>
      </c>
    </row>
    <row r="144">
      <c r="A144" s="5" t="s">
        <v>18847</v>
      </c>
      <c r="B144" s="5" t="s">
        <v>545</v>
      </c>
      <c r="C144" s="5" t="s">
        <v>17651</v>
      </c>
      <c r="D144" s="5" t="s">
        <v>18848</v>
      </c>
      <c r="E144" s="724" t="s">
        <v>18849</v>
      </c>
      <c r="F144" s="724" t="s">
        <v>18850</v>
      </c>
      <c r="G144" s="725" t="s">
        <v>18851</v>
      </c>
      <c r="H144" s="5" t="s">
        <v>18798</v>
      </c>
      <c r="I144" s="5" t="s">
        <v>18852</v>
      </c>
      <c r="K144" s="33" t="s">
        <v>17654</v>
      </c>
    </row>
    <row r="145">
      <c r="A145" s="1" t="s">
        <v>7159</v>
      </c>
      <c r="B145" s="1" t="s">
        <v>18853</v>
      </c>
      <c r="C145" s="1" t="s">
        <v>17631</v>
      </c>
      <c r="D145" s="1" t="s">
        <v>17632</v>
      </c>
      <c r="E145" s="1" t="s">
        <v>18566</v>
      </c>
      <c r="F145" s="1" t="s">
        <v>18854</v>
      </c>
      <c r="G145" s="4" t="s">
        <v>18855</v>
      </c>
      <c r="H145" s="1" t="s">
        <v>2252</v>
      </c>
      <c r="I145" s="5" t="s">
        <v>18856</v>
      </c>
      <c r="K145" s="2" t="s">
        <v>17637</v>
      </c>
    </row>
    <row r="146">
      <c r="A146" s="1" t="s">
        <v>416</v>
      </c>
      <c r="B146" s="22" t="s">
        <v>18857</v>
      </c>
      <c r="C146" s="1" t="s">
        <v>17631</v>
      </c>
      <c r="D146" s="1" t="s">
        <v>18858</v>
      </c>
      <c r="E146" s="1" t="s">
        <v>18096</v>
      </c>
      <c r="F146" s="1" t="s">
        <v>18859</v>
      </c>
      <c r="G146" s="233" t="s">
        <v>3446</v>
      </c>
      <c r="H146" s="1" t="s">
        <v>3447</v>
      </c>
      <c r="I146" s="1" t="s">
        <v>18860</v>
      </c>
      <c r="K146" s="33" t="s">
        <v>17654</v>
      </c>
    </row>
    <row r="147">
      <c r="A147" s="1" t="s">
        <v>22</v>
      </c>
      <c r="B147" s="1" t="s">
        <v>18425</v>
      </c>
      <c r="C147" s="1" t="s">
        <v>17631</v>
      </c>
      <c r="D147" s="1" t="s">
        <v>17632</v>
      </c>
      <c r="E147" s="1" t="s">
        <v>17819</v>
      </c>
      <c r="F147" s="525" t="s">
        <v>18861</v>
      </c>
      <c r="G147" s="1" t="s">
        <v>6910</v>
      </c>
      <c r="H147" s="22" t="s">
        <v>18773</v>
      </c>
      <c r="I147" s="5" t="s">
        <v>18214</v>
      </c>
      <c r="J147" s="1" t="s">
        <v>2252</v>
      </c>
      <c r="K147" s="33" t="s">
        <v>17654</v>
      </c>
    </row>
    <row r="148">
      <c r="A148" s="5" t="s">
        <v>308</v>
      </c>
      <c r="B148" s="5" t="s">
        <v>18862</v>
      </c>
      <c r="C148" s="5" t="s">
        <v>17631</v>
      </c>
      <c r="D148" s="5" t="s">
        <v>18863</v>
      </c>
      <c r="E148" s="5" t="s">
        <v>18864</v>
      </c>
      <c r="F148" s="4" t="s">
        <v>18865</v>
      </c>
      <c r="G148" s="5" t="s">
        <v>18866</v>
      </c>
      <c r="H148" s="1" t="s">
        <v>2252</v>
      </c>
      <c r="I148" s="1" t="s">
        <v>18167</v>
      </c>
      <c r="K148" s="2" t="s">
        <v>17637</v>
      </c>
    </row>
    <row r="149">
      <c r="A149" s="5" t="s">
        <v>25</v>
      </c>
      <c r="B149" s="5" t="s">
        <v>18425</v>
      </c>
      <c r="C149" s="5" t="s">
        <v>17631</v>
      </c>
      <c r="D149" s="5" t="s">
        <v>17632</v>
      </c>
      <c r="E149" s="5" t="s">
        <v>18867</v>
      </c>
      <c r="F149" s="5" t="s">
        <v>18868</v>
      </c>
      <c r="G149" s="5" t="s">
        <v>18869</v>
      </c>
      <c r="H149" s="22" t="s">
        <v>18773</v>
      </c>
      <c r="I149" s="5"/>
      <c r="J149" s="1" t="s">
        <v>2252</v>
      </c>
      <c r="K149" s="33" t="s">
        <v>17654</v>
      </c>
    </row>
    <row r="150">
      <c r="A150" s="1" t="s">
        <v>22</v>
      </c>
      <c r="B150" s="22" t="s">
        <v>18870</v>
      </c>
      <c r="C150" s="1" t="s">
        <v>17631</v>
      </c>
      <c r="D150" s="1" t="s">
        <v>17632</v>
      </c>
      <c r="E150" s="525" t="s">
        <v>18871</v>
      </c>
      <c r="F150" s="525" t="s">
        <v>18872</v>
      </c>
      <c r="G150" s="1" t="s">
        <v>18873</v>
      </c>
      <c r="H150" s="1" t="s">
        <v>18874</v>
      </c>
      <c r="I150" s="1" t="s">
        <v>17874</v>
      </c>
      <c r="J150" s="5"/>
      <c r="K150" s="2" t="s">
        <v>17637</v>
      </c>
      <c r="L150" s="8"/>
    </row>
    <row r="151">
      <c r="A151" s="5" t="s">
        <v>85</v>
      </c>
      <c r="B151" s="5" t="s">
        <v>258</v>
      </c>
      <c r="C151" s="5" t="s">
        <v>17651</v>
      </c>
      <c r="D151" s="5" t="s">
        <v>17632</v>
      </c>
      <c r="E151" s="5" t="s">
        <v>18875</v>
      </c>
      <c r="F151" s="5" t="s">
        <v>18482</v>
      </c>
      <c r="G151" s="525" t="s">
        <v>18876</v>
      </c>
      <c r="I151" s="5" t="s">
        <v>18877</v>
      </c>
      <c r="J151" s="1" t="s">
        <v>2332</v>
      </c>
      <c r="K151" s="33" t="s">
        <v>17654</v>
      </c>
      <c r="L151" s="1" t="s">
        <v>18878</v>
      </c>
    </row>
    <row r="152">
      <c r="A152" s="1" t="s">
        <v>25</v>
      </c>
      <c r="B152" s="1" t="s">
        <v>17702</v>
      </c>
      <c r="C152" s="1" t="s">
        <v>17631</v>
      </c>
      <c r="D152" s="1" t="s">
        <v>17632</v>
      </c>
      <c r="E152" s="1" t="s">
        <v>18879</v>
      </c>
      <c r="F152" s="1" t="s">
        <v>13258</v>
      </c>
      <c r="G152" s="726" t="s">
        <v>18880</v>
      </c>
      <c r="H152" s="1" t="s">
        <v>2252</v>
      </c>
      <c r="I152" s="1" t="s">
        <v>18881</v>
      </c>
      <c r="K152" s="33" t="s">
        <v>17654</v>
      </c>
    </row>
    <row r="153">
      <c r="A153" s="1" t="s">
        <v>5596</v>
      </c>
      <c r="B153" s="1" t="s">
        <v>18882</v>
      </c>
      <c r="C153" s="1" t="s">
        <v>17631</v>
      </c>
      <c r="D153" s="1" t="s">
        <v>18883</v>
      </c>
      <c r="E153" s="4" t="s">
        <v>18884</v>
      </c>
      <c r="F153" s="4" t="s">
        <v>18885</v>
      </c>
      <c r="G153" s="4" t="s">
        <v>18886</v>
      </c>
      <c r="H153" s="1" t="s">
        <v>2252</v>
      </c>
      <c r="I153" s="1" t="s">
        <v>18667</v>
      </c>
      <c r="K153" s="2" t="s">
        <v>17637</v>
      </c>
      <c r="L153" s="1" t="s">
        <v>18579</v>
      </c>
    </row>
    <row r="154">
      <c r="A154" s="1" t="s">
        <v>430</v>
      </c>
      <c r="B154" s="1" t="s">
        <v>18887</v>
      </c>
      <c r="C154" s="1" t="s">
        <v>17631</v>
      </c>
      <c r="D154" s="1" t="s">
        <v>17632</v>
      </c>
      <c r="E154" s="1" t="s">
        <v>18888</v>
      </c>
      <c r="F154" s="1" t="s">
        <v>18889</v>
      </c>
      <c r="G154" s="727" t="s">
        <v>18890</v>
      </c>
      <c r="H154" s="1" t="s">
        <v>14652</v>
      </c>
      <c r="I154" s="1" t="s">
        <v>18891</v>
      </c>
      <c r="J154" s="1" t="s">
        <v>18892</v>
      </c>
      <c r="K154" s="33" t="s">
        <v>17654</v>
      </c>
    </row>
    <row r="155">
      <c r="A155" s="1" t="s">
        <v>18893</v>
      </c>
      <c r="B155" s="1" t="s">
        <v>18894</v>
      </c>
      <c r="C155" s="1" t="s">
        <v>17631</v>
      </c>
      <c r="D155" s="1" t="s">
        <v>17632</v>
      </c>
      <c r="E155" s="1" t="s">
        <v>18895</v>
      </c>
      <c r="F155" s="525" t="s">
        <v>18896</v>
      </c>
      <c r="G155" s="1" t="s">
        <v>6776</v>
      </c>
      <c r="H155" s="22" t="s">
        <v>18833</v>
      </c>
      <c r="I155" s="1" t="s">
        <v>18897</v>
      </c>
      <c r="J155" s="22" t="s">
        <v>18898</v>
      </c>
      <c r="K155" s="33" t="s">
        <v>17654</v>
      </c>
      <c r="L155" s="22" t="s">
        <v>18899</v>
      </c>
    </row>
    <row r="156">
      <c r="A156" s="1" t="s">
        <v>2329</v>
      </c>
      <c r="B156" s="5" t="s">
        <v>18900</v>
      </c>
      <c r="C156" s="1" t="s">
        <v>17631</v>
      </c>
      <c r="D156" s="1" t="s">
        <v>17632</v>
      </c>
      <c r="E156" s="1" t="s">
        <v>18901</v>
      </c>
      <c r="F156" s="1" t="s">
        <v>18902</v>
      </c>
      <c r="G156" s="4" t="s">
        <v>18717</v>
      </c>
      <c r="H156" s="1" t="s">
        <v>18903</v>
      </c>
      <c r="I156" s="1" t="s">
        <v>18904</v>
      </c>
      <c r="J156" s="1" t="s">
        <v>18905</v>
      </c>
      <c r="K156" s="2" t="s">
        <v>17637</v>
      </c>
    </row>
    <row r="157">
      <c r="A157" s="5" t="s">
        <v>394</v>
      </c>
      <c r="B157" s="22" t="s">
        <v>18906</v>
      </c>
      <c r="C157" s="1" t="s">
        <v>17631</v>
      </c>
      <c r="D157" s="1" t="s">
        <v>17898</v>
      </c>
      <c r="E157" s="1" t="s">
        <v>17884</v>
      </c>
      <c r="F157" s="1" t="s">
        <v>18907</v>
      </c>
      <c r="G157" s="4" t="s">
        <v>18908</v>
      </c>
      <c r="H157" s="1" t="s">
        <v>18909</v>
      </c>
      <c r="I157" s="1" t="s">
        <v>18910</v>
      </c>
      <c r="K157" s="33" t="s">
        <v>17654</v>
      </c>
    </row>
    <row r="158">
      <c r="A158" s="1" t="s">
        <v>271</v>
      </c>
      <c r="B158" s="1" t="s">
        <v>3131</v>
      </c>
      <c r="C158" s="1" t="s">
        <v>17631</v>
      </c>
      <c r="D158" s="1" t="s">
        <v>17632</v>
      </c>
      <c r="E158" s="1" t="s">
        <v>18911</v>
      </c>
      <c r="F158" s="1" t="s">
        <v>4331</v>
      </c>
      <c r="G158" s="525" t="s">
        <v>18912</v>
      </c>
      <c r="H158" s="5" t="s">
        <v>18913</v>
      </c>
      <c r="I158" s="1" t="s">
        <v>18914</v>
      </c>
      <c r="J158" s="5"/>
      <c r="K158" s="2" t="s">
        <v>17637</v>
      </c>
    </row>
    <row r="159">
      <c r="A159" s="1" t="s">
        <v>354</v>
      </c>
      <c r="B159" s="22" t="s">
        <v>18718</v>
      </c>
      <c r="C159" s="1" t="s">
        <v>17631</v>
      </c>
      <c r="D159" s="1" t="s">
        <v>17632</v>
      </c>
      <c r="E159" s="1" t="s">
        <v>18915</v>
      </c>
      <c r="F159" s="1" t="s">
        <v>17876</v>
      </c>
      <c r="G159" s="1" t="s">
        <v>18916</v>
      </c>
      <c r="H159" s="1" t="s">
        <v>18917</v>
      </c>
      <c r="I159" s="1" t="s">
        <v>18814</v>
      </c>
      <c r="J159" s="1" t="s">
        <v>2252</v>
      </c>
      <c r="K159" s="33" t="s">
        <v>17654</v>
      </c>
    </row>
    <row r="160">
      <c r="A160" s="5" t="s">
        <v>18918</v>
      </c>
      <c r="B160" s="22" t="s">
        <v>18425</v>
      </c>
      <c r="C160" s="5" t="s">
        <v>17631</v>
      </c>
      <c r="D160" s="5"/>
      <c r="E160" s="5" t="s">
        <v>18919</v>
      </c>
      <c r="F160" s="5" t="s">
        <v>17826</v>
      </c>
      <c r="G160" s="5" t="s">
        <v>5026</v>
      </c>
      <c r="H160" s="1" t="s">
        <v>18920</v>
      </c>
      <c r="I160" s="5"/>
      <c r="K160" s="33" t="s">
        <v>17654</v>
      </c>
    </row>
    <row r="161">
      <c r="A161" s="1" t="s">
        <v>18921</v>
      </c>
      <c r="B161" s="1" t="s">
        <v>7218</v>
      </c>
      <c r="C161" s="1" t="s">
        <v>17631</v>
      </c>
      <c r="D161" s="1" t="s">
        <v>17632</v>
      </c>
      <c r="E161" s="1" t="s">
        <v>18922</v>
      </c>
      <c r="F161" s="1" t="s">
        <v>18923</v>
      </c>
      <c r="G161" s="1" t="s">
        <v>17449</v>
      </c>
      <c r="H161" s="1" t="s">
        <v>2252</v>
      </c>
      <c r="I161" s="1" t="s">
        <v>18924</v>
      </c>
      <c r="J161" s="5"/>
      <c r="K161" s="33" t="s">
        <v>17654</v>
      </c>
    </row>
    <row r="162">
      <c r="A162" s="1" t="s">
        <v>205</v>
      </c>
      <c r="B162" s="1" t="s">
        <v>18925</v>
      </c>
      <c r="C162" s="1" t="s">
        <v>17631</v>
      </c>
      <c r="D162" s="1" t="s">
        <v>17632</v>
      </c>
      <c r="E162" s="1" t="s">
        <v>17830</v>
      </c>
      <c r="F162" s="4" t="s">
        <v>18926</v>
      </c>
      <c r="G162" s="1" t="s">
        <v>1017</v>
      </c>
      <c r="I162" s="1" t="s">
        <v>18131</v>
      </c>
      <c r="J162" s="1" t="s">
        <v>2849</v>
      </c>
      <c r="K162" s="2" t="s">
        <v>17637</v>
      </c>
    </row>
    <row r="163">
      <c r="A163" s="1" t="s">
        <v>1400</v>
      </c>
      <c r="B163" s="1" t="s">
        <v>6192</v>
      </c>
      <c r="C163" s="1" t="s">
        <v>17631</v>
      </c>
      <c r="D163" s="1" t="s">
        <v>17632</v>
      </c>
      <c r="E163" s="1" t="s">
        <v>18927</v>
      </c>
      <c r="F163" s="1" t="s">
        <v>18928</v>
      </c>
      <c r="G163" s="525" t="s">
        <v>18929</v>
      </c>
      <c r="H163" s="1" t="s">
        <v>2252</v>
      </c>
      <c r="I163" s="5" t="s">
        <v>18799</v>
      </c>
      <c r="K163" s="2" t="s">
        <v>17637</v>
      </c>
    </row>
    <row r="164">
      <c r="A164" s="1" t="s">
        <v>219</v>
      </c>
      <c r="B164" s="1" t="s">
        <v>18930</v>
      </c>
      <c r="C164" s="1" t="s">
        <v>17631</v>
      </c>
      <c r="D164" s="1" t="s">
        <v>17632</v>
      </c>
      <c r="E164" s="1" t="s">
        <v>18258</v>
      </c>
      <c r="F164" s="4" t="s">
        <v>18931</v>
      </c>
      <c r="G164" s="728" t="s">
        <v>13206</v>
      </c>
      <c r="H164" s="1" t="s">
        <v>2252</v>
      </c>
      <c r="I164" s="1" t="s">
        <v>18932</v>
      </c>
      <c r="K164" s="33" t="s">
        <v>17654</v>
      </c>
    </row>
    <row r="165">
      <c r="A165" s="1" t="s">
        <v>183</v>
      </c>
      <c r="B165" s="5" t="s">
        <v>27</v>
      </c>
      <c r="C165" s="1" t="s">
        <v>17631</v>
      </c>
      <c r="D165" s="1" t="s">
        <v>17632</v>
      </c>
      <c r="E165" s="1" t="s">
        <v>18933</v>
      </c>
      <c r="F165" s="1" t="s">
        <v>18934</v>
      </c>
      <c r="G165" s="4" t="s">
        <v>18935</v>
      </c>
      <c r="H165" s="5" t="s">
        <v>2252</v>
      </c>
      <c r="I165" s="1" t="s">
        <v>18741</v>
      </c>
      <c r="K165" s="33" t="s">
        <v>17654</v>
      </c>
    </row>
    <row r="166">
      <c r="A166" s="1" t="s">
        <v>25</v>
      </c>
      <c r="B166" s="1" t="s">
        <v>18936</v>
      </c>
      <c r="C166" s="1" t="s">
        <v>17631</v>
      </c>
      <c r="D166" s="1" t="s">
        <v>17632</v>
      </c>
      <c r="E166" s="1" t="s">
        <v>18398</v>
      </c>
      <c r="F166" s="1" t="s">
        <v>18937</v>
      </c>
      <c r="G166" s="4" t="s">
        <v>18717</v>
      </c>
      <c r="I166" s="1" t="s">
        <v>18938</v>
      </c>
      <c r="J166" s="1" t="s">
        <v>2332</v>
      </c>
      <c r="K166" s="2" t="s">
        <v>17637</v>
      </c>
    </row>
    <row r="167">
      <c r="A167" s="1" t="s">
        <v>755</v>
      </c>
      <c r="B167" s="1" t="s">
        <v>18939</v>
      </c>
      <c r="C167" s="1" t="s">
        <v>17631</v>
      </c>
      <c r="D167" s="1" t="s">
        <v>17632</v>
      </c>
      <c r="E167" s="4" t="s">
        <v>18940</v>
      </c>
      <c r="F167" s="4" t="s">
        <v>18941</v>
      </c>
      <c r="G167" s="4" t="s">
        <v>18942</v>
      </c>
      <c r="H167" s="1" t="s">
        <v>18943</v>
      </c>
      <c r="I167" s="1" t="s">
        <v>18745</v>
      </c>
      <c r="K167" s="33" t="s">
        <v>17654</v>
      </c>
    </row>
    <row r="168">
      <c r="A168" s="1" t="s">
        <v>439</v>
      </c>
      <c r="B168" s="22" t="s">
        <v>18944</v>
      </c>
      <c r="C168" s="1" t="s">
        <v>17631</v>
      </c>
      <c r="D168" s="1" t="s">
        <v>17632</v>
      </c>
      <c r="E168" s="1" t="s">
        <v>18945</v>
      </c>
      <c r="F168" s="1" t="s">
        <v>18946</v>
      </c>
      <c r="G168" s="1" t="s">
        <v>3515</v>
      </c>
      <c r="I168" s="5" t="s">
        <v>18947</v>
      </c>
      <c r="J168" s="1" t="s">
        <v>2221</v>
      </c>
      <c r="K168" s="2" t="s">
        <v>17637</v>
      </c>
      <c r="L168" s="1" t="s">
        <v>18948</v>
      </c>
    </row>
    <row r="169">
      <c r="A169" s="1" t="s">
        <v>52</v>
      </c>
      <c r="B169" s="1" t="s">
        <v>18939</v>
      </c>
      <c r="C169" s="1" t="s">
        <v>17631</v>
      </c>
      <c r="D169" s="1" t="s">
        <v>17632</v>
      </c>
      <c r="E169" s="1" t="s">
        <v>18949</v>
      </c>
      <c r="F169" s="1" t="s">
        <v>18950</v>
      </c>
      <c r="G169" s="190" t="s">
        <v>18951</v>
      </c>
      <c r="H169" s="1" t="s">
        <v>3755</v>
      </c>
      <c r="I169" s="1" t="s">
        <v>18827</v>
      </c>
      <c r="K169" s="33" t="s">
        <v>17654</v>
      </c>
    </row>
    <row r="170">
      <c r="A170" s="1" t="s">
        <v>43</v>
      </c>
      <c r="B170" s="22" t="s">
        <v>18952</v>
      </c>
      <c r="C170" s="1" t="s">
        <v>17631</v>
      </c>
      <c r="D170" s="1" t="s">
        <v>17898</v>
      </c>
      <c r="E170" s="1" t="s">
        <v>18953</v>
      </c>
      <c r="F170" s="1" t="s">
        <v>18954</v>
      </c>
      <c r="G170" s="1" t="s">
        <v>11206</v>
      </c>
      <c r="H170" s="1" t="s">
        <v>2252</v>
      </c>
      <c r="I170" s="1" t="s">
        <v>18955</v>
      </c>
      <c r="K170" s="33" t="s">
        <v>17654</v>
      </c>
    </row>
    <row r="171">
      <c r="A171" s="5" t="s">
        <v>342</v>
      </c>
      <c r="B171" s="5" t="s">
        <v>18956</v>
      </c>
      <c r="C171" s="5" t="s">
        <v>17631</v>
      </c>
      <c r="D171" s="5" t="s">
        <v>17632</v>
      </c>
      <c r="E171" s="5" t="s">
        <v>18957</v>
      </c>
      <c r="F171" s="5" t="s">
        <v>17856</v>
      </c>
      <c r="G171" s="5" t="s">
        <v>4624</v>
      </c>
      <c r="H171" s="38" t="s">
        <v>3491</v>
      </c>
      <c r="I171" s="5" t="s">
        <v>18958</v>
      </c>
      <c r="K171" s="2" t="s">
        <v>17637</v>
      </c>
    </row>
    <row r="172">
      <c r="A172" s="1" t="s">
        <v>416</v>
      </c>
      <c r="B172" s="22" t="s">
        <v>18959</v>
      </c>
      <c r="C172" s="5" t="s">
        <v>17631</v>
      </c>
      <c r="D172" s="1" t="s">
        <v>17632</v>
      </c>
      <c r="E172" s="1" t="s">
        <v>18315</v>
      </c>
      <c r="F172" s="1" t="s">
        <v>18960</v>
      </c>
      <c r="G172" s="525" t="s">
        <v>14886</v>
      </c>
      <c r="H172" s="1" t="s">
        <v>3657</v>
      </c>
      <c r="I172" s="1" t="s">
        <v>18167</v>
      </c>
      <c r="K172" s="2" t="s">
        <v>17637</v>
      </c>
    </row>
    <row r="173">
      <c r="A173" s="5" t="s">
        <v>430</v>
      </c>
      <c r="B173" s="5" t="s">
        <v>18961</v>
      </c>
      <c r="C173" s="5" t="s">
        <v>17631</v>
      </c>
      <c r="D173" s="5" t="s">
        <v>18962</v>
      </c>
      <c r="E173" s="5" t="s">
        <v>18378</v>
      </c>
      <c r="F173" s="5" t="s">
        <v>18963</v>
      </c>
      <c r="G173" s="5" t="s">
        <v>18964</v>
      </c>
      <c r="H173" s="1" t="s">
        <v>3924</v>
      </c>
      <c r="I173" s="5" t="s">
        <v>17803</v>
      </c>
      <c r="J173" s="1" t="s">
        <v>2169</v>
      </c>
      <c r="K173" s="2" t="s">
        <v>17637</v>
      </c>
    </row>
    <row r="174">
      <c r="A174" s="1" t="s">
        <v>18965</v>
      </c>
      <c r="B174" s="1" t="s">
        <v>17860</v>
      </c>
      <c r="C174" s="1" t="s">
        <v>17631</v>
      </c>
      <c r="D174" s="4" t="s">
        <v>17632</v>
      </c>
      <c r="E174" s="4" t="s">
        <v>18966</v>
      </c>
      <c r="F174" s="4" t="s">
        <v>18967</v>
      </c>
      <c r="G174" s="4" t="s">
        <v>18968</v>
      </c>
      <c r="H174" s="4" t="s">
        <v>2252</v>
      </c>
      <c r="I174" s="5" t="s">
        <v>18381</v>
      </c>
      <c r="K174" s="33" t="s">
        <v>17654</v>
      </c>
    </row>
    <row r="175">
      <c r="A175" s="1" t="s">
        <v>394</v>
      </c>
      <c r="B175" s="1" t="s">
        <v>18969</v>
      </c>
      <c r="C175" s="1" t="s">
        <v>17631</v>
      </c>
      <c r="D175" s="1" t="s">
        <v>17898</v>
      </c>
      <c r="E175" s="4" t="s">
        <v>18970</v>
      </c>
      <c r="F175" s="4" t="s">
        <v>18971</v>
      </c>
      <c r="G175" s="4" t="s">
        <v>18972</v>
      </c>
      <c r="H175" s="4" t="s">
        <v>18920</v>
      </c>
      <c r="I175" s="5" t="s">
        <v>18662</v>
      </c>
      <c r="K175" s="33" t="s">
        <v>17654</v>
      </c>
    </row>
    <row r="176">
      <c r="A176" s="1" t="s">
        <v>2216</v>
      </c>
      <c r="B176" s="5" t="s">
        <v>18973</v>
      </c>
      <c r="C176" s="1" t="s">
        <v>17631</v>
      </c>
      <c r="D176" s="1" t="s">
        <v>17632</v>
      </c>
      <c r="E176" s="1" t="s">
        <v>18566</v>
      </c>
      <c r="F176" s="1" t="s">
        <v>18974</v>
      </c>
      <c r="G176" s="1" t="s">
        <v>18975</v>
      </c>
      <c r="H176" s="1" t="s">
        <v>2252</v>
      </c>
      <c r="I176" s="4" t="s">
        <v>18976</v>
      </c>
      <c r="K176" s="33" t="s">
        <v>17654</v>
      </c>
    </row>
    <row r="177">
      <c r="A177" s="1" t="s">
        <v>15107</v>
      </c>
      <c r="B177" s="4" t="s">
        <v>18977</v>
      </c>
      <c r="C177" s="1" t="s">
        <v>17631</v>
      </c>
      <c r="D177" s="4" t="s">
        <v>17632</v>
      </c>
      <c r="E177" s="4" t="s">
        <v>18978</v>
      </c>
      <c r="F177" s="4" t="s">
        <v>18979</v>
      </c>
      <c r="G177" s="4" t="s">
        <v>18980</v>
      </c>
      <c r="H177" s="4" t="s">
        <v>2252</v>
      </c>
      <c r="I177" s="5" t="s">
        <v>18981</v>
      </c>
      <c r="K177" s="33" t="s">
        <v>17654</v>
      </c>
    </row>
    <row r="178">
      <c r="A178" s="1" t="s">
        <v>2035</v>
      </c>
      <c r="B178" s="1" t="s">
        <v>4251</v>
      </c>
      <c r="C178" s="1" t="s">
        <v>17631</v>
      </c>
      <c r="D178" s="1" t="s">
        <v>18982</v>
      </c>
      <c r="E178" s="4" t="s">
        <v>18983</v>
      </c>
      <c r="F178" s="4" t="s">
        <v>18984</v>
      </c>
      <c r="G178" s="4" t="s">
        <v>18985</v>
      </c>
      <c r="H178" s="1" t="s">
        <v>18986</v>
      </c>
      <c r="I178" s="1" t="s">
        <v>18987</v>
      </c>
      <c r="K178" s="33" t="s">
        <v>17654</v>
      </c>
    </row>
    <row r="179">
      <c r="A179" s="1" t="s">
        <v>28</v>
      </c>
      <c r="B179" s="1" t="s">
        <v>10151</v>
      </c>
      <c r="C179" s="1" t="s">
        <v>17631</v>
      </c>
      <c r="D179" s="1" t="s">
        <v>18988</v>
      </c>
      <c r="E179" s="1" t="s">
        <v>18989</v>
      </c>
      <c r="F179" s="1" t="s">
        <v>18990</v>
      </c>
      <c r="G179" s="1" t="s">
        <v>1015</v>
      </c>
      <c r="H179" s="1" t="s">
        <v>18986</v>
      </c>
      <c r="I179" s="1" t="s">
        <v>18991</v>
      </c>
      <c r="K179" s="2" t="s">
        <v>17637</v>
      </c>
    </row>
    <row r="180">
      <c r="A180" s="1" t="s">
        <v>2159</v>
      </c>
      <c r="B180" s="1" t="s">
        <v>18992</v>
      </c>
      <c r="C180" s="1" t="s">
        <v>17631</v>
      </c>
      <c r="D180" s="1" t="s">
        <v>17632</v>
      </c>
      <c r="E180" s="1" t="s">
        <v>18993</v>
      </c>
      <c r="F180" s="1" t="s">
        <v>18005</v>
      </c>
      <c r="G180" s="1" t="s">
        <v>1015</v>
      </c>
      <c r="H180" s="1" t="s">
        <v>18986</v>
      </c>
      <c r="I180" s="5" t="s">
        <v>18991</v>
      </c>
      <c r="K180" s="2" t="s">
        <v>17637</v>
      </c>
    </row>
    <row r="181">
      <c r="A181" s="5" t="s">
        <v>2276</v>
      </c>
      <c r="B181" s="5" t="s">
        <v>18994</v>
      </c>
      <c r="C181" s="5" t="s">
        <v>17631</v>
      </c>
      <c r="D181" s="5" t="s">
        <v>17632</v>
      </c>
      <c r="E181" s="5" t="s">
        <v>18995</v>
      </c>
      <c r="F181" s="5" t="s">
        <v>18996</v>
      </c>
      <c r="G181" s="5" t="s">
        <v>1260</v>
      </c>
      <c r="H181" s="5" t="s">
        <v>3631</v>
      </c>
      <c r="I181" s="1" t="s">
        <v>18997</v>
      </c>
      <c r="K181" s="84"/>
    </row>
    <row r="182">
      <c r="A182" s="5" t="s">
        <v>1513</v>
      </c>
      <c r="B182" s="5" t="s">
        <v>17770</v>
      </c>
      <c r="C182" s="5" t="s">
        <v>17631</v>
      </c>
      <c r="D182" s="5" t="s">
        <v>17632</v>
      </c>
      <c r="E182" s="5" t="s">
        <v>18998</v>
      </c>
      <c r="F182" s="5" t="s">
        <v>7909</v>
      </c>
      <c r="G182" s="15" t="s">
        <v>18999</v>
      </c>
      <c r="H182" s="5" t="s">
        <v>2252</v>
      </c>
      <c r="I182" s="5" t="s">
        <v>18072</v>
      </c>
      <c r="K182" s="2" t="s">
        <v>17637</v>
      </c>
    </row>
    <row r="183">
      <c r="A183" s="1" t="s">
        <v>19000</v>
      </c>
      <c r="B183" s="1" t="s">
        <v>17702</v>
      </c>
      <c r="C183" s="1" t="s">
        <v>17631</v>
      </c>
      <c r="D183" s="1" t="s">
        <v>19001</v>
      </c>
      <c r="E183" s="1" t="s">
        <v>19002</v>
      </c>
      <c r="F183" s="1" t="s">
        <v>19003</v>
      </c>
      <c r="G183" s="729" t="s">
        <v>19004</v>
      </c>
      <c r="H183" s="5" t="s">
        <v>2252</v>
      </c>
      <c r="I183" s="1" t="s">
        <v>19005</v>
      </c>
      <c r="K183" s="33" t="s">
        <v>17654</v>
      </c>
      <c r="L183" s="5"/>
    </row>
    <row r="184">
      <c r="A184" s="1" t="s">
        <v>85</v>
      </c>
      <c r="B184" s="22" t="s">
        <v>19006</v>
      </c>
      <c r="C184" s="1" t="s">
        <v>17631</v>
      </c>
      <c r="D184" s="1" t="s">
        <v>17632</v>
      </c>
      <c r="E184" s="1" t="s">
        <v>19007</v>
      </c>
      <c r="F184" s="1" t="s">
        <v>19008</v>
      </c>
      <c r="G184" s="5" t="s">
        <v>3663</v>
      </c>
      <c r="H184" s="1" t="s">
        <v>19009</v>
      </c>
      <c r="I184" s="1" t="s">
        <v>19010</v>
      </c>
      <c r="J184" s="1" t="s">
        <v>19011</v>
      </c>
      <c r="K184" s="2" t="s">
        <v>17637</v>
      </c>
    </row>
    <row r="185">
      <c r="A185" s="4" t="s">
        <v>1137</v>
      </c>
      <c r="B185" s="4" t="s">
        <v>2526</v>
      </c>
      <c r="C185" s="4" t="s">
        <v>17631</v>
      </c>
      <c r="D185" s="4" t="s">
        <v>17632</v>
      </c>
      <c r="E185" s="4" t="s">
        <v>19012</v>
      </c>
      <c r="F185" s="4" t="s">
        <v>19013</v>
      </c>
      <c r="G185" s="4" t="s">
        <v>19014</v>
      </c>
      <c r="H185" s="4" t="s">
        <v>2252</v>
      </c>
      <c r="I185" s="4" t="s">
        <v>19015</v>
      </c>
      <c r="J185" s="667" t="s">
        <v>17661</v>
      </c>
      <c r="K185" s="33" t="s">
        <v>17654</v>
      </c>
    </row>
    <row r="186">
      <c r="A186" s="5" t="s">
        <v>718</v>
      </c>
      <c r="B186" s="5" t="s">
        <v>19016</v>
      </c>
      <c r="C186" s="5" t="s">
        <v>17631</v>
      </c>
      <c r="D186" s="5" t="s">
        <v>19017</v>
      </c>
      <c r="E186" s="5" t="s">
        <v>19018</v>
      </c>
      <c r="F186" s="5" t="s">
        <v>19019</v>
      </c>
      <c r="G186" s="5" t="s">
        <v>19020</v>
      </c>
      <c r="H186" s="22" t="s">
        <v>18833</v>
      </c>
      <c r="I186" s="5" t="s">
        <v>19021</v>
      </c>
      <c r="J186" s="22" t="s">
        <v>19022</v>
      </c>
      <c r="K186" s="33" t="s">
        <v>17654</v>
      </c>
      <c r="L186" s="1" t="s">
        <v>18520</v>
      </c>
    </row>
    <row r="187">
      <c r="A187" s="5" t="s">
        <v>283</v>
      </c>
      <c r="B187" s="5" t="s">
        <v>672</v>
      </c>
      <c r="C187" s="5" t="s">
        <v>17631</v>
      </c>
      <c r="D187" s="5" t="s">
        <v>19023</v>
      </c>
      <c r="E187" s="5" t="s">
        <v>18556</v>
      </c>
      <c r="F187" s="5" t="s">
        <v>19024</v>
      </c>
      <c r="G187" s="22" t="s">
        <v>19025</v>
      </c>
      <c r="H187" s="1" t="s">
        <v>19026</v>
      </c>
      <c r="I187" s="5" t="s">
        <v>19027</v>
      </c>
      <c r="J187" s="5"/>
      <c r="K187" s="33" t="s">
        <v>17654</v>
      </c>
      <c r="L187" s="5"/>
    </row>
    <row r="188">
      <c r="A188" s="5" t="s">
        <v>122</v>
      </c>
      <c r="B188" s="5" t="s">
        <v>2171</v>
      </c>
      <c r="C188" s="5" t="s">
        <v>17631</v>
      </c>
      <c r="D188" s="5" t="s">
        <v>17632</v>
      </c>
      <c r="E188" s="5" t="s">
        <v>19028</v>
      </c>
      <c r="F188" s="5" t="s">
        <v>4328</v>
      </c>
      <c r="G188" s="525" t="s">
        <v>19029</v>
      </c>
      <c r="H188" s="1" t="s">
        <v>3688</v>
      </c>
      <c r="I188" s="1" t="s">
        <v>17941</v>
      </c>
      <c r="K188" s="33" t="s">
        <v>17654</v>
      </c>
    </row>
    <row r="189">
      <c r="A189" s="1" t="s">
        <v>339</v>
      </c>
      <c r="B189" s="1" t="s">
        <v>684</v>
      </c>
      <c r="C189" s="1" t="s">
        <v>17631</v>
      </c>
      <c r="D189" s="1" t="s">
        <v>17671</v>
      </c>
      <c r="E189" s="1" t="s">
        <v>19030</v>
      </c>
      <c r="F189" s="1" t="s">
        <v>17675</v>
      </c>
      <c r="G189" s="1" t="s">
        <v>8357</v>
      </c>
      <c r="I189" s="1" t="s">
        <v>19031</v>
      </c>
      <c r="J189" s="22" t="s">
        <v>18567</v>
      </c>
      <c r="K189" s="2" t="s">
        <v>17637</v>
      </c>
      <c r="L189" s="1" t="s">
        <v>19032</v>
      </c>
    </row>
    <row r="190">
      <c r="A190" s="5" t="s">
        <v>19033</v>
      </c>
      <c r="B190" s="22" t="s">
        <v>19034</v>
      </c>
      <c r="C190" s="5" t="s">
        <v>17631</v>
      </c>
      <c r="D190" s="5" t="s">
        <v>17632</v>
      </c>
      <c r="E190" s="5" t="s">
        <v>19035</v>
      </c>
      <c r="F190" s="5" t="s">
        <v>19036</v>
      </c>
      <c r="G190" s="525" t="s">
        <v>19037</v>
      </c>
      <c r="H190" s="1" t="s">
        <v>2252</v>
      </c>
      <c r="I190" s="5" t="s">
        <v>19038</v>
      </c>
      <c r="K190" s="33" t="s">
        <v>17654</v>
      </c>
    </row>
    <row r="191">
      <c r="A191" s="1" t="s">
        <v>166</v>
      </c>
      <c r="B191" s="1" t="s">
        <v>19039</v>
      </c>
      <c r="C191" s="1" t="s">
        <v>17631</v>
      </c>
      <c r="D191" s="1" t="s">
        <v>17632</v>
      </c>
      <c r="E191" s="1" t="s">
        <v>19040</v>
      </c>
      <c r="F191" s="1" t="s">
        <v>19041</v>
      </c>
      <c r="G191" s="730" t="s">
        <v>19042</v>
      </c>
      <c r="H191" s="1" t="s">
        <v>3797</v>
      </c>
      <c r="I191" s="1" t="s">
        <v>19043</v>
      </c>
      <c r="K191" s="2" t="s">
        <v>17637</v>
      </c>
    </row>
    <row r="192">
      <c r="A192" s="1" t="s">
        <v>58</v>
      </c>
      <c r="B192" s="731" t="s">
        <v>19044</v>
      </c>
      <c r="C192" s="1" t="s">
        <v>17631</v>
      </c>
      <c r="D192" s="1" t="s">
        <v>17632</v>
      </c>
      <c r="E192" s="4" t="s">
        <v>19045</v>
      </c>
      <c r="F192" s="4" t="s">
        <v>19046</v>
      </c>
      <c r="G192" s="1" t="s">
        <v>19047</v>
      </c>
      <c r="I192" s="5" t="s">
        <v>19048</v>
      </c>
      <c r="J192" s="1" t="s">
        <v>2406</v>
      </c>
      <c r="K192" s="33" t="s">
        <v>17654</v>
      </c>
    </row>
    <row r="193">
      <c r="A193" s="1" t="s">
        <v>19049</v>
      </c>
      <c r="B193" s="22" t="s">
        <v>19050</v>
      </c>
      <c r="C193" s="1" t="s">
        <v>17631</v>
      </c>
      <c r="D193" s="1" t="s">
        <v>17723</v>
      </c>
      <c r="E193" s="1" t="s">
        <v>4328</v>
      </c>
      <c r="F193" s="1" t="s">
        <v>19051</v>
      </c>
      <c r="G193" s="732" t="s">
        <v>19052</v>
      </c>
      <c r="H193" s="1" t="s">
        <v>2252</v>
      </c>
      <c r="I193" s="1" t="s">
        <v>18234</v>
      </c>
      <c r="K193" s="2" t="s">
        <v>17637</v>
      </c>
    </row>
    <row r="194">
      <c r="A194" s="45" t="s">
        <v>411</v>
      </c>
      <c r="B194" s="51" t="s">
        <v>19053</v>
      </c>
      <c r="C194" s="51" t="s">
        <v>17631</v>
      </c>
      <c r="D194" s="51" t="s">
        <v>17632</v>
      </c>
      <c r="E194" s="51" t="s">
        <v>18445</v>
      </c>
      <c r="F194" s="190" t="s">
        <v>19054</v>
      </c>
      <c r="G194" s="51" t="s">
        <v>19055</v>
      </c>
      <c r="H194" s="1" t="s">
        <v>19056</v>
      </c>
      <c r="I194" s="51" t="s">
        <v>18788</v>
      </c>
      <c r="J194" s="51" t="s">
        <v>2332</v>
      </c>
      <c r="K194" s="33" t="s">
        <v>17654</v>
      </c>
    </row>
    <row r="195">
      <c r="A195" s="5" t="s">
        <v>411</v>
      </c>
      <c r="B195" s="1" t="s">
        <v>19057</v>
      </c>
      <c r="C195" s="1" t="s">
        <v>17631</v>
      </c>
      <c r="D195" s="1" t="s">
        <v>17632</v>
      </c>
      <c r="E195" s="1" t="s">
        <v>17633</v>
      </c>
      <c r="F195" s="1" t="s">
        <v>19058</v>
      </c>
      <c r="G195" s="1" t="s">
        <v>19059</v>
      </c>
      <c r="H195" s="1" t="s">
        <v>19060</v>
      </c>
      <c r="I195" s="1" t="s">
        <v>18115</v>
      </c>
      <c r="K195" s="84"/>
    </row>
    <row r="196">
      <c r="A196" s="1" t="s">
        <v>2035</v>
      </c>
      <c r="B196" s="22" t="s">
        <v>19061</v>
      </c>
      <c r="C196" s="1" t="s">
        <v>17631</v>
      </c>
      <c r="D196" s="1" t="s">
        <v>17632</v>
      </c>
      <c r="E196" s="1" t="s">
        <v>19062</v>
      </c>
      <c r="F196" s="1" t="s">
        <v>19063</v>
      </c>
      <c r="G196" s="1" t="s">
        <v>230</v>
      </c>
      <c r="H196" s="22" t="s">
        <v>19064</v>
      </c>
      <c r="I196" s="5" t="s">
        <v>19065</v>
      </c>
      <c r="J196" s="1" t="s">
        <v>2169</v>
      </c>
      <c r="K196" s="33" t="s">
        <v>17654</v>
      </c>
    </row>
    <row r="197">
      <c r="A197" s="5" t="s">
        <v>4563</v>
      </c>
      <c r="B197" s="5" t="s">
        <v>17702</v>
      </c>
      <c r="C197" s="1" t="s">
        <v>17631</v>
      </c>
      <c r="D197" s="1" t="s">
        <v>17632</v>
      </c>
      <c r="E197" s="1" t="s">
        <v>19066</v>
      </c>
      <c r="F197" s="1" t="s">
        <v>19067</v>
      </c>
      <c r="G197" s="733" t="s">
        <v>19068</v>
      </c>
      <c r="H197" s="1" t="s">
        <v>2252</v>
      </c>
      <c r="I197" s="5" t="s">
        <v>19069</v>
      </c>
      <c r="K197" s="2" t="s">
        <v>17637</v>
      </c>
    </row>
    <row r="198">
      <c r="A198" s="1" t="s">
        <v>19070</v>
      </c>
      <c r="B198" s="22" t="s">
        <v>19071</v>
      </c>
      <c r="C198" s="1" t="s">
        <v>17631</v>
      </c>
      <c r="D198" s="1" t="s">
        <v>17632</v>
      </c>
      <c r="E198" s="1" t="s">
        <v>18315</v>
      </c>
      <c r="F198" s="1" t="s">
        <v>19072</v>
      </c>
      <c r="G198" s="317" t="s">
        <v>8196</v>
      </c>
      <c r="I198" s="1" t="s">
        <v>19073</v>
      </c>
      <c r="J198" s="1" t="s">
        <v>2566</v>
      </c>
      <c r="K198" s="33" t="s">
        <v>17654</v>
      </c>
    </row>
    <row r="199">
      <c r="A199" s="1" t="s">
        <v>41</v>
      </c>
      <c r="B199" s="1" t="s">
        <v>18939</v>
      </c>
      <c r="C199" s="1" t="s">
        <v>19074</v>
      </c>
      <c r="D199" s="1" t="s">
        <v>17632</v>
      </c>
      <c r="E199" s="1" t="s">
        <v>17763</v>
      </c>
      <c r="F199" s="488" t="s">
        <v>19075</v>
      </c>
      <c r="G199" s="1" t="s">
        <v>19076</v>
      </c>
      <c r="I199" s="5" t="s">
        <v>19077</v>
      </c>
      <c r="J199" s="1" t="s">
        <v>2618</v>
      </c>
      <c r="K199" s="2" t="s">
        <v>17637</v>
      </c>
    </row>
    <row r="200">
      <c r="A200" s="1" t="s">
        <v>85</v>
      </c>
      <c r="B200" s="1" t="s">
        <v>19078</v>
      </c>
      <c r="C200" s="1" t="s">
        <v>17631</v>
      </c>
      <c r="D200" s="1" t="s">
        <v>17632</v>
      </c>
      <c r="E200" s="4" t="s">
        <v>19079</v>
      </c>
      <c r="F200" s="4" t="s">
        <v>19080</v>
      </c>
      <c r="G200" s="4" t="s">
        <v>19081</v>
      </c>
      <c r="I200" s="1" t="s">
        <v>18454</v>
      </c>
      <c r="J200" s="22" t="s">
        <v>19082</v>
      </c>
      <c r="K200" s="2" t="s">
        <v>17637</v>
      </c>
    </row>
    <row r="201">
      <c r="A201" s="1" t="s">
        <v>3056</v>
      </c>
      <c r="B201" s="1" t="s">
        <v>672</v>
      </c>
      <c r="C201" s="1" t="s">
        <v>17631</v>
      </c>
      <c r="D201" s="1" t="s">
        <v>17632</v>
      </c>
      <c r="E201" s="1" t="s">
        <v>18015</v>
      </c>
      <c r="F201" s="1" t="s">
        <v>19083</v>
      </c>
      <c r="G201" s="1" t="s">
        <v>19084</v>
      </c>
      <c r="H201" s="1" t="s">
        <v>19085</v>
      </c>
      <c r="I201" s="1" t="s">
        <v>19086</v>
      </c>
      <c r="J201" s="1" t="s">
        <v>19087</v>
      </c>
      <c r="K201" s="2" t="s">
        <v>17637</v>
      </c>
    </row>
    <row r="202">
      <c r="A202" s="5" t="s">
        <v>205</v>
      </c>
      <c r="B202" s="5" t="s">
        <v>684</v>
      </c>
      <c r="C202" s="1" t="s">
        <v>17631</v>
      </c>
      <c r="D202" s="1" t="s">
        <v>19088</v>
      </c>
      <c r="E202" s="525" t="s">
        <v>19089</v>
      </c>
      <c r="F202" s="1" t="s">
        <v>19090</v>
      </c>
      <c r="G202" s="1" t="s">
        <v>5104</v>
      </c>
      <c r="H202" s="1" t="s">
        <v>2252</v>
      </c>
      <c r="I202" s="1" t="s">
        <v>19091</v>
      </c>
      <c r="J202" s="4"/>
      <c r="K202" s="33" t="s">
        <v>17654</v>
      </c>
    </row>
    <row r="203">
      <c r="A203" s="5" t="s">
        <v>41</v>
      </c>
      <c r="B203" s="1" t="s">
        <v>19092</v>
      </c>
      <c r="C203" s="1" t="s">
        <v>17651</v>
      </c>
      <c r="D203" s="1" t="s">
        <v>17632</v>
      </c>
      <c r="E203" s="1" t="s">
        <v>17891</v>
      </c>
      <c r="F203" s="525" t="s">
        <v>19093</v>
      </c>
      <c r="G203" s="1" t="s">
        <v>2546</v>
      </c>
      <c r="H203" s="1" t="s">
        <v>2252</v>
      </c>
      <c r="I203" s="5" t="s">
        <v>19094</v>
      </c>
      <c r="J203" s="5"/>
      <c r="K203" s="33" t="s">
        <v>17654</v>
      </c>
    </row>
    <row r="204">
      <c r="A204" s="1" t="s">
        <v>25</v>
      </c>
      <c r="B204" s="1" t="s">
        <v>672</v>
      </c>
      <c r="C204" s="1" t="s">
        <v>17631</v>
      </c>
      <c r="D204" s="1" t="s">
        <v>17632</v>
      </c>
      <c r="E204" s="1" t="s">
        <v>19095</v>
      </c>
      <c r="F204" s="1" t="s">
        <v>19096</v>
      </c>
      <c r="G204" s="4" t="s">
        <v>19097</v>
      </c>
      <c r="H204" s="5" t="s">
        <v>2252</v>
      </c>
      <c r="I204" s="1" t="s">
        <v>17696</v>
      </c>
      <c r="K204" s="2" t="s">
        <v>17637</v>
      </c>
    </row>
    <row r="205">
      <c r="A205" s="1" t="s">
        <v>205</v>
      </c>
      <c r="B205" s="5" t="s">
        <v>17702</v>
      </c>
      <c r="C205" s="1" t="s">
        <v>17631</v>
      </c>
      <c r="D205" s="1" t="s">
        <v>17632</v>
      </c>
      <c r="E205" s="1" t="s">
        <v>5361</v>
      </c>
      <c r="F205" s="1" t="s">
        <v>19098</v>
      </c>
      <c r="G205" s="4" t="s">
        <v>19099</v>
      </c>
      <c r="H205" s="1" t="s">
        <v>19100</v>
      </c>
      <c r="I205" s="5" t="s">
        <v>18730</v>
      </c>
      <c r="J205" s="1" t="s">
        <v>19101</v>
      </c>
      <c r="K205" s="33" t="s">
        <v>17654</v>
      </c>
    </row>
    <row r="206">
      <c r="A206" s="1" t="s">
        <v>122</v>
      </c>
      <c r="B206" s="1" t="s">
        <v>50</v>
      </c>
      <c r="C206" s="1" t="s">
        <v>17631</v>
      </c>
      <c r="D206" s="1" t="s">
        <v>17632</v>
      </c>
      <c r="E206" s="1" t="s">
        <v>4328</v>
      </c>
      <c r="F206" s="1" t="s">
        <v>19102</v>
      </c>
      <c r="G206" s="1" t="s">
        <v>7051</v>
      </c>
      <c r="H206" s="1" t="s">
        <v>19103</v>
      </c>
      <c r="I206" s="1" t="s">
        <v>19104</v>
      </c>
      <c r="K206" s="2" t="s">
        <v>17637</v>
      </c>
    </row>
    <row r="207">
      <c r="A207" s="5" t="s">
        <v>411</v>
      </c>
      <c r="B207" s="5" t="s">
        <v>2234</v>
      </c>
      <c r="C207" s="5" t="s">
        <v>17631</v>
      </c>
      <c r="D207" s="5" t="s">
        <v>17632</v>
      </c>
      <c r="E207" s="5" t="s">
        <v>19105</v>
      </c>
      <c r="F207" s="5" t="s">
        <v>19106</v>
      </c>
      <c r="G207" s="712" t="s">
        <v>19107</v>
      </c>
      <c r="I207" s="5" t="s">
        <v>19108</v>
      </c>
      <c r="J207" s="1" t="s">
        <v>19109</v>
      </c>
      <c r="K207" s="2" t="s">
        <v>17637</v>
      </c>
    </row>
    <row r="208">
      <c r="A208" s="1" t="s">
        <v>77</v>
      </c>
      <c r="B208" s="1" t="s">
        <v>2171</v>
      </c>
      <c r="C208" s="1" t="s">
        <v>17631</v>
      </c>
      <c r="D208" s="1" t="s">
        <v>17632</v>
      </c>
      <c r="E208" s="190" t="s">
        <v>19110</v>
      </c>
      <c r="F208" s="1" t="s">
        <v>19111</v>
      </c>
      <c r="G208" s="190" t="s">
        <v>19112</v>
      </c>
      <c r="I208" s="5" t="s">
        <v>18167</v>
      </c>
      <c r="J208" s="1" t="s">
        <v>2169</v>
      </c>
      <c r="K208" s="2" t="s">
        <v>17637</v>
      </c>
    </row>
    <row r="209">
      <c r="A209" s="5" t="s">
        <v>1400</v>
      </c>
      <c r="B209" s="5" t="s">
        <v>6569</v>
      </c>
      <c r="C209" s="5" t="s">
        <v>17631</v>
      </c>
      <c r="D209" s="5" t="s">
        <v>17632</v>
      </c>
      <c r="E209" s="5" t="s">
        <v>19113</v>
      </c>
      <c r="F209" s="5" t="s">
        <v>19114</v>
      </c>
      <c r="G209" s="476" t="s">
        <v>19115</v>
      </c>
      <c r="H209" s="1" t="s">
        <v>19116</v>
      </c>
      <c r="I209" s="1" t="s">
        <v>19117</v>
      </c>
      <c r="K209" s="33" t="s">
        <v>17654</v>
      </c>
    </row>
    <row r="210">
      <c r="A210" s="1" t="s">
        <v>411</v>
      </c>
      <c r="B210" s="1" t="s">
        <v>433</v>
      </c>
      <c r="C210" s="1" t="s">
        <v>17631</v>
      </c>
      <c r="D210" s="1" t="s">
        <v>17632</v>
      </c>
      <c r="E210" s="4" t="s">
        <v>18070</v>
      </c>
      <c r="F210" s="4" t="s">
        <v>19118</v>
      </c>
      <c r="G210" s="1" t="s">
        <v>19119</v>
      </c>
      <c r="I210" s="1" t="s">
        <v>19120</v>
      </c>
      <c r="J210" s="1" t="s">
        <v>2332</v>
      </c>
      <c r="K210" s="33" t="s">
        <v>17654</v>
      </c>
    </row>
    <row r="211">
      <c r="A211" s="1" t="s">
        <v>7159</v>
      </c>
      <c r="B211" s="1" t="s">
        <v>17766</v>
      </c>
      <c r="C211" s="1" t="s">
        <v>17631</v>
      </c>
      <c r="D211" s="1" t="s">
        <v>17632</v>
      </c>
      <c r="E211" s="1" t="s">
        <v>19121</v>
      </c>
      <c r="F211" s="1" t="s">
        <v>19122</v>
      </c>
      <c r="G211" s="1" t="s">
        <v>19123</v>
      </c>
      <c r="I211" s="1" t="s">
        <v>19124</v>
      </c>
      <c r="J211" s="1" t="s">
        <v>2868</v>
      </c>
      <c r="K211" s="2" t="s">
        <v>17637</v>
      </c>
    </row>
    <row r="212">
      <c r="A212" s="1" t="s">
        <v>210</v>
      </c>
      <c r="B212" s="1" t="s">
        <v>18425</v>
      </c>
      <c r="C212" s="1" t="s">
        <v>17651</v>
      </c>
      <c r="D212" s="1" t="s">
        <v>17944</v>
      </c>
      <c r="E212" s="4" t="s">
        <v>19125</v>
      </c>
      <c r="F212" s="1" t="s">
        <v>19126</v>
      </c>
      <c r="G212" s="1" t="s">
        <v>19127</v>
      </c>
      <c r="H212" s="22" t="s">
        <v>19128</v>
      </c>
      <c r="J212" s="22" t="s">
        <v>19129</v>
      </c>
      <c r="K212" s="33" t="s">
        <v>17654</v>
      </c>
      <c r="L212" s="1" t="s">
        <v>19130</v>
      </c>
    </row>
    <row r="213">
      <c r="A213" s="1" t="s">
        <v>430</v>
      </c>
      <c r="B213" s="1" t="s">
        <v>19131</v>
      </c>
      <c r="C213" s="1" t="s">
        <v>17651</v>
      </c>
      <c r="D213" s="1" t="s">
        <v>17632</v>
      </c>
      <c r="E213" s="1" t="s">
        <v>17891</v>
      </c>
      <c r="F213" s="1" t="s">
        <v>19132</v>
      </c>
      <c r="G213" s="181" t="s">
        <v>19133</v>
      </c>
      <c r="I213" s="1" t="s">
        <v>19134</v>
      </c>
      <c r="J213" s="1" t="s">
        <v>18448</v>
      </c>
      <c r="K213" s="2" t="s">
        <v>17637</v>
      </c>
    </row>
    <row r="214">
      <c r="A214" s="4" t="s">
        <v>25</v>
      </c>
      <c r="B214" s="5" t="s">
        <v>19135</v>
      </c>
      <c r="C214" s="1" t="s">
        <v>19136</v>
      </c>
      <c r="D214" s="4" t="s">
        <v>17632</v>
      </c>
      <c r="E214" s="4" t="s">
        <v>17707</v>
      </c>
      <c r="F214" s="4" t="s">
        <v>19137</v>
      </c>
      <c r="G214" s="5" t="s">
        <v>19138</v>
      </c>
      <c r="H214" s="1" t="s">
        <v>19139</v>
      </c>
      <c r="I214" s="1" t="s">
        <v>19140</v>
      </c>
      <c r="J214" s="22" t="s">
        <v>19141</v>
      </c>
      <c r="K214" s="2" t="s">
        <v>17637</v>
      </c>
    </row>
    <row r="215">
      <c r="A215" s="5" t="s">
        <v>219</v>
      </c>
      <c r="B215" s="22" t="s">
        <v>19142</v>
      </c>
      <c r="C215" s="1" t="s">
        <v>17631</v>
      </c>
      <c r="D215" s="1" t="s">
        <v>17632</v>
      </c>
      <c r="E215" s="1" t="s">
        <v>19143</v>
      </c>
      <c r="F215" s="1" t="s">
        <v>19144</v>
      </c>
      <c r="G215" s="1" t="s">
        <v>179</v>
      </c>
      <c r="I215" s="1" t="s">
        <v>19145</v>
      </c>
      <c r="J215" s="1" t="s">
        <v>19146</v>
      </c>
      <c r="K215" s="2" t="s">
        <v>17637</v>
      </c>
    </row>
    <row r="216">
      <c r="A216" s="1" t="s">
        <v>2216</v>
      </c>
      <c r="B216" s="22" t="s">
        <v>18162</v>
      </c>
      <c r="C216" s="1" t="s">
        <v>17631</v>
      </c>
      <c r="D216" s="1" t="s">
        <v>17632</v>
      </c>
      <c r="E216" s="1" t="s">
        <v>19147</v>
      </c>
      <c r="F216" s="1" t="s">
        <v>19148</v>
      </c>
      <c r="G216" s="175" t="s">
        <v>19149</v>
      </c>
      <c r="H216" s="1" t="s">
        <v>19150</v>
      </c>
      <c r="I216" s="5"/>
      <c r="K216" s="33" t="s">
        <v>17654</v>
      </c>
    </row>
    <row r="217">
      <c r="A217" s="5" t="s">
        <v>81</v>
      </c>
      <c r="B217" s="5" t="s">
        <v>19151</v>
      </c>
      <c r="C217" s="1" t="s">
        <v>17631</v>
      </c>
      <c r="D217" s="1" t="s">
        <v>17632</v>
      </c>
      <c r="E217" s="1" t="s">
        <v>17876</v>
      </c>
      <c r="F217" s="1" t="s">
        <v>19152</v>
      </c>
      <c r="G217" s="1" t="s">
        <v>18964</v>
      </c>
      <c r="I217" s="1" t="s">
        <v>18228</v>
      </c>
      <c r="J217" s="1" t="s">
        <v>2169</v>
      </c>
      <c r="K217" s="2" t="s">
        <v>17637</v>
      </c>
    </row>
    <row r="218">
      <c r="A218" s="5" t="s">
        <v>122</v>
      </c>
      <c r="B218" s="5" t="s">
        <v>19153</v>
      </c>
      <c r="C218" s="5" t="s">
        <v>17631</v>
      </c>
      <c r="D218" s="5" t="s">
        <v>17632</v>
      </c>
      <c r="E218" s="4" t="s">
        <v>19154</v>
      </c>
      <c r="F218" s="4" t="s">
        <v>19155</v>
      </c>
      <c r="G218" s="4" t="s">
        <v>19156</v>
      </c>
      <c r="H218" s="1" t="s">
        <v>19157</v>
      </c>
      <c r="I218" s="5" t="s">
        <v>17961</v>
      </c>
      <c r="K218" s="2" t="s">
        <v>17637</v>
      </c>
    </row>
    <row r="219">
      <c r="A219" s="5" t="s">
        <v>25</v>
      </c>
      <c r="B219" s="5" t="s">
        <v>433</v>
      </c>
      <c r="C219" s="5" t="s">
        <v>17631</v>
      </c>
      <c r="D219" s="5" t="s">
        <v>19158</v>
      </c>
      <c r="E219" s="4" t="s">
        <v>18398</v>
      </c>
      <c r="F219" s="4" t="s">
        <v>19159</v>
      </c>
      <c r="G219" s="4" t="s">
        <v>19160</v>
      </c>
      <c r="H219" s="1" t="s">
        <v>19157</v>
      </c>
      <c r="I219" s="1" t="s">
        <v>18958</v>
      </c>
      <c r="K219" s="2" t="s">
        <v>17637</v>
      </c>
    </row>
    <row r="220">
      <c r="A220" s="5" t="s">
        <v>19161</v>
      </c>
      <c r="B220" s="5" t="s">
        <v>684</v>
      </c>
      <c r="C220" s="5" t="s">
        <v>17631</v>
      </c>
      <c r="D220" s="5" t="s">
        <v>17632</v>
      </c>
      <c r="E220" s="4" t="s">
        <v>19162</v>
      </c>
      <c r="F220" s="4" t="s">
        <v>19163</v>
      </c>
      <c r="G220" s="4" t="s">
        <v>371</v>
      </c>
      <c r="H220" s="22" t="s">
        <v>18713</v>
      </c>
      <c r="I220" s="5" t="s">
        <v>19164</v>
      </c>
      <c r="J220" s="22" t="s">
        <v>19165</v>
      </c>
      <c r="K220" s="33" t="s">
        <v>18899</v>
      </c>
      <c r="L220" s="1" t="s">
        <v>19166</v>
      </c>
    </row>
    <row r="221">
      <c r="A221" s="1" t="s">
        <v>354</v>
      </c>
      <c r="B221" s="1" t="s">
        <v>19167</v>
      </c>
      <c r="C221" s="1" t="s">
        <v>17631</v>
      </c>
      <c r="D221" s="1" t="s">
        <v>17632</v>
      </c>
      <c r="E221" s="4" t="s">
        <v>19168</v>
      </c>
      <c r="F221" s="4" t="s">
        <v>4349</v>
      </c>
      <c r="G221" s="4" t="s">
        <v>18493</v>
      </c>
      <c r="I221" s="5" t="s">
        <v>18507</v>
      </c>
      <c r="J221" s="1" t="s">
        <v>2252</v>
      </c>
      <c r="K221" s="2" t="s">
        <v>17637</v>
      </c>
    </row>
    <row r="222">
      <c r="A222" s="5" t="s">
        <v>19169</v>
      </c>
      <c r="B222" s="22" t="s">
        <v>408</v>
      </c>
      <c r="C222" s="5" t="s">
        <v>17631</v>
      </c>
      <c r="D222" s="5" t="s">
        <v>17632</v>
      </c>
      <c r="E222" s="4" t="s">
        <v>18369</v>
      </c>
      <c r="F222" s="4" t="s">
        <v>19170</v>
      </c>
      <c r="G222" s="4" t="s">
        <v>19171</v>
      </c>
      <c r="H222" s="1" t="s">
        <v>3957</v>
      </c>
      <c r="I222" s="1" t="s">
        <v>19172</v>
      </c>
      <c r="J222" s="1" t="s">
        <v>19173</v>
      </c>
      <c r="K222" s="33" t="s">
        <v>17654</v>
      </c>
    </row>
    <row r="223">
      <c r="A223" s="1" t="s">
        <v>25</v>
      </c>
      <c r="B223" s="1" t="s">
        <v>1084</v>
      </c>
      <c r="C223" s="1" t="s">
        <v>17631</v>
      </c>
      <c r="D223" s="1" t="s">
        <v>17723</v>
      </c>
      <c r="E223" s="4" t="s">
        <v>19174</v>
      </c>
      <c r="F223" s="4" t="s">
        <v>19175</v>
      </c>
      <c r="G223" s="4" t="s">
        <v>19176</v>
      </c>
      <c r="H223" s="1" t="s">
        <v>2252</v>
      </c>
      <c r="I223" s="1" t="s">
        <v>19177</v>
      </c>
      <c r="J223" s="5" t="s">
        <v>19178</v>
      </c>
      <c r="K223" s="33" t="s">
        <v>17654</v>
      </c>
    </row>
    <row r="224">
      <c r="A224" s="1" t="s">
        <v>85</v>
      </c>
      <c r="B224" s="1" t="s">
        <v>19179</v>
      </c>
      <c r="C224" s="1" t="s">
        <v>17651</v>
      </c>
      <c r="D224" s="1" t="s">
        <v>17632</v>
      </c>
      <c r="E224" s="4" t="s">
        <v>19180</v>
      </c>
      <c r="F224" s="4" t="s">
        <v>19181</v>
      </c>
      <c r="G224" s="4" t="s">
        <v>1056</v>
      </c>
      <c r="H224" s="1" t="s">
        <v>2252</v>
      </c>
      <c r="I224" s="1" t="s">
        <v>19182</v>
      </c>
      <c r="K224" s="33" t="s">
        <v>17654</v>
      </c>
    </row>
    <row r="225">
      <c r="A225" s="1" t="s">
        <v>3523</v>
      </c>
      <c r="B225" s="1" t="s">
        <v>19183</v>
      </c>
      <c r="C225" s="1" t="s">
        <v>17631</v>
      </c>
      <c r="D225" s="1" t="s">
        <v>17632</v>
      </c>
      <c r="E225" s="4" t="s">
        <v>19184</v>
      </c>
      <c r="F225" s="4" t="s">
        <v>19185</v>
      </c>
      <c r="G225" s="4" t="s">
        <v>19186</v>
      </c>
      <c r="H225" s="1" t="s">
        <v>3585</v>
      </c>
      <c r="I225" s="1" t="s">
        <v>19182</v>
      </c>
      <c r="K225" s="33" t="s">
        <v>17654</v>
      </c>
    </row>
    <row r="226">
      <c r="A226" s="5" t="s">
        <v>85</v>
      </c>
      <c r="B226" s="5" t="s">
        <v>50</v>
      </c>
      <c r="C226" s="1" t="s">
        <v>17631</v>
      </c>
      <c r="D226" s="5" t="s">
        <v>17632</v>
      </c>
      <c r="E226" s="4" t="s">
        <v>19187</v>
      </c>
      <c r="F226" s="4" t="s">
        <v>18398</v>
      </c>
      <c r="G226" s="4" t="s">
        <v>18717</v>
      </c>
      <c r="I226" s="5" t="s">
        <v>19188</v>
      </c>
      <c r="J226" s="1" t="s">
        <v>2332</v>
      </c>
      <c r="K226" s="2" t="s">
        <v>17637</v>
      </c>
    </row>
    <row r="227">
      <c r="A227" s="1" t="s">
        <v>19189</v>
      </c>
      <c r="B227" s="5" t="s">
        <v>19190</v>
      </c>
      <c r="C227" s="1" t="s">
        <v>17631</v>
      </c>
      <c r="D227" s="1" t="s">
        <v>17632</v>
      </c>
      <c r="E227" s="4" t="s">
        <v>18708</v>
      </c>
      <c r="F227" s="4" t="s">
        <v>19191</v>
      </c>
      <c r="G227" s="4" t="s">
        <v>19192</v>
      </c>
      <c r="H227" s="1" t="s">
        <v>19193</v>
      </c>
      <c r="I227" s="1" t="s">
        <v>19194</v>
      </c>
      <c r="J227" s="1" t="s">
        <v>19195</v>
      </c>
      <c r="K227" s="33" t="s">
        <v>17654</v>
      </c>
    </row>
    <row r="228">
      <c r="A228" s="5" t="s">
        <v>28</v>
      </c>
      <c r="B228" s="5" t="s">
        <v>6427</v>
      </c>
      <c r="C228" s="5" t="s">
        <v>17631</v>
      </c>
      <c r="D228" s="5" t="s">
        <v>17632</v>
      </c>
      <c r="E228" s="4" t="s">
        <v>17633</v>
      </c>
      <c r="F228" s="4" t="s">
        <v>19196</v>
      </c>
      <c r="G228" s="4" t="s">
        <v>18717</v>
      </c>
      <c r="I228" s="1" t="s">
        <v>19197</v>
      </c>
      <c r="J228" s="1" t="s">
        <v>2332</v>
      </c>
      <c r="K228" s="2" t="s">
        <v>17637</v>
      </c>
    </row>
    <row r="229">
      <c r="A229" s="1" t="s">
        <v>25</v>
      </c>
      <c r="B229" s="22" t="s">
        <v>19198</v>
      </c>
      <c r="C229" s="1" t="s">
        <v>17631</v>
      </c>
      <c r="D229" s="1" t="s">
        <v>17632</v>
      </c>
      <c r="E229" s="1" t="s">
        <v>19199</v>
      </c>
      <c r="F229" s="1" t="s">
        <v>18398</v>
      </c>
      <c r="G229" s="1" t="s">
        <v>19200</v>
      </c>
      <c r="I229" s="1" t="s">
        <v>17896</v>
      </c>
      <c r="J229" s="1" t="s">
        <v>2332</v>
      </c>
      <c r="K229" s="33" t="s">
        <v>17654</v>
      </c>
    </row>
    <row r="230">
      <c r="A230" s="5" t="s">
        <v>2728</v>
      </c>
      <c r="B230" s="22" t="s">
        <v>4383</v>
      </c>
      <c r="C230" s="5" t="s">
        <v>17631</v>
      </c>
      <c r="D230" s="5" t="s">
        <v>17992</v>
      </c>
      <c r="E230" s="5" t="s">
        <v>19201</v>
      </c>
      <c r="F230" s="5" t="s">
        <v>19202</v>
      </c>
      <c r="G230" s="5" t="s">
        <v>9035</v>
      </c>
      <c r="H230" s="5" t="s">
        <v>2252</v>
      </c>
      <c r="I230" s="5" t="s">
        <v>19203</v>
      </c>
      <c r="K230" s="33" t="s">
        <v>17654</v>
      </c>
    </row>
    <row r="231">
      <c r="A231" s="5" t="s">
        <v>25</v>
      </c>
      <c r="B231" s="5" t="s">
        <v>6569</v>
      </c>
      <c r="C231" s="5" t="s">
        <v>17631</v>
      </c>
      <c r="D231" s="5" t="s">
        <v>17632</v>
      </c>
      <c r="E231" s="5" t="s">
        <v>19204</v>
      </c>
      <c r="F231" s="5" t="s">
        <v>19205</v>
      </c>
      <c r="G231" s="5" t="s">
        <v>7051</v>
      </c>
      <c r="H231" s="1" t="s">
        <v>19103</v>
      </c>
      <c r="I231" s="1" t="s">
        <v>19206</v>
      </c>
      <c r="K231" s="33" t="s">
        <v>17654</v>
      </c>
    </row>
    <row r="232">
      <c r="A232" s="1" t="s">
        <v>28</v>
      </c>
      <c r="B232" s="22" t="s">
        <v>18425</v>
      </c>
      <c r="C232" s="1" t="s">
        <v>17631</v>
      </c>
      <c r="D232" s="1" t="s">
        <v>17632</v>
      </c>
      <c r="E232" s="5" t="s">
        <v>19207</v>
      </c>
      <c r="F232" s="196" t="s">
        <v>19208</v>
      </c>
      <c r="G232" s="196" t="s">
        <v>19209</v>
      </c>
      <c r="I232" s="5"/>
      <c r="J232" s="1" t="s">
        <v>2383</v>
      </c>
      <c r="K232" s="33" t="s">
        <v>17654</v>
      </c>
    </row>
    <row r="233">
      <c r="A233" s="5" t="s">
        <v>2365</v>
      </c>
      <c r="B233" s="22" t="s">
        <v>19210</v>
      </c>
      <c r="C233" s="5" t="s">
        <v>17631</v>
      </c>
      <c r="D233" s="5" t="s">
        <v>17632</v>
      </c>
      <c r="E233" s="5" t="s">
        <v>19211</v>
      </c>
      <c r="F233" s="5" t="s">
        <v>19212</v>
      </c>
      <c r="G233" s="5" t="s">
        <v>9871</v>
      </c>
      <c r="H233" s="1" t="s">
        <v>2252</v>
      </c>
      <c r="I233" s="5" t="s">
        <v>19086</v>
      </c>
      <c r="K233" s="2" t="s">
        <v>17637</v>
      </c>
    </row>
    <row r="234">
      <c r="A234" s="1" t="s">
        <v>63</v>
      </c>
      <c r="B234" s="1" t="s">
        <v>17919</v>
      </c>
      <c r="C234" s="1" t="s">
        <v>17631</v>
      </c>
      <c r="D234" s="4" t="s">
        <v>19213</v>
      </c>
      <c r="E234" s="4" t="s">
        <v>19214</v>
      </c>
      <c r="F234" s="4" t="s">
        <v>19215</v>
      </c>
      <c r="G234" s="4" t="s">
        <v>4893</v>
      </c>
      <c r="H234" s="1" t="s">
        <v>19216</v>
      </c>
      <c r="I234" s="5" t="s">
        <v>17848</v>
      </c>
      <c r="J234" s="4" t="s">
        <v>2252</v>
      </c>
      <c r="K234" s="33" t="s">
        <v>17654</v>
      </c>
    </row>
    <row r="235">
      <c r="A235" s="1" t="s">
        <v>411</v>
      </c>
      <c r="B235" s="1" t="s">
        <v>18073</v>
      </c>
      <c r="C235" s="1" t="s">
        <v>17631</v>
      </c>
      <c r="D235" s="1" t="s">
        <v>17632</v>
      </c>
      <c r="E235" s="1" t="s">
        <v>19217</v>
      </c>
      <c r="F235" s="525" t="s">
        <v>19218</v>
      </c>
      <c r="G235" s="525" t="s">
        <v>18717</v>
      </c>
      <c r="I235" s="5" t="s">
        <v>18803</v>
      </c>
      <c r="J235" s="1" t="s">
        <v>2332</v>
      </c>
      <c r="K235" s="33" t="s">
        <v>17654</v>
      </c>
    </row>
    <row r="236">
      <c r="A236" s="5" t="s">
        <v>219</v>
      </c>
      <c r="B236" s="5" t="s">
        <v>19219</v>
      </c>
      <c r="C236" s="5" t="s">
        <v>17651</v>
      </c>
      <c r="D236" s="5" t="s">
        <v>19220</v>
      </c>
      <c r="E236" s="5" t="s">
        <v>17876</v>
      </c>
      <c r="F236" s="5" t="s">
        <v>19221</v>
      </c>
      <c r="G236" s="5" t="s">
        <v>19222</v>
      </c>
      <c r="H236" s="1" t="s">
        <v>3127</v>
      </c>
      <c r="I236" s="5" t="s">
        <v>19223</v>
      </c>
      <c r="K236" s="33" t="s">
        <v>17654</v>
      </c>
    </row>
    <row r="237">
      <c r="A237" s="1" t="s">
        <v>81</v>
      </c>
      <c r="B237" s="22" t="s">
        <v>6571</v>
      </c>
      <c r="C237" s="1" t="s">
        <v>17631</v>
      </c>
      <c r="D237" s="1" t="s">
        <v>17632</v>
      </c>
      <c r="E237" s="1" t="s">
        <v>17876</v>
      </c>
      <c r="F237" s="1" t="s">
        <v>19224</v>
      </c>
      <c r="G237" s="525" t="s">
        <v>19225</v>
      </c>
      <c r="I237" s="1" t="s">
        <v>18153</v>
      </c>
      <c r="J237" s="1" t="s">
        <v>19226</v>
      </c>
      <c r="K237" s="2" t="s">
        <v>17637</v>
      </c>
    </row>
    <row r="238">
      <c r="A238" s="1" t="s">
        <v>2276</v>
      </c>
      <c r="B238" s="5" t="s">
        <v>2094</v>
      </c>
      <c r="C238" s="1" t="s">
        <v>17631</v>
      </c>
      <c r="D238" s="1" t="s">
        <v>17632</v>
      </c>
      <c r="E238" s="1" t="s">
        <v>18996</v>
      </c>
      <c r="F238" s="1" t="s">
        <v>19227</v>
      </c>
      <c r="G238" s="1" t="s">
        <v>11171</v>
      </c>
      <c r="H238" s="1" t="s">
        <v>3127</v>
      </c>
      <c r="I238" s="1" t="s">
        <v>17935</v>
      </c>
      <c r="K238" s="33" t="s">
        <v>17654</v>
      </c>
    </row>
    <row r="239">
      <c r="A239" s="1" t="s">
        <v>81</v>
      </c>
      <c r="B239" s="1" t="s">
        <v>19228</v>
      </c>
      <c r="C239" s="1" t="s">
        <v>17631</v>
      </c>
      <c r="D239" s="1" t="s">
        <v>19229</v>
      </c>
      <c r="E239" s="1" t="s">
        <v>15832</v>
      </c>
      <c r="F239" s="1" t="s">
        <v>19230</v>
      </c>
      <c r="G239" s="1" t="s">
        <v>19231</v>
      </c>
      <c r="H239" s="1" t="s">
        <v>19116</v>
      </c>
      <c r="I239" s="5" t="s">
        <v>19232</v>
      </c>
      <c r="K239" s="2" t="s">
        <v>17637</v>
      </c>
    </row>
    <row r="240">
      <c r="A240" s="1" t="s">
        <v>31</v>
      </c>
      <c r="B240" s="5" t="s">
        <v>4386</v>
      </c>
      <c r="C240" s="1" t="s">
        <v>17631</v>
      </c>
      <c r="D240" s="1" t="s">
        <v>17632</v>
      </c>
      <c r="E240" s="1" t="s">
        <v>17952</v>
      </c>
      <c r="F240" s="1" t="s">
        <v>19233</v>
      </c>
      <c r="G240" s="4" t="s">
        <v>19234</v>
      </c>
      <c r="H240" s="1" t="s">
        <v>19235</v>
      </c>
      <c r="I240" s="1" t="s">
        <v>18521</v>
      </c>
      <c r="K240" s="2" t="s">
        <v>17637</v>
      </c>
    </row>
    <row r="241">
      <c r="A241" s="1" t="s">
        <v>261</v>
      </c>
      <c r="B241" s="1" t="s">
        <v>412</v>
      </c>
      <c r="C241" s="1" t="s">
        <v>17631</v>
      </c>
      <c r="D241" s="1" t="s">
        <v>17632</v>
      </c>
      <c r="E241" s="1" t="s">
        <v>19236</v>
      </c>
      <c r="F241" s="1" t="s">
        <v>19237</v>
      </c>
      <c r="G241" s="525" t="s">
        <v>19238</v>
      </c>
      <c r="H241" s="1" t="s">
        <v>18920</v>
      </c>
      <c r="I241" s="1" t="s">
        <v>19239</v>
      </c>
      <c r="K241" s="2" t="s">
        <v>17637</v>
      </c>
    </row>
    <row r="242">
      <c r="A242" s="1" t="s">
        <v>58</v>
      </c>
      <c r="B242" s="1" t="s">
        <v>684</v>
      </c>
      <c r="C242" s="1" t="s">
        <v>17631</v>
      </c>
      <c r="D242" s="1" t="s">
        <v>17632</v>
      </c>
      <c r="E242" s="1" t="s">
        <v>19240</v>
      </c>
      <c r="F242" s="1" t="s">
        <v>14478</v>
      </c>
      <c r="G242" s="1" t="s">
        <v>14474</v>
      </c>
      <c r="H242" s="1" t="s">
        <v>2252</v>
      </c>
      <c r="I242" s="5" t="s">
        <v>19241</v>
      </c>
      <c r="K242" s="2" t="s">
        <v>17637</v>
      </c>
    </row>
    <row r="243">
      <c r="A243" s="1" t="s">
        <v>19242</v>
      </c>
      <c r="B243" s="1" t="s">
        <v>19190</v>
      </c>
      <c r="C243" s="1" t="s">
        <v>17631</v>
      </c>
      <c r="D243" s="1" t="s">
        <v>17632</v>
      </c>
      <c r="E243" s="4" t="s">
        <v>18708</v>
      </c>
      <c r="F243" s="4" t="s">
        <v>19243</v>
      </c>
      <c r="G243" s="4" t="s">
        <v>19244</v>
      </c>
      <c r="I243" s="1" t="s">
        <v>19245</v>
      </c>
      <c r="J243" s="22" t="s">
        <v>18567</v>
      </c>
      <c r="K243" s="2" t="s">
        <v>17637</v>
      </c>
    </row>
    <row r="244">
      <c r="A244" s="1" t="s">
        <v>85</v>
      </c>
      <c r="B244" s="1" t="s">
        <v>672</v>
      </c>
      <c r="C244" s="1" t="s">
        <v>17631</v>
      </c>
      <c r="D244" s="1" t="s">
        <v>19246</v>
      </c>
      <c r="E244" s="1" t="s">
        <v>2857</v>
      </c>
      <c r="F244" s="1" t="s">
        <v>19247</v>
      </c>
      <c r="G244" s="1" t="s">
        <v>16064</v>
      </c>
      <c r="H244" s="1" t="s">
        <v>2252</v>
      </c>
      <c r="I244" s="1" t="s">
        <v>18788</v>
      </c>
      <c r="K244" s="33" t="s">
        <v>17654</v>
      </c>
    </row>
    <row r="245">
      <c r="A245" s="5" t="s">
        <v>2035</v>
      </c>
      <c r="B245" s="5" t="s">
        <v>18994</v>
      </c>
      <c r="C245" s="5" t="s">
        <v>17631</v>
      </c>
      <c r="D245" s="5" t="s">
        <v>17632</v>
      </c>
      <c r="E245" s="5" t="s">
        <v>19248</v>
      </c>
      <c r="F245" s="5" t="s">
        <v>19249</v>
      </c>
      <c r="G245" s="5" t="s">
        <v>19250</v>
      </c>
      <c r="H245" s="1" t="s">
        <v>2252</v>
      </c>
      <c r="I245" s="5" t="s">
        <v>19251</v>
      </c>
      <c r="J245" s="5"/>
      <c r="K245" s="33" t="s">
        <v>17654</v>
      </c>
    </row>
    <row r="246">
      <c r="A246" s="1" t="s">
        <v>342</v>
      </c>
      <c r="B246" s="1" t="s">
        <v>19252</v>
      </c>
      <c r="C246" s="1" t="s">
        <v>17631</v>
      </c>
      <c r="D246" s="1" t="s">
        <v>17944</v>
      </c>
      <c r="E246" s="1" t="s">
        <v>17856</v>
      </c>
      <c r="F246" s="1" t="s">
        <v>19253</v>
      </c>
      <c r="G246" s="1" t="s">
        <v>9397</v>
      </c>
      <c r="H246" s="1" t="s">
        <v>2252</v>
      </c>
      <c r="I246" s="1" t="s">
        <v>19254</v>
      </c>
      <c r="K246" s="33" t="s">
        <v>17654</v>
      </c>
    </row>
    <row r="247">
      <c r="A247" s="1" t="s">
        <v>2288</v>
      </c>
      <c r="B247" s="1" t="s">
        <v>19255</v>
      </c>
      <c r="C247" s="1" t="s">
        <v>17631</v>
      </c>
      <c r="D247" s="1" t="s">
        <v>17632</v>
      </c>
      <c r="E247" s="1" t="s">
        <v>19256</v>
      </c>
      <c r="F247" s="1" t="s">
        <v>19257</v>
      </c>
      <c r="G247" s="317" t="s">
        <v>19258</v>
      </c>
      <c r="H247" s="1" t="s">
        <v>2252</v>
      </c>
      <c r="I247" s="1" t="s">
        <v>18947</v>
      </c>
      <c r="K247" s="2" t="s">
        <v>17637</v>
      </c>
    </row>
    <row r="248">
      <c r="A248" s="5" t="s">
        <v>214</v>
      </c>
      <c r="B248" s="5" t="s">
        <v>19259</v>
      </c>
      <c r="C248" s="5" t="s">
        <v>17631</v>
      </c>
      <c r="D248" s="5" t="s">
        <v>17632</v>
      </c>
      <c r="E248" s="15" t="s">
        <v>18996</v>
      </c>
      <c r="F248" s="15" t="s">
        <v>19260</v>
      </c>
      <c r="G248" s="15" t="s">
        <v>14474</v>
      </c>
      <c r="H248" s="1" t="s">
        <v>2252</v>
      </c>
      <c r="I248" s="5" t="s">
        <v>19194</v>
      </c>
      <c r="J248" s="5"/>
      <c r="K248" s="33" t="s">
        <v>17654</v>
      </c>
      <c r="L248" s="5"/>
    </row>
    <row r="249">
      <c r="A249" s="5" t="s">
        <v>733</v>
      </c>
      <c r="B249" s="5" t="s">
        <v>19261</v>
      </c>
      <c r="C249" s="5" t="s">
        <v>17631</v>
      </c>
      <c r="D249" s="5" t="s">
        <v>17632</v>
      </c>
      <c r="E249" s="5" t="s">
        <v>18450</v>
      </c>
      <c r="F249" s="5" t="s">
        <v>19262</v>
      </c>
      <c r="G249" s="5" t="s">
        <v>19263</v>
      </c>
      <c r="H249" s="1" t="s">
        <v>19264</v>
      </c>
      <c r="I249" s="5" t="s">
        <v>18687</v>
      </c>
      <c r="J249" s="5" t="s">
        <v>2252</v>
      </c>
      <c r="K249" s="33" t="s">
        <v>17654</v>
      </c>
    </row>
    <row r="250">
      <c r="A250" s="1" t="s">
        <v>52</v>
      </c>
      <c r="B250" s="1" t="s">
        <v>19265</v>
      </c>
      <c r="C250" s="1" t="s">
        <v>17631</v>
      </c>
      <c r="D250" s="1" t="s">
        <v>18822</v>
      </c>
      <c r="E250" s="190" t="s">
        <v>18823</v>
      </c>
      <c r="F250" s="1" t="s">
        <v>18824</v>
      </c>
      <c r="G250" s="190" t="s">
        <v>18825</v>
      </c>
      <c r="I250" s="5" t="s">
        <v>18794</v>
      </c>
      <c r="J250" s="1"/>
      <c r="K250" s="33" t="s">
        <v>17654</v>
      </c>
      <c r="L250" s="1" t="s">
        <v>18829</v>
      </c>
    </row>
    <row r="251">
      <c r="A251" s="5" t="s">
        <v>430</v>
      </c>
      <c r="B251" s="5" t="s">
        <v>19266</v>
      </c>
      <c r="C251" s="5" t="s">
        <v>17631</v>
      </c>
      <c r="D251" s="5" t="s">
        <v>17632</v>
      </c>
      <c r="E251" s="5" t="s">
        <v>4349</v>
      </c>
      <c r="F251" s="5" t="s">
        <v>19267</v>
      </c>
      <c r="G251" s="5" t="s">
        <v>5865</v>
      </c>
      <c r="I251" s="5" t="s">
        <v>19268</v>
      </c>
      <c r="J251" s="1" t="s">
        <v>1963</v>
      </c>
      <c r="K251" s="2" t="s">
        <v>17637</v>
      </c>
    </row>
    <row r="252">
      <c r="A252" s="1" t="s">
        <v>333</v>
      </c>
      <c r="B252" s="1" t="s">
        <v>17756</v>
      </c>
      <c r="C252" s="1" t="s">
        <v>17631</v>
      </c>
      <c r="D252" s="1" t="s">
        <v>17632</v>
      </c>
      <c r="E252" s="1" t="s">
        <v>19269</v>
      </c>
      <c r="F252" s="1" t="s">
        <v>19270</v>
      </c>
      <c r="G252" s="1" t="s">
        <v>19271</v>
      </c>
      <c r="H252" s="1" t="s">
        <v>19272</v>
      </c>
      <c r="I252" s="1" t="s">
        <v>19273</v>
      </c>
      <c r="K252" s="33" t="s">
        <v>17654</v>
      </c>
    </row>
    <row r="253">
      <c r="A253" s="1" t="s">
        <v>1432</v>
      </c>
      <c r="B253" s="5" t="s">
        <v>19274</v>
      </c>
      <c r="C253" s="1" t="s">
        <v>17631</v>
      </c>
      <c r="D253" s="1" t="s">
        <v>17632</v>
      </c>
      <c r="E253" s="1" t="s">
        <v>19275</v>
      </c>
      <c r="F253" s="1" t="s">
        <v>19276</v>
      </c>
      <c r="G253" s="1" t="s">
        <v>4077</v>
      </c>
      <c r="I253" s="5" t="s">
        <v>19245</v>
      </c>
      <c r="J253" s="1" t="s">
        <v>1963</v>
      </c>
      <c r="K253" s="2" t="s">
        <v>17637</v>
      </c>
    </row>
    <row r="254">
      <c r="A254" s="1" t="s">
        <v>7695</v>
      </c>
      <c r="B254" s="1" t="s">
        <v>19277</v>
      </c>
      <c r="C254" s="1" t="s">
        <v>17631</v>
      </c>
      <c r="D254" s="1" t="s">
        <v>19278</v>
      </c>
      <c r="E254" s="1" t="s">
        <v>19247</v>
      </c>
      <c r="F254" s="1" t="s">
        <v>19279</v>
      </c>
      <c r="G254" s="4" t="s">
        <v>19280</v>
      </c>
      <c r="H254" s="1" t="s">
        <v>2252</v>
      </c>
      <c r="I254" s="5" t="s">
        <v>18280</v>
      </c>
      <c r="K254" s="33" t="s">
        <v>17654</v>
      </c>
      <c r="L254" s="1" t="s">
        <v>19281</v>
      </c>
      <c r="N254" s="1" t="s">
        <v>19282</v>
      </c>
    </row>
    <row r="255">
      <c r="A255" s="1" t="s">
        <v>183</v>
      </c>
      <c r="B255" s="1" t="s">
        <v>19283</v>
      </c>
      <c r="C255" s="1" t="s">
        <v>17631</v>
      </c>
      <c r="D255" s="1" t="s">
        <v>17632</v>
      </c>
      <c r="E255" s="1" t="s">
        <v>19284</v>
      </c>
      <c r="F255" s="1" t="s">
        <v>19285</v>
      </c>
      <c r="G255" s="4" t="s">
        <v>19286</v>
      </c>
      <c r="H255" s="5" t="s">
        <v>2252</v>
      </c>
      <c r="I255" s="1" t="s">
        <v>19287</v>
      </c>
      <c r="K255" s="2" t="s">
        <v>17637</v>
      </c>
    </row>
    <row r="256">
      <c r="A256" s="1" t="s">
        <v>495</v>
      </c>
      <c r="B256" s="1" t="s">
        <v>19288</v>
      </c>
      <c r="C256" s="5" t="s">
        <v>17651</v>
      </c>
      <c r="D256" s="5" t="s">
        <v>19289</v>
      </c>
      <c r="E256" s="5" t="s">
        <v>18582</v>
      </c>
      <c r="F256" s="716" t="s">
        <v>18583</v>
      </c>
      <c r="G256" s="488" t="s">
        <v>18584</v>
      </c>
      <c r="H256" s="1" t="s">
        <v>19290</v>
      </c>
      <c r="I256" s="5" t="s">
        <v>18586</v>
      </c>
      <c r="J256" s="1" t="s">
        <v>19291</v>
      </c>
      <c r="K256" s="33" t="s">
        <v>17654</v>
      </c>
      <c r="L256" s="1" t="s">
        <v>526</v>
      </c>
    </row>
    <row r="257">
      <c r="A257" s="1" t="s">
        <v>1296</v>
      </c>
      <c r="B257" s="1" t="s">
        <v>672</v>
      </c>
      <c r="C257" s="1" t="s">
        <v>17631</v>
      </c>
      <c r="D257" s="1" t="s">
        <v>17632</v>
      </c>
      <c r="E257" s="1" t="s">
        <v>17891</v>
      </c>
      <c r="F257" s="1" t="s">
        <v>19292</v>
      </c>
      <c r="G257" s="4" t="s">
        <v>12425</v>
      </c>
      <c r="I257" s="1" t="s">
        <v>19293</v>
      </c>
      <c r="J257" s="1" t="s">
        <v>19294</v>
      </c>
      <c r="K257" s="33" t="s">
        <v>17654</v>
      </c>
    </row>
    <row r="258">
      <c r="A258" s="1" t="s">
        <v>430</v>
      </c>
      <c r="B258" s="5" t="s">
        <v>684</v>
      </c>
      <c r="C258" s="1" t="s">
        <v>17631</v>
      </c>
      <c r="D258" s="1" t="s">
        <v>17632</v>
      </c>
      <c r="E258" s="4" t="s">
        <v>19295</v>
      </c>
      <c r="F258" s="4" t="s">
        <v>19296</v>
      </c>
      <c r="G258" s="4" t="s">
        <v>19297</v>
      </c>
      <c r="I258" s="1" t="s">
        <v>19298</v>
      </c>
      <c r="J258" s="1" t="s">
        <v>2252</v>
      </c>
      <c r="K258" s="2" t="s">
        <v>17637</v>
      </c>
    </row>
    <row r="259">
      <c r="A259" s="1" t="s">
        <v>1159</v>
      </c>
      <c r="B259" s="5" t="s">
        <v>19299</v>
      </c>
      <c r="C259" s="1" t="s">
        <v>19300</v>
      </c>
      <c r="D259" s="1" t="s">
        <v>17632</v>
      </c>
      <c r="E259" s="1" t="s">
        <v>18096</v>
      </c>
      <c r="F259" s="317" t="s">
        <v>19301</v>
      </c>
      <c r="G259" s="4" t="s">
        <v>18598</v>
      </c>
      <c r="H259" s="1" t="s">
        <v>19302</v>
      </c>
      <c r="I259" s="1" t="s">
        <v>19303</v>
      </c>
      <c r="J259" s="1" t="s">
        <v>2252</v>
      </c>
      <c r="K259" s="33" t="s">
        <v>17654</v>
      </c>
    </row>
    <row r="260">
      <c r="A260" s="1" t="s">
        <v>19304</v>
      </c>
      <c r="B260" s="1" t="s">
        <v>19305</v>
      </c>
      <c r="C260" s="1" t="s">
        <v>17631</v>
      </c>
      <c r="D260" s="1" t="s">
        <v>17944</v>
      </c>
      <c r="E260" s="1" t="s">
        <v>19306</v>
      </c>
      <c r="F260" s="5" t="s">
        <v>19307</v>
      </c>
      <c r="G260" s="4" t="s">
        <v>19308</v>
      </c>
      <c r="H260" s="1" t="s">
        <v>19309</v>
      </c>
      <c r="I260" s="1" t="s">
        <v>19310</v>
      </c>
      <c r="J260" s="5" t="s">
        <v>2252</v>
      </c>
      <c r="K260" s="33" t="s">
        <v>17654</v>
      </c>
    </row>
    <row r="261">
      <c r="A261" s="1" t="s">
        <v>19311</v>
      </c>
      <c r="B261" s="22" t="s">
        <v>19312</v>
      </c>
      <c r="C261" s="1" t="s">
        <v>17631</v>
      </c>
      <c r="D261" s="1" t="s">
        <v>17632</v>
      </c>
      <c r="E261" s="5" t="s">
        <v>19313</v>
      </c>
      <c r="F261" s="1" t="s">
        <v>19314</v>
      </c>
      <c r="G261" s="476" t="s">
        <v>1272</v>
      </c>
      <c r="I261" s="1" t="s">
        <v>19315</v>
      </c>
      <c r="J261" s="1" t="s">
        <v>2406</v>
      </c>
      <c r="K261" s="33" t="s">
        <v>17654</v>
      </c>
    </row>
    <row r="262">
      <c r="A262" s="5" t="s">
        <v>25</v>
      </c>
      <c r="B262" s="5" t="s">
        <v>4386</v>
      </c>
      <c r="C262" s="1" t="s">
        <v>19136</v>
      </c>
      <c r="D262" s="5" t="s">
        <v>17632</v>
      </c>
      <c r="E262" s="5" t="s">
        <v>19316</v>
      </c>
      <c r="F262" s="5" t="s">
        <v>19317</v>
      </c>
      <c r="G262" s="525" t="s">
        <v>19318</v>
      </c>
      <c r="H262" s="1" t="s">
        <v>2252</v>
      </c>
      <c r="I262" s="1" t="s">
        <v>19319</v>
      </c>
      <c r="K262" s="33" t="s">
        <v>17654</v>
      </c>
    </row>
    <row r="263">
      <c r="A263" s="1" t="s">
        <v>2333</v>
      </c>
      <c r="B263" s="1" t="s">
        <v>19320</v>
      </c>
      <c r="C263" s="1" t="s">
        <v>17631</v>
      </c>
      <c r="D263" s="1" t="s">
        <v>17632</v>
      </c>
      <c r="E263" s="1" t="s">
        <v>18145</v>
      </c>
      <c r="F263" s="1" t="s">
        <v>19321</v>
      </c>
      <c r="G263" s="734" t="s">
        <v>19322</v>
      </c>
      <c r="H263" s="1" t="s">
        <v>19323</v>
      </c>
      <c r="I263" s="5" t="s">
        <v>18290</v>
      </c>
      <c r="J263" s="1" t="s">
        <v>19324</v>
      </c>
      <c r="K263" s="33" t="s">
        <v>17654</v>
      </c>
    </row>
    <row r="264">
      <c r="A264" s="1" t="s">
        <v>122</v>
      </c>
      <c r="B264" s="1" t="s">
        <v>408</v>
      </c>
      <c r="C264" s="1" t="s">
        <v>17631</v>
      </c>
      <c r="D264" s="1" t="s">
        <v>17632</v>
      </c>
      <c r="E264" s="1" t="s">
        <v>19325</v>
      </c>
      <c r="F264" s="1" t="s">
        <v>19326</v>
      </c>
      <c r="G264" s="1" t="s">
        <v>19327</v>
      </c>
      <c r="I264" s="5" t="s">
        <v>19328</v>
      </c>
      <c r="J264" s="1" t="s">
        <v>19329</v>
      </c>
      <c r="K264" s="84"/>
    </row>
    <row r="265">
      <c r="A265" s="1" t="s">
        <v>58</v>
      </c>
      <c r="B265" s="1" t="s">
        <v>684</v>
      </c>
      <c r="C265" s="1" t="s">
        <v>17631</v>
      </c>
      <c r="D265" s="1" t="s">
        <v>17632</v>
      </c>
      <c r="E265" s="1" t="s">
        <v>17675</v>
      </c>
      <c r="F265" s="1" t="s">
        <v>19330</v>
      </c>
      <c r="G265" s="4" t="s">
        <v>19331</v>
      </c>
      <c r="H265" s="1" t="s">
        <v>2252</v>
      </c>
      <c r="I265" s="1" t="s">
        <v>19332</v>
      </c>
      <c r="K265" s="2" t="s">
        <v>17637</v>
      </c>
    </row>
    <row r="266">
      <c r="A266" s="1" t="s">
        <v>3527</v>
      </c>
      <c r="B266" s="22" t="s">
        <v>19333</v>
      </c>
      <c r="C266" s="1" t="s">
        <v>17631</v>
      </c>
      <c r="D266" s="1" t="s">
        <v>17632</v>
      </c>
      <c r="E266" s="1" t="s">
        <v>19334</v>
      </c>
      <c r="F266" s="1" t="s">
        <v>19335</v>
      </c>
      <c r="G266" s="1" t="s">
        <v>19336</v>
      </c>
      <c r="I266" s="1" t="s">
        <v>19337</v>
      </c>
      <c r="J266" s="1" t="s">
        <v>2406</v>
      </c>
      <c r="K266" s="33" t="s">
        <v>19338</v>
      </c>
    </row>
    <row r="267">
      <c r="A267" s="1" t="s">
        <v>19339</v>
      </c>
      <c r="B267" s="1" t="s">
        <v>19340</v>
      </c>
      <c r="C267" s="1" t="s">
        <v>17631</v>
      </c>
      <c r="D267" s="1" t="s">
        <v>17632</v>
      </c>
      <c r="E267" s="4" t="s">
        <v>19341</v>
      </c>
      <c r="F267" s="4" t="s">
        <v>19342</v>
      </c>
      <c r="G267" s="4" t="s">
        <v>19343</v>
      </c>
      <c r="H267" s="1" t="s">
        <v>2252</v>
      </c>
      <c r="I267" s="5" t="s">
        <v>19344</v>
      </c>
      <c r="K267" s="33" t="s">
        <v>17654</v>
      </c>
    </row>
    <row r="268">
      <c r="A268" s="1" t="s">
        <v>261</v>
      </c>
      <c r="B268" s="1" t="s">
        <v>19345</v>
      </c>
      <c r="C268" s="1" t="s">
        <v>17631</v>
      </c>
      <c r="D268" s="1" t="s">
        <v>17632</v>
      </c>
      <c r="E268" s="1" t="s">
        <v>19346</v>
      </c>
      <c r="F268" s="1" t="s">
        <v>19347</v>
      </c>
      <c r="G268" s="728" t="s">
        <v>19348</v>
      </c>
      <c r="I268" s="1" t="s">
        <v>19349</v>
      </c>
      <c r="J268" s="22" t="s">
        <v>19350</v>
      </c>
      <c r="K268" s="33"/>
    </row>
    <row r="269">
      <c r="A269" s="1" t="s">
        <v>19351</v>
      </c>
      <c r="B269" s="1" t="s">
        <v>18465</v>
      </c>
      <c r="C269" s="1" t="s">
        <v>17631</v>
      </c>
      <c r="D269" s="4" t="s">
        <v>17632</v>
      </c>
      <c r="E269" s="4" t="s">
        <v>17861</v>
      </c>
      <c r="F269" s="4" t="s">
        <v>19352</v>
      </c>
      <c r="G269" s="4" t="s">
        <v>1309</v>
      </c>
      <c r="I269" s="5" t="s">
        <v>19027</v>
      </c>
      <c r="J269" s="1" t="s">
        <v>2453</v>
      </c>
      <c r="K269" s="33" t="s">
        <v>17654</v>
      </c>
    </row>
    <row r="270">
      <c r="A270" s="1" t="s">
        <v>394</v>
      </c>
      <c r="B270" s="5" t="s">
        <v>19353</v>
      </c>
      <c r="C270" s="1" t="s">
        <v>17631</v>
      </c>
      <c r="D270" s="1" t="s">
        <v>17632</v>
      </c>
      <c r="E270" s="1" t="s">
        <v>19354</v>
      </c>
      <c r="F270" s="1" t="s">
        <v>19355</v>
      </c>
      <c r="G270" s="4" t="s">
        <v>19356</v>
      </c>
      <c r="H270" s="1" t="s">
        <v>19357</v>
      </c>
      <c r="I270" s="1" t="s">
        <v>19358</v>
      </c>
      <c r="J270" s="38" t="s">
        <v>19359</v>
      </c>
      <c r="K270" s="33" t="s">
        <v>17654</v>
      </c>
    </row>
    <row r="271">
      <c r="A271" s="5" t="s">
        <v>271</v>
      </c>
      <c r="B271" s="5" t="s">
        <v>19360</v>
      </c>
      <c r="C271" s="5" t="s">
        <v>17631</v>
      </c>
      <c r="D271" s="5" t="s">
        <v>19361</v>
      </c>
      <c r="E271" s="5" t="s">
        <v>19362</v>
      </c>
      <c r="F271" s="5" t="s">
        <v>19363</v>
      </c>
      <c r="G271" s="5" t="s">
        <v>4290</v>
      </c>
      <c r="H271" s="1" t="s">
        <v>19364</v>
      </c>
      <c r="I271" s="5" t="s">
        <v>19365</v>
      </c>
      <c r="J271" s="1" t="s">
        <v>250</v>
      </c>
      <c r="K271" s="33" t="s">
        <v>17654</v>
      </c>
    </row>
    <row r="272">
      <c r="A272" s="5" t="s">
        <v>81</v>
      </c>
      <c r="B272" s="5" t="s">
        <v>433</v>
      </c>
      <c r="C272" s="5" t="s">
        <v>17631</v>
      </c>
      <c r="D272" s="5" t="s">
        <v>17632</v>
      </c>
      <c r="E272" s="5" t="s">
        <v>18258</v>
      </c>
      <c r="F272" s="5" t="s">
        <v>19366</v>
      </c>
      <c r="G272" s="5" t="s">
        <v>4290</v>
      </c>
      <c r="I272" s="5" t="s">
        <v>19367</v>
      </c>
      <c r="J272" s="22" t="s">
        <v>18714</v>
      </c>
      <c r="K272" s="33" t="s">
        <v>17654</v>
      </c>
    </row>
    <row r="273">
      <c r="A273" s="1" t="s">
        <v>219</v>
      </c>
      <c r="B273" s="1" t="s">
        <v>19368</v>
      </c>
      <c r="C273" s="1" t="s">
        <v>17631</v>
      </c>
      <c r="D273" s="1" t="s">
        <v>17632</v>
      </c>
      <c r="E273" s="1" t="s">
        <v>17876</v>
      </c>
      <c r="F273" s="1" t="s">
        <v>19369</v>
      </c>
      <c r="G273" s="1" t="s">
        <v>19370</v>
      </c>
      <c r="H273" s="1" t="s">
        <v>2252</v>
      </c>
      <c r="I273" s="1" t="s">
        <v>17907</v>
      </c>
      <c r="K273" s="2" t="s">
        <v>17637</v>
      </c>
    </row>
    <row r="274">
      <c r="A274" s="1" t="s">
        <v>7695</v>
      </c>
      <c r="B274" s="5" t="s">
        <v>4386</v>
      </c>
      <c r="C274" s="1" t="s">
        <v>17631</v>
      </c>
      <c r="D274" s="1" t="s">
        <v>19371</v>
      </c>
      <c r="E274" s="1" t="s">
        <v>18210</v>
      </c>
      <c r="F274" s="4" t="s">
        <v>19372</v>
      </c>
      <c r="G274" s="4" t="s">
        <v>13531</v>
      </c>
      <c r="H274" s="1" t="s">
        <v>2252</v>
      </c>
      <c r="I274" s="1" t="s">
        <v>19373</v>
      </c>
      <c r="K274" s="33" t="s">
        <v>17654</v>
      </c>
    </row>
    <row r="275">
      <c r="A275" s="1" t="s">
        <v>31</v>
      </c>
      <c r="B275" s="5" t="s">
        <v>6747</v>
      </c>
      <c r="C275" s="1" t="s">
        <v>17631</v>
      </c>
      <c r="D275" s="1" t="s">
        <v>17632</v>
      </c>
      <c r="E275" s="1" t="s">
        <v>19374</v>
      </c>
      <c r="F275" s="1" t="s">
        <v>17952</v>
      </c>
      <c r="G275" s="1" t="s">
        <v>13247</v>
      </c>
      <c r="H275" s="1" t="s">
        <v>2252</v>
      </c>
      <c r="I275" s="1" t="s">
        <v>19375</v>
      </c>
      <c r="K275" s="33" t="s">
        <v>17654</v>
      </c>
    </row>
    <row r="276">
      <c r="A276" s="5" t="s">
        <v>283</v>
      </c>
      <c r="B276" s="5" t="s">
        <v>19376</v>
      </c>
      <c r="C276" s="5" t="s">
        <v>17631</v>
      </c>
      <c r="D276" s="5" t="s">
        <v>17632</v>
      </c>
      <c r="E276" s="15" t="s">
        <v>18378</v>
      </c>
      <c r="F276" s="15" t="s">
        <v>19377</v>
      </c>
      <c r="G276" s="15" t="s">
        <v>19378</v>
      </c>
      <c r="I276" s="5" t="s">
        <v>17935</v>
      </c>
      <c r="J276" s="5" t="s">
        <v>19379</v>
      </c>
      <c r="K276" s="33" t="s">
        <v>17654</v>
      </c>
      <c r="L276" s="8"/>
    </row>
    <row r="277">
      <c r="A277" s="1" t="s">
        <v>876</v>
      </c>
      <c r="B277" s="5" t="s">
        <v>684</v>
      </c>
      <c r="C277" s="1" t="s">
        <v>17631</v>
      </c>
      <c r="D277" s="1" t="s">
        <v>19380</v>
      </c>
      <c r="E277" s="1" t="s">
        <v>19381</v>
      </c>
      <c r="F277" s="1" t="s">
        <v>19382</v>
      </c>
      <c r="G277" s="1" t="s">
        <v>19383</v>
      </c>
      <c r="H277" s="1" t="s">
        <v>2252</v>
      </c>
      <c r="I277" s="5" t="s">
        <v>19384</v>
      </c>
      <c r="K277" s="33"/>
    </row>
    <row r="278">
      <c r="A278" s="1" t="s">
        <v>19385</v>
      </c>
      <c r="B278" s="1" t="s">
        <v>19386</v>
      </c>
      <c r="C278" s="1" t="s">
        <v>17631</v>
      </c>
      <c r="D278" s="1" t="s">
        <v>17632</v>
      </c>
      <c r="E278" s="1" t="s">
        <v>19387</v>
      </c>
      <c r="F278" s="1" t="s">
        <v>19388</v>
      </c>
      <c r="G278" s="728" t="s">
        <v>19389</v>
      </c>
      <c r="H278" s="1" t="s">
        <v>19390</v>
      </c>
      <c r="I278" s="5" t="s">
        <v>19391</v>
      </c>
      <c r="J278" s="5"/>
      <c r="K278" s="2" t="s">
        <v>17637</v>
      </c>
    </row>
    <row r="279">
      <c r="A279" s="5" t="s">
        <v>19392</v>
      </c>
      <c r="B279" s="5" t="s">
        <v>524</v>
      </c>
      <c r="C279" s="5" t="s">
        <v>17651</v>
      </c>
      <c r="D279" s="5" t="s">
        <v>17632</v>
      </c>
      <c r="E279" s="5" t="s">
        <v>19393</v>
      </c>
      <c r="F279" s="5" t="s">
        <v>19394</v>
      </c>
      <c r="G279" s="5" t="s">
        <v>19395</v>
      </c>
      <c r="H279" s="38" t="s">
        <v>4051</v>
      </c>
      <c r="I279" s="5" t="s">
        <v>19396</v>
      </c>
      <c r="K279" s="33"/>
    </row>
    <row r="280">
      <c r="A280" s="1" t="s">
        <v>19397</v>
      </c>
      <c r="B280" s="22" t="s">
        <v>19398</v>
      </c>
      <c r="C280" s="1" t="s">
        <v>17631</v>
      </c>
      <c r="D280" s="1" t="s">
        <v>19399</v>
      </c>
      <c r="E280" s="1" t="s">
        <v>19400</v>
      </c>
      <c r="F280" s="1" t="s">
        <v>19394</v>
      </c>
      <c r="G280" s="1" t="s">
        <v>3562</v>
      </c>
      <c r="H280" s="38" t="s">
        <v>4051</v>
      </c>
      <c r="I280" s="1" t="s">
        <v>19396</v>
      </c>
      <c r="K280" s="2" t="s">
        <v>17637</v>
      </c>
    </row>
    <row r="281">
      <c r="A281" s="1" t="s">
        <v>1264</v>
      </c>
      <c r="B281" s="22" t="s">
        <v>19401</v>
      </c>
      <c r="C281" s="1" t="s">
        <v>17631</v>
      </c>
      <c r="D281" s="1" t="s">
        <v>17632</v>
      </c>
      <c r="E281" s="1" t="s">
        <v>19402</v>
      </c>
      <c r="F281" s="525" t="s">
        <v>19403</v>
      </c>
      <c r="G281" s="1" t="s">
        <v>19404</v>
      </c>
      <c r="H281" s="1" t="s">
        <v>19405</v>
      </c>
      <c r="I281" s="5" t="s">
        <v>18068</v>
      </c>
      <c r="J281" s="1" t="s">
        <v>2406</v>
      </c>
      <c r="K281" s="2" t="s">
        <v>17637</v>
      </c>
    </row>
    <row r="282">
      <c r="A282" s="1" t="s">
        <v>354</v>
      </c>
      <c r="B282" s="1" t="s">
        <v>50</v>
      </c>
      <c r="C282" s="1" t="s">
        <v>17631</v>
      </c>
      <c r="D282" s="1" t="s">
        <v>17632</v>
      </c>
      <c r="G282" s="34" t="s">
        <v>132</v>
      </c>
      <c r="I282" s="1" t="s">
        <v>19406</v>
      </c>
      <c r="K282" s="2" t="s">
        <v>17637</v>
      </c>
    </row>
    <row r="283">
      <c r="A283" s="5" t="s">
        <v>19407</v>
      </c>
      <c r="B283" s="1" t="s">
        <v>15325</v>
      </c>
      <c r="C283" s="1" t="s">
        <v>17631</v>
      </c>
      <c r="D283" s="1" t="s">
        <v>17632</v>
      </c>
      <c r="E283" s="1" t="s">
        <v>19408</v>
      </c>
      <c r="F283" s="1" t="s">
        <v>19409</v>
      </c>
      <c r="G283" s="1" t="s">
        <v>3562</v>
      </c>
      <c r="H283" s="38" t="s">
        <v>4051</v>
      </c>
      <c r="I283" s="1" t="s">
        <v>19232</v>
      </c>
      <c r="K283" s="2" t="s">
        <v>17637</v>
      </c>
    </row>
    <row r="284">
      <c r="A284" s="1" t="s">
        <v>755</v>
      </c>
      <c r="B284" s="1" t="s">
        <v>19410</v>
      </c>
      <c r="C284" s="1" t="s">
        <v>17631</v>
      </c>
      <c r="D284" s="1" t="s">
        <v>17632</v>
      </c>
      <c r="E284" s="1" t="s">
        <v>19411</v>
      </c>
      <c r="F284" s="1" t="s">
        <v>19412</v>
      </c>
      <c r="G284" s="1" t="s">
        <v>3562</v>
      </c>
      <c r="H284" s="38" t="s">
        <v>4051</v>
      </c>
      <c r="I284" s="1" t="s">
        <v>18454</v>
      </c>
      <c r="J284" s="1" t="s">
        <v>2102</v>
      </c>
      <c r="K284" s="33" t="s">
        <v>17654</v>
      </c>
    </row>
    <row r="285">
      <c r="A285" s="1" t="s">
        <v>19413</v>
      </c>
      <c r="B285" s="1" t="s">
        <v>19414</v>
      </c>
      <c r="C285" s="1" t="s">
        <v>17631</v>
      </c>
      <c r="D285" s="1" t="s">
        <v>17632</v>
      </c>
      <c r="E285" s="1" t="s">
        <v>17658</v>
      </c>
      <c r="F285" s="1" t="s">
        <v>19415</v>
      </c>
      <c r="G285" s="1" t="s">
        <v>19416</v>
      </c>
      <c r="H285" s="1" t="s">
        <v>2252</v>
      </c>
      <c r="I285" s="5" t="s">
        <v>17737</v>
      </c>
      <c r="K285" s="33" t="s">
        <v>17654</v>
      </c>
    </row>
    <row r="286">
      <c r="A286" s="1" t="s">
        <v>14937</v>
      </c>
      <c r="B286" s="22" t="s">
        <v>19417</v>
      </c>
      <c r="C286" s="1" t="s">
        <v>17631</v>
      </c>
      <c r="D286" s="1" t="s">
        <v>19380</v>
      </c>
      <c r="E286" s="1" t="s">
        <v>19418</v>
      </c>
      <c r="F286" s="1" t="s">
        <v>19419</v>
      </c>
      <c r="G286" s="4" t="s">
        <v>14938</v>
      </c>
      <c r="H286" s="1" t="s">
        <v>19420</v>
      </c>
      <c r="I286" s="5" t="s">
        <v>19421</v>
      </c>
      <c r="J286" s="1" t="s">
        <v>18567</v>
      </c>
      <c r="K286" s="2" t="s">
        <v>17637</v>
      </c>
    </row>
    <row r="287">
      <c r="A287" s="1" t="s">
        <v>2385</v>
      </c>
      <c r="B287" s="22" t="s">
        <v>19422</v>
      </c>
      <c r="C287" s="1" t="s">
        <v>17631</v>
      </c>
      <c r="D287" s="1" t="s">
        <v>17632</v>
      </c>
      <c r="E287" s="1" t="s">
        <v>19411</v>
      </c>
      <c r="F287" s="525" t="s">
        <v>19423</v>
      </c>
      <c r="G287" s="728" t="s">
        <v>19424</v>
      </c>
      <c r="I287" s="1" t="s">
        <v>19425</v>
      </c>
      <c r="J287" s="1" t="s">
        <v>18546</v>
      </c>
      <c r="K287" s="33" t="s">
        <v>17654</v>
      </c>
    </row>
    <row r="288">
      <c r="A288" s="1" t="s">
        <v>91</v>
      </c>
      <c r="B288" s="22" t="s">
        <v>19426</v>
      </c>
      <c r="C288" s="1" t="s">
        <v>17651</v>
      </c>
      <c r="D288" s="1" t="s">
        <v>17632</v>
      </c>
      <c r="E288" s="1" t="s">
        <v>19427</v>
      </c>
      <c r="F288" s="1" t="s">
        <v>19428</v>
      </c>
      <c r="G288" s="1" t="s">
        <v>19429</v>
      </c>
      <c r="I288" s="5" t="s">
        <v>19430</v>
      </c>
      <c r="J288" s="1" t="s">
        <v>3052</v>
      </c>
      <c r="K288" s="33" t="s">
        <v>17654</v>
      </c>
    </row>
    <row r="297">
      <c r="A297" s="33" t="s">
        <v>219</v>
      </c>
      <c r="B297" s="33" t="s">
        <v>19431</v>
      </c>
      <c r="C297" s="33" t="s">
        <v>17651</v>
      </c>
      <c r="D297" s="33" t="s">
        <v>17632</v>
      </c>
      <c r="E297" s="33" t="s">
        <v>17905</v>
      </c>
      <c r="F297" s="33" t="s">
        <v>19432</v>
      </c>
      <c r="G297" s="33" t="s">
        <v>18802</v>
      </c>
      <c r="H297" s="33" t="s">
        <v>18804</v>
      </c>
      <c r="I297" s="33" t="s">
        <v>19433</v>
      </c>
      <c r="J297" s="84"/>
      <c r="K297" s="33" t="s">
        <v>17654</v>
      </c>
    </row>
    <row r="298">
      <c r="A298" s="33" t="s">
        <v>183</v>
      </c>
      <c r="B298" s="33" t="s">
        <v>19434</v>
      </c>
      <c r="C298" s="33" t="s">
        <v>17651</v>
      </c>
      <c r="D298" s="33" t="s">
        <v>17632</v>
      </c>
      <c r="E298" s="735" t="s">
        <v>19435</v>
      </c>
      <c r="F298" s="736" t="s">
        <v>19436</v>
      </c>
      <c r="G298" s="737" t="s">
        <v>13749</v>
      </c>
      <c r="H298" s="33" t="s">
        <v>19437</v>
      </c>
      <c r="I298" s="33" t="s">
        <v>19438</v>
      </c>
      <c r="J298" s="33"/>
      <c r="K298" s="84"/>
      <c r="L298" s="737"/>
    </row>
    <row r="299">
      <c r="A299" s="33" t="s">
        <v>246</v>
      </c>
      <c r="B299" s="33" t="s">
        <v>6571</v>
      </c>
      <c r="C299" s="685" t="s">
        <v>17631</v>
      </c>
      <c r="D299" s="33" t="s">
        <v>17632</v>
      </c>
      <c r="E299" s="738" t="s">
        <v>19439</v>
      </c>
      <c r="F299" s="738" t="s">
        <v>19440</v>
      </c>
      <c r="G299" s="738" t="s">
        <v>19441</v>
      </c>
      <c r="H299" s="682"/>
      <c r="I299" s="33" t="s">
        <v>288</v>
      </c>
      <c r="J299" s="33" t="s">
        <v>18059</v>
      </c>
      <c r="K299" s="33" t="s">
        <v>16027</v>
      </c>
      <c r="L299" s="685" t="s">
        <v>19442</v>
      </c>
      <c r="M299" s="18"/>
    </row>
    <row r="300">
      <c r="A300" s="33" t="s">
        <v>219</v>
      </c>
      <c r="B300" s="33" t="s">
        <v>19443</v>
      </c>
      <c r="C300" s="33" t="s">
        <v>17651</v>
      </c>
      <c r="D300" s="33" t="s">
        <v>17632</v>
      </c>
      <c r="E300" s="33" t="s">
        <v>18258</v>
      </c>
      <c r="F300" s="33" t="s">
        <v>19444</v>
      </c>
      <c r="G300" s="33" t="s">
        <v>19445</v>
      </c>
      <c r="H300" s="33" t="s">
        <v>19446</v>
      </c>
      <c r="I300" s="737" t="s">
        <v>19447</v>
      </c>
      <c r="J300" s="33" t="s">
        <v>19448</v>
      </c>
      <c r="K300" s="33" t="s">
        <v>17654</v>
      </c>
      <c r="L300" s="33" t="s">
        <v>19449</v>
      </c>
      <c r="M300" s="84"/>
      <c r="N300" s="1" t="s">
        <v>19450</v>
      </c>
    </row>
    <row r="301">
      <c r="A301" s="33" t="s">
        <v>25</v>
      </c>
      <c r="B301" s="1" t="s">
        <v>19451</v>
      </c>
      <c r="C301" s="5" t="s">
        <v>17651</v>
      </c>
      <c r="D301" s="1" t="s">
        <v>19452</v>
      </c>
      <c r="E301" s="1" t="s">
        <v>4328</v>
      </c>
      <c r="F301" s="1" t="s">
        <v>19453</v>
      </c>
      <c r="G301" s="1" t="s">
        <v>396</v>
      </c>
      <c r="H301" s="33" t="s">
        <v>19454</v>
      </c>
      <c r="I301" s="1" t="s">
        <v>19455</v>
      </c>
      <c r="J301" s="1" t="s">
        <v>19456</v>
      </c>
      <c r="K301" s="2" t="s">
        <v>17637</v>
      </c>
      <c r="L301" s="22" t="s">
        <v>19457</v>
      </c>
    </row>
    <row r="302">
      <c r="A302" s="33" t="s">
        <v>19458</v>
      </c>
      <c r="B302" s="5" t="s">
        <v>19459</v>
      </c>
      <c r="C302" s="5" t="s">
        <v>17651</v>
      </c>
      <c r="D302" s="5" t="s">
        <v>17632</v>
      </c>
      <c r="E302" s="5" t="s">
        <v>19460</v>
      </c>
      <c r="F302" s="5" t="s">
        <v>18571</v>
      </c>
      <c r="G302" s="5" t="s">
        <v>1309</v>
      </c>
      <c r="H302" s="5" t="s">
        <v>19461</v>
      </c>
      <c r="I302" s="5" t="s">
        <v>19462</v>
      </c>
      <c r="J302" s="33" t="s">
        <v>19463</v>
      </c>
      <c r="K302" s="5"/>
    </row>
    <row r="303">
      <c r="A303" s="33" t="s">
        <v>19464</v>
      </c>
      <c r="B303" s="5" t="s">
        <v>19465</v>
      </c>
      <c r="C303" s="5" t="s">
        <v>17651</v>
      </c>
      <c r="D303" s="5" t="s">
        <v>17632</v>
      </c>
      <c r="E303" s="5" t="s">
        <v>19460</v>
      </c>
      <c r="F303" s="5" t="s">
        <v>19466</v>
      </c>
      <c r="G303" s="5" t="s">
        <v>1309</v>
      </c>
      <c r="H303" s="5" t="s">
        <v>19461</v>
      </c>
      <c r="I303" s="5" t="s">
        <v>19462</v>
      </c>
      <c r="J303" s="33" t="s">
        <v>19463</v>
      </c>
    </row>
    <row r="304">
      <c r="A304" s="685" t="s">
        <v>85</v>
      </c>
      <c r="B304" s="739" t="s">
        <v>6433</v>
      </c>
      <c r="C304" s="739" t="s">
        <v>17651</v>
      </c>
      <c r="D304" s="51" t="s">
        <v>17632</v>
      </c>
      <c r="E304" s="18"/>
      <c r="F304" s="51" t="s">
        <v>19467</v>
      </c>
      <c r="G304" s="18"/>
      <c r="H304" s="51" t="s">
        <v>19468</v>
      </c>
      <c r="I304" s="18"/>
      <c r="J304" s="51" t="s">
        <v>18063</v>
      </c>
      <c r="K304" s="682"/>
    </row>
    <row r="305">
      <c r="A305" s="685" t="s">
        <v>271</v>
      </c>
      <c r="B305" s="739" t="s">
        <v>19469</v>
      </c>
      <c r="C305" s="739" t="s">
        <v>17651</v>
      </c>
      <c r="D305" s="51" t="s">
        <v>17632</v>
      </c>
      <c r="E305" s="18"/>
      <c r="F305" s="51" t="s">
        <v>19470</v>
      </c>
      <c r="G305" s="18"/>
      <c r="H305" s="51" t="s">
        <v>19468</v>
      </c>
      <c r="I305" s="18"/>
      <c r="J305" s="51" t="s">
        <v>19471</v>
      </c>
      <c r="K305" s="682"/>
    </row>
    <row r="306">
      <c r="A306" s="33" t="s">
        <v>266</v>
      </c>
      <c r="B306" s="33" t="s">
        <v>9748</v>
      </c>
      <c r="C306" s="33" t="s">
        <v>17631</v>
      </c>
      <c r="D306" s="33" t="s">
        <v>17632</v>
      </c>
      <c r="E306" s="33" t="s">
        <v>19472</v>
      </c>
      <c r="F306" s="33" t="s">
        <v>19473</v>
      </c>
      <c r="G306" s="33" t="s">
        <v>4240</v>
      </c>
      <c r="H306" s="33" t="s">
        <v>18375</v>
      </c>
      <c r="I306" s="33" t="s">
        <v>19474</v>
      </c>
      <c r="J306" s="84"/>
      <c r="K306" s="33"/>
    </row>
    <row r="307">
      <c r="A307" s="737" t="s">
        <v>246</v>
      </c>
      <c r="B307" s="33" t="s">
        <v>19475</v>
      </c>
      <c r="C307" s="33" t="s">
        <v>17631</v>
      </c>
      <c r="D307" s="737" t="s">
        <v>17632</v>
      </c>
      <c r="E307" s="737" t="s">
        <v>19476</v>
      </c>
      <c r="F307" s="737" t="s">
        <v>19477</v>
      </c>
      <c r="G307" s="737" t="s">
        <v>19478</v>
      </c>
      <c r="H307" s="33" t="s">
        <v>19479</v>
      </c>
      <c r="I307" s="33" t="s">
        <v>19480</v>
      </c>
      <c r="J307" s="84"/>
      <c r="K307" s="33"/>
      <c r="L307" s="84"/>
    </row>
    <row r="308">
      <c r="A308" s="33" t="s">
        <v>246</v>
      </c>
      <c r="B308" s="33" t="s">
        <v>19481</v>
      </c>
      <c r="C308" s="33" t="s">
        <v>17631</v>
      </c>
      <c r="D308" s="737" t="s">
        <v>19482</v>
      </c>
      <c r="E308" s="737" t="s">
        <v>19483</v>
      </c>
      <c r="F308" s="737" t="s">
        <v>15832</v>
      </c>
      <c r="G308" s="737" t="s">
        <v>18999</v>
      </c>
      <c r="H308" s="33" t="s">
        <v>19116</v>
      </c>
      <c r="I308" s="737" t="s">
        <v>19484</v>
      </c>
      <c r="J308" s="84"/>
      <c r="K308" s="33"/>
      <c r="L308" s="33" t="s">
        <v>19485</v>
      </c>
    </row>
    <row r="309">
      <c r="A309" s="33" t="s">
        <v>81</v>
      </c>
      <c r="B309" s="33" t="s">
        <v>19486</v>
      </c>
      <c r="C309" s="33" t="s">
        <v>17631</v>
      </c>
      <c r="D309" s="33" t="s">
        <v>17632</v>
      </c>
      <c r="E309" s="33" t="s">
        <v>17876</v>
      </c>
      <c r="F309" s="33" t="s">
        <v>19152</v>
      </c>
      <c r="G309" s="33" t="s">
        <v>18964</v>
      </c>
      <c r="H309" s="33" t="s">
        <v>244</v>
      </c>
      <c r="I309" s="33" t="s">
        <v>19239</v>
      </c>
      <c r="J309" s="84"/>
      <c r="K309" s="33"/>
      <c r="L309" s="33" t="s">
        <v>19485</v>
      </c>
    </row>
    <row r="310">
      <c r="A310" s="33" t="s">
        <v>19487</v>
      </c>
      <c r="B310" s="5" t="s">
        <v>19488</v>
      </c>
      <c r="C310" s="1" t="s">
        <v>17943</v>
      </c>
      <c r="D310" s="1" t="s">
        <v>17632</v>
      </c>
      <c r="E310" s="1" t="s">
        <v>19489</v>
      </c>
      <c r="F310" s="1" t="s">
        <v>19490</v>
      </c>
      <c r="G310" s="525" t="s">
        <v>19491</v>
      </c>
      <c r="H310" s="1" t="s">
        <v>2252</v>
      </c>
      <c r="I310" s="1" t="s">
        <v>19492</v>
      </c>
      <c r="K310" s="33"/>
      <c r="L310" s="1" t="s">
        <v>19493</v>
      </c>
    </row>
    <row r="311">
      <c r="A311" s="45" t="s">
        <v>876</v>
      </c>
      <c r="B311" s="45" t="s">
        <v>560</v>
      </c>
      <c r="C311" s="45" t="s">
        <v>17651</v>
      </c>
      <c r="D311" s="45" t="s">
        <v>17632</v>
      </c>
      <c r="E311" s="45" t="s">
        <v>19494</v>
      </c>
      <c r="F311" s="45" t="s">
        <v>4309</v>
      </c>
      <c r="G311" s="685" t="s">
        <v>19495</v>
      </c>
      <c r="H311" s="45" t="s">
        <v>19496</v>
      </c>
      <c r="I311" s="1" t="s">
        <v>16034</v>
      </c>
      <c r="J311" s="45" t="s">
        <v>17752</v>
      </c>
      <c r="K311" s="33" t="s">
        <v>17654</v>
      </c>
      <c r="M311" s="18"/>
    </row>
    <row r="312">
      <c r="A312" s="5" t="s">
        <v>25</v>
      </c>
      <c r="B312" s="33" t="s">
        <v>19497</v>
      </c>
      <c r="C312" s="5" t="s">
        <v>17651</v>
      </c>
      <c r="D312" s="5" t="s">
        <v>17632</v>
      </c>
      <c r="E312" s="4" t="s">
        <v>17983</v>
      </c>
      <c r="F312" s="4" t="s">
        <v>17819</v>
      </c>
      <c r="G312" s="695" t="s">
        <v>19498</v>
      </c>
      <c r="H312" s="22"/>
      <c r="I312" s="5" t="s">
        <v>19499</v>
      </c>
      <c r="J312" s="4"/>
      <c r="K312" s="4"/>
      <c r="L312" s="4"/>
    </row>
    <row r="313">
      <c r="A313" s="22" t="s">
        <v>19500</v>
      </c>
      <c r="B313" s="22" t="s">
        <v>19501</v>
      </c>
      <c r="C313" s="22" t="s">
        <v>17651</v>
      </c>
      <c r="D313" s="22" t="s">
        <v>18010</v>
      </c>
      <c r="E313" s="22" t="s">
        <v>18011</v>
      </c>
      <c r="F313" s="22" t="s">
        <v>18012</v>
      </c>
      <c r="G313" s="695" t="s">
        <v>19502</v>
      </c>
      <c r="H313" s="22" t="s">
        <v>17677</v>
      </c>
      <c r="I313" s="22" t="s">
        <v>19503</v>
      </c>
      <c r="J313" s="22" t="s">
        <v>17663</v>
      </c>
      <c r="K313" s="22" t="s">
        <v>17654</v>
      </c>
    </row>
    <row r="314">
      <c r="A314" s="5" t="s">
        <v>166</v>
      </c>
      <c r="B314" s="22" t="s">
        <v>19504</v>
      </c>
      <c r="C314" s="1" t="s">
        <v>17631</v>
      </c>
      <c r="D314" s="1" t="s">
        <v>17632</v>
      </c>
      <c r="E314" s="1" t="s">
        <v>17713</v>
      </c>
      <c r="F314" s="4" t="s">
        <v>17714</v>
      </c>
      <c r="G314" s="5" t="s">
        <v>19505</v>
      </c>
      <c r="H314" s="1" t="s">
        <v>17687</v>
      </c>
      <c r="I314" s="1" t="s">
        <v>19506</v>
      </c>
      <c r="J314" s="5" t="s">
        <v>19507</v>
      </c>
      <c r="K314" s="84"/>
    </row>
    <row r="315">
      <c r="A315" s="45" t="s">
        <v>19508</v>
      </c>
      <c r="B315" s="690" t="s">
        <v>19509</v>
      </c>
      <c r="C315" s="45" t="s">
        <v>17651</v>
      </c>
      <c r="D315" s="45" t="s">
        <v>17632</v>
      </c>
      <c r="E315" s="45" t="s">
        <v>19510</v>
      </c>
      <c r="F315" s="525" t="s">
        <v>19511</v>
      </c>
      <c r="G315" s="740" t="s">
        <v>19502</v>
      </c>
      <c r="H315" s="45" t="s">
        <v>19512</v>
      </c>
      <c r="I315" s="1" t="s">
        <v>1672</v>
      </c>
      <c r="J315" s="45" t="s">
        <v>19513</v>
      </c>
      <c r="K315" s="5" t="s">
        <v>16206</v>
      </c>
      <c r="L315" s="8"/>
      <c r="M315" s="34"/>
    </row>
    <row r="316">
      <c r="A316" s="5" t="s">
        <v>19514</v>
      </c>
      <c r="B316" s="22" t="s">
        <v>19515</v>
      </c>
      <c r="C316" s="5" t="s">
        <v>17651</v>
      </c>
      <c r="D316" s="5" t="s">
        <v>17632</v>
      </c>
      <c r="E316" s="4" t="s">
        <v>17861</v>
      </c>
      <c r="F316" s="4" t="s">
        <v>17862</v>
      </c>
      <c r="H316" s="1" t="s">
        <v>19516</v>
      </c>
      <c r="I316" s="5" t="s">
        <v>17863</v>
      </c>
      <c r="J316" s="1" t="s">
        <v>17663</v>
      </c>
      <c r="K316" s="33" t="s">
        <v>17654</v>
      </c>
    </row>
    <row r="317">
      <c r="A317" s="681" t="s">
        <v>28</v>
      </c>
      <c r="B317" s="690" t="s">
        <v>4262</v>
      </c>
      <c r="C317" s="690" t="s">
        <v>17651</v>
      </c>
      <c r="D317" s="681" t="s">
        <v>17632</v>
      </c>
      <c r="E317" s="681" t="s">
        <v>19510</v>
      </c>
      <c r="F317" s="681" t="s">
        <v>19517</v>
      </c>
      <c r="G317" s="22" t="s">
        <v>19518</v>
      </c>
      <c r="H317" s="24"/>
      <c r="I317" s="22" t="s">
        <v>18065</v>
      </c>
      <c r="J317" s="22" t="s">
        <v>18275</v>
      </c>
      <c r="K317" s="22" t="s">
        <v>18064</v>
      </c>
      <c r="L317" s="22" t="s">
        <v>17654</v>
      </c>
      <c r="M317" s="681"/>
      <c r="N317" s="681"/>
    </row>
  </sheetData>
  <hyperlinks>
    <hyperlink r:id="rId1" ref="G42"/>
    <hyperlink r:id="rId2" ref="G216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31.13"/>
    <col customWidth="1" min="7" max="7" width="20.75"/>
    <col customWidth="1" min="11" max="11" width="6.13"/>
    <col customWidth="1" min="12" max="12" width="6.63"/>
    <col customWidth="1" min="13" max="13" width="8.88"/>
    <col customWidth="1" min="14" max="14" width="6.63"/>
    <col customWidth="1" min="15" max="16" width="17.63"/>
    <col customWidth="1" min="18" max="18" width="26.88"/>
    <col customWidth="1" min="19" max="19" width="12.63"/>
    <col customWidth="1" min="20" max="20" width="25.38"/>
    <col customWidth="1" min="21" max="21" width="15.63"/>
    <col customWidth="1" min="23" max="23" width="17.38"/>
    <col customWidth="1" min="24" max="24" width="19.88"/>
    <col customWidth="1" min="25" max="25" width="10.38"/>
  </cols>
  <sheetData>
    <row r="1">
      <c r="A1" s="22" t="s">
        <v>19519</v>
      </c>
      <c r="B1" s="22" t="s">
        <v>19520</v>
      </c>
      <c r="C1" s="22" t="s">
        <v>19521</v>
      </c>
      <c r="D1" s="22" t="s">
        <v>19522</v>
      </c>
      <c r="E1" s="22" t="s">
        <v>19523</v>
      </c>
      <c r="F1" s="22" t="s">
        <v>19524</v>
      </c>
      <c r="G1" s="731" t="s">
        <v>17614</v>
      </c>
      <c r="H1" s="22" t="s">
        <v>19525</v>
      </c>
      <c r="P1" s="190"/>
    </row>
    <row r="2">
      <c r="A2" s="741">
        <v>45581.0</v>
      </c>
      <c r="B2" s="742">
        <v>0.5833333333333334</v>
      </c>
      <c r="C2" s="743" t="s">
        <v>19526</v>
      </c>
      <c r="D2" s="743" t="s">
        <v>19527</v>
      </c>
      <c r="E2" s="743">
        <v>96.0</v>
      </c>
      <c r="F2" s="744" t="s">
        <v>19528</v>
      </c>
      <c r="G2" s="743" t="s">
        <v>19528</v>
      </c>
      <c r="H2" s="745">
        <f>SUM(E2:E2963)</f>
        <v>156.4</v>
      </c>
    </row>
    <row r="3">
      <c r="A3" s="746">
        <v>45580.0</v>
      </c>
      <c r="B3" s="742">
        <v>0.7291666666666666</v>
      </c>
      <c r="C3" s="743" t="s">
        <v>19529</v>
      </c>
      <c r="D3" s="743" t="s">
        <v>19530</v>
      </c>
      <c r="E3" s="743">
        <v>45.0</v>
      </c>
      <c r="F3" s="744" t="s">
        <v>19528</v>
      </c>
      <c r="G3" s="743" t="s">
        <v>19528</v>
      </c>
    </row>
    <row r="4">
      <c r="A4" s="741">
        <v>45578.0</v>
      </c>
      <c r="B4" s="747" t="s">
        <v>19531</v>
      </c>
      <c r="C4" s="743" t="s">
        <v>19531</v>
      </c>
      <c r="D4" s="743" t="s">
        <v>19532</v>
      </c>
      <c r="E4" s="743">
        <v>85.0</v>
      </c>
      <c r="F4" s="744" t="s">
        <v>19528</v>
      </c>
      <c r="G4" s="743" t="s">
        <v>19528</v>
      </c>
    </row>
    <row r="5">
      <c r="A5" s="741">
        <v>45576.0</v>
      </c>
      <c r="B5" s="748"/>
      <c r="C5" s="743" t="s">
        <v>19533</v>
      </c>
      <c r="D5" s="743" t="s">
        <v>19528</v>
      </c>
      <c r="E5" s="743">
        <v>50.0</v>
      </c>
      <c r="F5" s="744" t="s">
        <v>19528</v>
      </c>
      <c r="G5" s="743" t="s">
        <v>19528</v>
      </c>
    </row>
    <row r="6">
      <c r="A6" s="741">
        <v>45583.0</v>
      </c>
      <c r="B6" s="748"/>
      <c r="C6" s="743" t="s">
        <v>19534</v>
      </c>
      <c r="D6" s="743" t="s">
        <v>19528</v>
      </c>
      <c r="E6" s="38">
        <v>-350.0</v>
      </c>
      <c r="F6" s="744" t="s">
        <v>19528</v>
      </c>
      <c r="G6" s="743" t="s">
        <v>19528</v>
      </c>
    </row>
    <row r="7">
      <c r="A7" s="741">
        <v>45583.0</v>
      </c>
      <c r="B7" s="748"/>
      <c r="C7" s="743" t="s">
        <v>19535</v>
      </c>
      <c r="D7" s="743" t="s">
        <v>19528</v>
      </c>
      <c r="E7" s="38">
        <v>75.0</v>
      </c>
      <c r="F7" s="38" t="s">
        <v>19528</v>
      </c>
      <c r="G7" s="743" t="s">
        <v>19528</v>
      </c>
      <c r="O7" s="1" t="s">
        <v>19536</v>
      </c>
    </row>
    <row r="8">
      <c r="A8" s="749">
        <v>45578.0</v>
      </c>
      <c r="B8" s="750">
        <v>0.5833333333333334</v>
      </c>
      <c r="C8" s="743" t="s">
        <v>19537</v>
      </c>
      <c r="D8" s="743" t="s">
        <v>18460</v>
      </c>
      <c r="E8" s="743">
        <v>90.0</v>
      </c>
      <c r="F8" s="744" t="s">
        <v>12473</v>
      </c>
      <c r="G8" s="751"/>
    </row>
    <row r="9">
      <c r="A9" s="749">
        <v>45587.0</v>
      </c>
      <c r="B9" s="750">
        <v>0.6666666666666666</v>
      </c>
      <c r="C9" s="743" t="s">
        <v>19538</v>
      </c>
      <c r="D9" s="743" t="s">
        <v>19539</v>
      </c>
      <c r="E9" s="743">
        <v>55.0</v>
      </c>
      <c r="F9" s="752"/>
      <c r="G9" s="743" t="s">
        <v>19540</v>
      </c>
    </row>
    <row r="10">
      <c r="A10" s="749">
        <v>45587.0</v>
      </c>
      <c r="B10" s="750">
        <v>0.7395833333333334</v>
      </c>
      <c r="C10" s="743" t="s">
        <v>18001</v>
      </c>
      <c r="D10" s="753" t="s">
        <v>19541</v>
      </c>
      <c r="E10" s="743">
        <v>365.0</v>
      </c>
      <c r="F10" s="744" t="s">
        <v>19542</v>
      </c>
      <c r="G10" s="754" t="s">
        <v>13418</v>
      </c>
    </row>
    <row r="11">
      <c r="A11" s="749">
        <v>45588.0</v>
      </c>
      <c r="B11" s="750">
        <v>0.5833333333333334</v>
      </c>
      <c r="C11" s="743" t="s">
        <v>19543</v>
      </c>
      <c r="D11" s="743" t="s">
        <v>19544</v>
      </c>
      <c r="E11" s="743">
        <v>50.0</v>
      </c>
      <c r="F11" s="744" t="s">
        <v>175</v>
      </c>
      <c r="G11" s="743" t="s">
        <v>19545</v>
      </c>
    </row>
    <row r="12">
      <c r="A12" s="749">
        <v>45588.0</v>
      </c>
      <c r="B12" s="750">
        <v>0.6930555555555555</v>
      </c>
      <c r="C12" s="743" t="s">
        <v>19546</v>
      </c>
      <c r="D12" s="743" t="s">
        <v>19547</v>
      </c>
      <c r="E12" s="743">
        <v>310.0</v>
      </c>
      <c r="F12" s="744" t="s">
        <v>19548</v>
      </c>
      <c r="G12" s="751"/>
    </row>
    <row r="13">
      <c r="A13" s="749">
        <v>45588.0</v>
      </c>
      <c r="B13" s="750">
        <v>0.6666666666666666</v>
      </c>
      <c r="C13" s="743" t="s">
        <v>19549</v>
      </c>
      <c r="D13" s="743" t="s">
        <v>19550</v>
      </c>
      <c r="E13" s="743">
        <v>50.0</v>
      </c>
      <c r="F13" s="744" t="s">
        <v>175</v>
      </c>
      <c r="G13" s="743" t="s">
        <v>1985</v>
      </c>
    </row>
    <row r="14">
      <c r="A14" s="749">
        <v>45588.0</v>
      </c>
      <c r="B14" s="750">
        <v>0.6875</v>
      </c>
      <c r="C14" s="743" t="s">
        <v>19551</v>
      </c>
      <c r="D14" s="751"/>
      <c r="E14" s="743">
        <v>466.0</v>
      </c>
      <c r="F14" s="744" t="s">
        <v>19542</v>
      </c>
      <c r="G14" s="743" t="s">
        <v>19552</v>
      </c>
    </row>
    <row r="15">
      <c r="A15" s="749">
        <v>45588.0</v>
      </c>
      <c r="B15" s="750">
        <v>0.7361111111111112</v>
      </c>
      <c r="C15" s="743" t="s">
        <v>19553</v>
      </c>
      <c r="D15" s="743" t="s">
        <v>14478</v>
      </c>
      <c r="E15" s="743">
        <v>95.0</v>
      </c>
      <c r="F15" s="744" t="s">
        <v>19554</v>
      </c>
      <c r="G15" s="743" t="s">
        <v>19555</v>
      </c>
    </row>
    <row r="16">
      <c r="A16" s="749">
        <v>45588.0</v>
      </c>
      <c r="B16" s="751"/>
      <c r="C16" s="751"/>
      <c r="D16" s="743" t="s">
        <v>19534</v>
      </c>
      <c r="E16" s="743">
        <v>-1400.0</v>
      </c>
      <c r="F16" s="752"/>
      <c r="G16" s="751"/>
    </row>
    <row r="17">
      <c r="A17" s="749">
        <v>45589.0</v>
      </c>
      <c r="B17" s="750">
        <v>0.5416666666666666</v>
      </c>
      <c r="C17" s="743" t="s">
        <v>3175</v>
      </c>
      <c r="D17" s="743" t="s">
        <v>18597</v>
      </c>
      <c r="E17" s="743" t="s">
        <v>2916</v>
      </c>
      <c r="F17" s="744" t="s">
        <v>12473</v>
      </c>
      <c r="G17" s="743" t="s">
        <v>18598</v>
      </c>
      <c r="J17" s="755"/>
    </row>
    <row r="18">
      <c r="A18" s="749">
        <v>45589.0</v>
      </c>
      <c r="B18" s="750">
        <v>0.5833333333333334</v>
      </c>
      <c r="C18" s="743" t="s">
        <v>19556</v>
      </c>
      <c r="D18" s="743" t="s">
        <v>19557</v>
      </c>
      <c r="E18" s="743">
        <v>55.0</v>
      </c>
      <c r="F18" s="744" t="s">
        <v>175</v>
      </c>
      <c r="G18" s="743" t="s">
        <v>19558</v>
      </c>
    </row>
    <row r="19">
      <c r="A19" s="749">
        <v>45589.0</v>
      </c>
      <c r="B19" s="750">
        <v>0.6041666666666666</v>
      </c>
      <c r="C19" s="743" t="s">
        <v>4184</v>
      </c>
      <c r="D19" s="743" t="s">
        <v>2857</v>
      </c>
      <c r="E19" s="743">
        <v>500.0</v>
      </c>
      <c r="F19" s="744" t="s">
        <v>19559</v>
      </c>
      <c r="G19" s="743" t="s">
        <v>19560</v>
      </c>
    </row>
    <row r="20">
      <c r="A20" s="749">
        <v>45590.0</v>
      </c>
      <c r="B20" s="750">
        <v>0.4166666666666667</v>
      </c>
      <c r="C20" s="743" t="s">
        <v>19561</v>
      </c>
      <c r="D20" s="743" t="s">
        <v>19562</v>
      </c>
      <c r="E20" s="743">
        <v>60.0</v>
      </c>
      <c r="F20" s="38" t="s">
        <v>175</v>
      </c>
      <c r="G20" s="743" t="s">
        <v>19563</v>
      </c>
    </row>
    <row r="21">
      <c r="A21" s="749">
        <v>45590.0</v>
      </c>
      <c r="B21" s="750">
        <v>0.6597222222222222</v>
      </c>
      <c r="C21" s="743" t="s">
        <v>19564</v>
      </c>
      <c r="D21" s="743" t="s">
        <v>19528</v>
      </c>
      <c r="E21" s="743">
        <v>15.0</v>
      </c>
      <c r="F21" s="38" t="s">
        <v>19565</v>
      </c>
      <c r="G21" s="743" t="s">
        <v>19528</v>
      </c>
    </row>
    <row r="22">
      <c r="A22" s="749">
        <v>45590.0</v>
      </c>
      <c r="B22" s="751"/>
      <c r="C22" s="743" t="s">
        <v>19534</v>
      </c>
      <c r="D22" s="751"/>
      <c r="E22" s="743">
        <v>-700.0</v>
      </c>
      <c r="F22" s="44"/>
      <c r="G22" s="751"/>
    </row>
    <row r="23">
      <c r="A23" s="44"/>
      <c r="B23" s="44"/>
      <c r="C23" s="44"/>
      <c r="D23" s="743" t="s">
        <v>19566</v>
      </c>
      <c r="E23" s="38">
        <v>75.9</v>
      </c>
      <c r="F23" s="44"/>
      <c r="G23" s="751"/>
      <c r="H23" s="38"/>
    </row>
    <row r="24">
      <c r="A24" s="749">
        <v>45591.0</v>
      </c>
      <c r="B24" s="750">
        <v>0.3333333333333333</v>
      </c>
      <c r="C24" s="743" t="s">
        <v>3175</v>
      </c>
      <c r="D24" s="743" t="s">
        <v>19567</v>
      </c>
      <c r="E24" s="743">
        <v>50.0</v>
      </c>
      <c r="F24" s="38" t="s">
        <v>175</v>
      </c>
      <c r="G24" s="743" t="s">
        <v>14417</v>
      </c>
    </row>
    <row r="25">
      <c r="A25" s="749">
        <v>45591.0</v>
      </c>
      <c r="B25" s="750">
        <v>0.3958333333333333</v>
      </c>
      <c r="C25" s="743" t="s">
        <v>19568</v>
      </c>
      <c r="D25" s="743" t="s">
        <v>19317</v>
      </c>
      <c r="E25" s="743">
        <v>85.0</v>
      </c>
      <c r="F25" s="38" t="s">
        <v>12473</v>
      </c>
      <c r="G25" s="743" t="s">
        <v>19318</v>
      </c>
    </row>
    <row r="26">
      <c r="A26" s="749">
        <v>45591.0</v>
      </c>
      <c r="B26" s="750">
        <v>0.4166666666666667</v>
      </c>
      <c r="C26" s="743" t="s">
        <v>18445</v>
      </c>
      <c r="D26" s="743" t="s">
        <v>19569</v>
      </c>
      <c r="E26" s="743">
        <v>10.0</v>
      </c>
      <c r="F26" s="38" t="s">
        <v>19570</v>
      </c>
      <c r="G26" s="743" t="s">
        <v>19571</v>
      </c>
    </row>
    <row r="27">
      <c r="A27" s="749">
        <v>45591.0</v>
      </c>
      <c r="B27" s="750">
        <v>0.4583333333333333</v>
      </c>
      <c r="C27" s="743" t="s">
        <v>19572</v>
      </c>
      <c r="D27" s="743" t="s">
        <v>19573</v>
      </c>
      <c r="E27" s="743">
        <v>55.0</v>
      </c>
      <c r="F27" s="38" t="s">
        <v>175</v>
      </c>
      <c r="G27" s="743" t="s">
        <v>19574</v>
      </c>
    </row>
    <row r="28">
      <c r="A28" s="749">
        <v>45593.0</v>
      </c>
      <c r="B28" s="750">
        <v>0.7777777777777778</v>
      </c>
      <c r="C28" s="743" t="s">
        <v>19575</v>
      </c>
      <c r="D28" s="743" t="s">
        <v>19528</v>
      </c>
      <c r="E28" s="743">
        <v>30.0</v>
      </c>
      <c r="F28" s="38" t="s">
        <v>5885</v>
      </c>
      <c r="G28" s="743" t="s">
        <v>19528</v>
      </c>
    </row>
    <row r="29">
      <c r="A29" s="749">
        <v>45594.0</v>
      </c>
      <c r="B29" s="750">
        <v>0.75</v>
      </c>
      <c r="C29" s="743" t="s">
        <v>19576</v>
      </c>
      <c r="D29" s="743" t="s">
        <v>19577</v>
      </c>
      <c r="E29" s="743">
        <v>50.0</v>
      </c>
      <c r="F29" s="38" t="s">
        <v>175</v>
      </c>
      <c r="G29" s="743" t="s">
        <v>19578</v>
      </c>
    </row>
    <row r="30">
      <c r="A30" s="749">
        <v>45596.0</v>
      </c>
      <c r="B30" s="750">
        <v>0.3333333333333333</v>
      </c>
      <c r="C30" s="743" t="s">
        <v>19579</v>
      </c>
      <c r="D30" s="743" t="s">
        <v>19580</v>
      </c>
      <c r="E30" s="743">
        <v>45.0</v>
      </c>
      <c r="F30" s="38" t="s">
        <v>175</v>
      </c>
      <c r="G30" s="743" t="s">
        <v>19581</v>
      </c>
    </row>
    <row r="31">
      <c r="A31" s="751"/>
      <c r="B31" s="750">
        <v>0.5083333333333333</v>
      </c>
      <c r="C31" s="743" t="s">
        <v>17822</v>
      </c>
      <c r="D31" s="743">
        <v>361.0</v>
      </c>
      <c r="E31" s="743">
        <v>280.0</v>
      </c>
      <c r="F31" s="38" t="s">
        <v>19582</v>
      </c>
      <c r="G31" s="743" t="s">
        <v>19583</v>
      </c>
      <c r="H31" s="8"/>
      <c r="I31" s="8"/>
      <c r="J31" s="8"/>
      <c r="K31" s="8"/>
      <c r="L31" s="8"/>
      <c r="M31" s="8"/>
      <c r="N31" s="8"/>
    </row>
    <row r="32">
      <c r="A32" s="26"/>
      <c r="B32" s="26"/>
      <c r="C32" s="26"/>
      <c r="D32" s="26"/>
      <c r="E32" s="26"/>
      <c r="F32" s="26"/>
      <c r="G32" s="75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749">
        <v>45600.0</v>
      </c>
      <c r="B33" s="750">
        <v>0.625</v>
      </c>
      <c r="C33" s="743" t="s">
        <v>19584</v>
      </c>
      <c r="D33" s="743" t="s">
        <v>19585</v>
      </c>
      <c r="E33" s="743">
        <v>355.0</v>
      </c>
      <c r="F33" s="38" t="s">
        <v>19586</v>
      </c>
      <c r="G33" s="757" t="s">
        <v>14101</v>
      </c>
    </row>
    <row r="34">
      <c r="A34" s="749">
        <v>45600.0</v>
      </c>
      <c r="B34" s="750">
        <v>0.6458333333333334</v>
      </c>
      <c r="C34" s="743" t="s">
        <v>19587</v>
      </c>
      <c r="D34" s="743" t="s">
        <v>19588</v>
      </c>
      <c r="E34" s="743">
        <v>50.0</v>
      </c>
      <c r="F34" s="38" t="s">
        <v>19589</v>
      </c>
      <c r="G34" s="757" t="s">
        <v>19590</v>
      </c>
    </row>
    <row r="35">
      <c r="A35" s="749">
        <v>45600.0</v>
      </c>
      <c r="B35" s="750">
        <v>0.6944444444444444</v>
      </c>
      <c r="C35" s="743" t="s">
        <v>19591</v>
      </c>
      <c r="D35" s="743" t="s">
        <v>19592</v>
      </c>
      <c r="E35" s="743">
        <v>55.0</v>
      </c>
      <c r="F35" s="38" t="s">
        <v>175</v>
      </c>
      <c r="G35" s="757" t="s">
        <v>19593</v>
      </c>
    </row>
    <row r="36">
      <c r="A36" s="749">
        <v>45600.0</v>
      </c>
      <c r="B36" s="750">
        <v>0.7291666666666666</v>
      </c>
      <c r="C36" s="743" t="s">
        <v>18732</v>
      </c>
      <c r="D36" s="743" t="s">
        <v>19594</v>
      </c>
      <c r="E36" s="743">
        <v>620.0</v>
      </c>
      <c r="F36" s="38" t="s">
        <v>19595</v>
      </c>
      <c r="G36" s="743" t="s">
        <v>19596</v>
      </c>
    </row>
    <row r="37">
      <c r="A37" s="749">
        <v>45600.0</v>
      </c>
      <c r="B37" s="750">
        <v>0.7777777777777778</v>
      </c>
      <c r="C37" s="743" t="s">
        <v>19597</v>
      </c>
      <c r="D37" s="743" t="s">
        <v>19598</v>
      </c>
      <c r="E37" s="743">
        <v>50.0</v>
      </c>
      <c r="F37" s="38" t="s">
        <v>5885</v>
      </c>
      <c r="G37" s="757" t="s">
        <v>19599</v>
      </c>
    </row>
    <row r="38">
      <c r="A38" s="44"/>
      <c r="B38" s="44"/>
      <c r="C38" s="44"/>
      <c r="D38" s="44"/>
      <c r="E38" s="38">
        <v>-1750.0</v>
      </c>
      <c r="F38" s="38" t="s">
        <v>19600</v>
      </c>
      <c r="G38" s="751"/>
    </row>
    <row r="39">
      <c r="A39" s="749">
        <v>45602.0</v>
      </c>
      <c r="B39" s="750">
        <v>0.6041666666666666</v>
      </c>
      <c r="C39" s="38" t="s">
        <v>4184</v>
      </c>
      <c r="D39" s="757" t="s">
        <v>18934</v>
      </c>
      <c r="E39" s="38">
        <v>90.0</v>
      </c>
      <c r="F39" s="38" t="s">
        <v>175</v>
      </c>
      <c r="G39" s="757" t="s">
        <v>19601</v>
      </c>
      <c r="H39" s="5"/>
      <c r="I39" s="8"/>
    </row>
    <row r="40">
      <c r="A40" s="44"/>
      <c r="B40" s="44"/>
      <c r="C40" s="44"/>
      <c r="D40" s="38" t="s">
        <v>19566</v>
      </c>
      <c r="E40" s="38">
        <v>-10.0</v>
      </c>
      <c r="F40" s="38"/>
      <c r="G40" s="751"/>
    </row>
    <row r="41">
      <c r="A41" s="758">
        <v>45602.0</v>
      </c>
      <c r="B41" s="759">
        <v>0.6458333333333334</v>
      </c>
      <c r="C41" s="38" t="s">
        <v>19602</v>
      </c>
      <c r="D41" s="760" t="s">
        <v>19603</v>
      </c>
      <c r="E41" s="38" t="s">
        <v>19604</v>
      </c>
      <c r="F41" s="38" t="s">
        <v>19605</v>
      </c>
      <c r="G41" s="757" t="s">
        <v>19606</v>
      </c>
    </row>
    <row r="42">
      <c r="A42" s="65">
        <v>45602.0</v>
      </c>
      <c r="B42" s="759">
        <v>0.7152777777777778</v>
      </c>
      <c r="C42" s="38" t="s">
        <v>19607</v>
      </c>
      <c r="D42" s="38" t="s">
        <v>19608</v>
      </c>
      <c r="E42" s="38">
        <v>40.0</v>
      </c>
      <c r="F42" s="38" t="s">
        <v>19609</v>
      </c>
      <c r="G42" s="757" t="s">
        <v>19610</v>
      </c>
    </row>
    <row r="43">
      <c r="A43" s="65">
        <v>45603.0</v>
      </c>
      <c r="B43" s="759">
        <v>0.4166666666666667</v>
      </c>
      <c r="C43" s="38" t="s">
        <v>19611</v>
      </c>
      <c r="D43" s="38" t="s">
        <v>19612</v>
      </c>
      <c r="E43" s="38">
        <v>90.0</v>
      </c>
      <c r="F43" s="38" t="s">
        <v>19613</v>
      </c>
      <c r="G43" s="757" t="s">
        <v>18929</v>
      </c>
    </row>
    <row r="44">
      <c r="A44" s="44"/>
      <c r="B44" s="44"/>
      <c r="C44" s="44"/>
      <c r="D44" s="44"/>
      <c r="E44" s="38">
        <v>-200.0</v>
      </c>
      <c r="F44" s="38" t="s">
        <v>19614</v>
      </c>
      <c r="G44" s="751"/>
    </row>
    <row r="45">
      <c r="A45" s="761">
        <v>45604.0</v>
      </c>
      <c r="B45" s="762">
        <v>0.7083333333333334</v>
      </c>
      <c r="C45" s="134" t="s">
        <v>4184</v>
      </c>
      <c r="D45" s="760" t="s">
        <v>19615</v>
      </c>
      <c r="E45" s="134" t="s">
        <v>19616</v>
      </c>
      <c r="F45" s="134" t="s">
        <v>19617</v>
      </c>
      <c r="G45" s="757" t="s">
        <v>19618</v>
      </c>
      <c r="H45" s="763" t="s">
        <v>19619</v>
      </c>
    </row>
    <row r="46">
      <c r="A46" s="761">
        <v>45604.0</v>
      </c>
      <c r="B46" s="762">
        <v>0.7291666666666666</v>
      </c>
      <c r="C46" s="764"/>
      <c r="D46" s="760" t="s">
        <v>19620</v>
      </c>
      <c r="E46" s="134" t="s">
        <v>19621</v>
      </c>
      <c r="F46" s="134" t="s">
        <v>175</v>
      </c>
      <c r="G46" s="757" t="s">
        <v>19618</v>
      </c>
    </row>
    <row r="47">
      <c r="A47" s="65">
        <v>45604.0</v>
      </c>
      <c r="B47" s="759">
        <v>0.7708333333333334</v>
      </c>
      <c r="C47" s="38" t="s">
        <v>19622</v>
      </c>
      <c r="D47" s="38" t="s">
        <v>19623</v>
      </c>
      <c r="E47" s="38">
        <v>400.0</v>
      </c>
      <c r="F47" s="38" t="s">
        <v>19624</v>
      </c>
      <c r="G47" s="757" t="s">
        <v>19625</v>
      </c>
    </row>
    <row r="48">
      <c r="A48" s="65">
        <v>45605.0</v>
      </c>
      <c r="B48" s="759">
        <v>0.3333333333333333</v>
      </c>
      <c r="C48" s="44"/>
      <c r="D48" s="760" t="s">
        <v>19626</v>
      </c>
      <c r="E48" s="765">
        <v>50.0</v>
      </c>
      <c r="F48" s="134" t="s">
        <v>175</v>
      </c>
      <c r="G48" s="757" t="s">
        <v>10229</v>
      </c>
      <c r="I48" s="8"/>
      <c r="J48" s="8"/>
    </row>
    <row r="49">
      <c r="A49" s="65">
        <v>45605.0</v>
      </c>
      <c r="B49" s="759">
        <v>0.375</v>
      </c>
      <c r="C49" s="44"/>
      <c r="D49" s="760" t="s">
        <v>2558</v>
      </c>
      <c r="E49" s="765" t="s">
        <v>19627</v>
      </c>
      <c r="F49" s="353" t="s">
        <v>175</v>
      </c>
      <c r="G49" s="757" t="s">
        <v>19628</v>
      </c>
    </row>
    <row r="50">
      <c r="A50" s="65">
        <v>45605.0</v>
      </c>
      <c r="B50" s="759">
        <v>0.4166666666666667</v>
      </c>
      <c r="C50" s="44"/>
      <c r="D50" s="760" t="s">
        <v>19629</v>
      </c>
      <c r="E50" s="765"/>
      <c r="F50" s="353" t="s">
        <v>175</v>
      </c>
      <c r="G50" s="757" t="s">
        <v>19630</v>
      </c>
      <c r="H50" s="1" t="s">
        <v>381</v>
      </c>
    </row>
    <row r="51">
      <c r="A51" s="65">
        <v>45605.0</v>
      </c>
      <c r="B51" s="759">
        <v>0.4583333333333333</v>
      </c>
      <c r="C51" s="44"/>
      <c r="D51" s="760" t="s">
        <v>19631</v>
      </c>
      <c r="E51" s="765">
        <v>45.0</v>
      </c>
      <c r="F51" s="353" t="s">
        <v>175</v>
      </c>
      <c r="G51" s="757" t="s">
        <v>19632</v>
      </c>
    </row>
    <row r="52">
      <c r="A52" s="65">
        <v>45605.0</v>
      </c>
      <c r="B52" s="759">
        <v>0.5</v>
      </c>
      <c r="C52" s="38" t="s">
        <v>19633</v>
      </c>
      <c r="D52" s="760" t="s">
        <v>19634</v>
      </c>
      <c r="E52" s="765">
        <v>90.0</v>
      </c>
      <c r="F52" s="353" t="s">
        <v>19635</v>
      </c>
      <c r="G52" s="757" t="s">
        <v>18972</v>
      </c>
    </row>
    <row r="53">
      <c r="A53" s="65">
        <v>45605.0</v>
      </c>
      <c r="B53" s="759">
        <v>0.5416666666666666</v>
      </c>
      <c r="C53" s="44"/>
      <c r="D53" s="760" t="s">
        <v>19636</v>
      </c>
      <c r="E53" s="765">
        <v>90.0</v>
      </c>
      <c r="F53" s="134" t="s">
        <v>19635</v>
      </c>
      <c r="G53" s="757" t="s">
        <v>19637</v>
      </c>
    </row>
    <row r="54">
      <c r="A54" s="65">
        <v>45605.0</v>
      </c>
      <c r="B54" s="759">
        <v>0.4791666666666667</v>
      </c>
      <c r="C54" s="44"/>
      <c r="D54" s="44"/>
      <c r="E54" s="743">
        <v>35.0</v>
      </c>
      <c r="F54" s="38" t="s">
        <v>19638</v>
      </c>
      <c r="G54" s="751"/>
    </row>
    <row r="55">
      <c r="A55" s="407"/>
      <c r="B55" s="407"/>
      <c r="C55" s="407"/>
      <c r="D55" s="407"/>
      <c r="E55" s="766"/>
      <c r="F55" s="407"/>
      <c r="G55" s="766"/>
    </row>
    <row r="56">
      <c r="A56" s="65">
        <v>45607.0</v>
      </c>
      <c r="B56" s="759">
        <v>0.7847222222222222</v>
      </c>
      <c r="C56" s="38" t="s">
        <v>18840</v>
      </c>
      <c r="D56" s="304" t="s">
        <v>19639</v>
      </c>
      <c r="E56" s="743">
        <v>90.0</v>
      </c>
      <c r="F56" s="38" t="s">
        <v>19640</v>
      </c>
      <c r="G56" s="751"/>
      <c r="H56" s="767"/>
      <c r="I56" s="767"/>
      <c r="J56" s="767"/>
    </row>
    <row r="57">
      <c r="A57" s="761">
        <v>45608.0</v>
      </c>
      <c r="B57" s="762">
        <v>0.6666666666666666</v>
      </c>
      <c r="C57" s="134" t="s">
        <v>19641</v>
      </c>
      <c r="D57" s="760" t="s">
        <v>19642</v>
      </c>
      <c r="E57" s="765">
        <v>50.0</v>
      </c>
      <c r="F57" s="134" t="s">
        <v>175</v>
      </c>
      <c r="G57" s="757" t="s">
        <v>19643</v>
      </c>
      <c r="I57" s="768"/>
    </row>
    <row r="58">
      <c r="A58" s="761"/>
      <c r="B58" s="762"/>
      <c r="C58" s="134"/>
      <c r="D58" s="760"/>
      <c r="E58" s="765">
        <v>-800.0</v>
      </c>
      <c r="F58" s="134" t="s">
        <v>19644</v>
      </c>
      <c r="G58" s="757"/>
      <c r="H58" s="769"/>
      <c r="I58" s="768"/>
    </row>
    <row r="59">
      <c r="A59" s="761">
        <v>45609.0</v>
      </c>
      <c r="B59" s="762">
        <v>0.3333333333333333</v>
      </c>
      <c r="C59" s="134" t="s">
        <v>19645</v>
      </c>
      <c r="D59" s="760"/>
      <c r="E59" s="765">
        <v>50.0</v>
      </c>
      <c r="F59" s="134" t="s">
        <v>175</v>
      </c>
      <c r="G59" s="757"/>
      <c r="H59" s="769"/>
      <c r="I59" s="768"/>
    </row>
    <row r="60">
      <c r="A60" s="65"/>
      <c r="B60" s="759"/>
      <c r="C60" s="44"/>
      <c r="D60" s="44"/>
      <c r="E60" s="743">
        <v>20.0</v>
      </c>
      <c r="F60" s="38" t="s">
        <v>19646</v>
      </c>
      <c r="G60" s="753"/>
      <c r="H60" s="769"/>
    </row>
    <row r="61">
      <c r="A61" s="44"/>
      <c r="B61" s="44"/>
      <c r="C61" s="38" t="s">
        <v>18445</v>
      </c>
      <c r="D61" s="44"/>
      <c r="E61" s="38">
        <v>40.0</v>
      </c>
      <c r="F61" s="38" t="s">
        <v>5885</v>
      </c>
      <c r="G61" s="751"/>
      <c r="H61" s="769"/>
    </row>
    <row r="62">
      <c r="A62" s="44"/>
      <c r="B62" s="44"/>
      <c r="C62" s="44"/>
      <c r="D62" s="44"/>
      <c r="E62" s="743">
        <v>60.0</v>
      </c>
      <c r="F62" s="38" t="s">
        <v>19646</v>
      </c>
      <c r="G62" s="751"/>
    </row>
    <row r="63">
      <c r="A63" s="44"/>
      <c r="B63" s="44"/>
      <c r="C63" s="38" t="s">
        <v>4184</v>
      </c>
      <c r="D63" s="44"/>
      <c r="E63" s="743">
        <v>25.0</v>
      </c>
      <c r="F63" s="38" t="s">
        <v>19647</v>
      </c>
      <c r="G63" s="751"/>
    </row>
    <row r="64">
      <c r="A64" s="65">
        <v>45617.0</v>
      </c>
      <c r="B64" s="759">
        <v>0.4861111111111111</v>
      </c>
      <c r="C64" s="44"/>
      <c r="D64" s="38" t="s">
        <v>19648</v>
      </c>
      <c r="E64" s="743">
        <v>-20.0</v>
      </c>
      <c r="F64" s="44"/>
      <c r="G64" s="751"/>
    </row>
    <row r="65">
      <c r="A65" s="65">
        <v>45617.0</v>
      </c>
      <c r="B65" s="759">
        <v>0.5208333333333334</v>
      </c>
      <c r="C65" s="44"/>
      <c r="D65" s="44"/>
      <c r="E65" s="743">
        <v>20.0</v>
      </c>
      <c r="F65" s="38" t="s">
        <v>19646</v>
      </c>
      <c r="G65" s="751"/>
    </row>
    <row r="66">
      <c r="A66" s="65">
        <v>45617.0</v>
      </c>
      <c r="B66" s="759">
        <v>0.5208333333333334</v>
      </c>
      <c r="C66" s="44"/>
      <c r="D66" s="44"/>
      <c r="E66" s="743">
        <v>10.0</v>
      </c>
      <c r="F66" s="38" t="s">
        <v>19649</v>
      </c>
      <c r="G66" s="770" t="s">
        <v>10326</v>
      </c>
    </row>
    <row r="67">
      <c r="A67" s="65">
        <v>45618.0</v>
      </c>
      <c r="B67" s="759">
        <v>0.5833333333333334</v>
      </c>
      <c r="C67" s="38" t="s">
        <v>19556</v>
      </c>
      <c r="D67" s="44"/>
      <c r="E67" s="743">
        <v>55.0</v>
      </c>
      <c r="F67" s="38" t="s">
        <v>175</v>
      </c>
      <c r="G67" s="771" t="s">
        <v>14988</v>
      </c>
    </row>
    <row r="68">
      <c r="A68" s="65">
        <v>45622.0</v>
      </c>
      <c r="B68" s="759">
        <v>0.6458333333333334</v>
      </c>
      <c r="C68" s="38" t="s">
        <v>19650</v>
      </c>
      <c r="D68" s="44"/>
      <c r="E68" s="743">
        <v>30.0</v>
      </c>
      <c r="F68" s="38" t="s">
        <v>10166</v>
      </c>
      <c r="G68" s="757">
        <v>8.66607048E8</v>
      </c>
    </row>
    <row r="69">
      <c r="A69" s="65">
        <v>45623.0</v>
      </c>
      <c r="B69" s="759">
        <v>0.6666666666666666</v>
      </c>
      <c r="C69" s="38" t="s">
        <v>19651</v>
      </c>
      <c r="D69" s="38" t="s">
        <v>19652</v>
      </c>
      <c r="E69" s="743">
        <v>55.0</v>
      </c>
      <c r="F69" s="38" t="s">
        <v>4508</v>
      </c>
      <c r="G69" s="772" t="s">
        <v>19653</v>
      </c>
    </row>
    <row r="70">
      <c r="A70" s="44"/>
      <c r="B70" s="44"/>
      <c r="C70" s="44"/>
      <c r="D70" s="38" t="s">
        <v>19566</v>
      </c>
      <c r="E70" s="743">
        <v>-42.9</v>
      </c>
      <c r="F70" s="44"/>
      <c r="G70" s="751"/>
    </row>
    <row r="71">
      <c r="A71" s="65">
        <v>45625.0</v>
      </c>
      <c r="B71" s="44"/>
      <c r="C71" s="44"/>
      <c r="D71" s="38" t="s">
        <v>19556</v>
      </c>
      <c r="E71" s="743">
        <v>15.0</v>
      </c>
      <c r="F71" s="38" t="s">
        <v>16237</v>
      </c>
      <c r="G71" s="751"/>
    </row>
    <row r="72">
      <c r="A72" s="26"/>
      <c r="B72" s="26"/>
      <c r="C72" s="26"/>
      <c r="D72" s="26"/>
      <c r="E72" s="26"/>
      <c r="F72" s="26"/>
      <c r="G72" s="75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</row>
    <row r="73">
      <c r="A73" s="65">
        <v>45629.0</v>
      </c>
      <c r="B73" s="759">
        <v>0.6666666666666666</v>
      </c>
      <c r="C73" s="38" t="s">
        <v>19654</v>
      </c>
      <c r="D73" s="44"/>
      <c r="E73" s="743">
        <v>55.0</v>
      </c>
      <c r="F73" s="38" t="s">
        <v>19655</v>
      </c>
      <c r="G73" s="772" t="s">
        <v>19656</v>
      </c>
    </row>
    <row r="74">
      <c r="A74" s="65">
        <v>45630.0</v>
      </c>
      <c r="B74" s="759">
        <v>0.6666666666666666</v>
      </c>
      <c r="C74" s="38" t="s">
        <v>19657</v>
      </c>
      <c r="D74" s="38" t="s">
        <v>19658</v>
      </c>
      <c r="E74" s="743">
        <v>260.0</v>
      </c>
      <c r="F74" s="38" t="s">
        <v>19659</v>
      </c>
      <c r="G74" s="743" t="s">
        <v>19660</v>
      </c>
    </row>
    <row r="75">
      <c r="A75" s="65">
        <v>45631.0</v>
      </c>
      <c r="B75" s="759">
        <v>0.5</v>
      </c>
      <c r="C75" s="38" t="s">
        <v>19661</v>
      </c>
      <c r="D75" s="38" t="s">
        <v>19662</v>
      </c>
      <c r="E75" s="743">
        <v>20.0</v>
      </c>
      <c r="F75" s="38" t="s">
        <v>19663</v>
      </c>
      <c r="G75" s="743" t="s">
        <v>19664</v>
      </c>
    </row>
    <row r="76">
      <c r="A76" s="65">
        <v>45632.0</v>
      </c>
      <c r="B76" s="759">
        <v>0.6041666666666666</v>
      </c>
      <c r="C76" s="44"/>
      <c r="D76" s="44"/>
      <c r="E76" s="38">
        <v>100.0</v>
      </c>
      <c r="F76" s="38" t="s">
        <v>19665</v>
      </c>
      <c r="G76" s="751"/>
    </row>
    <row r="77">
      <c r="A77" s="65">
        <v>45632.0</v>
      </c>
      <c r="B77" s="759">
        <v>0.6041666666666666</v>
      </c>
      <c r="C77" s="38" t="s">
        <v>19666</v>
      </c>
      <c r="D77" s="743"/>
      <c r="E77" s="743">
        <v>435.0</v>
      </c>
      <c r="F77" s="38" t="s">
        <v>19667</v>
      </c>
      <c r="G77" s="743" t="s">
        <v>19668</v>
      </c>
    </row>
    <row r="78">
      <c r="A78" s="65">
        <v>45636.0</v>
      </c>
      <c r="B78" s="759">
        <v>0.5833333333333334</v>
      </c>
      <c r="C78" s="38" t="s">
        <v>19669</v>
      </c>
      <c r="D78" s="44"/>
      <c r="E78" s="743">
        <v>30.0</v>
      </c>
      <c r="F78" s="38" t="s">
        <v>637</v>
      </c>
      <c r="G78" s="751"/>
    </row>
    <row r="79">
      <c r="A79" s="65">
        <v>45637.0</v>
      </c>
      <c r="B79" s="759">
        <v>0.7083333333333334</v>
      </c>
      <c r="C79" s="38" t="s">
        <v>19611</v>
      </c>
      <c r="D79" s="44"/>
      <c r="E79" s="743">
        <v>40.0</v>
      </c>
      <c r="F79" s="38" t="s">
        <v>175</v>
      </c>
      <c r="G79" s="772" t="s">
        <v>19670</v>
      </c>
    </row>
    <row r="80">
      <c r="A80" s="65">
        <v>45638.0</v>
      </c>
      <c r="B80" s="759">
        <v>0.4583333333333333</v>
      </c>
      <c r="C80" s="38" t="s">
        <v>19671</v>
      </c>
      <c r="D80" s="38" t="s">
        <v>19672</v>
      </c>
      <c r="E80" s="743">
        <v>455.0</v>
      </c>
      <c r="F80" s="38" t="s">
        <v>19673</v>
      </c>
      <c r="G80" s="772" t="s">
        <v>19674</v>
      </c>
    </row>
    <row r="81">
      <c r="A81" s="44"/>
      <c r="B81" s="44"/>
      <c r="C81" s="44"/>
      <c r="D81" s="44"/>
      <c r="E81" s="743">
        <v>-1790.0</v>
      </c>
      <c r="F81" s="38" t="s">
        <v>19675</v>
      </c>
      <c r="G81" s="751"/>
    </row>
    <row r="82">
      <c r="A82" s="65">
        <v>45639.0</v>
      </c>
      <c r="B82" s="759">
        <v>0.5263888888888889</v>
      </c>
      <c r="C82" s="38" t="s">
        <v>19661</v>
      </c>
      <c r="D82" s="38" t="s">
        <v>19676</v>
      </c>
      <c r="E82" s="743">
        <v>120.0</v>
      </c>
      <c r="F82" s="38" t="s">
        <v>14860</v>
      </c>
      <c r="G82" s="743" t="s">
        <v>19491</v>
      </c>
    </row>
    <row r="83">
      <c r="A83" s="65">
        <v>45642.0</v>
      </c>
      <c r="B83" s="759">
        <v>0.5</v>
      </c>
      <c r="C83" s="38" t="s">
        <v>19677</v>
      </c>
      <c r="D83" s="44"/>
      <c r="E83" s="751"/>
      <c r="F83" s="38" t="s">
        <v>19678</v>
      </c>
      <c r="G83" s="743" t="s">
        <v>1017</v>
      </c>
    </row>
    <row r="84">
      <c r="A84" s="65">
        <v>45643.0</v>
      </c>
      <c r="B84" s="38" t="s">
        <v>19679</v>
      </c>
      <c r="C84" s="38" t="s">
        <v>19564</v>
      </c>
      <c r="D84" s="743" t="s">
        <v>19680</v>
      </c>
      <c r="E84" s="44"/>
      <c r="F84" s="38" t="s">
        <v>19681</v>
      </c>
      <c r="G84" s="743" t="s">
        <v>2571</v>
      </c>
    </row>
    <row r="85">
      <c r="A85" s="65">
        <v>45643.0</v>
      </c>
      <c r="B85" s="759">
        <v>0.5416666666666666</v>
      </c>
      <c r="C85" s="38" t="s">
        <v>19682</v>
      </c>
      <c r="D85" s="44"/>
      <c r="E85" s="751"/>
      <c r="F85" s="38" t="s">
        <v>1462</v>
      </c>
      <c r="G85" s="743" t="s">
        <v>1017</v>
      </c>
    </row>
    <row r="86">
      <c r="A86" s="65">
        <v>45643.0</v>
      </c>
      <c r="B86" s="759">
        <v>0.5208333333333334</v>
      </c>
      <c r="C86" s="38" t="s">
        <v>19683</v>
      </c>
      <c r="D86" s="44"/>
      <c r="E86" s="751"/>
      <c r="F86" s="38" t="s">
        <v>19684</v>
      </c>
      <c r="G86" s="751"/>
    </row>
    <row r="87">
      <c r="A87" s="65">
        <v>45643.0</v>
      </c>
      <c r="B87" s="759">
        <v>0.5972222222222222</v>
      </c>
      <c r="C87" s="38" t="s">
        <v>19685</v>
      </c>
      <c r="D87" s="38" t="s">
        <v>19686</v>
      </c>
      <c r="E87" s="751"/>
      <c r="F87" s="44"/>
      <c r="G87" s="743" t="s">
        <v>19687</v>
      </c>
    </row>
    <row r="88">
      <c r="A88" s="65">
        <v>45643.0</v>
      </c>
      <c r="B88" s="759">
        <v>0.7291666666666666</v>
      </c>
      <c r="C88" s="44"/>
      <c r="D88" s="44"/>
      <c r="E88" s="743">
        <v>80.0</v>
      </c>
      <c r="F88" s="38" t="s">
        <v>19688</v>
      </c>
      <c r="G88" s="743" t="s">
        <v>19689</v>
      </c>
    </row>
    <row r="89">
      <c r="A89" s="44"/>
      <c r="B89" s="44"/>
      <c r="C89" s="44"/>
      <c r="D89" s="44"/>
      <c r="E89" s="743">
        <v>-40.0</v>
      </c>
      <c r="F89" s="38" t="s">
        <v>19648</v>
      </c>
      <c r="G89" s="751"/>
    </row>
    <row r="90">
      <c r="A90" s="44"/>
      <c r="B90" s="44"/>
      <c r="C90" s="44"/>
      <c r="D90" s="44"/>
      <c r="E90" s="743">
        <v>-200.0</v>
      </c>
      <c r="F90" s="38" t="s">
        <v>19648</v>
      </c>
      <c r="G90" s="751"/>
    </row>
    <row r="91">
      <c r="A91" s="65">
        <v>45644.0</v>
      </c>
      <c r="B91" s="759">
        <v>0.5833333333333334</v>
      </c>
      <c r="C91" s="38" t="s">
        <v>19690</v>
      </c>
      <c r="D91" s="38" t="s">
        <v>19691</v>
      </c>
      <c r="E91" s="751"/>
      <c r="F91" s="38" t="s">
        <v>19692</v>
      </c>
      <c r="G91" s="751"/>
    </row>
    <row r="92">
      <c r="A92" s="44"/>
      <c r="B92" s="44"/>
      <c r="C92" s="38" t="s">
        <v>560</v>
      </c>
      <c r="D92" s="38" t="s">
        <v>430</v>
      </c>
      <c r="E92" s="743">
        <v>250.0</v>
      </c>
      <c r="F92" s="38" t="s">
        <v>19693</v>
      </c>
      <c r="G92" s="743" t="s">
        <v>19694</v>
      </c>
    </row>
    <row r="93">
      <c r="A93" s="65">
        <v>45645.0</v>
      </c>
      <c r="B93" s="759">
        <v>0.4166666666666667</v>
      </c>
      <c r="C93" s="38" t="s">
        <v>19695</v>
      </c>
      <c r="D93" s="44"/>
      <c r="E93" s="751"/>
      <c r="F93" s="38" t="s">
        <v>19696</v>
      </c>
      <c r="G93" s="743" t="s">
        <v>19697</v>
      </c>
    </row>
    <row r="94">
      <c r="A94" s="44"/>
      <c r="B94" s="44"/>
      <c r="C94" s="44"/>
      <c r="D94" s="44"/>
      <c r="E94" s="743">
        <v>740.0</v>
      </c>
      <c r="F94" s="38" t="s">
        <v>19698</v>
      </c>
      <c r="G94" s="751"/>
    </row>
    <row r="95">
      <c r="A95" s="44"/>
      <c r="B95" s="44"/>
      <c r="C95" s="44"/>
      <c r="D95" s="44"/>
      <c r="E95" s="743">
        <v>20.0</v>
      </c>
      <c r="F95" s="44"/>
      <c r="G95" s="743" t="s">
        <v>19699</v>
      </c>
    </row>
    <row r="96">
      <c r="A96" s="44"/>
      <c r="B96" s="44"/>
      <c r="C96" s="44"/>
      <c r="D96" s="44"/>
      <c r="E96" s="743">
        <v>-150.0</v>
      </c>
      <c r="F96" s="38" t="s">
        <v>19700</v>
      </c>
      <c r="G96" s="751"/>
    </row>
    <row r="97">
      <c r="A97" s="44"/>
      <c r="B97" s="44"/>
      <c r="C97" s="44"/>
      <c r="D97" s="44"/>
      <c r="E97" s="743">
        <v>-800.0</v>
      </c>
      <c r="F97" s="38" t="s">
        <v>19701</v>
      </c>
      <c r="G97" s="751"/>
    </row>
    <row r="98">
      <c r="A98" s="44"/>
      <c r="B98" s="44"/>
      <c r="C98" s="44"/>
      <c r="D98" s="44"/>
      <c r="E98" s="743">
        <v>15.0</v>
      </c>
      <c r="F98" s="38" t="s">
        <v>16237</v>
      </c>
      <c r="G98" s="751"/>
    </row>
    <row r="99">
      <c r="A99" s="65">
        <v>45648.0</v>
      </c>
      <c r="B99" s="759">
        <v>0.5</v>
      </c>
      <c r="C99" s="44"/>
      <c r="D99" s="743" t="s">
        <v>19531</v>
      </c>
      <c r="E99" s="743">
        <v>170.0</v>
      </c>
      <c r="F99" s="38" t="s">
        <v>19702</v>
      </c>
      <c r="G99" s="743" t="s">
        <v>19531</v>
      </c>
    </row>
    <row r="100">
      <c r="A100" s="65">
        <v>45649.0</v>
      </c>
      <c r="B100" s="759">
        <v>0.5833333333333334</v>
      </c>
      <c r="C100" s="38" t="s">
        <v>17816</v>
      </c>
      <c r="D100" s="743" t="s">
        <v>19531</v>
      </c>
      <c r="E100" s="743">
        <v>20.0</v>
      </c>
      <c r="F100" s="38" t="s">
        <v>19703</v>
      </c>
      <c r="G100" s="743" t="s">
        <v>19531</v>
      </c>
    </row>
    <row r="101">
      <c r="A101" s="65">
        <v>45649.0</v>
      </c>
      <c r="B101" s="759">
        <v>0.625</v>
      </c>
      <c r="C101" s="38" t="s">
        <v>19704</v>
      </c>
      <c r="D101" s="743" t="s">
        <v>19531</v>
      </c>
      <c r="E101" s="743">
        <v>55.0</v>
      </c>
      <c r="F101" s="38" t="s">
        <v>868</v>
      </c>
      <c r="G101" s="743" t="s">
        <v>19531</v>
      </c>
    </row>
    <row r="102">
      <c r="A102" s="65">
        <v>45649.0</v>
      </c>
      <c r="B102" s="759">
        <v>0.6458333333333334</v>
      </c>
      <c r="C102" s="38" t="s">
        <v>19661</v>
      </c>
      <c r="D102" s="743" t="s">
        <v>19531</v>
      </c>
      <c r="E102" s="38" t="s">
        <v>19705</v>
      </c>
      <c r="F102" s="38" t="s">
        <v>19706</v>
      </c>
      <c r="G102" s="743" t="s">
        <v>19707</v>
      </c>
    </row>
    <row r="103">
      <c r="A103" s="65">
        <v>45649.0</v>
      </c>
      <c r="B103" s="759">
        <v>0.7083333333333334</v>
      </c>
      <c r="C103" s="38" t="s">
        <v>19708</v>
      </c>
      <c r="D103" s="743" t="s">
        <v>19531</v>
      </c>
      <c r="E103" s="38" t="s">
        <v>19705</v>
      </c>
      <c r="F103" s="38" t="s">
        <v>19709</v>
      </c>
      <c r="G103" s="743" t="s">
        <v>19531</v>
      </c>
    </row>
    <row r="104">
      <c r="A104" s="65">
        <v>45649.0</v>
      </c>
      <c r="B104" s="759">
        <v>0.71875</v>
      </c>
      <c r="C104" s="38" t="s">
        <v>19710</v>
      </c>
      <c r="D104" s="743" t="s">
        <v>19531</v>
      </c>
      <c r="E104" s="743">
        <v>60.0</v>
      </c>
      <c r="F104" s="38" t="s">
        <v>19711</v>
      </c>
      <c r="G104" s="743" t="s">
        <v>19531</v>
      </c>
    </row>
    <row r="105">
      <c r="A105" s="65">
        <v>45653.0</v>
      </c>
      <c r="B105" s="759">
        <v>0.5</v>
      </c>
      <c r="C105" s="38" t="s">
        <v>19712</v>
      </c>
      <c r="D105" s="38" t="s">
        <v>19713</v>
      </c>
      <c r="E105" s="44"/>
      <c r="F105" s="38" t="s">
        <v>19714</v>
      </c>
      <c r="G105" s="44"/>
    </row>
    <row r="106">
      <c r="A106" s="65">
        <v>45653.0</v>
      </c>
      <c r="B106" s="759">
        <v>0.5833333333333334</v>
      </c>
      <c r="C106" s="38" t="s">
        <v>19708</v>
      </c>
      <c r="D106" s="38" t="s">
        <v>19531</v>
      </c>
      <c r="E106" s="38" t="s">
        <v>19715</v>
      </c>
      <c r="F106" s="38" t="s">
        <v>19716</v>
      </c>
      <c r="G106" s="44"/>
    </row>
    <row r="107">
      <c r="A107" s="65">
        <v>45653.0</v>
      </c>
      <c r="B107" s="759">
        <v>0.625</v>
      </c>
      <c r="C107" s="38" t="s">
        <v>1657</v>
      </c>
      <c r="D107" s="38" t="s">
        <v>19717</v>
      </c>
      <c r="E107" s="38" t="s">
        <v>19718</v>
      </c>
      <c r="F107" s="38" t="s">
        <v>19719</v>
      </c>
      <c r="G107" s="44"/>
    </row>
    <row r="108">
      <c r="A108" s="65">
        <v>45653.0</v>
      </c>
      <c r="B108" s="759">
        <v>0.6666666666666666</v>
      </c>
      <c r="C108" s="38" t="s">
        <v>19654</v>
      </c>
      <c r="D108" s="44"/>
      <c r="E108" s="743">
        <v>125.0</v>
      </c>
      <c r="F108" s="38" t="s">
        <v>19720</v>
      </c>
      <c r="G108" s="44"/>
    </row>
    <row r="109">
      <c r="A109" s="65">
        <v>45653.0</v>
      </c>
      <c r="B109" s="759">
        <v>0.7083333333333334</v>
      </c>
      <c r="C109" s="38" t="s">
        <v>19721</v>
      </c>
      <c r="D109" s="44"/>
      <c r="E109" s="38" t="s">
        <v>19705</v>
      </c>
      <c r="F109" s="38" t="s">
        <v>19722</v>
      </c>
      <c r="G109" s="38" t="s">
        <v>19707</v>
      </c>
    </row>
    <row r="110">
      <c r="A110" s="773">
        <v>2025.0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</row>
    <row r="111">
      <c r="A111" s="774" t="s">
        <v>19723</v>
      </c>
      <c r="B111" s="44"/>
      <c r="C111" s="44"/>
      <c r="D111" s="44"/>
      <c r="E111" s="44"/>
      <c r="F111" s="44"/>
      <c r="G111" s="44"/>
    </row>
    <row r="112">
      <c r="A112" s="65">
        <v>45663.0</v>
      </c>
      <c r="B112" s="759">
        <v>0.6388888888888888</v>
      </c>
      <c r="C112" s="38" t="s">
        <v>18001</v>
      </c>
      <c r="D112" s="38" t="s">
        <v>19724</v>
      </c>
      <c r="E112" s="38">
        <v>510.0</v>
      </c>
      <c r="F112" s="38" t="s">
        <v>19725</v>
      </c>
      <c r="G112" s="44"/>
    </row>
    <row r="113">
      <c r="A113" s="65">
        <v>45663.0</v>
      </c>
      <c r="B113" s="759">
        <v>0.6666666666666666</v>
      </c>
      <c r="C113" s="38" t="s">
        <v>19726</v>
      </c>
      <c r="D113" s="775" t="s">
        <v>19727</v>
      </c>
      <c r="E113" s="743">
        <v>30.0</v>
      </c>
      <c r="F113" s="38" t="s">
        <v>19728</v>
      </c>
      <c r="G113" s="775" t="s">
        <v>19632</v>
      </c>
    </row>
    <row r="114">
      <c r="A114" s="65">
        <v>45663.0</v>
      </c>
      <c r="B114" s="759">
        <v>0.7083333333333334</v>
      </c>
      <c r="C114" s="44"/>
      <c r="D114" s="44"/>
      <c r="E114" s="38">
        <v>-1000.0</v>
      </c>
      <c r="F114" s="38" t="s">
        <v>19729</v>
      </c>
      <c r="G114" s="44"/>
    </row>
    <row r="115">
      <c r="A115" s="65">
        <v>45664.0</v>
      </c>
      <c r="B115" s="759">
        <v>0.5833333333333334</v>
      </c>
      <c r="C115" s="38" t="s">
        <v>19730</v>
      </c>
      <c r="D115" s="44"/>
      <c r="E115" s="44"/>
      <c r="F115" s="44"/>
      <c r="G115" s="38" t="s">
        <v>497</v>
      </c>
    </row>
    <row r="116">
      <c r="A116" s="65">
        <v>45665.0</v>
      </c>
      <c r="B116" s="759">
        <v>0.5416666666666666</v>
      </c>
      <c r="C116" s="44"/>
      <c r="D116" s="44"/>
      <c r="E116" s="44"/>
      <c r="F116" s="38" t="s">
        <v>19731</v>
      </c>
      <c r="G116" s="38" t="s">
        <v>19732</v>
      </c>
    </row>
    <row r="117">
      <c r="A117" s="776">
        <v>45665.0</v>
      </c>
      <c r="B117" s="759">
        <v>0.5625</v>
      </c>
      <c r="C117" s="38" t="s">
        <v>19733</v>
      </c>
      <c r="D117" s="38" t="s">
        <v>18370</v>
      </c>
      <c r="E117" s="751"/>
      <c r="F117" s="38" t="s">
        <v>19613</v>
      </c>
      <c r="G117" s="38" t="s">
        <v>19734</v>
      </c>
    </row>
    <row r="118">
      <c r="A118" s="65">
        <v>45665.0</v>
      </c>
      <c r="B118" s="759">
        <v>0.5833333333333334</v>
      </c>
      <c r="C118" s="38" t="s">
        <v>19735</v>
      </c>
      <c r="D118" s="38" t="s">
        <v>19736</v>
      </c>
      <c r="E118" s="751"/>
      <c r="F118" s="38" t="s">
        <v>19737</v>
      </c>
      <c r="G118" s="38" t="s">
        <v>19738</v>
      </c>
    </row>
    <row r="119">
      <c r="A119" s="65">
        <v>45665.0</v>
      </c>
      <c r="B119" s="759">
        <v>0.625</v>
      </c>
      <c r="C119" s="38" t="s">
        <v>19739</v>
      </c>
      <c r="D119" s="38" t="s">
        <v>19740</v>
      </c>
      <c r="E119" s="751"/>
      <c r="F119" s="38" t="s">
        <v>19741</v>
      </c>
      <c r="G119" s="775" t="s">
        <v>19742</v>
      </c>
    </row>
    <row r="120">
      <c r="A120" s="65">
        <v>45665.0</v>
      </c>
      <c r="B120" s="759">
        <v>0.7291666666666666</v>
      </c>
      <c r="C120" s="38" t="s">
        <v>19743</v>
      </c>
      <c r="D120" s="38" t="s">
        <v>19744</v>
      </c>
      <c r="E120" s="751"/>
      <c r="F120" s="38" t="s">
        <v>19745</v>
      </c>
      <c r="G120" s="38" t="s">
        <v>19531</v>
      </c>
      <c r="H120" s="44"/>
    </row>
    <row r="121">
      <c r="A121" s="65">
        <v>45667.0</v>
      </c>
      <c r="B121" s="759">
        <v>0.5416666666666666</v>
      </c>
      <c r="C121" s="38" t="s">
        <v>19746</v>
      </c>
      <c r="D121" s="38" t="s">
        <v>19747</v>
      </c>
      <c r="E121" s="751"/>
      <c r="F121" s="38" t="s">
        <v>19748</v>
      </c>
      <c r="G121" s="777" t="s">
        <v>413</v>
      </c>
    </row>
    <row r="122">
      <c r="A122" s="65">
        <v>45667.0</v>
      </c>
      <c r="B122" s="759">
        <v>0.625</v>
      </c>
      <c r="C122" s="38" t="s">
        <v>19749</v>
      </c>
      <c r="D122" s="38" t="s">
        <v>19750</v>
      </c>
      <c r="E122" s="44"/>
      <c r="F122" s="44"/>
      <c r="G122" s="38" t="s">
        <v>19751</v>
      </c>
    </row>
    <row r="123">
      <c r="A123" s="65">
        <v>45667.0</v>
      </c>
      <c r="B123" s="759">
        <v>0.6388888888888888</v>
      </c>
      <c r="C123" s="38" t="s">
        <v>19746</v>
      </c>
      <c r="D123" s="38" t="s">
        <v>19752</v>
      </c>
      <c r="E123" s="743">
        <v>25.0</v>
      </c>
      <c r="F123" s="38" t="s">
        <v>19753</v>
      </c>
      <c r="G123" s="44"/>
    </row>
    <row r="124">
      <c r="A124" s="65">
        <v>45670.0</v>
      </c>
      <c r="B124" s="44"/>
      <c r="C124" s="38" t="s">
        <v>19746</v>
      </c>
      <c r="D124" s="38" t="s">
        <v>19754</v>
      </c>
      <c r="E124" s="44"/>
      <c r="F124" s="38" t="s">
        <v>19755</v>
      </c>
      <c r="G124" s="44"/>
    </row>
    <row r="125">
      <c r="A125" s="65">
        <v>45670.0</v>
      </c>
      <c r="B125" s="759">
        <v>0.5993055555555555</v>
      </c>
      <c r="C125" s="44"/>
      <c r="D125" s="44"/>
      <c r="E125" s="743">
        <v>50.0</v>
      </c>
      <c r="F125" s="38" t="s">
        <v>19688</v>
      </c>
      <c r="G125" s="44"/>
    </row>
    <row r="126">
      <c r="A126" s="65">
        <v>45670.0</v>
      </c>
      <c r="B126" s="759">
        <v>0.6819444444444445</v>
      </c>
      <c r="C126" s="44"/>
      <c r="D126" s="44"/>
      <c r="E126" s="743">
        <v>60.0</v>
      </c>
      <c r="F126" s="38" t="s">
        <v>19688</v>
      </c>
      <c r="G126" s="44"/>
    </row>
    <row r="127">
      <c r="A127" s="65">
        <v>45671.0</v>
      </c>
      <c r="B127" s="759">
        <v>0.4583333333333333</v>
      </c>
      <c r="C127" s="38" t="s">
        <v>19756</v>
      </c>
      <c r="D127" s="38" t="s">
        <v>19757</v>
      </c>
      <c r="E127" s="44"/>
      <c r="F127" s="38" t="s">
        <v>19758</v>
      </c>
      <c r="G127" s="38" t="s">
        <v>19759</v>
      </c>
    </row>
    <row r="128">
      <c r="A128" s="65">
        <v>45671.0</v>
      </c>
      <c r="B128" s="759">
        <v>0.7430555555555556</v>
      </c>
      <c r="C128" s="38" t="s">
        <v>19760</v>
      </c>
      <c r="D128" s="38" t="s">
        <v>19761</v>
      </c>
      <c r="E128" s="38">
        <v>400.0</v>
      </c>
      <c r="F128" s="38" t="s">
        <v>19762</v>
      </c>
      <c r="G128" s="38" t="s">
        <v>19763</v>
      </c>
      <c r="H128" s="38" t="s">
        <v>19764</v>
      </c>
    </row>
    <row r="129">
      <c r="A129" s="65">
        <v>45672.0</v>
      </c>
      <c r="B129" s="759">
        <v>0.4583333333333333</v>
      </c>
      <c r="C129" s="38" t="s">
        <v>19746</v>
      </c>
      <c r="D129" s="38" t="s">
        <v>19765</v>
      </c>
      <c r="E129" s="38">
        <v>150.0</v>
      </c>
      <c r="F129" s="38" t="s">
        <v>19766</v>
      </c>
      <c r="G129" s="38" t="s">
        <v>19531</v>
      </c>
      <c r="H129" s="44"/>
    </row>
    <row r="130">
      <c r="A130" s="65">
        <v>45672.0</v>
      </c>
      <c r="B130" s="759">
        <v>0.4791666666666667</v>
      </c>
      <c r="C130" s="38" t="s">
        <v>19767</v>
      </c>
      <c r="D130" s="38" t="s">
        <v>19768</v>
      </c>
      <c r="E130" s="44"/>
      <c r="F130" s="38" t="s">
        <v>19769</v>
      </c>
      <c r="G130" s="38" t="s">
        <v>5721</v>
      </c>
    </row>
    <row r="131">
      <c r="A131" s="65">
        <v>45672.0</v>
      </c>
      <c r="B131" s="759">
        <v>0.5</v>
      </c>
      <c r="C131" s="38" t="s">
        <v>19746</v>
      </c>
      <c r="D131" s="44"/>
      <c r="E131" s="38">
        <v>80.0</v>
      </c>
      <c r="F131" s="38" t="s">
        <v>19770</v>
      </c>
      <c r="G131" s="44"/>
    </row>
    <row r="132">
      <c r="A132" s="65">
        <v>45672.0</v>
      </c>
      <c r="B132" s="759">
        <v>0.5416666666666666</v>
      </c>
      <c r="C132" s="38" t="s">
        <v>19746</v>
      </c>
      <c r="D132" s="38" t="s">
        <v>19771</v>
      </c>
      <c r="E132" s="38">
        <v>40.0</v>
      </c>
      <c r="F132" s="38" t="s">
        <v>175</v>
      </c>
      <c r="G132" s="44"/>
    </row>
    <row r="133">
      <c r="A133" s="65">
        <v>45672.0</v>
      </c>
      <c r="B133" s="759">
        <v>0.5833333333333334</v>
      </c>
      <c r="C133" s="38" t="s">
        <v>18307</v>
      </c>
      <c r="D133" s="38" t="s">
        <v>19772</v>
      </c>
      <c r="E133" s="38">
        <v>40.0</v>
      </c>
      <c r="F133" s="38" t="s">
        <v>19773</v>
      </c>
      <c r="G133" s="38" t="s">
        <v>19774</v>
      </c>
    </row>
    <row r="134">
      <c r="A134" s="65">
        <v>45672.0</v>
      </c>
      <c r="B134" s="759">
        <v>0.625</v>
      </c>
      <c r="C134" s="38" t="s">
        <v>19775</v>
      </c>
      <c r="D134" s="38" t="s">
        <v>19776</v>
      </c>
      <c r="E134" s="44"/>
      <c r="F134" s="38" t="s">
        <v>19777</v>
      </c>
      <c r="G134" s="44"/>
    </row>
    <row r="135">
      <c r="A135" s="65">
        <v>45673.0</v>
      </c>
      <c r="B135" s="759">
        <v>0.5416666666666666</v>
      </c>
      <c r="C135" s="38" t="s">
        <v>19746</v>
      </c>
      <c r="D135" s="38" t="s">
        <v>19778</v>
      </c>
      <c r="E135" s="44"/>
      <c r="F135" s="38" t="s">
        <v>19779</v>
      </c>
      <c r="G135" s="38" t="s">
        <v>19780</v>
      </c>
    </row>
    <row r="136">
      <c r="A136" s="65">
        <v>45673.0</v>
      </c>
      <c r="B136" s="759">
        <v>0.6125</v>
      </c>
      <c r="C136" s="38" t="s">
        <v>19746</v>
      </c>
      <c r="D136" s="38" t="s">
        <v>19754</v>
      </c>
      <c r="E136" s="38">
        <v>215.0</v>
      </c>
      <c r="F136" s="44"/>
      <c r="G136" s="44"/>
    </row>
    <row r="137">
      <c r="A137" s="65">
        <v>45673.0</v>
      </c>
      <c r="B137" s="759">
        <v>0.6625</v>
      </c>
      <c r="C137" s="38" t="s">
        <v>19746</v>
      </c>
      <c r="D137" s="38" t="s">
        <v>19781</v>
      </c>
      <c r="E137" s="38">
        <v>15.0</v>
      </c>
      <c r="F137" s="38" t="s">
        <v>16237</v>
      </c>
      <c r="G137" s="44"/>
    </row>
    <row r="138">
      <c r="A138" s="65">
        <v>45673.0</v>
      </c>
      <c r="B138" s="759">
        <v>0.6666666666666666</v>
      </c>
      <c r="C138" s="38" t="s">
        <v>19782</v>
      </c>
      <c r="D138" s="38" t="s">
        <v>19783</v>
      </c>
      <c r="E138" s="44"/>
      <c r="F138" s="38" t="s">
        <v>19784</v>
      </c>
      <c r="G138" s="38" t="s">
        <v>19785</v>
      </c>
    </row>
    <row r="139">
      <c r="A139" s="44"/>
      <c r="B139" s="44"/>
      <c r="C139" s="44"/>
      <c r="D139" s="44"/>
      <c r="E139" s="38">
        <v>-1700.0</v>
      </c>
      <c r="F139" s="38" t="s">
        <v>19534</v>
      </c>
      <c r="G139" s="44"/>
    </row>
    <row r="140">
      <c r="A140" s="65">
        <v>45674.0</v>
      </c>
      <c r="B140" s="759">
        <v>0.7291666666666666</v>
      </c>
      <c r="C140" s="38" t="s">
        <v>19746</v>
      </c>
      <c r="D140" s="38" t="s">
        <v>19786</v>
      </c>
      <c r="E140" s="38">
        <v>620.0</v>
      </c>
      <c r="F140" s="38" t="s">
        <v>19787</v>
      </c>
      <c r="G140" s="38" t="s">
        <v>19788</v>
      </c>
    </row>
    <row r="141">
      <c r="A141" s="65">
        <v>45677.0</v>
      </c>
      <c r="B141" s="759">
        <v>0.6458333333333334</v>
      </c>
      <c r="C141" s="38" t="s">
        <v>19789</v>
      </c>
      <c r="D141" s="38" t="s">
        <v>19790</v>
      </c>
      <c r="E141" s="44"/>
      <c r="F141" s="38" t="s">
        <v>19791</v>
      </c>
      <c r="G141" s="38" t="s">
        <v>541</v>
      </c>
    </row>
    <row r="142">
      <c r="A142" s="65">
        <v>45677.0</v>
      </c>
      <c r="B142" s="759">
        <v>0.6666666666666666</v>
      </c>
      <c r="C142" s="38" t="s">
        <v>18583</v>
      </c>
      <c r="D142" s="38" t="s">
        <v>19792</v>
      </c>
      <c r="E142" s="44"/>
      <c r="F142" s="38" t="s">
        <v>19793</v>
      </c>
      <c r="G142" s="38" t="s">
        <v>18584</v>
      </c>
    </row>
    <row r="143">
      <c r="A143" s="65">
        <v>45678.0</v>
      </c>
      <c r="B143" s="759">
        <v>0.375</v>
      </c>
      <c r="C143" s="38" t="s">
        <v>19746</v>
      </c>
      <c r="D143" s="38" t="s">
        <v>19794</v>
      </c>
      <c r="E143" s="44"/>
      <c r="F143" s="38" t="s">
        <v>19795</v>
      </c>
      <c r="G143" s="38" t="s">
        <v>5721</v>
      </c>
    </row>
    <row r="144">
      <c r="A144" s="65">
        <v>45679.0</v>
      </c>
      <c r="B144" s="759">
        <v>0.5833333333333334</v>
      </c>
      <c r="C144" s="38" t="s">
        <v>19796</v>
      </c>
      <c r="D144" s="38" t="s">
        <v>19797</v>
      </c>
      <c r="E144" s="44"/>
      <c r="F144" s="38" t="s">
        <v>19798</v>
      </c>
      <c r="G144" s="38" t="s">
        <v>541</v>
      </c>
    </row>
    <row r="145">
      <c r="A145" s="65">
        <v>45680.0</v>
      </c>
      <c r="B145" s="759">
        <v>0.6666666666666666</v>
      </c>
      <c r="C145" s="38" t="s">
        <v>19775</v>
      </c>
      <c r="D145" s="38" t="s">
        <v>19799</v>
      </c>
      <c r="E145" s="44"/>
      <c r="F145" s="38" t="s">
        <v>19800</v>
      </c>
      <c r="G145" s="44"/>
    </row>
    <row r="146">
      <c r="A146" s="65">
        <v>45681.0</v>
      </c>
      <c r="B146" s="759">
        <v>0.4583333333333333</v>
      </c>
      <c r="C146" s="38" t="s">
        <v>19801</v>
      </c>
      <c r="D146" s="38" t="s">
        <v>19802</v>
      </c>
      <c r="E146" s="38">
        <v>460.0</v>
      </c>
      <c r="F146" s="38" t="s">
        <v>19803</v>
      </c>
      <c r="G146" s="38" t="s">
        <v>19804</v>
      </c>
      <c r="H146" s="44"/>
      <c r="I146" s="44"/>
    </row>
    <row r="147">
      <c r="A147" s="65">
        <v>45681.0</v>
      </c>
      <c r="B147" s="759">
        <v>0.4166666666666667</v>
      </c>
      <c r="C147" s="38" t="s">
        <v>19805</v>
      </c>
      <c r="D147" s="38" t="s">
        <v>19806</v>
      </c>
      <c r="E147" s="38" t="s">
        <v>19807</v>
      </c>
      <c r="F147" s="38" t="s">
        <v>19808</v>
      </c>
      <c r="G147" s="38" t="s">
        <v>19809</v>
      </c>
      <c r="H147" s="90"/>
      <c r="I147" s="38" t="s">
        <v>19810</v>
      </c>
    </row>
    <row r="148">
      <c r="A148" s="65">
        <v>45681.0</v>
      </c>
      <c r="B148" s="759">
        <v>0.4722222222222222</v>
      </c>
      <c r="C148" s="38" t="s">
        <v>19126</v>
      </c>
      <c r="D148" s="38" t="s">
        <v>19811</v>
      </c>
      <c r="E148" s="44"/>
      <c r="F148" s="38" t="s">
        <v>19812</v>
      </c>
      <c r="G148" s="38" t="s">
        <v>5611</v>
      </c>
    </row>
    <row r="149">
      <c r="A149" s="65">
        <v>45681.0</v>
      </c>
      <c r="B149" s="759">
        <v>0.5951388888888889</v>
      </c>
      <c r="C149" s="44"/>
      <c r="D149" s="44"/>
      <c r="E149" s="38">
        <v>-200.0</v>
      </c>
      <c r="F149" s="38" t="s">
        <v>19813</v>
      </c>
      <c r="G149" s="44"/>
    </row>
    <row r="150">
      <c r="A150" s="65">
        <v>45681.0</v>
      </c>
      <c r="B150" s="778">
        <v>0.7430555555555556</v>
      </c>
      <c r="C150" s="44"/>
      <c r="D150" s="38" t="s">
        <v>19556</v>
      </c>
      <c r="E150" s="38">
        <v>80.0</v>
      </c>
      <c r="F150" s="38" t="s">
        <v>19814</v>
      </c>
      <c r="G150" s="38" t="s">
        <v>477</v>
      </c>
    </row>
    <row r="151">
      <c r="A151" s="65">
        <v>45684.0</v>
      </c>
      <c r="B151" s="759">
        <v>0.4375</v>
      </c>
      <c r="C151" s="38" t="s">
        <v>19815</v>
      </c>
      <c r="D151" s="38" t="s">
        <v>19816</v>
      </c>
      <c r="E151" s="44"/>
      <c r="F151" s="38" t="s">
        <v>19817</v>
      </c>
      <c r="G151" s="38" t="s">
        <v>974</v>
      </c>
    </row>
    <row r="152">
      <c r="A152" s="65">
        <v>45684.0</v>
      </c>
      <c r="B152" s="759">
        <v>0.5833333333333334</v>
      </c>
      <c r="C152" s="44"/>
      <c r="D152" s="38" t="s">
        <v>18684</v>
      </c>
      <c r="E152" s="44"/>
      <c r="F152" s="38" t="s">
        <v>5885</v>
      </c>
      <c r="G152" s="38" t="s">
        <v>19818</v>
      </c>
    </row>
    <row r="153">
      <c r="A153" s="65">
        <v>45684.0</v>
      </c>
      <c r="B153" s="759">
        <v>0.6041666666666666</v>
      </c>
      <c r="C153" s="44"/>
      <c r="D153" s="38" t="s">
        <v>19792</v>
      </c>
      <c r="E153" s="44"/>
      <c r="F153" s="38" t="s">
        <v>19819</v>
      </c>
      <c r="G153" s="44"/>
    </row>
    <row r="154">
      <c r="A154" s="65">
        <v>45684.0</v>
      </c>
      <c r="B154" s="759">
        <v>0.6666666666666666</v>
      </c>
      <c r="C154" s="38" t="s">
        <v>19820</v>
      </c>
      <c r="D154" s="38" t="s">
        <v>19821</v>
      </c>
      <c r="E154" s="44"/>
      <c r="F154" s="38" t="s">
        <v>19822</v>
      </c>
      <c r="G154" s="38" t="s">
        <v>19707</v>
      </c>
    </row>
    <row r="155">
      <c r="A155" s="65">
        <v>45685.0</v>
      </c>
      <c r="B155" s="759">
        <v>0.4236111111111111</v>
      </c>
      <c r="C155" s="38" t="s">
        <v>19746</v>
      </c>
      <c r="D155" s="38" t="s">
        <v>19823</v>
      </c>
      <c r="E155" s="38">
        <v>15.0</v>
      </c>
      <c r="F155" s="38" t="s">
        <v>19824</v>
      </c>
      <c r="G155" s="777" t="s">
        <v>19825</v>
      </c>
    </row>
    <row r="156">
      <c r="A156" s="65">
        <v>45685.0</v>
      </c>
      <c r="B156" s="759">
        <v>0.5972222222222222</v>
      </c>
      <c r="C156" s="38" t="s">
        <v>19746</v>
      </c>
      <c r="D156" s="38" t="s">
        <v>18646</v>
      </c>
      <c r="E156" s="44"/>
      <c r="F156" s="38" t="s">
        <v>19826</v>
      </c>
      <c r="G156" s="38" t="s">
        <v>19707</v>
      </c>
    </row>
    <row r="157">
      <c r="A157" s="65">
        <v>45685.0</v>
      </c>
      <c r="B157" s="759">
        <v>0.6875</v>
      </c>
      <c r="C157" s="38" t="s">
        <v>19746</v>
      </c>
      <c r="D157" s="38" t="s">
        <v>18807</v>
      </c>
      <c r="E157" s="38">
        <v>60.0</v>
      </c>
      <c r="F157" s="38" t="s">
        <v>19827</v>
      </c>
      <c r="G157" s="44"/>
    </row>
    <row r="158">
      <c r="A158" s="65">
        <v>45687.0</v>
      </c>
      <c r="B158" s="759">
        <v>0.625</v>
      </c>
      <c r="C158" s="38" t="s">
        <v>19746</v>
      </c>
      <c r="D158" s="38" t="s">
        <v>19786</v>
      </c>
      <c r="E158" s="38">
        <v>30.0</v>
      </c>
      <c r="F158" s="38" t="s">
        <v>19828</v>
      </c>
      <c r="G158" s="38" t="s">
        <v>19788</v>
      </c>
    </row>
    <row r="159">
      <c r="A159" s="44"/>
      <c r="B159" s="44"/>
      <c r="C159" s="44"/>
      <c r="D159" s="44"/>
      <c r="E159" s="38">
        <v>65.0</v>
      </c>
      <c r="F159" s="38" t="s">
        <v>19829</v>
      </c>
      <c r="G159" s="44"/>
    </row>
    <row r="160">
      <c r="A160" s="779" t="s">
        <v>19830</v>
      </c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</row>
    <row r="161">
      <c r="A161" s="65">
        <v>45689.0</v>
      </c>
      <c r="B161" s="759">
        <v>0.5</v>
      </c>
      <c r="C161" s="44"/>
      <c r="D161" s="44"/>
      <c r="E161" s="38">
        <v>30.0</v>
      </c>
      <c r="F161" s="38" t="s">
        <v>19688</v>
      </c>
      <c r="G161" s="44"/>
      <c r="H161" s="44"/>
    </row>
    <row r="162">
      <c r="A162" s="65">
        <v>45691.0</v>
      </c>
      <c r="B162" s="759">
        <v>0.4583333333333333</v>
      </c>
      <c r="C162" s="44"/>
      <c r="D162" s="44"/>
      <c r="E162" s="44"/>
      <c r="F162" s="38" t="s">
        <v>175</v>
      </c>
      <c r="G162" s="775" t="s">
        <v>19831</v>
      </c>
      <c r="H162" s="38" t="s">
        <v>19832</v>
      </c>
    </row>
    <row r="163">
      <c r="A163" s="65">
        <v>45694.0</v>
      </c>
      <c r="B163" s="759">
        <v>0.5208333333333334</v>
      </c>
      <c r="C163" s="38" t="s">
        <v>19833</v>
      </c>
      <c r="D163" s="38" t="s">
        <v>19834</v>
      </c>
      <c r="E163" s="44"/>
      <c r="F163" s="38" t="s">
        <v>19835</v>
      </c>
      <c r="G163" s="775"/>
      <c r="H163" s="44"/>
    </row>
    <row r="164">
      <c r="A164" s="65">
        <v>45694.0</v>
      </c>
      <c r="B164" s="759">
        <v>0.6666666666666666</v>
      </c>
      <c r="C164" s="44"/>
      <c r="D164" s="38" t="s">
        <v>19836</v>
      </c>
      <c r="E164" s="44"/>
      <c r="F164" s="38" t="s">
        <v>19837</v>
      </c>
      <c r="G164" s="44"/>
      <c r="H164" s="44"/>
      <c r="R164" s="8"/>
      <c r="S164" s="8"/>
      <c r="T164" s="8"/>
      <c r="U164" s="8"/>
      <c r="V164" s="8"/>
    </row>
    <row r="165">
      <c r="A165" s="65">
        <v>45695.0</v>
      </c>
      <c r="B165" s="759">
        <v>0.375</v>
      </c>
      <c r="C165" s="38" t="s">
        <v>19838</v>
      </c>
      <c r="D165" s="38" t="s">
        <v>19556</v>
      </c>
      <c r="E165" s="44"/>
      <c r="F165" s="38" t="s">
        <v>19839</v>
      </c>
      <c r="G165" s="44"/>
      <c r="H165" s="44"/>
      <c r="I165" s="8"/>
      <c r="R165" s="8"/>
      <c r="S165" s="8"/>
      <c r="T165" s="8"/>
      <c r="U165" s="8"/>
      <c r="V165" s="8"/>
    </row>
    <row r="166">
      <c r="A166" s="65">
        <v>45695.0</v>
      </c>
      <c r="B166" s="759">
        <v>0.5</v>
      </c>
      <c r="C166" s="38" t="s">
        <v>19676</v>
      </c>
      <c r="D166" s="38" t="s">
        <v>4178</v>
      </c>
      <c r="E166" s="44"/>
      <c r="F166" s="38" t="s">
        <v>19840</v>
      </c>
      <c r="G166" s="44"/>
      <c r="H166" s="44"/>
      <c r="I166" s="8"/>
      <c r="R166" s="8"/>
      <c r="S166" s="8"/>
      <c r="T166" s="8"/>
      <c r="U166" s="8"/>
      <c r="V166" s="8"/>
    </row>
    <row r="167">
      <c r="A167" s="65">
        <v>45695.0</v>
      </c>
      <c r="B167" s="759">
        <v>0.625</v>
      </c>
      <c r="C167" s="44"/>
      <c r="D167" s="44"/>
      <c r="E167" s="38">
        <v>-300.0</v>
      </c>
      <c r="F167" s="38" t="s">
        <v>19841</v>
      </c>
      <c r="G167" s="44"/>
      <c r="H167" s="44"/>
      <c r="I167" s="8"/>
      <c r="R167" s="8"/>
      <c r="S167" s="8"/>
      <c r="T167" s="8"/>
      <c r="U167" s="8"/>
      <c r="V167" s="8"/>
    </row>
    <row r="168">
      <c r="A168" s="65">
        <v>45695.0</v>
      </c>
      <c r="B168" s="759">
        <v>0.6944444444444444</v>
      </c>
      <c r="C168" s="44"/>
      <c r="D168" s="44"/>
      <c r="E168" s="38">
        <v>-200.0</v>
      </c>
      <c r="F168" s="38" t="s">
        <v>16872</v>
      </c>
      <c r="G168" s="44"/>
      <c r="H168" s="44"/>
      <c r="I168" s="8"/>
      <c r="R168" s="8"/>
      <c r="S168" s="8"/>
      <c r="T168" s="8"/>
      <c r="U168" s="8"/>
      <c r="V168" s="8"/>
    </row>
    <row r="169">
      <c r="A169" s="65">
        <v>45698.0</v>
      </c>
      <c r="B169" s="759">
        <v>0.375</v>
      </c>
      <c r="C169" s="38" t="s">
        <v>19743</v>
      </c>
      <c r="D169" s="38" t="s">
        <v>18189</v>
      </c>
      <c r="E169" s="44"/>
      <c r="F169" s="38" t="s">
        <v>19842</v>
      </c>
      <c r="G169" s="38" t="s">
        <v>1072</v>
      </c>
      <c r="H169" s="8"/>
      <c r="I169" s="8"/>
    </row>
    <row r="170">
      <c r="A170" s="65">
        <v>45698.0</v>
      </c>
      <c r="B170" s="759">
        <v>0.4583333333333333</v>
      </c>
      <c r="C170" s="44"/>
      <c r="D170" s="38" t="s">
        <v>19843</v>
      </c>
      <c r="E170" s="44"/>
      <c r="F170" s="38" t="s">
        <v>19844</v>
      </c>
      <c r="G170" s="38" t="s">
        <v>19845</v>
      </c>
      <c r="H170" s="44"/>
    </row>
    <row r="171">
      <c r="A171" s="65">
        <v>45698.0</v>
      </c>
      <c r="B171" s="759">
        <v>0.4583333333333333</v>
      </c>
      <c r="C171" s="44"/>
      <c r="D171" s="38" t="s">
        <v>19846</v>
      </c>
      <c r="E171" s="44"/>
      <c r="F171" s="38" t="s">
        <v>19847</v>
      </c>
      <c r="G171" s="38" t="s">
        <v>19848</v>
      </c>
      <c r="H171" s="44"/>
    </row>
    <row r="172">
      <c r="A172" s="65">
        <v>45698.0</v>
      </c>
      <c r="B172" s="759">
        <v>0.5902777777777778</v>
      </c>
      <c r="C172" s="44"/>
      <c r="D172" s="38" t="s">
        <v>19849</v>
      </c>
      <c r="E172" s="44"/>
      <c r="F172" s="38" t="s">
        <v>175</v>
      </c>
      <c r="G172" s="38" t="s">
        <v>19707</v>
      </c>
      <c r="H172" s="44"/>
    </row>
    <row r="173">
      <c r="A173" s="65">
        <v>45698.0</v>
      </c>
      <c r="B173" s="759">
        <v>0.6666666666666666</v>
      </c>
      <c r="C173" s="44"/>
      <c r="D173" s="38" t="s">
        <v>19850</v>
      </c>
      <c r="E173" s="38">
        <v>15.0</v>
      </c>
      <c r="F173" s="38" t="s">
        <v>19851</v>
      </c>
      <c r="G173" s="38" t="s">
        <v>19852</v>
      </c>
      <c r="H173" s="38" t="s">
        <v>19853</v>
      </c>
    </row>
    <row r="174">
      <c r="A174" s="65">
        <v>45699.0</v>
      </c>
      <c r="B174" s="44"/>
      <c r="C174" s="44"/>
      <c r="D174" s="44"/>
      <c r="E174" s="38">
        <v>-20.0</v>
      </c>
      <c r="F174" s="38" t="s">
        <v>19854</v>
      </c>
      <c r="G174" s="44"/>
    </row>
    <row r="175">
      <c r="A175" s="65">
        <v>45699.0</v>
      </c>
      <c r="B175" s="759">
        <v>0.4166666666666667</v>
      </c>
      <c r="C175" s="38" t="s">
        <v>18360</v>
      </c>
      <c r="D175" s="38" t="s">
        <v>19855</v>
      </c>
      <c r="E175" s="44"/>
      <c r="F175" s="38" t="s">
        <v>19856</v>
      </c>
      <c r="G175" s="38" t="s">
        <v>19857</v>
      </c>
    </row>
    <row r="176">
      <c r="A176" s="65">
        <v>45699.0</v>
      </c>
      <c r="B176" s="759">
        <v>0.5972222222222222</v>
      </c>
      <c r="C176" s="38" t="s">
        <v>19858</v>
      </c>
      <c r="D176" s="38" t="s">
        <v>3177</v>
      </c>
      <c r="E176" s="38">
        <v>50.0</v>
      </c>
      <c r="F176" s="38" t="s">
        <v>19859</v>
      </c>
      <c r="G176" s="38">
        <v>8.68408803E8</v>
      </c>
    </row>
    <row r="177">
      <c r="A177" s="65">
        <v>45700.0</v>
      </c>
      <c r="B177" s="759">
        <v>0.4166666666666667</v>
      </c>
      <c r="C177" s="44"/>
      <c r="D177" s="38" t="s">
        <v>17717</v>
      </c>
      <c r="E177" s="44"/>
      <c r="F177" s="38" t="s">
        <v>175</v>
      </c>
      <c r="G177" s="38" t="s">
        <v>19707</v>
      </c>
    </row>
    <row r="178">
      <c r="A178" s="65">
        <v>45700.0</v>
      </c>
      <c r="B178" s="759">
        <v>0.4583333333333333</v>
      </c>
      <c r="C178" s="44"/>
      <c r="D178" s="38" t="s">
        <v>18646</v>
      </c>
      <c r="E178" s="44"/>
      <c r="F178" s="38" t="s">
        <v>5885</v>
      </c>
      <c r="G178" s="44"/>
    </row>
    <row r="179">
      <c r="A179" s="65">
        <v>45700.0</v>
      </c>
      <c r="B179" s="759">
        <v>0.5625</v>
      </c>
      <c r="C179" s="44"/>
      <c r="D179" s="38" t="s">
        <v>19860</v>
      </c>
      <c r="E179" s="44"/>
      <c r="F179" s="38" t="s">
        <v>19861</v>
      </c>
      <c r="G179" s="38" t="s">
        <v>19707</v>
      </c>
    </row>
    <row r="180">
      <c r="A180" s="65">
        <v>45701.0</v>
      </c>
      <c r="B180" s="759">
        <v>0.6666666666666666</v>
      </c>
      <c r="C180" s="44"/>
      <c r="D180" s="38" t="s">
        <v>19802</v>
      </c>
      <c r="E180" s="38">
        <v>80.0</v>
      </c>
      <c r="F180" s="38" t="s">
        <v>19862</v>
      </c>
      <c r="G180" s="38"/>
      <c r="H180" s="8"/>
    </row>
    <row r="181">
      <c r="A181" s="65">
        <v>45702.0</v>
      </c>
      <c r="B181" s="759">
        <v>0.4166666666666667</v>
      </c>
      <c r="C181" s="44"/>
      <c r="D181" s="38" t="s">
        <v>19863</v>
      </c>
      <c r="E181" s="44"/>
      <c r="F181" s="38" t="s">
        <v>19864</v>
      </c>
      <c r="G181" s="38" t="s">
        <v>19865</v>
      </c>
    </row>
    <row r="182">
      <c r="A182" s="65">
        <v>45702.0</v>
      </c>
      <c r="B182" s="759">
        <v>0.4986111111111111</v>
      </c>
      <c r="C182" s="44"/>
      <c r="D182" s="44"/>
      <c r="E182" s="44"/>
      <c r="F182" s="38" t="s">
        <v>19866</v>
      </c>
      <c r="G182" s="38" t="s">
        <v>19867</v>
      </c>
    </row>
    <row r="183">
      <c r="A183" s="65">
        <v>45702.0</v>
      </c>
      <c r="B183" s="759">
        <v>0.5</v>
      </c>
      <c r="C183" s="38" t="s">
        <v>19749</v>
      </c>
      <c r="D183" s="38" t="s">
        <v>19868</v>
      </c>
      <c r="E183" s="44"/>
      <c r="F183" s="38" t="s">
        <v>19869</v>
      </c>
      <c r="G183" s="44"/>
    </row>
    <row r="184">
      <c r="A184" s="65">
        <v>45702.0</v>
      </c>
      <c r="B184" s="759">
        <v>0.5416666666666666</v>
      </c>
      <c r="C184" s="44"/>
      <c r="D184" s="38" t="s">
        <v>19870</v>
      </c>
      <c r="E184" s="38">
        <v>160.0</v>
      </c>
      <c r="F184" s="38" t="s">
        <v>19871</v>
      </c>
      <c r="G184" s="44"/>
    </row>
    <row r="185">
      <c r="A185" s="65">
        <v>45705.0</v>
      </c>
      <c r="B185" s="44"/>
      <c r="C185" s="44"/>
      <c r="D185" s="44"/>
      <c r="E185" s="38">
        <v>60.0</v>
      </c>
      <c r="F185" s="38" t="s">
        <v>19872</v>
      </c>
      <c r="G185" s="44"/>
    </row>
    <row r="186">
      <c r="A186" s="65">
        <v>45706.0</v>
      </c>
      <c r="B186" s="759">
        <v>0.40625</v>
      </c>
      <c r="C186" s="44"/>
      <c r="D186" s="38" t="s">
        <v>19873</v>
      </c>
      <c r="E186" s="44"/>
      <c r="F186" s="38" t="s">
        <v>19874</v>
      </c>
      <c r="G186" s="44"/>
      <c r="H186" s="1" t="s">
        <v>19875</v>
      </c>
    </row>
    <row r="187">
      <c r="A187" s="65">
        <v>45706.0</v>
      </c>
      <c r="B187" s="759">
        <v>0.5</v>
      </c>
      <c r="C187" s="44"/>
      <c r="D187" s="38" t="s">
        <v>18646</v>
      </c>
      <c r="E187" s="44"/>
      <c r="F187" s="38" t="s">
        <v>19876</v>
      </c>
      <c r="G187" s="38" t="s">
        <v>19848</v>
      </c>
    </row>
    <row r="188">
      <c r="A188" s="65">
        <v>45707.0</v>
      </c>
      <c r="B188" s="759">
        <v>0.3958333333333333</v>
      </c>
      <c r="C188" s="38" t="s">
        <v>19877</v>
      </c>
      <c r="D188" s="38" t="s">
        <v>19878</v>
      </c>
      <c r="E188" s="44"/>
      <c r="F188" s="38" t="s">
        <v>19879</v>
      </c>
      <c r="G188" s="44"/>
    </row>
    <row r="189">
      <c r="A189" s="65">
        <v>45707.0</v>
      </c>
      <c r="B189" s="759">
        <v>0.4583333333333333</v>
      </c>
      <c r="C189" s="38" t="s">
        <v>18360</v>
      </c>
      <c r="D189" s="38" t="s">
        <v>19880</v>
      </c>
      <c r="E189" s="44"/>
      <c r="F189" s="38" t="s">
        <v>19881</v>
      </c>
      <c r="G189" s="38" t="s">
        <v>19857</v>
      </c>
    </row>
    <row r="190">
      <c r="A190" s="65">
        <v>45707.0</v>
      </c>
      <c r="B190" s="759">
        <v>0.5625</v>
      </c>
      <c r="C190" s="44"/>
      <c r="D190" s="38" t="s">
        <v>19882</v>
      </c>
      <c r="E190" s="38">
        <v>80.0</v>
      </c>
      <c r="F190" s="38" t="s">
        <v>19883</v>
      </c>
      <c r="G190" s="38" t="s">
        <v>19884</v>
      </c>
    </row>
    <row r="191">
      <c r="A191" s="65">
        <v>45707.0</v>
      </c>
      <c r="B191" s="759">
        <v>0.6527777777777778</v>
      </c>
      <c r="C191" s="44"/>
      <c r="D191" s="38" t="s">
        <v>19885</v>
      </c>
      <c r="E191" s="44"/>
      <c r="F191" s="38" t="s">
        <v>19886</v>
      </c>
      <c r="G191" s="38" t="s">
        <v>19707</v>
      </c>
    </row>
    <row r="192">
      <c r="A192" s="65">
        <v>45708.0</v>
      </c>
      <c r="B192" s="759">
        <v>0.4583333333333333</v>
      </c>
      <c r="C192" s="44"/>
      <c r="D192" s="38" t="s">
        <v>17822</v>
      </c>
      <c r="E192" s="44"/>
      <c r="F192" s="38" t="s">
        <v>19887</v>
      </c>
      <c r="G192" s="38" t="s">
        <v>19888</v>
      </c>
    </row>
    <row r="193">
      <c r="A193" s="65">
        <v>45708.0</v>
      </c>
      <c r="B193" s="759">
        <v>0.6041666666666666</v>
      </c>
      <c r="C193" s="38" t="s">
        <v>19889</v>
      </c>
      <c r="D193" s="38" t="s">
        <v>19682</v>
      </c>
      <c r="E193" s="44"/>
      <c r="F193" s="38" t="s">
        <v>19890</v>
      </c>
      <c r="G193" s="44"/>
    </row>
    <row r="194">
      <c r="A194" s="65">
        <v>45708.0</v>
      </c>
      <c r="B194" s="759">
        <v>0.625</v>
      </c>
      <c r="C194" s="44"/>
      <c r="D194" s="38" t="s">
        <v>19891</v>
      </c>
      <c r="E194" s="38" t="s">
        <v>19892</v>
      </c>
      <c r="F194" s="38" t="s">
        <v>19893</v>
      </c>
      <c r="G194" s="44"/>
    </row>
    <row r="195">
      <c r="A195" s="65">
        <v>45709.0</v>
      </c>
      <c r="B195" s="759">
        <v>0.4166666666666667</v>
      </c>
      <c r="C195" s="44"/>
      <c r="D195" s="44"/>
      <c r="E195" s="38">
        <v>-50.0</v>
      </c>
      <c r="F195" s="38" t="s">
        <v>19894</v>
      </c>
      <c r="G195" s="44"/>
    </row>
    <row r="196">
      <c r="A196" s="65">
        <v>45709.0</v>
      </c>
      <c r="B196" s="759">
        <v>0.6354166666666666</v>
      </c>
      <c r="C196" s="44"/>
      <c r="D196" s="38" t="s">
        <v>17816</v>
      </c>
      <c r="E196" s="38">
        <v>90.0</v>
      </c>
      <c r="F196" s="38" t="s">
        <v>19895</v>
      </c>
      <c r="G196" s="44"/>
    </row>
    <row r="197">
      <c r="A197" s="65">
        <v>45709.0</v>
      </c>
      <c r="B197" s="759">
        <v>0.65625</v>
      </c>
      <c r="C197" s="44"/>
      <c r="D197" s="44"/>
      <c r="E197" s="38">
        <v>-300.0</v>
      </c>
      <c r="F197" s="38" t="s">
        <v>19841</v>
      </c>
      <c r="G197" s="44"/>
    </row>
    <row r="198">
      <c r="A198" s="65">
        <v>45712.0</v>
      </c>
      <c r="B198" s="759">
        <v>0.4236111111111111</v>
      </c>
      <c r="C198" s="38" t="s">
        <v>19007</v>
      </c>
      <c r="D198" s="38" t="s">
        <v>19896</v>
      </c>
      <c r="E198" s="44"/>
      <c r="F198" s="38" t="s">
        <v>19897</v>
      </c>
      <c r="G198" s="44"/>
    </row>
    <row r="199">
      <c r="A199" s="65">
        <v>45712.0</v>
      </c>
      <c r="B199" s="759">
        <v>0.5298611111111111</v>
      </c>
      <c r="C199" s="44"/>
      <c r="D199" s="38" t="s">
        <v>19898</v>
      </c>
      <c r="E199" s="38">
        <v>30.0</v>
      </c>
      <c r="F199" s="38" t="s">
        <v>19899</v>
      </c>
      <c r="G199" s="44"/>
    </row>
    <row r="200">
      <c r="A200" s="164" t="s">
        <v>19900</v>
      </c>
      <c r="B200" s="759">
        <v>0.3819444444444444</v>
      </c>
      <c r="C200" s="44"/>
      <c r="D200" s="38" t="s">
        <v>19901</v>
      </c>
      <c r="E200" s="44"/>
      <c r="F200" s="38" t="s">
        <v>19902</v>
      </c>
      <c r="G200" s="44"/>
    </row>
    <row r="201">
      <c r="A201" s="65">
        <v>45713.0</v>
      </c>
      <c r="B201" s="759">
        <v>0.5</v>
      </c>
      <c r="C201" s="44"/>
      <c r="D201" s="38" t="s">
        <v>19661</v>
      </c>
      <c r="E201" s="38">
        <v>30.0</v>
      </c>
      <c r="F201" s="38" t="s">
        <v>5885</v>
      </c>
      <c r="G201" s="44"/>
    </row>
    <row r="202">
      <c r="A202" s="780" t="s">
        <v>19903</v>
      </c>
      <c r="B202" s="648"/>
      <c r="C202" s="648"/>
      <c r="D202" s="648"/>
      <c r="E202" s="648"/>
      <c r="F202" s="648"/>
      <c r="G202" s="648"/>
      <c r="H202" s="648"/>
      <c r="I202" s="648"/>
      <c r="J202" s="648"/>
      <c r="K202" s="648"/>
      <c r="L202" s="648"/>
      <c r="M202" s="648"/>
      <c r="N202" s="648"/>
      <c r="O202" s="648"/>
      <c r="P202" s="648"/>
      <c r="Q202" s="648"/>
      <c r="R202" s="648"/>
      <c r="S202" s="648"/>
      <c r="T202" s="648"/>
      <c r="U202" s="648"/>
      <c r="V202" s="648"/>
    </row>
    <row r="203">
      <c r="A203" s="65">
        <v>45719.0</v>
      </c>
      <c r="B203" s="759">
        <v>0.4027777777777778</v>
      </c>
      <c r="C203" s="38" t="s">
        <v>19815</v>
      </c>
      <c r="D203" s="38" t="s">
        <v>19904</v>
      </c>
      <c r="E203" s="44"/>
      <c r="F203" s="38" t="s">
        <v>19905</v>
      </c>
      <c r="G203" s="38" t="s">
        <v>974</v>
      </c>
      <c r="H203" s="1" t="s">
        <v>743</v>
      </c>
      <c r="I203" s="1" t="s">
        <v>744</v>
      </c>
      <c r="J203" s="1" t="s">
        <v>745</v>
      </c>
    </row>
    <row r="204">
      <c r="A204" s="65">
        <v>45720.0</v>
      </c>
      <c r="B204" s="759">
        <v>0.4166666666666667</v>
      </c>
      <c r="C204" s="38" t="s">
        <v>19815</v>
      </c>
      <c r="D204" s="38" t="s">
        <v>19904</v>
      </c>
      <c r="E204" s="44"/>
      <c r="F204" s="44"/>
      <c r="G204" s="38" t="s">
        <v>974</v>
      </c>
      <c r="H204" s="1" t="s">
        <v>746</v>
      </c>
      <c r="I204" s="1" t="s">
        <v>747</v>
      </c>
      <c r="J204" s="1" t="s">
        <v>748</v>
      </c>
    </row>
    <row r="205" ht="17.25" customHeight="1">
      <c r="A205" s="65">
        <v>45721.0</v>
      </c>
      <c r="B205" s="759">
        <v>0.4583333333333333</v>
      </c>
      <c r="C205" s="38" t="s">
        <v>19815</v>
      </c>
      <c r="D205" s="38" t="s">
        <v>19904</v>
      </c>
      <c r="E205" s="44"/>
      <c r="F205" s="44"/>
      <c r="G205" s="38" t="s">
        <v>974</v>
      </c>
      <c r="H205" s="1" t="s">
        <v>749</v>
      </c>
      <c r="I205" s="1" t="s">
        <v>750</v>
      </c>
      <c r="J205" s="1" t="s">
        <v>751</v>
      </c>
      <c r="L205" s="1" t="s">
        <v>752</v>
      </c>
    </row>
    <row r="206">
      <c r="A206" s="65">
        <v>45720.0</v>
      </c>
      <c r="B206" s="759">
        <v>0.375</v>
      </c>
      <c r="C206" s="44"/>
      <c r="D206" s="38" t="s">
        <v>19906</v>
      </c>
      <c r="E206" s="44"/>
      <c r="F206" s="38" t="s">
        <v>175</v>
      </c>
      <c r="G206" s="775" t="s">
        <v>19831</v>
      </c>
    </row>
    <row r="207">
      <c r="A207" s="65">
        <v>45721.0</v>
      </c>
      <c r="B207" s="44"/>
      <c r="C207" s="44"/>
      <c r="D207" s="44"/>
      <c r="E207" s="38">
        <v>-270.0</v>
      </c>
      <c r="F207" s="38" t="s">
        <v>19907</v>
      </c>
      <c r="G207" s="44"/>
      <c r="H207" s="44"/>
      <c r="I207" s="44"/>
    </row>
    <row r="208">
      <c r="A208" s="65">
        <v>45722.0</v>
      </c>
      <c r="B208" s="44"/>
      <c r="C208" s="38" t="s">
        <v>19908</v>
      </c>
      <c r="D208" s="38" t="s">
        <v>19909</v>
      </c>
      <c r="E208" s="44"/>
      <c r="F208" s="38" t="s">
        <v>19910</v>
      </c>
      <c r="G208" s="44"/>
      <c r="H208" s="44"/>
      <c r="I208" s="44"/>
    </row>
    <row r="209">
      <c r="A209" s="65">
        <v>45722.0</v>
      </c>
      <c r="B209" s="44"/>
      <c r="C209" s="38" t="s">
        <v>19911</v>
      </c>
      <c r="D209" s="38" t="s">
        <v>19912</v>
      </c>
      <c r="E209" s="44"/>
      <c r="F209" s="38" t="s">
        <v>19913</v>
      </c>
      <c r="G209" s="38" t="s">
        <v>19914</v>
      </c>
      <c r="H209" s="44"/>
      <c r="I209" s="44"/>
    </row>
    <row r="210">
      <c r="A210" s="65">
        <v>45723.0</v>
      </c>
      <c r="B210" s="44"/>
      <c r="C210" s="44"/>
      <c r="D210" s="38" t="s">
        <v>19556</v>
      </c>
      <c r="E210" s="38">
        <v>-23.55</v>
      </c>
      <c r="F210" s="38" t="s">
        <v>19915</v>
      </c>
      <c r="G210" s="44"/>
      <c r="H210" s="44"/>
      <c r="I210" s="44"/>
    </row>
    <row r="211">
      <c r="A211" s="65">
        <v>45726.0</v>
      </c>
      <c r="B211" s="759">
        <v>0.61875</v>
      </c>
      <c r="C211" s="38" t="s">
        <v>19262</v>
      </c>
      <c r="D211" s="38" t="s">
        <v>19916</v>
      </c>
      <c r="E211" s="44"/>
      <c r="F211" s="38" t="s">
        <v>5885</v>
      </c>
      <c r="G211" s="38" t="s">
        <v>19914</v>
      </c>
      <c r="H211" s="44"/>
      <c r="I211" s="44"/>
    </row>
    <row r="212">
      <c r="A212" s="44"/>
      <c r="B212" s="44"/>
      <c r="C212" s="44"/>
      <c r="D212" s="44"/>
      <c r="E212" s="38">
        <v>275.0</v>
      </c>
      <c r="F212" s="38" t="s">
        <v>19917</v>
      </c>
      <c r="G212" s="44"/>
      <c r="H212" s="44"/>
      <c r="I212" s="44"/>
    </row>
    <row r="213">
      <c r="A213" s="65">
        <v>45728.0</v>
      </c>
      <c r="B213" s="44"/>
      <c r="C213" s="44"/>
      <c r="D213" s="164"/>
      <c r="E213" s="38">
        <v>130.0</v>
      </c>
      <c r="F213" s="38" t="s">
        <v>19918</v>
      </c>
      <c r="G213" s="38" t="s">
        <v>19919</v>
      </c>
      <c r="H213" s="33" t="s">
        <v>19920</v>
      </c>
      <c r="I213" s="44"/>
    </row>
    <row r="214">
      <c r="A214" s="65">
        <v>45728.0</v>
      </c>
      <c r="B214" s="759">
        <v>0.4166666666666667</v>
      </c>
      <c r="C214" s="38" t="s">
        <v>19921</v>
      </c>
      <c r="D214" s="38" t="s">
        <v>3177</v>
      </c>
      <c r="E214" s="44"/>
      <c r="F214" s="38" t="s">
        <v>19922</v>
      </c>
      <c r="G214" s="38" t="s">
        <v>541</v>
      </c>
      <c r="H214" s="44"/>
      <c r="I214" s="44"/>
    </row>
    <row r="215">
      <c r="A215" s="65">
        <v>45729.0</v>
      </c>
      <c r="B215" s="44"/>
      <c r="C215" s="38" t="s">
        <v>19908</v>
      </c>
      <c r="D215" s="38" t="s">
        <v>19909</v>
      </c>
      <c r="E215" s="44"/>
      <c r="F215" s="38" t="s">
        <v>19923</v>
      </c>
      <c r="G215" s="44"/>
      <c r="H215" s="44"/>
    </row>
    <row r="216">
      <c r="A216" s="65">
        <v>45734.0</v>
      </c>
      <c r="B216" s="44"/>
      <c r="C216" s="44"/>
      <c r="D216" s="38" t="s">
        <v>19924</v>
      </c>
      <c r="E216" s="44"/>
      <c r="F216" s="38" t="s">
        <v>19925</v>
      </c>
      <c r="G216" s="38" t="s">
        <v>19697</v>
      </c>
      <c r="H216" s="44"/>
    </row>
    <row r="217">
      <c r="A217" s="65">
        <v>45734.0</v>
      </c>
      <c r="B217" s="44"/>
      <c r="C217" s="44"/>
      <c r="D217" s="38" t="s">
        <v>19926</v>
      </c>
      <c r="E217" s="44"/>
      <c r="F217" s="38" t="s">
        <v>19927</v>
      </c>
      <c r="G217" s="44"/>
      <c r="H217" s="44"/>
    </row>
    <row r="218">
      <c r="A218" s="65">
        <v>45734.0</v>
      </c>
      <c r="B218" s="44"/>
      <c r="C218" s="38" t="s">
        <v>19838</v>
      </c>
      <c r="D218" s="38" t="s">
        <v>826</v>
      </c>
      <c r="E218" s="44"/>
      <c r="F218" s="38" t="s">
        <v>19928</v>
      </c>
      <c r="G218" s="44"/>
      <c r="H218" s="38" t="s">
        <v>19929</v>
      </c>
    </row>
    <row r="219">
      <c r="A219" s="44"/>
      <c r="B219" s="44"/>
      <c r="C219" s="44"/>
      <c r="D219" s="44"/>
      <c r="E219" s="38">
        <v>-300.0</v>
      </c>
      <c r="F219" s="38" t="s">
        <v>19930</v>
      </c>
      <c r="G219" s="44"/>
      <c r="H219" s="44"/>
    </row>
    <row r="220">
      <c r="A220" s="44"/>
      <c r="B220" s="44"/>
      <c r="C220" s="44"/>
      <c r="D220" s="44"/>
      <c r="E220" s="38">
        <v>17.01</v>
      </c>
      <c r="F220" s="38" t="s">
        <v>19931</v>
      </c>
      <c r="G220" s="44"/>
      <c r="H220" s="44"/>
    </row>
    <row r="221">
      <c r="A221" s="65">
        <v>45734.0</v>
      </c>
      <c r="B221" s="759">
        <v>0.6666666666666666</v>
      </c>
      <c r="C221" s="44"/>
      <c r="D221" s="44"/>
      <c r="E221" s="38">
        <v>20.0</v>
      </c>
      <c r="F221" s="38" t="s">
        <v>4508</v>
      </c>
      <c r="G221" s="44"/>
    </row>
    <row r="222">
      <c r="A222" s="38" t="s">
        <v>19932</v>
      </c>
      <c r="B222" s="759">
        <v>0.375</v>
      </c>
      <c r="C222" s="781">
        <v>0.4173611111111111</v>
      </c>
      <c r="D222" s="94" t="s">
        <v>19933</v>
      </c>
      <c r="E222" s="44"/>
      <c r="F222" s="38" t="s">
        <v>3643</v>
      </c>
      <c r="G222" s="94" t="s">
        <v>19934</v>
      </c>
    </row>
    <row r="223">
      <c r="A223" s="38" t="s">
        <v>19932</v>
      </c>
      <c r="B223" s="759">
        <v>0.375</v>
      </c>
      <c r="C223" s="38" t="s">
        <v>19838</v>
      </c>
      <c r="D223" s="38" t="s">
        <v>826</v>
      </c>
      <c r="E223" s="44"/>
      <c r="F223" s="38" t="s">
        <v>19935</v>
      </c>
      <c r="G223" s="44"/>
      <c r="H223" s="38" t="s">
        <v>19936</v>
      </c>
      <c r="I223" s="38" t="s">
        <v>749</v>
      </c>
    </row>
    <row r="224">
      <c r="A224" s="38" t="s">
        <v>19937</v>
      </c>
      <c r="B224" s="759">
        <v>0.375</v>
      </c>
      <c r="C224" s="38" t="s">
        <v>19938</v>
      </c>
      <c r="D224" s="38" t="s">
        <v>19933</v>
      </c>
      <c r="E224" s="44"/>
      <c r="F224" s="38" t="s">
        <v>19939</v>
      </c>
      <c r="G224" s="44"/>
      <c r="H224" s="44"/>
      <c r="I224" s="44"/>
    </row>
    <row r="225">
      <c r="A225" s="38" t="s">
        <v>19937</v>
      </c>
      <c r="B225" s="44"/>
      <c r="C225" s="44"/>
      <c r="D225" s="44"/>
      <c r="E225" s="38">
        <v>35.0</v>
      </c>
      <c r="F225" s="38" t="s">
        <v>19940</v>
      </c>
      <c r="G225" s="38" t="s">
        <v>19941</v>
      </c>
    </row>
    <row r="226">
      <c r="A226" s="38" t="s">
        <v>19932</v>
      </c>
      <c r="B226" s="44"/>
      <c r="C226" s="44"/>
      <c r="D226" s="44"/>
      <c r="E226" s="38">
        <v>270.0</v>
      </c>
      <c r="F226" s="38" t="s">
        <v>19942</v>
      </c>
      <c r="G226" s="44"/>
    </row>
    <row r="227">
      <c r="A227" s="38" t="s">
        <v>19943</v>
      </c>
      <c r="B227" s="759">
        <v>0.3958333333333333</v>
      </c>
      <c r="C227" s="44"/>
      <c r="D227" s="38" t="s">
        <v>19944</v>
      </c>
      <c r="E227" s="38" t="s">
        <v>19945</v>
      </c>
      <c r="F227" s="38" t="s">
        <v>19946</v>
      </c>
      <c r="G227" s="777" t="s">
        <v>19947</v>
      </c>
    </row>
    <row r="228">
      <c r="A228" s="38" t="s">
        <v>19943</v>
      </c>
      <c r="B228" s="759">
        <v>0.4270833333333333</v>
      </c>
      <c r="C228" s="44"/>
      <c r="D228" s="38" t="s">
        <v>19948</v>
      </c>
      <c r="E228" s="44"/>
      <c r="F228" s="38" t="s">
        <v>19949</v>
      </c>
      <c r="G228" s="38" t="s">
        <v>19950</v>
      </c>
    </row>
    <row r="229">
      <c r="A229" s="38" t="s">
        <v>19943</v>
      </c>
      <c r="B229" s="759">
        <v>0.4791666666666667</v>
      </c>
      <c r="C229" s="38" t="s">
        <v>19951</v>
      </c>
      <c r="D229" s="38" t="s">
        <v>17717</v>
      </c>
      <c r="E229" s="44"/>
      <c r="F229" s="38" t="s">
        <v>19952</v>
      </c>
      <c r="G229" s="38" t="s">
        <v>19697</v>
      </c>
    </row>
    <row r="230">
      <c r="A230" s="38" t="s">
        <v>19943</v>
      </c>
      <c r="B230" s="759">
        <v>0.5</v>
      </c>
      <c r="C230" s="38" t="s">
        <v>19953</v>
      </c>
      <c r="D230" s="38" t="s">
        <v>19765</v>
      </c>
      <c r="E230" s="38">
        <v>45.0</v>
      </c>
      <c r="F230" s="38" t="s">
        <v>3643</v>
      </c>
      <c r="G230" s="44"/>
    </row>
    <row r="231">
      <c r="A231" s="38" t="s">
        <v>19943</v>
      </c>
      <c r="B231" s="759">
        <v>0.6666666666666666</v>
      </c>
      <c r="C231" s="775" t="s">
        <v>19954</v>
      </c>
      <c r="D231" s="134" t="s">
        <v>19955</v>
      </c>
      <c r="E231" s="38" t="s">
        <v>2916</v>
      </c>
      <c r="F231" s="38" t="s">
        <v>19956</v>
      </c>
      <c r="G231" s="775" t="s">
        <v>19957</v>
      </c>
    </row>
    <row r="232">
      <c r="A232" s="38" t="s">
        <v>19943</v>
      </c>
      <c r="B232" s="759">
        <v>0.625</v>
      </c>
      <c r="C232" s="775" t="s">
        <v>19958</v>
      </c>
      <c r="D232" s="134" t="s">
        <v>18766</v>
      </c>
      <c r="E232" s="38" t="s">
        <v>2916</v>
      </c>
      <c r="F232" s="38" t="s">
        <v>19959</v>
      </c>
      <c r="G232" s="775" t="s">
        <v>19957</v>
      </c>
    </row>
    <row r="233">
      <c r="A233" s="38" t="s">
        <v>19943</v>
      </c>
      <c r="B233" s="759">
        <v>0.5833333333333334</v>
      </c>
      <c r="C233" s="775" t="s">
        <v>19960</v>
      </c>
      <c r="D233" s="775" t="s">
        <v>19961</v>
      </c>
      <c r="E233" s="38" t="s">
        <v>2916</v>
      </c>
      <c r="F233" s="38" t="s">
        <v>19962</v>
      </c>
      <c r="G233" s="775" t="s">
        <v>19957</v>
      </c>
    </row>
    <row r="234">
      <c r="A234" s="38" t="s">
        <v>19943</v>
      </c>
      <c r="B234" s="759">
        <v>0.6805555555555556</v>
      </c>
      <c r="C234" s="38" t="s">
        <v>19789</v>
      </c>
      <c r="D234" s="38" t="s">
        <v>1889</v>
      </c>
      <c r="E234" s="44"/>
      <c r="F234" s="38" t="s">
        <v>896</v>
      </c>
      <c r="G234" s="38" t="s">
        <v>541</v>
      </c>
    </row>
    <row r="235">
      <c r="A235" s="44"/>
      <c r="B235" s="44"/>
      <c r="C235" s="44"/>
      <c r="D235" s="44"/>
      <c r="E235" s="38">
        <v>-300.0</v>
      </c>
      <c r="F235" s="38" t="s">
        <v>19841</v>
      </c>
      <c r="G235" s="44"/>
    </row>
    <row r="236">
      <c r="A236" s="38" t="s">
        <v>19963</v>
      </c>
      <c r="B236" s="759">
        <v>0.375</v>
      </c>
      <c r="C236" s="44"/>
      <c r="D236" s="38" t="s">
        <v>19654</v>
      </c>
      <c r="E236" s="44"/>
      <c r="F236" s="38" t="s">
        <v>19964</v>
      </c>
      <c r="G236" s="38" t="s">
        <v>19965</v>
      </c>
    </row>
    <row r="237">
      <c r="A237" s="38" t="s">
        <v>19963</v>
      </c>
      <c r="B237" s="759">
        <v>0.4166666666666667</v>
      </c>
      <c r="C237" s="44"/>
      <c r="D237" s="38" t="s">
        <v>19966</v>
      </c>
      <c r="E237" s="44"/>
      <c r="F237" s="44"/>
      <c r="G237" s="44"/>
    </row>
    <row r="238">
      <c r="A238" s="38" t="s">
        <v>19963</v>
      </c>
      <c r="B238" s="44"/>
      <c r="C238" s="44"/>
      <c r="D238" s="44"/>
      <c r="E238" s="38">
        <v>-50.0</v>
      </c>
      <c r="F238" s="38" t="s">
        <v>19967</v>
      </c>
      <c r="G238" s="44"/>
    </row>
    <row r="239">
      <c r="A239" s="38" t="s">
        <v>19963</v>
      </c>
      <c r="B239" s="44"/>
      <c r="C239" s="44"/>
      <c r="D239" s="38" t="s">
        <v>19968</v>
      </c>
      <c r="E239" s="44"/>
      <c r="F239" s="38" t="s">
        <v>19969</v>
      </c>
      <c r="G239" s="44"/>
    </row>
    <row r="240">
      <c r="A240" s="38" t="s">
        <v>19963</v>
      </c>
      <c r="B240" s="44"/>
      <c r="C240" s="44"/>
      <c r="D240" s="44"/>
      <c r="E240" s="44"/>
      <c r="F240" s="38" t="s">
        <v>19970</v>
      </c>
      <c r="G240" s="44"/>
    </row>
    <row r="241">
      <c r="A241" s="38" t="s">
        <v>19963</v>
      </c>
      <c r="B241" s="759">
        <v>0.5</v>
      </c>
      <c r="C241" s="94" t="s">
        <v>19971</v>
      </c>
      <c r="D241" s="44"/>
      <c r="E241" s="44"/>
      <c r="F241" s="38" t="s">
        <v>19972</v>
      </c>
      <c r="G241" s="38" t="s">
        <v>19973</v>
      </c>
    </row>
    <row r="242">
      <c r="A242" s="38" t="s">
        <v>19974</v>
      </c>
      <c r="B242" s="759">
        <v>0.375</v>
      </c>
      <c r="C242" s="94" t="s">
        <v>19975</v>
      </c>
      <c r="D242" s="44"/>
      <c r="E242" s="44"/>
      <c r="F242" s="38" t="s">
        <v>12473</v>
      </c>
      <c r="G242" s="94" t="s">
        <v>19976</v>
      </c>
    </row>
    <row r="243">
      <c r="A243" s="38" t="s">
        <v>19974</v>
      </c>
      <c r="B243" s="759">
        <v>0.4166666666666667</v>
      </c>
      <c r="C243" s="38" t="s">
        <v>19977</v>
      </c>
      <c r="D243" s="38" t="s">
        <v>19978</v>
      </c>
      <c r="E243" s="44"/>
      <c r="F243" s="38" t="s">
        <v>13622</v>
      </c>
      <c r="G243" s="94" t="s">
        <v>19979</v>
      </c>
      <c r="H243" s="44"/>
    </row>
    <row r="244">
      <c r="A244" s="38" t="s">
        <v>19974</v>
      </c>
      <c r="B244" s="759">
        <v>0.5</v>
      </c>
      <c r="C244" s="44"/>
      <c r="D244" s="38" t="s">
        <v>19980</v>
      </c>
      <c r="E244" s="38" t="s">
        <v>19981</v>
      </c>
      <c r="F244" s="38" t="s">
        <v>19982</v>
      </c>
      <c r="G244" s="38" t="s">
        <v>19983</v>
      </c>
      <c r="H244" s="38" t="s">
        <v>19984</v>
      </c>
    </row>
    <row r="245">
      <c r="A245" s="38" t="s">
        <v>19985</v>
      </c>
      <c r="B245" s="759">
        <v>0.375</v>
      </c>
      <c r="C245" s="44"/>
      <c r="D245" s="38" t="s">
        <v>17685</v>
      </c>
      <c r="E245" s="44"/>
      <c r="F245" s="38" t="s">
        <v>19986</v>
      </c>
      <c r="G245" s="38" t="s">
        <v>19987</v>
      </c>
      <c r="H245" s="44"/>
      <c r="K245" s="8"/>
      <c r="L245" s="8"/>
      <c r="R245" s="5"/>
      <c r="S245" s="5"/>
      <c r="T245" s="5"/>
      <c r="U245" s="5"/>
      <c r="V245" s="525"/>
      <c r="W245" s="724"/>
      <c r="X245" s="15"/>
      <c r="Y245" s="5"/>
      <c r="Z245" s="8"/>
    </row>
    <row r="246">
      <c r="A246" s="38" t="s">
        <v>19985</v>
      </c>
      <c r="B246" s="759">
        <v>0.4166666666666667</v>
      </c>
      <c r="C246" s="38" t="s">
        <v>19988</v>
      </c>
      <c r="D246" s="38" t="s">
        <v>19704</v>
      </c>
      <c r="E246" s="44"/>
      <c r="F246" s="38" t="s">
        <v>12473</v>
      </c>
      <c r="G246" s="94" t="s">
        <v>19989</v>
      </c>
      <c r="H246" s="44"/>
      <c r="K246" s="5"/>
      <c r="L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8" t="s">
        <v>19985</v>
      </c>
      <c r="B247" s="759">
        <v>0.4583333333333333</v>
      </c>
      <c r="C247" s="38" t="s">
        <v>19557</v>
      </c>
      <c r="D247" s="38" t="s">
        <v>19990</v>
      </c>
      <c r="E247" s="38">
        <v>50.0</v>
      </c>
      <c r="F247" s="38" t="s">
        <v>175</v>
      </c>
      <c r="G247" s="94" t="s">
        <v>19991</v>
      </c>
      <c r="K247" s="8"/>
      <c r="L247" s="8"/>
      <c r="R247" s="5"/>
      <c r="S247" s="5"/>
      <c r="T247" s="5"/>
      <c r="U247" s="5"/>
      <c r="V247" s="5"/>
      <c r="W247" s="5"/>
      <c r="X247" s="712"/>
      <c r="Y247" s="5"/>
      <c r="Z247" s="8"/>
    </row>
    <row r="248">
      <c r="A248" s="38" t="s">
        <v>19985</v>
      </c>
      <c r="B248" s="759">
        <v>0.4895833333333333</v>
      </c>
      <c r="C248" s="38" t="s">
        <v>19992</v>
      </c>
      <c r="D248" s="38" t="s">
        <v>19993</v>
      </c>
      <c r="E248" s="44"/>
      <c r="F248" s="38" t="s">
        <v>19994</v>
      </c>
      <c r="G248" s="38" t="s">
        <v>396</v>
      </c>
      <c r="K248" s="8"/>
      <c r="L248" s="8"/>
      <c r="R248" s="5"/>
      <c r="S248" s="5"/>
      <c r="T248" s="5"/>
      <c r="U248" s="5"/>
      <c r="V248" s="5"/>
      <c r="W248" s="5"/>
      <c r="X248" s="666"/>
      <c r="Y248" s="15"/>
      <c r="Z248" s="5"/>
    </row>
    <row r="249">
      <c r="A249" s="38" t="s">
        <v>19985</v>
      </c>
      <c r="B249" s="759">
        <v>0.6666666666666666</v>
      </c>
      <c r="C249" s="94" t="s">
        <v>19224</v>
      </c>
      <c r="D249" s="44"/>
      <c r="E249" s="44"/>
      <c r="F249" s="38" t="s">
        <v>12473</v>
      </c>
      <c r="G249" s="94" t="s">
        <v>19225</v>
      </c>
      <c r="K249" s="5"/>
      <c r="L249" s="5"/>
      <c r="R249" s="5"/>
      <c r="S249" s="5"/>
      <c r="T249" s="5"/>
      <c r="U249" s="5"/>
      <c r="V249" s="5"/>
      <c r="W249" s="5"/>
      <c r="X249" s="15"/>
      <c r="Y249" s="5"/>
      <c r="Z249" s="5"/>
    </row>
    <row r="250">
      <c r="A250" s="38" t="s">
        <v>19985</v>
      </c>
      <c r="B250" s="44"/>
      <c r="C250" s="44"/>
      <c r="D250" s="38" t="s">
        <v>19995</v>
      </c>
      <c r="E250" s="44"/>
      <c r="F250" s="38" t="s">
        <v>19996</v>
      </c>
      <c r="G250" s="44"/>
      <c r="K250" s="8"/>
      <c r="L250" s="8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8" t="s">
        <v>19985</v>
      </c>
      <c r="B251" s="44"/>
      <c r="C251" s="44"/>
      <c r="D251" s="38" t="s">
        <v>19997</v>
      </c>
      <c r="E251" s="44"/>
      <c r="F251" s="38" t="s">
        <v>19998</v>
      </c>
      <c r="G251" s="38" t="s">
        <v>17648</v>
      </c>
    </row>
    <row r="252">
      <c r="A252" s="38" t="s">
        <v>19985</v>
      </c>
      <c r="B252" s="44"/>
      <c r="C252" s="44"/>
      <c r="D252" s="38" t="s">
        <v>4184</v>
      </c>
      <c r="E252" s="44"/>
      <c r="F252" s="38" t="s">
        <v>19999</v>
      </c>
      <c r="G252" s="38" t="s">
        <v>20000</v>
      </c>
    </row>
    <row r="253">
      <c r="A253" s="38" t="s">
        <v>20001</v>
      </c>
      <c r="B253" s="759">
        <v>0.4166666666666667</v>
      </c>
      <c r="C253" s="94" t="s">
        <v>20002</v>
      </c>
      <c r="D253" s="38" t="s">
        <v>20003</v>
      </c>
      <c r="E253" s="38">
        <v>50.0</v>
      </c>
      <c r="F253" s="38" t="s">
        <v>175</v>
      </c>
      <c r="G253" s="94" t="s">
        <v>20004</v>
      </c>
    </row>
    <row r="254">
      <c r="A254" s="38" t="s">
        <v>20001</v>
      </c>
      <c r="B254" s="759">
        <v>0.4583333333333333</v>
      </c>
      <c r="C254" s="38" t="s">
        <v>20005</v>
      </c>
      <c r="D254" s="38" t="s">
        <v>4184</v>
      </c>
      <c r="E254" s="44"/>
      <c r="F254" s="38" t="s">
        <v>12473</v>
      </c>
      <c r="G254" s="94" t="s">
        <v>20006</v>
      </c>
    </row>
    <row r="255">
      <c r="A255" s="44"/>
      <c r="B255" s="44"/>
      <c r="C255" s="44"/>
      <c r="D255" s="44"/>
      <c r="E255" s="38">
        <v>-28.05</v>
      </c>
      <c r="F255" s="38" t="s">
        <v>20007</v>
      </c>
      <c r="G255" s="44"/>
    </row>
    <row r="256">
      <c r="A256" s="38" t="s">
        <v>20001</v>
      </c>
      <c r="B256" s="759">
        <v>0.5416666666666666</v>
      </c>
      <c r="C256" s="44"/>
      <c r="D256" s="38" t="s">
        <v>20008</v>
      </c>
      <c r="E256" s="38">
        <v>60.0</v>
      </c>
      <c r="F256" s="38" t="s">
        <v>175</v>
      </c>
      <c r="G256" s="94" t="s">
        <v>20009</v>
      </c>
    </row>
    <row r="257">
      <c r="A257" s="38" t="s">
        <v>20010</v>
      </c>
      <c r="B257" s="759">
        <v>0.375</v>
      </c>
      <c r="C257" s="44"/>
      <c r="D257" s="38" t="s">
        <v>19611</v>
      </c>
      <c r="E257" s="44"/>
      <c r="F257" s="38" t="s">
        <v>20011</v>
      </c>
      <c r="G257" s="38" t="s">
        <v>20012</v>
      </c>
      <c r="H257" s="44"/>
      <c r="I257" s="44"/>
    </row>
    <row r="258">
      <c r="A258" s="38" t="s">
        <v>20010</v>
      </c>
      <c r="B258" s="759">
        <v>0.4166666666666667</v>
      </c>
      <c r="C258" s="38" t="s">
        <v>20013</v>
      </c>
      <c r="D258" s="38" t="s">
        <v>20014</v>
      </c>
      <c r="E258" s="38">
        <v>50.0</v>
      </c>
      <c r="F258" s="38" t="s">
        <v>20015</v>
      </c>
      <c r="G258" s="94" t="s">
        <v>20016</v>
      </c>
    </row>
    <row r="259">
      <c r="A259" s="38" t="s">
        <v>20010</v>
      </c>
      <c r="B259" s="759">
        <v>0.4583333333333333</v>
      </c>
      <c r="C259" s="38" t="s">
        <v>20017</v>
      </c>
      <c r="D259" s="38" t="s">
        <v>19870</v>
      </c>
      <c r="E259" s="44"/>
      <c r="F259" s="38" t="s">
        <v>19994</v>
      </c>
      <c r="G259" s="38" t="s">
        <v>17648</v>
      </c>
    </row>
    <row r="260">
      <c r="A260" s="38" t="s">
        <v>20010</v>
      </c>
      <c r="B260" s="759">
        <v>0.4722222222222222</v>
      </c>
      <c r="C260" s="38" t="s">
        <v>20018</v>
      </c>
      <c r="D260" s="44"/>
      <c r="E260" s="38">
        <v>560.0</v>
      </c>
      <c r="F260" s="38" t="s">
        <v>20019</v>
      </c>
      <c r="G260" s="38" t="s">
        <v>20020</v>
      </c>
    </row>
    <row r="261">
      <c r="A261" s="38" t="s">
        <v>20010</v>
      </c>
      <c r="B261" s="759">
        <v>0.4791666666666667</v>
      </c>
      <c r="C261" s="44"/>
      <c r="D261" s="38" t="s">
        <v>20021</v>
      </c>
      <c r="E261" s="38">
        <v>-0.18</v>
      </c>
      <c r="F261" s="44"/>
      <c r="G261" s="44"/>
    </row>
    <row r="262">
      <c r="A262" s="38" t="s">
        <v>20010</v>
      </c>
      <c r="B262" s="759">
        <v>0.5833333333333334</v>
      </c>
      <c r="C262" s="38" t="s">
        <v>17786</v>
      </c>
      <c r="D262" s="44"/>
      <c r="E262" s="44"/>
      <c r="F262" s="38" t="s">
        <v>20022</v>
      </c>
      <c r="G262" s="38" t="s">
        <v>4357</v>
      </c>
    </row>
    <row r="263">
      <c r="A263" s="38" t="s">
        <v>20010</v>
      </c>
      <c r="B263" s="759">
        <v>0.6666666666666666</v>
      </c>
      <c r="C263" s="94" t="s">
        <v>18859</v>
      </c>
      <c r="D263" s="38" t="s">
        <v>20003</v>
      </c>
      <c r="E263" s="44"/>
      <c r="F263" s="38" t="s">
        <v>19994</v>
      </c>
      <c r="G263" s="94" t="s">
        <v>20023</v>
      </c>
    </row>
    <row r="264">
      <c r="A264" s="38" t="s">
        <v>20010</v>
      </c>
      <c r="B264" s="759">
        <v>0.6611111111111111</v>
      </c>
      <c r="C264" s="44"/>
      <c r="D264" s="44"/>
      <c r="E264" s="38">
        <v>-250.0</v>
      </c>
      <c r="F264" s="38" t="s">
        <v>20024</v>
      </c>
      <c r="G264" s="44"/>
    </row>
    <row r="265">
      <c r="A265" s="38" t="s">
        <v>20010</v>
      </c>
      <c r="B265" s="38">
        <v>16.55</v>
      </c>
      <c r="C265" s="44"/>
      <c r="D265" s="44"/>
      <c r="E265" s="38">
        <v>763.0</v>
      </c>
      <c r="F265" s="38" t="s">
        <v>20025</v>
      </c>
      <c r="G265" s="44"/>
    </row>
    <row r="266">
      <c r="A266" s="134" t="s">
        <v>20026</v>
      </c>
      <c r="B266" s="762">
        <v>0.375</v>
      </c>
      <c r="C266" s="775" t="s">
        <v>20027</v>
      </c>
      <c r="D266" s="764"/>
      <c r="E266" s="134">
        <v>100.0</v>
      </c>
      <c r="F266" s="134" t="s">
        <v>12473</v>
      </c>
      <c r="G266" s="775" t="s">
        <v>19308</v>
      </c>
    </row>
    <row r="267">
      <c r="A267" s="134" t="s">
        <v>20026</v>
      </c>
      <c r="B267" s="762">
        <v>0.4166666666666667</v>
      </c>
      <c r="C267" s="775" t="s">
        <v>18831</v>
      </c>
      <c r="D267" s="134" t="s">
        <v>20028</v>
      </c>
      <c r="E267" s="134">
        <v>100.0</v>
      </c>
      <c r="F267" s="134" t="s">
        <v>12473</v>
      </c>
      <c r="G267" s="775" t="s">
        <v>18832</v>
      </c>
    </row>
    <row r="268">
      <c r="A268" s="134" t="s">
        <v>20026</v>
      </c>
      <c r="B268" s="762">
        <v>0.4583333333333333</v>
      </c>
      <c r="C268" s="775" t="s">
        <v>20029</v>
      </c>
      <c r="D268" s="775" t="s">
        <v>20030</v>
      </c>
      <c r="E268" s="764"/>
      <c r="F268" s="134" t="s">
        <v>20031</v>
      </c>
      <c r="G268" s="775" t="s">
        <v>19156</v>
      </c>
    </row>
    <row r="269">
      <c r="A269" s="134" t="s">
        <v>20026</v>
      </c>
      <c r="B269" s="762">
        <v>0.5</v>
      </c>
      <c r="C269" s="775" t="s">
        <v>18934</v>
      </c>
      <c r="D269" s="775" t="s">
        <v>20032</v>
      </c>
      <c r="E269" s="134">
        <v>95.0</v>
      </c>
      <c r="F269" s="134" t="s">
        <v>20033</v>
      </c>
      <c r="G269" s="775" t="s">
        <v>19601</v>
      </c>
    </row>
    <row r="270">
      <c r="A270" s="134" t="s">
        <v>20026</v>
      </c>
      <c r="B270" s="762">
        <v>0.5416666666666666</v>
      </c>
      <c r="C270" s="775" t="s">
        <v>18709</v>
      </c>
      <c r="D270" s="764"/>
      <c r="E270" s="134" t="s">
        <v>19309</v>
      </c>
      <c r="F270" s="134" t="s">
        <v>19994</v>
      </c>
      <c r="G270" s="775" t="s">
        <v>20006</v>
      </c>
    </row>
    <row r="271">
      <c r="A271" s="134" t="s">
        <v>20026</v>
      </c>
      <c r="B271" s="762">
        <v>0.5833333333333334</v>
      </c>
      <c r="C271" s="134" t="s">
        <v>20034</v>
      </c>
      <c r="D271" s="134" t="s">
        <v>20035</v>
      </c>
      <c r="E271" s="134" t="s">
        <v>20036</v>
      </c>
      <c r="F271" s="134" t="s">
        <v>20037</v>
      </c>
      <c r="G271" s="775" t="s">
        <v>20038</v>
      </c>
      <c r="O271" s="1" t="s">
        <v>20039</v>
      </c>
    </row>
    <row r="272">
      <c r="A272" s="38" t="s">
        <v>20026</v>
      </c>
      <c r="B272" s="759">
        <v>0.6180555555555556</v>
      </c>
      <c r="C272" s="38" t="s">
        <v>18957</v>
      </c>
      <c r="D272" s="38" t="s">
        <v>17856</v>
      </c>
      <c r="E272" s="38" t="s">
        <v>19309</v>
      </c>
      <c r="F272" s="38" t="s">
        <v>175</v>
      </c>
      <c r="G272" s="38" t="s">
        <v>4624</v>
      </c>
    </row>
    <row r="273">
      <c r="A273" s="38" t="s">
        <v>20040</v>
      </c>
      <c r="B273" s="759">
        <v>0.375</v>
      </c>
      <c r="C273" s="38" t="s">
        <v>18379</v>
      </c>
      <c r="D273" s="44"/>
      <c r="E273" s="38">
        <v>100.0</v>
      </c>
      <c r="F273" s="38" t="s">
        <v>20041</v>
      </c>
      <c r="G273" s="38" t="s">
        <v>20042</v>
      </c>
    </row>
    <row r="274">
      <c r="A274" s="38" t="s">
        <v>20040</v>
      </c>
      <c r="B274" s="759">
        <v>0.3958333333333333</v>
      </c>
      <c r="C274" s="38" t="s">
        <v>20043</v>
      </c>
      <c r="D274" s="38" t="s">
        <v>20044</v>
      </c>
      <c r="E274" s="44"/>
      <c r="F274" s="38" t="s">
        <v>13622</v>
      </c>
      <c r="G274" s="38" t="s">
        <v>20045</v>
      </c>
    </row>
    <row r="275">
      <c r="A275" s="38" t="s">
        <v>20040</v>
      </c>
      <c r="B275" s="759">
        <v>0.4166666666666667</v>
      </c>
      <c r="C275" s="38" t="s">
        <v>17743</v>
      </c>
      <c r="D275" s="38" t="s">
        <v>20046</v>
      </c>
      <c r="E275" s="44"/>
      <c r="F275" s="38" t="s">
        <v>5885</v>
      </c>
      <c r="G275" s="38" t="s">
        <v>17648</v>
      </c>
    </row>
    <row r="276">
      <c r="A276" s="38" t="s">
        <v>20040</v>
      </c>
      <c r="B276" s="759">
        <v>0.4375</v>
      </c>
      <c r="C276" s="38" t="s">
        <v>20047</v>
      </c>
      <c r="D276" s="38" t="s">
        <v>20046</v>
      </c>
      <c r="E276" s="44"/>
      <c r="F276" s="38" t="s">
        <v>12473</v>
      </c>
      <c r="G276" s="38" t="s">
        <v>17648</v>
      </c>
    </row>
    <row r="277">
      <c r="A277" s="38" t="s">
        <v>20040</v>
      </c>
      <c r="B277" s="759">
        <v>0.4513888888888889</v>
      </c>
      <c r="C277" s="94" t="s">
        <v>20048</v>
      </c>
      <c r="D277" s="94" t="s">
        <v>20003</v>
      </c>
      <c r="E277" s="38">
        <v>55.0</v>
      </c>
      <c r="F277" s="38" t="s">
        <v>20049</v>
      </c>
      <c r="G277" s="38" t="s">
        <v>20050</v>
      </c>
    </row>
    <row r="278">
      <c r="A278" s="38" t="s">
        <v>20040</v>
      </c>
      <c r="B278" s="759">
        <v>0.4722222222222222</v>
      </c>
      <c r="C278" s="94" t="s">
        <v>17831</v>
      </c>
      <c r="D278" s="94" t="s">
        <v>20051</v>
      </c>
      <c r="E278" s="44"/>
      <c r="F278" s="38" t="s">
        <v>12473</v>
      </c>
      <c r="G278" s="38" t="s">
        <v>17648</v>
      </c>
    </row>
    <row r="279">
      <c r="A279" s="38" t="s">
        <v>20040</v>
      </c>
      <c r="B279" s="759">
        <v>0.4861111111111111</v>
      </c>
      <c r="C279" s="94" t="s">
        <v>17871</v>
      </c>
      <c r="D279" s="94" t="s">
        <v>20051</v>
      </c>
      <c r="E279" s="44"/>
      <c r="F279" s="38" t="s">
        <v>12473</v>
      </c>
      <c r="G279" s="38" t="s">
        <v>17648</v>
      </c>
    </row>
    <row r="280">
      <c r="A280" s="38" t="s">
        <v>20040</v>
      </c>
      <c r="B280" s="759">
        <v>0.5</v>
      </c>
      <c r="C280" s="94" t="s">
        <v>20052</v>
      </c>
      <c r="D280" s="38" t="s">
        <v>20053</v>
      </c>
      <c r="E280" s="44"/>
      <c r="F280" s="38" t="s">
        <v>20054</v>
      </c>
      <c r="G280" s="38" t="s">
        <v>20055</v>
      </c>
    </row>
    <row r="281">
      <c r="A281" s="38" t="s">
        <v>20040</v>
      </c>
      <c r="B281" s="759">
        <v>0.5208333333333334</v>
      </c>
      <c r="C281" s="38" t="s">
        <v>20056</v>
      </c>
      <c r="D281" s="38" t="s">
        <v>20057</v>
      </c>
      <c r="E281" s="44"/>
      <c r="F281" s="38" t="s">
        <v>20058</v>
      </c>
      <c r="G281" s="38" t="s">
        <v>20038</v>
      </c>
    </row>
    <row r="282">
      <c r="A282" s="38" t="s">
        <v>20040</v>
      </c>
      <c r="B282" s="759">
        <v>0.5555555555555556</v>
      </c>
      <c r="C282" s="38" t="s">
        <v>20059</v>
      </c>
      <c r="D282" s="38" t="s">
        <v>20060</v>
      </c>
      <c r="E282" s="38">
        <v>50.0</v>
      </c>
      <c r="F282" s="38" t="s">
        <v>175</v>
      </c>
      <c r="G282" s="38" t="s">
        <v>20061</v>
      </c>
    </row>
    <row r="283">
      <c r="A283" s="38" t="s">
        <v>20040</v>
      </c>
      <c r="B283" s="759">
        <v>0.5833333333333334</v>
      </c>
      <c r="C283" s="94" t="s">
        <v>20062</v>
      </c>
      <c r="D283" s="38" t="s">
        <v>3177</v>
      </c>
      <c r="E283" s="38">
        <v>80.0</v>
      </c>
      <c r="F283" s="38" t="s">
        <v>19994</v>
      </c>
      <c r="G283" s="94" t="s">
        <v>20063</v>
      </c>
    </row>
    <row r="284">
      <c r="A284" s="38" t="s">
        <v>20040</v>
      </c>
      <c r="B284" s="759">
        <v>0.5736111111111111</v>
      </c>
      <c r="C284" s="44"/>
      <c r="D284" s="44"/>
      <c r="E284" s="743">
        <v>-1550.0</v>
      </c>
      <c r="F284" s="38" t="s">
        <v>19644</v>
      </c>
      <c r="G284" s="44"/>
    </row>
    <row r="285">
      <c r="A285" s="44"/>
      <c r="B285" s="44"/>
      <c r="C285" s="44"/>
      <c r="D285" s="44"/>
      <c r="E285" s="38">
        <v>-400.0</v>
      </c>
      <c r="F285" s="38" t="s">
        <v>19644</v>
      </c>
      <c r="G285" s="44"/>
    </row>
    <row r="286">
      <c r="A286" s="44"/>
      <c r="B286" s="44"/>
      <c r="C286" s="44"/>
      <c r="D286" s="44"/>
      <c r="E286" s="38">
        <v>50.0</v>
      </c>
      <c r="F286" s="38" t="s">
        <v>20064</v>
      </c>
      <c r="G286" s="44"/>
    </row>
    <row r="287">
      <c r="A287" s="38" t="s">
        <v>20040</v>
      </c>
      <c r="B287" s="44"/>
      <c r="C287" s="94" t="s">
        <v>20065</v>
      </c>
      <c r="D287" s="44"/>
      <c r="E287" s="44"/>
      <c r="F287" s="38" t="s">
        <v>175</v>
      </c>
      <c r="G287" s="94" t="s">
        <v>20066</v>
      </c>
    </row>
    <row r="288">
      <c r="A288" s="38" t="s">
        <v>20040</v>
      </c>
      <c r="B288" s="759">
        <v>0.6736111111111112</v>
      </c>
      <c r="C288" s="94" t="s">
        <v>20067</v>
      </c>
      <c r="D288" s="38" t="s">
        <v>20068</v>
      </c>
      <c r="E288" s="44"/>
      <c r="F288" s="38" t="s">
        <v>175</v>
      </c>
      <c r="G288" s="94" t="s">
        <v>18631</v>
      </c>
    </row>
    <row r="289">
      <c r="A289" s="38" t="s">
        <v>20040</v>
      </c>
      <c r="B289" s="759">
        <v>0.6805555555555556</v>
      </c>
      <c r="C289" s="38" t="s">
        <v>20069</v>
      </c>
      <c r="D289" s="38" t="s">
        <v>20070</v>
      </c>
      <c r="E289" s="44"/>
      <c r="F289" s="38" t="s">
        <v>20071</v>
      </c>
      <c r="G289" s="94" t="s">
        <v>20072</v>
      </c>
    </row>
    <row r="290">
      <c r="A290" s="38" t="s">
        <v>20040</v>
      </c>
      <c r="B290" s="759">
        <v>0.7222222222222222</v>
      </c>
      <c r="C290" s="94" t="s">
        <v>3386</v>
      </c>
      <c r="D290" s="38" t="s">
        <v>20073</v>
      </c>
      <c r="E290" s="44"/>
      <c r="F290" s="38" t="s">
        <v>175</v>
      </c>
      <c r="G290" s="94" t="s">
        <v>18631</v>
      </c>
    </row>
    <row r="291">
      <c r="A291" s="38" t="s">
        <v>20040</v>
      </c>
      <c r="B291" s="44"/>
      <c r="C291" s="44"/>
      <c r="D291" s="44"/>
      <c r="E291" s="44"/>
      <c r="F291" s="44"/>
      <c r="G291" s="44"/>
    </row>
    <row r="292">
      <c r="A292" s="782" t="s">
        <v>20074</v>
      </c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</row>
    <row r="293">
      <c r="A293" s="141">
        <v>45661.0</v>
      </c>
      <c r="B293" s="759">
        <v>0.4791666666666667</v>
      </c>
      <c r="C293" s="94" t="s">
        <v>20075</v>
      </c>
      <c r="D293" s="38" t="s">
        <v>20076</v>
      </c>
      <c r="E293" s="131">
        <v>120.0</v>
      </c>
      <c r="F293" s="131" t="s">
        <v>20077</v>
      </c>
      <c r="G293" s="783" t="s">
        <v>20078</v>
      </c>
      <c r="H293" s="2" t="s">
        <v>20079</v>
      </c>
      <c r="I293" s="465"/>
    </row>
    <row r="294">
      <c r="A294" s="141">
        <v>45661.0</v>
      </c>
      <c r="B294" s="759">
        <v>0.5</v>
      </c>
      <c r="C294" s="94" t="s">
        <v>20080</v>
      </c>
      <c r="D294" s="94" t="s">
        <v>19556</v>
      </c>
      <c r="E294" s="131">
        <v>45.0</v>
      </c>
      <c r="F294" s="131" t="s">
        <v>175</v>
      </c>
      <c r="G294" s="783" t="s">
        <v>20081</v>
      </c>
    </row>
    <row r="295">
      <c r="A295" s="141">
        <v>45661.0</v>
      </c>
      <c r="B295" s="759"/>
      <c r="C295" s="94"/>
      <c r="D295" s="44"/>
      <c r="E295" s="131">
        <v>75.0</v>
      </c>
      <c r="F295" s="131" t="s">
        <v>19230</v>
      </c>
      <c r="G295" s="131" t="s">
        <v>19231</v>
      </c>
    </row>
    <row r="296">
      <c r="A296" s="141">
        <v>45661.0</v>
      </c>
      <c r="B296" s="759"/>
      <c r="C296" s="44"/>
      <c r="D296" s="44"/>
      <c r="E296" s="131">
        <v>10.0</v>
      </c>
      <c r="F296" s="131" t="s">
        <v>20082</v>
      </c>
      <c r="G296" s="130"/>
    </row>
    <row r="297">
      <c r="A297" s="141">
        <v>45661.0</v>
      </c>
      <c r="B297" s="759">
        <v>0.7291666666666666</v>
      </c>
      <c r="C297" s="38" t="s">
        <v>19212</v>
      </c>
      <c r="D297" s="38" t="s">
        <v>20083</v>
      </c>
      <c r="E297" s="131">
        <v>50.0</v>
      </c>
      <c r="F297" s="131" t="s">
        <v>20084</v>
      </c>
      <c r="G297" s="783" t="s">
        <v>20085</v>
      </c>
    </row>
    <row r="298">
      <c r="A298" s="784">
        <v>45692.0</v>
      </c>
      <c r="B298" s="785">
        <v>0.3333333333333333</v>
      </c>
      <c r="C298" s="47" t="s">
        <v>20086</v>
      </c>
      <c r="D298" s="47" t="s">
        <v>20087</v>
      </c>
      <c r="E298" s="47">
        <v>50.0</v>
      </c>
      <c r="F298" s="47" t="s">
        <v>175</v>
      </c>
      <c r="G298" s="47" t="s">
        <v>20088</v>
      </c>
    </row>
    <row r="299">
      <c r="A299" s="784">
        <v>45692.0</v>
      </c>
      <c r="B299" s="785">
        <v>0.375</v>
      </c>
      <c r="C299" s="47" t="s">
        <v>18954</v>
      </c>
      <c r="D299" s="47" t="s">
        <v>20089</v>
      </c>
      <c r="E299" s="47">
        <v>100.0</v>
      </c>
      <c r="F299" s="47" t="s">
        <v>20090</v>
      </c>
      <c r="G299" s="47" t="s">
        <v>18908</v>
      </c>
    </row>
    <row r="300">
      <c r="A300" s="784">
        <v>45692.0</v>
      </c>
      <c r="B300" s="785">
        <v>0.3958333333333333</v>
      </c>
      <c r="C300" s="47" t="s">
        <v>20091</v>
      </c>
      <c r="D300" s="47" t="s">
        <v>20092</v>
      </c>
      <c r="E300" s="47">
        <v>30.0</v>
      </c>
      <c r="F300" s="47" t="s">
        <v>20093</v>
      </c>
      <c r="G300" s="38" t="s">
        <v>20094</v>
      </c>
    </row>
    <row r="301">
      <c r="A301" s="784"/>
      <c r="B301" s="785"/>
      <c r="C301" s="44"/>
      <c r="D301" s="44"/>
      <c r="E301" s="47">
        <v>180.0</v>
      </c>
      <c r="F301" s="47" t="s">
        <v>20095</v>
      </c>
      <c r="G301" s="44"/>
    </row>
    <row r="302">
      <c r="A302" s="784"/>
      <c r="B302" s="785"/>
      <c r="C302" s="44"/>
      <c r="D302" s="44"/>
      <c r="E302" s="47">
        <v>80.0</v>
      </c>
      <c r="F302" s="47" t="s">
        <v>19318</v>
      </c>
      <c r="G302" s="44"/>
    </row>
    <row r="303">
      <c r="A303" s="784"/>
      <c r="B303" s="785"/>
      <c r="C303" s="44"/>
      <c r="D303" s="44"/>
      <c r="E303" s="47">
        <v>-700.0</v>
      </c>
      <c r="F303" s="47" t="s">
        <v>19644</v>
      </c>
      <c r="G303" s="44"/>
    </row>
    <row r="304">
      <c r="A304" s="784"/>
      <c r="B304" s="785"/>
      <c r="C304" s="44"/>
      <c r="D304" s="44"/>
      <c r="E304" s="47">
        <v>0.0</v>
      </c>
      <c r="F304" s="47" t="s">
        <v>20096</v>
      </c>
      <c r="G304" s="47" t="s">
        <v>20097</v>
      </c>
    </row>
    <row r="305">
      <c r="A305" s="141">
        <v>45692.0</v>
      </c>
      <c r="B305" s="759">
        <v>0.5729166666666666</v>
      </c>
      <c r="C305" s="94" t="s">
        <v>20098</v>
      </c>
      <c r="D305" s="94" t="s">
        <v>20099</v>
      </c>
      <c r="E305" s="38">
        <v>90.0</v>
      </c>
      <c r="F305" s="38" t="s">
        <v>12473</v>
      </c>
      <c r="G305" s="94" t="s">
        <v>20100</v>
      </c>
    </row>
    <row r="306">
      <c r="A306" s="38" t="s">
        <v>20101</v>
      </c>
      <c r="B306" s="759">
        <v>0.7291666666666666</v>
      </c>
      <c r="C306" s="94" t="s">
        <v>20102</v>
      </c>
      <c r="D306" s="38" t="s">
        <v>3177</v>
      </c>
      <c r="E306" s="38">
        <v>40.0</v>
      </c>
      <c r="F306" s="38" t="s">
        <v>20103</v>
      </c>
      <c r="G306" s="94" t="s">
        <v>20104</v>
      </c>
      <c r="H306" s="217" t="s">
        <v>20105</v>
      </c>
      <c r="I306" s="44"/>
      <c r="J306" s="38" t="s">
        <v>20106</v>
      </c>
      <c r="K306" s="44"/>
      <c r="L306" s="44"/>
    </row>
    <row r="307">
      <c r="A307" s="784"/>
      <c r="B307" s="785"/>
      <c r="C307" s="44"/>
      <c r="D307" s="44"/>
      <c r="E307" s="38">
        <v>640.0</v>
      </c>
      <c r="F307" s="47" t="s">
        <v>987</v>
      </c>
      <c r="G307" s="44"/>
    </row>
    <row r="308">
      <c r="A308" s="784"/>
      <c r="B308" s="785"/>
      <c r="C308" s="44"/>
      <c r="D308" s="44"/>
      <c r="E308" s="38">
        <v>-800.0</v>
      </c>
      <c r="F308" s="38" t="s">
        <v>20107</v>
      </c>
      <c r="G308" s="44"/>
    </row>
    <row r="309">
      <c r="A309" s="141">
        <v>45751.0</v>
      </c>
      <c r="B309" s="759">
        <v>0.5</v>
      </c>
      <c r="C309" s="94" t="s">
        <v>13716</v>
      </c>
      <c r="D309" s="94" t="s">
        <v>20108</v>
      </c>
      <c r="E309" s="38">
        <v>60.0</v>
      </c>
      <c r="F309" s="38" t="s">
        <v>175</v>
      </c>
      <c r="G309" s="94" t="s">
        <v>13717</v>
      </c>
    </row>
    <row r="310">
      <c r="A310" s="141">
        <v>45781.0</v>
      </c>
      <c r="B310" s="759">
        <v>0.375</v>
      </c>
      <c r="C310" s="94" t="s">
        <v>20109</v>
      </c>
      <c r="D310" s="38" t="s">
        <v>19733</v>
      </c>
      <c r="E310" s="38" t="s">
        <v>19309</v>
      </c>
      <c r="F310" s="38" t="s">
        <v>12473</v>
      </c>
      <c r="G310" s="94" t="s">
        <v>20110</v>
      </c>
    </row>
    <row r="311">
      <c r="A311" s="141">
        <v>45781.0</v>
      </c>
      <c r="B311" s="759">
        <v>0.4166666666666667</v>
      </c>
      <c r="C311" s="94" t="s">
        <v>20111</v>
      </c>
      <c r="D311" s="38" t="s">
        <v>20112</v>
      </c>
      <c r="E311" s="38" t="s">
        <v>20113</v>
      </c>
      <c r="F311" s="38" t="s">
        <v>20114</v>
      </c>
      <c r="G311" s="94" t="s">
        <v>20115</v>
      </c>
    </row>
    <row r="312">
      <c r="A312" s="141">
        <v>45781.0</v>
      </c>
      <c r="B312" s="759">
        <v>0.4583333333333333</v>
      </c>
      <c r="C312" s="94" t="s">
        <v>20116</v>
      </c>
      <c r="D312" s="38" t="s">
        <v>20117</v>
      </c>
      <c r="E312" s="38"/>
      <c r="F312" s="38" t="s">
        <v>175</v>
      </c>
      <c r="G312" s="94" t="s">
        <v>20118</v>
      </c>
    </row>
    <row r="313">
      <c r="A313" s="141">
        <v>45781.0</v>
      </c>
      <c r="B313" s="759">
        <v>0.5</v>
      </c>
      <c r="C313" s="94" t="s">
        <v>20119</v>
      </c>
      <c r="D313" s="38" t="s">
        <v>20120</v>
      </c>
      <c r="E313" s="44"/>
      <c r="F313" s="38" t="s">
        <v>5885</v>
      </c>
      <c r="G313" s="94" t="s">
        <v>20038</v>
      </c>
    </row>
    <row r="314">
      <c r="A314" s="141">
        <v>45781.0</v>
      </c>
      <c r="B314" s="759">
        <v>0.5347222222222222</v>
      </c>
      <c r="C314" s="38" t="s">
        <v>20121</v>
      </c>
      <c r="D314" s="38" t="s">
        <v>20122</v>
      </c>
      <c r="E314" s="44"/>
      <c r="F314" s="38" t="s">
        <v>3724</v>
      </c>
      <c r="G314" s="94" t="s">
        <v>1024</v>
      </c>
    </row>
    <row r="315">
      <c r="A315" s="141">
        <v>45781.0</v>
      </c>
      <c r="B315" s="759">
        <v>0.5625</v>
      </c>
      <c r="C315" s="44"/>
      <c r="D315" s="38" t="s">
        <v>19944</v>
      </c>
      <c r="E315" s="44"/>
      <c r="F315" s="38" t="s">
        <v>13622</v>
      </c>
      <c r="G315" s="94" t="s">
        <v>1024</v>
      </c>
    </row>
    <row r="316">
      <c r="A316" s="141">
        <v>45781.0</v>
      </c>
      <c r="B316" s="759">
        <v>0.5833333333333334</v>
      </c>
      <c r="C316" s="44"/>
      <c r="D316" s="44"/>
      <c r="E316" s="44"/>
      <c r="F316" s="38" t="s">
        <v>1028</v>
      </c>
      <c r="G316" s="94" t="s">
        <v>1024</v>
      </c>
    </row>
    <row r="317">
      <c r="A317" s="141">
        <v>45781.0</v>
      </c>
      <c r="B317" s="759">
        <v>0.5972222222222222</v>
      </c>
      <c r="C317" s="94" t="s">
        <v>19307</v>
      </c>
      <c r="D317" s="38" t="s">
        <v>20123</v>
      </c>
      <c r="E317" s="38">
        <v>100.0</v>
      </c>
      <c r="F317" s="38" t="s">
        <v>12473</v>
      </c>
      <c r="G317" s="94" t="s">
        <v>19308</v>
      </c>
    </row>
    <row r="318">
      <c r="A318" s="141">
        <v>45842.0</v>
      </c>
      <c r="B318" s="759">
        <v>0.5</v>
      </c>
      <c r="C318" s="94" t="s">
        <v>19642</v>
      </c>
      <c r="D318" s="38" t="s">
        <v>20124</v>
      </c>
      <c r="E318" s="38">
        <v>50.0</v>
      </c>
      <c r="F318" s="38" t="s">
        <v>175</v>
      </c>
      <c r="G318" s="94" t="s">
        <v>19643</v>
      </c>
    </row>
    <row r="319">
      <c r="A319" s="141">
        <v>45842.0</v>
      </c>
      <c r="B319" s="759">
        <v>0.5486111111111112</v>
      </c>
      <c r="C319" s="38" t="s">
        <v>19330</v>
      </c>
      <c r="D319" s="38" t="s">
        <v>19556</v>
      </c>
      <c r="E319" s="38">
        <v>90.0</v>
      </c>
      <c r="F319" s="44"/>
      <c r="G319" s="94" t="s">
        <v>20125</v>
      </c>
    </row>
    <row r="320">
      <c r="A320" s="141"/>
      <c r="B320" s="759">
        <v>0.6458333333333334</v>
      </c>
      <c r="C320" s="94" t="s">
        <v>20126</v>
      </c>
      <c r="D320" s="38" t="s">
        <v>17905</v>
      </c>
      <c r="E320" s="38" t="s">
        <v>20127</v>
      </c>
      <c r="F320" s="38" t="s">
        <v>20128</v>
      </c>
      <c r="G320" s="38" t="s">
        <v>20129</v>
      </c>
    </row>
    <row r="321">
      <c r="A321" s="141">
        <v>45842.0</v>
      </c>
      <c r="B321" s="759">
        <v>0.7506944444444444</v>
      </c>
      <c r="C321" s="44"/>
      <c r="D321" s="44"/>
      <c r="E321" s="38">
        <v>-300.0</v>
      </c>
      <c r="F321" s="38" t="s">
        <v>20130</v>
      </c>
      <c r="G321" s="44"/>
    </row>
    <row r="322">
      <c r="A322" s="141">
        <v>45873.0</v>
      </c>
      <c r="B322" s="759">
        <v>0.7361111111111112</v>
      </c>
      <c r="C322" s="38" t="s">
        <v>20131</v>
      </c>
      <c r="D322" s="38" t="s">
        <v>20132</v>
      </c>
      <c r="E322" s="38">
        <v>60.0</v>
      </c>
      <c r="F322" s="44"/>
      <c r="G322" s="38" t="s">
        <v>20133</v>
      </c>
    </row>
    <row r="323">
      <c r="A323" s="44"/>
      <c r="B323" s="44"/>
      <c r="C323" s="44"/>
      <c r="D323" s="94" t="s">
        <v>20134</v>
      </c>
      <c r="E323" s="38">
        <v>30.0</v>
      </c>
      <c r="F323" s="151" t="s">
        <v>20135</v>
      </c>
      <c r="G323" s="44"/>
    </row>
    <row r="324">
      <c r="A324" s="141">
        <v>45934.0</v>
      </c>
      <c r="B324" s="759">
        <v>0.3333333333333333</v>
      </c>
      <c r="C324" s="38" t="s">
        <v>17816</v>
      </c>
      <c r="D324" s="38" t="s">
        <v>20136</v>
      </c>
      <c r="E324" s="38">
        <v>50.0</v>
      </c>
      <c r="F324" s="38" t="s">
        <v>175</v>
      </c>
      <c r="G324" s="786" t="s">
        <v>20137</v>
      </c>
    </row>
    <row r="325">
      <c r="A325" s="141">
        <v>45934.0</v>
      </c>
      <c r="B325" s="759">
        <v>0.3541666666666667</v>
      </c>
      <c r="C325" s="38" t="s">
        <v>20138</v>
      </c>
      <c r="D325" s="38" t="s">
        <v>20139</v>
      </c>
      <c r="E325" s="38">
        <v>40.0</v>
      </c>
      <c r="F325" s="38" t="s">
        <v>20015</v>
      </c>
      <c r="G325" s="38" t="s">
        <v>20140</v>
      </c>
    </row>
    <row r="326">
      <c r="A326" s="141">
        <v>45934.0</v>
      </c>
      <c r="B326" s="759">
        <v>0.5</v>
      </c>
      <c r="C326" s="44"/>
      <c r="D326" s="38" t="s">
        <v>20141</v>
      </c>
      <c r="E326" s="38">
        <v>90.0</v>
      </c>
      <c r="F326" s="38" t="s">
        <v>20142</v>
      </c>
      <c r="G326" s="38" t="s">
        <v>13531</v>
      </c>
    </row>
    <row r="327">
      <c r="A327" s="141">
        <v>45934.0</v>
      </c>
      <c r="B327" s="759">
        <v>0.5416666666666666</v>
      </c>
      <c r="C327" s="94" t="s">
        <v>18460</v>
      </c>
      <c r="D327" s="94" t="s">
        <v>20143</v>
      </c>
      <c r="E327" s="38">
        <v>90.0</v>
      </c>
      <c r="F327" s="38" t="s">
        <v>12473</v>
      </c>
      <c r="G327" s="94" t="s">
        <v>18462</v>
      </c>
    </row>
    <row r="328">
      <c r="A328" s="141">
        <v>45934.0</v>
      </c>
      <c r="B328" s="759">
        <v>0.625</v>
      </c>
      <c r="C328" s="94" t="s">
        <v>18817</v>
      </c>
      <c r="D328" s="38" t="s">
        <v>20076</v>
      </c>
      <c r="E328" s="38">
        <v>90.0</v>
      </c>
      <c r="F328" s="38" t="s">
        <v>12473</v>
      </c>
      <c r="G328" s="94" t="s">
        <v>20144</v>
      </c>
    </row>
    <row r="329">
      <c r="A329" s="44"/>
      <c r="B329" s="44"/>
      <c r="C329" s="44"/>
      <c r="D329" s="44"/>
      <c r="E329" s="38">
        <v>40.0</v>
      </c>
      <c r="F329" s="94" t="s">
        <v>20145</v>
      </c>
      <c r="G329" s="44"/>
    </row>
    <row r="330">
      <c r="A330" s="141">
        <v>45965.0</v>
      </c>
      <c r="B330" s="759">
        <v>0.6458333333333334</v>
      </c>
      <c r="C330" s="94" t="s">
        <v>20146</v>
      </c>
      <c r="D330" s="38" t="s">
        <v>19556</v>
      </c>
      <c r="E330" s="38">
        <v>40.0</v>
      </c>
      <c r="F330" s="38" t="s">
        <v>175</v>
      </c>
      <c r="G330" s="94" t="s">
        <v>20147</v>
      </c>
    </row>
    <row r="331">
      <c r="A331" s="141">
        <v>45965.0</v>
      </c>
      <c r="B331" s="759">
        <v>0.6875</v>
      </c>
      <c r="C331" s="94" t="s">
        <v>20148</v>
      </c>
      <c r="D331" s="94" t="s">
        <v>18849</v>
      </c>
      <c r="E331" s="38">
        <v>95.0</v>
      </c>
      <c r="F331" s="44"/>
      <c r="G331" s="94" t="s">
        <v>20149</v>
      </c>
    </row>
    <row r="332">
      <c r="A332" s="141">
        <v>45934.0</v>
      </c>
      <c r="B332" s="759">
        <v>0.7083333333333334</v>
      </c>
      <c r="C332" s="94" t="s">
        <v>20150</v>
      </c>
      <c r="D332" s="38" t="s">
        <v>20151</v>
      </c>
      <c r="E332" s="38">
        <v>50.0</v>
      </c>
      <c r="F332" s="38" t="s">
        <v>20152</v>
      </c>
      <c r="G332" s="94" t="s">
        <v>20153</v>
      </c>
    </row>
    <row r="333">
      <c r="A333" s="787">
        <v>45995.0</v>
      </c>
      <c r="B333" s="759">
        <v>0.375</v>
      </c>
      <c r="C333" s="94" t="s">
        <v>20154</v>
      </c>
      <c r="D333" s="38" t="s">
        <v>4184</v>
      </c>
      <c r="E333" s="38">
        <v>50.0</v>
      </c>
      <c r="F333" s="38" t="s">
        <v>175</v>
      </c>
      <c r="G333" s="94" t="s">
        <v>20155</v>
      </c>
    </row>
    <row r="334">
      <c r="A334" s="787">
        <v>45995.0</v>
      </c>
      <c r="B334" s="759">
        <v>0.4166666666666667</v>
      </c>
      <c r="C334" s="94" t="s">
        <v>20156</v>
      </c>
      <c r="D334" s="38" t="s">
        <v>17753</v>
      </c>
      <c r="E334" s="38" t="s">
        <v>20157</v>
      </c>
      <c r="F334" s="38" t="s">
        <v>175</v>
      </c>
      <c r="G334" s="94" t="s">
        <v>20158</v>
      </c>
    </row>
    <row r="335">
      <c r="A335" s="787">
        <v>45995.0</v>
      </c>
      <c r="B335" s="759">
        <v>0.4375</v>
      </c>
      <c r="C335" s="38" t="s">
        <v>20159</v>
      </c>
      <c r="D335" s="38" t="s">
        <v>19556</v>
      </c>
      <c r="E335" s="38" t="s">
        <v>19718</v>
      </c>
      <c r="F335" s="38" t="s">
        <v>20160</v>
      </c>
      <c r="G335" s="775" t="s">
        <v>1011</v>
      </c>
    </row>
    <row r="336">
      <c r="A336" s="787">
        <v>45995.0</v>
      </c>
      <c r="B336" s="759">
        <v>0.4583333333333333</v>
      </c>
      <c r="C336" s="94" t="s">
        <v>20161</v>
      </c>
      <c r="D336" s="38" t="s">
        <v>19556</v>
      </c>
      <c r="E336" s="38" t="s">
        <v>20162</v>
      </c>
      <c r="F336" s="38" t="s">
        <v>175</v>
      </c>
      <c r="G336" s="94" t="s">
        <v>20158</v>
      </c>
    </row>
    <row r="337">
      <c r="A337" s="787">
        <v>45995.0</v>
      </c>
      <c r="B337" s="759">
        <v>0.5</v>
      </c>
      <c r="C337" s="94" t="s">
        <v>20163</v>
      </c>
      <c r="D337" s="38" t="s">
        <v>20164</v>
      </c>
      <c r="E337" s="44"/>
      <c r="F337" s="38" t="s">
        <v>20165</v>
      </c>
      <c r="G337" s="94" t="s">
        <v>20166</v>
      </c>
    </row>
    <row r="338">
      <c r="A338" s="787">
        <v>45995.0</v>
      </c>
      <c r="B338" s="759">
        <v>0.5416666666666666</v>
      </c>
      <c r="C338" s="94" t="s">
        <v>19003</v>
      </c>
      <c r="D338" s="94" t="s">
        <v>20167</v>
      </c>
      <c r="E338" s="38">
        <v>90.0</v>
      </c>
      <c r="F338" s="38" t="s">
        <v>12473</v>
      </c>
      <c r="G338" s="94" t="s">
        <v>20168</v>
      </c>
    </row>
    <row r="339">
      <c r="A339" s="787">
        <v>45995.0</v>
      </c>
      <c r="B339" s="759">
        <v>0.5833333333333334</v>
      </c>
      <c r="C339" s="94" t="s">
        <v>20169</v>
      </c>
      <c r="D339" s="44"/>
      <c r="E339" s="44"/>
      <c r="F339" s="38" t="s">
        <v>20165</v>
      </c>
      <c r="G339" s="94" t="s">
        <v>20166</v>
      </c>
    </row>
    <row r="340">
      <c r="A340" s="787">
        <v>45995.0</v>
      </c>
      <c r="B340" s="759">
        <v>0.6111111111111112</v>
      </c>
      <c r="C340" s="44"/>
      <c r="D340" s="38" t="s">
        <v>17933</v>
      </c>
      <c r="E340" s="38">
        <v>20.0</v>
      </c>
      <c r="F340" s="38" t="s">
        <v>20170</v>
      </c>
      <c r="G340" s="38" t="s">
        <v>20171</v>
      </c>
    </row>
    <row r="341">
      <c r="A341" s="38" t="s">
        <v>20172</v>
      </c>
      <c r="B341" s="759">
        <v>0.5833333333333334</v>
      </c>
      <c r="C341" s="38" t="s">
        <v>20173</v>
      </c>
      <c r="D341" s="44"/>
      <c r="E341" s="38">
        <v>80.0</v>
      </c>
      <c r="F341" s="38" t="s">
        <v>12473</v>
      </c>
      <c r="G341" s="44"/>
    </row>
    <row r="342">
      <c r="A342" s="38" t="s">
        <v>20172</v>
      </c>
      <c r="B342" s="759">
        <v>0.3333333333333333</v>
      </c>
      <c r="C342" s="38" t="s">
        <v>20174</v>
      </c>
      <c r="D342" s="38" t="s">
        <v>20175</v>
      </c>
      <c r="E342" s="38">
        <v>90.0</v>
      </c>
      <c r="F342" s="38" t="s">
        <v>20176</v>
      </c>
      <c r="G342" s="38" t="s">
        <v>18578</v>
      </c>
      <c r="T342" s="37"/>
    </row>
    <row r="343">
      <c r="A343" s="44"/>
      <c r="B343" s="44"/>
      <c r="C343" s="44"/>
      <c r="D343" s="44"/>
      <c r="E343" s="38">
        <v>-1005.0</v>
      </c>
      <c r="F343" s="38" t="s">
        <v>19675</v>
      </c>
      <c r="G343" s="44"/>
      <c r="T343" s="37"/>
    </row>
    <row r="344">
      <c r="A344" s="38" t="s">
        <v>20172</v>
      </c>
      <c r="B344" s="759">
        <v>0.7083333333333334</v>
      </c>
      <c r="C344" s="94" t="s">
        <v>20177</v>
      </c>
      <c r="D344" s="94" t="s">
        <v>20178</v>
      </c>
      <c r="E344" s="38">
        <v>270.0</v>
      </c>
      <c r="F344" s="38" t="s">
        <v>20179</v>
      </c>
      <c r="G344" s="94" t="s">
        <v>20180</v>
      </c>
      <c r="T344" s="37"/>
    </row>
    <row r="345">
      <c r="A345" s="38" t="s">
        <v>20172</v>
      </c>
      <c r="B345" s="759">
        <v>0.7291666666666666</v>
      </c>
      <c r="C345" s="38" t="s">
        <v>20181</v>
      </c>
      <c r="D345" s="94" t="s">
        <v>20182</v>
      </c>
      <c r="E345" s="38">
        <v>55.0</v>
      </c>
      <c r="F345" s="38" t="s">
        <v>175</v>
      </c>
      <c r="G345" s="94" t="s">
        <v>20183</v>
      </c>
      <c r="T345" s="37"/>
    </row>
    <row r="346">
      <c r="A346" s="38" t="s">
        <v>20172</v>
      </c>
      <c r="B346" s="759">
        <v>0.75</v>
      </c>
      <c r="C346" s="38" t="s">
        <v>20184</v>
      </c>
      <c r="D346" s="38" t="s">
        <v>20185</v>
      </c>
      <c r="E346" s="38">
        <v>50.0</v>
      </c>
      <c r="F346" s="38" t="s">
        <v>20186</v>
      </c>
      <c r="G346" s="94" t="s">
        <v>19643</v>
      </c>
      <c r="H346" s="38" t="s">
        <v>20187</v>
      </c>
      <c r="T346" s="37"/>
    </row>
    <row r="347">
      <c r="A347" s="788" t="s">
        <v>20188</v>
      </c>
      <c r="B347" s="789">
        <v>0.3333333333333333</v>
      </c>
      <c r="C347" s="790" t="s">
        <v>20189</v>
      </c>
      <c r="D347" s="788" t="s">
        <v>20182</v>
      </c>
      <c r="E347" s="791">
        <v>70.0</v>
      </c>
      <c r="F347" s="792" t="s">
        <v>20190</v>
      </c>
      <c r="G347" s="775" t="s">
        <v>20191</v>
      </c>
      <c r="H347" s="793"/>
      <c r="I347" s="794"/>
      <c r="T347" s="37"/>
      <c r="U347" s="794"/>
      <c r="V347" s="794"/>
      <c r="W347" s="794"/>
      <c r="X347" s="795"/>
      <c r="Y347" s="795"/>
    </row>
    <row r="348">
      <c r="A348" s="796" t="s">
        <v>20188</v>
      </c>
      <c r="B348" s="789">
        <v>0.375</v>
      </c>
      <c r="C348" s="788" t="s">
        <v>19236</v>
      </c>
      <c r="D348" s="792" t="s">
        <v>20192</v>
      </c>
      <c r="E348" s="792">
        <v>90.0</v>
      </c>
      <c r="F348" s="791" t="s">
        <v>12473</v>
      </c>
      <c r="G348" s="775" t="s">
        <v>20193</v>
      </c>
      <c r="H348" s="792"/>
      <c r="T348" s="37"/>
    </row>
    <row r="349">
      <c r="A349" s="796" t="s">
        <v>20188</v>
      </c>
      <c r="B349" s="762">
        <v>0.5208333333333334</v>
      </c>
      <c r="C349" s="94" t="s">
        <v>20138</v>
      </c>
      <c r="D349" s="134" t="s">
        <v>20194</v>
      </c>
      <c r="E349" s="134">
        <v>80.0</v>
      </c>
      <c r="F349" s="134" t="s">
        <v>12473</v>
      </c>
      <c r="G349" s="94" t="s">
        <v>20195</v>
      </c>
      <c r="H349" s="768"/>
      <c r="T349" s="37"/>
    </row>
    <row r="350">
      <c r="A350" s="796" t="s">
        <v>20188</v>
      </c>
      <c r="B350" s="762">
        <v>0.5833333333333334</v>
      </c>
      <c r="C350" s="94" t="s">
        <v>20196</v>
      </c>
      <c r="D350" s="94" t="s">
        <v>19477</v>
      </c>
      <c r="E350" s="134">
        <v>90.0</v>
      </c>
      <c r="F350" s="134" t="s">
        <v>12473</v>
      </c>
      <c r="G350" s="94" t="s">
        <v>19478</v>
      </c>
      <c r="H350" s="768"/>
    </row>
    <row r="351">
      <c r="A351" s="796" t="s">
        <v>20188</v>
      </c>
      <c r="B351" s="762">
        <v>0.6041666666666666</v>
      </c>
      <c r="C351" s="134" t="s">
        <v>20076</v>
      </c>
      <c r="D351" s="134" t="s">
        <v>19527</v>
      </c>
      <c r="E351" s="134">
        <v>60.0</v>
      </c>
      <c r="F351" s="134" t="s">
        <v>175</v>
      </c>
      <c r="G351" s="94" t="s">
        <v>20197</v>
      </c>
      <c r="H351" s="768"/>
    </row>
    <row r="352">
      <c r="A352" s="764"/>
      <c r="B352" s="764"/>
      <c r="C352" s="764"/>
      <c r="D352" s="764"/>
      <c r="E352" s="134">
        <v>400.0</v>
      </c>
      <c r="F352" s="134" t="s">
        <v>20198</v>
      </c>
      <c r="G352" s="94" t="s">
        <v>20199</v>
      </c>
      <c r="H352" s="768"/>
    </row>
    <row r="353">
      <c r="A353" s="796" t="s">
        <v>20188</v>
      </c>
      <c r="B353" s="762">
        <v>0.71875</v>
      </c>
      <c r="C353" s="94" t="s">
        <v>20200</v>
      </c>
      <c r="D353" s="94" t="s">
        <v>19530</v>
      </c>
      <c r="E353" s="134">
        <v>45.0</v>
      </c>
      <c r="F353" s="134" t="s">
        <v>20201</v>
      </c>
      <c r="G353" s="94" t="s">
        <v>20202</v>
      </c>
      <c r="H353" s="217" t="s">
        <v>20203</v>
      </c>
      <c r="I353" s="94">
        <v>3.7063888849E10</v>
      </c>
      <c r="J353" s="44"/>
    </row>
    <row r="354">
      <c r="A354" s="796" t="s">
        <v>20188</v>
      </c>
      <c r="B354" s="764"/>
      <c r="C354" s="764"/>
      <c r="D354" s="764"/>
      <c r="E354" s="134">
        <v>790.0</v>
      </c>
      <c r="F354" s="134" t="s">
        <v>20204</v>
      </c>
      <c r="G354" s="38" t="s">
        <v>1092</v>
      </c>
      <c r="H354" s="768"/>
    </row>
    <row r="355">
      <c r="A355" s="134" t="s">
        <v>20205</v>
      </c>
      <c r="B355" s="762">
        <v>0.5625</v>
      </c>
      <c r="C355" s="94" t="s">
        <v>20206</v>
      </c>
      <c r="D355" s="94" t="s">
        <v>19933</v>
      </c>
      <c r="E355" s="134">
        <v>50.0</v>
      </c>
      <c r="F355" s="134" t="s">
        <v>175</v>
      </c>
      <c r="G355" s="94" t="s">
        <v>20207</v>
      </c>
      <c r="H355" s="768"/>
      <c r="O355" s="5"/>
      <c r="P355" s="8"/>
    </row>
    <row r="356">
      <c r="A356" s="134" t="s">
        <v>20208</v>
      </c>
      <c r="B356" s="762">
        <v>0.375</v>
      </c>
      <c r="C356" s="94" t="s">
        <v>20209</v>
      </c>
      <c r="D356" s="134" t="s">
        <v>18445</v>
      </c>
      <c r="E356" s="134">
        <v>50.0</v>
      </c>
      <c r="F356" s="134" t="s">
        <v>20210</v>
      </c>
      <c r="G356" s="94" t="s">
        <v>20211</v>
      </c>
      <c r="H356" s="768"/>
    </row>
    <row r="357">
      <c r="A357" s="134" t="s">
        <v>20208</v>
      </c>
      <c r="B357" s="764"/>
      <c r="C357" s="764"/>
      <c r="D357" s="764"/>
      <c r="E357" s="134">
        <v>40.0</v>
      </c>
      <c r="F357" s="134" t="s">
        <v>20212</v>
      </c>
      <c r="G357" s="134" t="s">
        <v>6781</v>
      </c>
      <c r="H357" s="768"/>
    </row>
    <row r="358">
      <c r="A358" s="134" t="s">
        <v>20208</v>
      </c>
      <c r="B358" s="762">
        <v>0.5416666666666666</v>
      </c>
      <c r="C358" s="94" t="s">
        <v>20213</v>
      </c>
      <c r="D358" s="94" t="s">
        <v>20214</v>
      </c>
      <c r="E358" s="134">
        <v>40.0</v>
      </c>
      <c r="F358" s="134" t="s">
        <v>20215</v>
      </c>
      <c r="G358" s="94" t="s">
        <v>20216</v>
      </c>
      <c r="H358" s="768"/>
    </row>
    <row r="359">
      <c r="A359" s="134" t="s">
        <v>20208</v>
      </c>
      <c r="B359" s="762">
        <v>0.6666666666666666</v>
      </c>
      <c r="C359" s="134" t="s">
        <v>19912</v>
      </c>
      <c r="D359" s="94" t="s">
        <v>20217</v>
      </c>
      <c r="E359" s="134">
        <v>50.0</v>
      </c>
      <c r="F359" s="134" t="s">
        <v>20215</v>
      </c>
      <c r="G359" s="134" t="s">
        <v>20218</v>
      </c>
      <c r="H359" s="134" t="s">
        <v>20219</v>
      </c>
      <c r="I359" s="44"/>
    </row>
    <row r="360">
      <c r="A360" s="134" t="s">
        <v>20208</v>
      </c>
      <c r="B360" s="762">
        <v>0.7083333333333334</v>
      </c>
      <c r="C360" s="134" t="s">
        <v>20220</v>
      </c>
      <c r="D360" s="134" t="s">
        <v>20221</v>
      </c>
      <c r="E360" s="134">
        <v>30.0</v>
      </c>
      <c r="F360" s="134" t="s">
        <v>20222</v>
      </c>
      <c r="G360" s="134" t="s">
        <v>20223</v>
      </c>
      <c r="H360" s="768"/>
    </row>
    <row r="361">
      <c r="A361" s="134" t="s">
        <v>20224</v>
      </c>
      <c r="B361" s="762">
        <v>0.4583333333333333</v>
      </c>
      <c r="C361" s="134" t="s">
        <v>20225</v>
      </c>
      <c r="D361" s="94" t="s">
        <v>19801</v>
      </c>
      <c r="E361" s="134">
        <v>30.0</v>
      </c>
      <c r="F361" s="134" t="s">
        <v>20222</v>
      </c>
      <c r="G361" s="94" t="s">
        <v>20226</v>
      </c>
      <c r="H361" s="768"/>
    </row>
    <row r="362">
      <c r="A362" s="134" t="s">
        <v>20224</v>
      </c>
      <c r="B362" s="762">
        <v>0.5</v>
      </c>
      <c r="C362" s="94" t="s">
        <v>20227</v>
      </c>
      <c r="D362" s="94" t="s">
        <v>18475</v>
      </c>
      <c r="E362" s="134">
        <v>80.0</v>
      </c>
      <c r="F362" s="134" t="s">
        <v>19994</v>
      </c>
      <c r="G362" s="94" t="s">
        <v>20228</v>
      </c>
      <c r="H362" s="768"/>
    </row>
    <row r="363">
      <c r="A363" s="134" t="s">
        <v>20224</v>
      </c>
      <c r="B363" s="762">
        <v>0.5416666666666666</v>
      </c>
      <c r="C363" s="134" t="s">
        <v>20229</v>
      </c>
      <c r="D363" s="134" t="s">
        <v>20230</v>
      </c>
      <c r="E363" s="134">
        <v>30.0</v>
      </c>
      <c r="F363" s="134" t="s">
        <v>20222</v>
      </c>
      <c r="G363" s="134" t="s">
        <v>20231</v>
      </c>
      <c r="H363" s="768"/>
    </row>
    <row r="364">
      <c r="A364" s="764"/>
      <c r="B364" s="764"/>
      <c r="C364" s="764"/>
      <c r="D364" s="764"/>
      <c r="E364" s="134">
        <v>-65.0</v>
      </c>
      <c r="F364" s="134" t="s">
        <v>20232</v>
      </c>
      <c r="G364" s="764"/>
      <c r="H364" s="768"/>
    </row>
    <row r="365">
      <c r="A365" s="134" t="s">
        <v>20233</v>
      </c>
      <c r="B365" s="762">
        <v>0.7083333333333334</v>
      </c>
      <c r="C365" s="134" t="s">
        <v>20234</v>
      </c>
      <c r="D365" s="134" t="s">
        <v>20235</v>
      </c>
      <c r="E365" s="134">
        <v>40.0</v>
      </c>
      <c r="F365" s="134" t="s">
        <v>20236</v>
      </c>
      <c r="G365" s="134" t="s">
        <v>20237</v>
      </c>
      <c r="H365" s="768"/>
    </row>
    <row r="366">
      <c r="A366" s="134" t="s">
        <v>20224</v>
      </c>
      <c r="B366" s="762">
        <v>0.7291666666666666</v>
      </c>
      <c r="C366" s="775" t="s">
        <v>20238</v>
      </c>
      <c r="D366" s="44"/>
      <c r="E366" s="134">
        <v>30.0</v>
      </c>
      <c r="F366" s="134" t="s">
        <v>5885</v>
      </c>
      <c r="G366" s="775">
        <v>8.68223167E8</v>
      </c>
      <c r="H366" s="768"/>
    </row>
    <row r="367">
      <c r="A367" s="134" t="s">
        <v>20224</v>
      </c>
      <c r="B367" s="762">
        <v>0.75</v>
      </c>
      <c r="C367" s="94" t="s">
        <v>20239</v>
      </c>
      <c r="D367" s="94" t="s">
        <v>14478</v>
      </c>
      <c r="E367" s="134">
        <v>90.0</v>
      </c>
      <c r="F367" s="134" t="s">
        <v>12473</v>
      </c>
      <c r="G367" s="94" t="s">
        <v>19555</v>
      </c>
      <c r="H367" s="768"/>
    </row>
    <row r="368">
      <c r="A368" s="134" t="s">
        <v>20240</v>
      </c>
      <c r="B368" s="762">
        <v>0.375</v>
      </c>
      <c r="C368" s="134" t="s">
        <v>18015</v>
      </c>
      <c r="D368" s="94" t="s">
        <v>19028</v>
      </c>
      <c r="E368" s="134" t="s">
        <v>19309</v>
      </c>
      <c r="F368" s="134" t="s">
        <v>20241</v>
      </c>
      <c r="G368" s="94" t="s">
        <v>19029</v>
      </c>
      <c r="H368" s="768"/>
    </row>
    <row r="369">
      <c r="A369" s="134" t="s">
        <v>20240</v>
      </c>
      <c r="B369" s="762">
        <v>0.3993055555555556</v>
      </c>
      <c r="C369" s="134" t="s">
        <v>20242</v>
      </c>
      <c r="D369" s="134" t="s">
        <v>20243</v>
      </c>
      <c r="E369" s="134">
        <v>90.0</v>
      </c>
      <c r="F369" s="134" t="s">
        <v>20244</v>
      </c>
      <c r="G369" s="94" t="s">
        <v>19383</v>
      </c>
      <c r="H369" s="768"/>
    </row>
    <row r="370">
      <c r="A370" s="134" t="s">
        <v>20240</v>
      </c>
      <c r="B370" s="762">
        <v>0.4236111111111111</v>
      </c>
      <c r="C370" s="775" t="s">
        <v>20245</v>
      </c>
      <c r="D370" s="764"/>
      <c r="E370" s="134" t="s">
        <v>19309</v>
      </c>
      <c r="F370" s="134" t="s">
        <v>20246</v>
      </c>
      <c r="G370" s="134" t="s">
        <v>20247</v>
      </c>
      <c r="H370" s="134" t="s">
        <v>20248</v>
      </c>
      <c r="I370" s="38">
        <v>3.04299948E8</v>
      </c>
      <c r="J370" s="38" t="s">
        <v>20249</v>
      </c>
      <c r="K370" s="44"/>
      <c r="L370" s="44"/>
      <c r="N370" s="1" t="s">
        <v>20250</v>
      </c>
    </row>
    <row r="371">
      <c r="A371" s="134" t="s">
        <v>20240</v>
      </c>
      <c r="B371" s="759">
        <v>0.4583333333333333</v>
      </c>
      <c r="C371" s="38" t="s">
        <v>18979</v>
      </c>
      <c r="D371" s="94" t="s">
        <v>18978</v>
      </c>
      <c r="E371" s="38">
        <v>100.0</v>
      </c>
      <c r="F371" s="38" t="s">
        <v>12473</v>
      </c>
      <c r="G371" s="94" t="s">
        <v>20251</v>
      </c>
    </row>
    <row r="372">
      <c r="A372" s="797" t="s">
        <v>20240</v>
      </c>
      <c r="B372" s="798">
        <v>0.5</v>
      </c>
      <c r="C372" s="131" t="s">
        <v>18015</v>
      </c>
      <c r="D372" s="130"/>
      <c r="E372" s="131" t="s">
        <v>19309</v>
      </c>
      <c r="F372" s="131" t="s">
        <v>13622</v>
      </c>
      <c r="G372" s="799" t="s">
        <v>20252</v>
      </c>
    </row>
    <row r="373">
      <c r="A373" s="134" t="s">
        <v>20240</v>
      </c>
      <c r="B373" s="759">
        <v>0.5416666666666666</v>
      </c>
      <c r="C373" s="94" t="s">
        <v>20253</v>
      </c>
      <c r="D373" s="94" t="s">
        <v>19634</v>
      </c>
      <c r="E373" s="38">
        <v>80.0</v>
      </c>
      <c r="F373" s="38" t="s">
        <v>20254</v>
      </c>
      <c r="G373" s="94" t="s">
        <v>18972</v>
      </c>
      <c r="H373" s="5"/>
      <c r="I373" s="8"/>
    </row>
    <row r="374">
      <c r="A374" s="134" t="s">
        <v>20240</v>
      </c>
      <c r="B374" s="759">
        <v>0.5729166666666666</v>
      </c>
      <c r="C374" s="94" t="s">
        <v>19247</v>
      </c>
      <c r="D374" s="94" t="s">
        <v>20255</v>
      </c>
      <c r="E374" s="38">
        <v>85.0</v>
      </c>
      <c r="F374" s="38" t="s">
        <v>20254</v>
      </c>
      <c r="G374" s="94" t="s">
        <v>20256</v>
      </c>
    </row>
    <row r="375">
      <c r="A375" s="134" t="s">
        <v>20240</v>
      </c>
      <c r="B375" s="759">
        <v>0.6041666666666666</v>
      </c>
      <c r="C375" s="44"/>
      <c r="D375" s="94" t="s">
        <v>18565</v>
      </c>
      <c r="E375" s="38" t="s">
        <v>2916</v>
      </c>
      <c r="F375" s="38" t="s">
        <v>20257</v>
      </c>
      <c r="G375" s="94" t="s">
        <v>20258</v>
      </c>
    </row>
    <row r="376">
      <c r="A376" s="38" t="s">
        <v>20240</v>
      </c>
      <c r="B376" s="759">
        <v>0.5625</v>
      </c>
      <c r="C376" s="38" t="s">
        <v>20259</v>
      </c>
      <c r="D376" s="44"/>
      <c r="E376" s="38">
        <v>50.0</v>
      </c>
      <c r="F376" s="38" t="s">
        <v>175</v>
      </c>
      <c r="G376" s="38" t="s">
        <v>20260</v>
      </c>
    </row>
    <row r="377">
      <c r="A377" s="44"/>
      <c r="B377" s="44"/>
      <c r="C377" s="44"/>
      <c r="D377" s="44"/>
      <c r="E377" s="38">
        <v>-2860.0</v>
      </c>
      <c r="F377" s="38" t="s">
        <v>20261</v>
      </c>
      <c r="G377" s="44"/>
    </row>
    <row r="378">
      <c r="A378" s="38" t="s">
        <v>20262</v>
      </c>
      <c r="B378" s="759">
        <v>0.5625</v>
      </c>
      <c r="C378" s="38" t="s">
        <v>20263</v>
      </c>
      <c r="D378" s="44"/>
      <c r="E378" s="38">
        <v>360.0</v>
      </c>
      <c r="F378" s="38" t="s">
        <v>20264</v>
      </c>
      <c r="G378" s="777" t="s">
        <v>20265</v>
      </c>
    </row>
    <row r="379">
      <c r="A379" s="38" t="s">
        <v>20266</v>
      </c>
      <c r="B379" s="759">
        <v>0.6041666666666666</v>
      </c>
      <c r="C379" s="94" t="s">
        <v>20267</v>
      </c>
      <c r="D379" s="94" t="s">
        <v>20268</v>
      </c>
      <c r="E379" s="38">
        <v>30.0</v>
      </c>
      <c r="F379" s="38" t="s">
        <v>5885</v>
      </c>
      <c r="G379" s="94" t="s">
        <v>20269</v>
      </c>
    </row>
    <row r="380">
      <c r="A380" s="38" t="s">
        <v>20266</v>
      </c>
      <c r="B380" s="759">
        <v>0.6222222222222222</v>
      </c>
      <c r="C380" s="38" t="s">
        <v>19556</v>
      </c>
      <c r="D380" s="38" t="s">
        <v>19051</v>
      </c>
      <c r="E380" s="38">
        <v>70.0</v>
      </c>
      <c r="F380" s="38" t="s">
        <v>20270</v>
      </c>
      <c r="G380" s="800" t="s">
        <v>19052</v>
      </c>
    </row>
    <row r="381">
      <c r="A381" s="38" t="s">
        <v>20266</v>
      </c>
      <c r="B381" s="759">
        <v>0.7243055555555555</v>
      </c>
      <c r="C381" s="44"/>
      <c r="D381" s="94" t="s">
        <v>18845</v>
      </c>
      <c r="E381" s="38">
        <v>100.0</v>
      </c>
      <c r="F381" s="44"/>
      <c r="G381" s="94" t="s">
        <v>18836</v>
      </c>
    </row>
    <row r="382">
      <c r="A382" s="131" t="s">
        <v>20266</v>
      </c>
      <c r="B382" s="798">
        <v>0.7291666666666666</v>
      </c>
      <c r="C382" s="131" t="s">
        <v>20271</v>
      </c>
      <c r="D382" s="783" t="s">
        <v>19233</v>
      </c>
      <c r="E382" s="131">
        <v>90.0</v>
      </c>
      <c r="F382" s="131" t="s">
        <v>12473</v>
      </c>
      <c r="G382" s="783" t="s">
        <v>20272</v>
      </c>
      <c r="H382" s="130"/>
    </row>
    <row r="383">
      <c r="A383" s="44"/>
      <c r="B383" s="44"/>
      <c r="C383" s="44"/>
      <c r="D383" s="44"/>
      <c r="E383" s="38">
        <v>-20.0</v>
      </c>
      <c r="F383" s="38" t="s">
        <v>20273</v>
      </c>
      <c r="G383" s="44"/>
    </row>
    <row r="384">
      <c r="A384" s="44"/>
      <c r="B384" s="44"/>
      <c r="C384" s="44"/>
      <c r="D384" s="44"/>
      <c r="E384" s="38">
        <v>80.0</v>
      </c>
      <c r="F384" s="94" t="s">
        <v>20274</v>
      </c>
      <c r="G384" s="94" t="s">
        <v>20275</v>
      </c>
    </row>
    <row r="385">
      <c r="A385" s="44"/>
      <c r="B385" s="44"/>
      <c r="C385" s="44"/>
      <c r="D385" s="44"/>
      <c r="E385" s="38">
        <v>40.0</v>
      </c>
      <c r="F385" s="94" t="s">
        <v>20276</v>
      </c>
      <c r="G385" s="94" t="s">
        <v>20277</v>
      </c>
      <c r="H385" s="44"/>
      <c r="I385" s="44"/>
    </row>
    <row r="386">
      <c r="A386" s="38" t="s">
        <v>20278</v>
      </c>
      <c r="B386" s="44"/>
      <c r="C386" s="38" t="s">
        <v>19556</v>
      </c>
      <c r="D386" s="38" t="s">
        <v>19636</v>
      </c>
      <c r="E386" s="38">
        <v>80.0</v>
      </c>
      <c r="F386" s="38" t="s">
        <v>19994</v>
      </c>
      <c r="G386" s="94" t="s">
        <v>19637</v>
      </c>
      <c r="H386" s="801" t="s">
        <v>20279</v>
      </c>
      <c r="I386" s="802"/>
    </row>
    <row r="387">
      <c r="A387" s="38" t="s">
        <v>20278</v>
      </c>
      <c r="B387" s="44"/>
      <c r="C387" s="94" t="s">
        <v>20003</v>
      </c>
      <c r="D387" s="94" t="s">
        <v>19301</v>
      </c>
      <c r="E387" s="38">
        <v>200.0</v>
      </c>
      <c r="F387" s="38" t="s">
        <v>20280</v>
      </c>
      <c r="G387" s="94" t="s">
        <v>18598</v>
      </c>
      <c r="H387" s="44"/>
      <c r="I387" s="44"/>
    </row>
    <row r="388">
      <c r="A388" s="38" t="s">
        <v>20278</v>
      </c>
      <c r="B388" s="44"/>
      <c r="C388" s="94" t="s">
        <v>20281</v>
      </c>
      <c r="D388" s="94" t="s">
        <v>20282</v>
      </c>
      <c r="E388" s="38">
        <v>40.0</v>
      </c>
      <c r="F388" s="38" t="s">
        <v>20283</v>
      </c>
      <c r="G388" s="94" t="s">
        <v>20284</v>
      </c>
      <c r="H388" s="44"/>
      <c r="I388" s="44"/>
    </row>
    <row r="389">
      <c r="A389" s="38" t="s">
        <v>20285</v>
      </c>
      <c r="B389" s="44"/>
      <c r="C389" s="38" t="s">
        <v>20286</v>
      </c>
      <c r="D389" s="94" t="s">
        <v>18427</v>
      </c>
      <c r="E389" s="38">
        <v>80.0</v>
      </c>
      <c r="F389" s="44"/>
      <c r="G389" s="94" t="s">
        <v>12380</v>
      </c>
      <c r="H389" s="44"/>
      <c r="I389" s="44"/>
    </row>
    <row r="390">
      <c r="A390" s="38" t="s">
        <v>20285</v>
      </c>
      <c r="B390" s="44"/>
      <c r="C390" s="94" t="s">
        <v>17698</v>
      </c>
      <c r="D390" s="94" t="s">
        <v>18163</v>
      </c>
      <c r="E390" s="38" t="s">
        <v>2916</v>
      </c>
      <c r="F390" s="38" t="s">
        <v>20287</v>
      </c>
      <c r="G390" s="94" t="s">
        <v>20288</v>
      </c>
      <c r="H390" s="44"/>
      <c r="I390" s="44"/>
    </row>
    <row r="391">
      <c r="A391" s="38" t="s">
        <v>20285</v>
      </c>
      <c r="B391" s="44"/>
      <c r="C391" s="38" t="s">
        <v>20289</v>
      </c>
      <c r="D391" s="94" t="s">
        <v>20119</v>
      </c>
      <c r="E391" s="44"/>
      <c r="F391" s="38" t="s">
        <v>20290</v>
      </c>
      <c r="G391" s="94" t="s">
        <v>20038</v>
      </c>
    </row>
    <row r="392">
      <c r="A392" s="38" t="s">
        <v>20285</v>
      </c>
      <c r="B392" s="44"/>
      <c r="C392" s="38" t="s">
        <v>19154</v>
      </c>
      <c r="D392" s="94" t="s">
        <v>20291</v>
      </c>
      <c r="E392" s="38" t="s">
        <v>19309</v>
      </c>
      <c r="F392" s="38" t="s">
        <v>3913</v>
      </c>
      <c r="G392" s="94" t="s">
        <v>19628</v>
      </c>
    </row>
    <row r="393">
      <c r="A393" s="38" t="s">
        <v>20285</v>
      </c>
      <c r="B393" s="44"/>
      <c r="C393" s="44"/>
      <c r="D393" s="38" t="s">
        <v>20292</v>
      </c>
      <c r="E393" s="44"/>
      <c r="F393" s="38" t="s">
        <v>20293</v>
      </c>
      <c r="G393" s="38" t="s">
        <v>20294</v>
      </c>
    </row>
    <row r="394">
      <c r="A394" s="38" t="s">
        <v>20285</v>
      </c>
      <c r="B394" s="44"/>
      <c r="C394" s="44"/>
      <c r="D394" s="94" t="s">
        <v>20295</v>
      </c>
      <c r="E394" s="44"/>
      <c r="F394" s="38" t="s">
        <v>20296</v>
      </c>
      <c r="G394" s="94" t="s">
        <v>20297</v>
      </c>
    </row>
    <row r="395">
      <c r="A395" s="38" t="s">
        <v>20285</v>
      </c>
      <c r="B395" s="44"/>
      <c r="C395" s="38" t="s">
        <v>17822</v>
      </c>
      <c r="D395" s="38" t="s">
        <v>20298</v>
      </c>
      <c r="E395" s="38">
        <v>30.0</v>
      </c>
      <c r="F395" s="38" t="s">
        <v>5885</v>
      </c>
      <c r="G395" s="38" t="s">
        <v>20299</v>
      </c>
    </row>
    <row r="396">
      <c r="A396" s="38" t="s">
        <v>20285</v>
      </c>
      <c r="B396" s="44"/>
      <c r="C396" s="94" t="s">
        <v>3736</v>
      </c>
      <c r="D396" s="94" t="s">
        <v>20300</v>
      </c>
      <c r="E396" s="38" t="s">
        <v>19309</v>
      </c>
      <c r="F396" s="38" t="s">
        <v>12473</v>
      </c>
      <c r="G396" s="94" t="s">
        <v>20301</v>
      </c>
    </row>
    <row r="397">
      <c r="A397" s="38" t="s">
        <v>20285</v>
      </c>
      <c r="B397" s="44"/>
      <c r="C397" s="38" t="s">
        <v>20302</v>
      </c>
      <c r="D397" s="38" t="s">
        <v>20303</v>
      </c>
      <c r="E397" s="44"/>
      <c r="F397" s="38" t="s">
        <v>3913</v>
      </c>
      <c r="G397" s="775" t="s">
        <v>514</v>
      </c>
    </row>
    <row r="398">
      <c r="A398" s="38" t="s">
        <v>20285</v>
      </c>
      <c r="B398" s="44"/>
      <c r="C398" s="38" t="s">
        <v>4184</v>
      </c>
      <c r="D398" s="38" t="s">
        <v>20304</v>
      </c>
      <c r="E398" s="44"/>
      <c r="F398" s="38" t="s">
        <v>20305</v>
      </c>
      <c r="G398" s="38" t="s">
        <v>20306</v>
      </c>
    </row>
    <row r="399">
      <c r="A399" s="38" t="s">
        <v>20285</v>
      </c>
      <c r="B399" s="44"/>
      <c r="C399" s="94" t="s">
        <v>17698</v>
      </c>
      <c r="D399" s="94" t="s">
        <v>20307</v>
      </c>
      <c r="E399" s="44"/>
      <c r="F399" s="38" t="s">
        <v>20308</v>
      </c>
      <c r="G399" s="94" t="s">
        <v>20309</v>
      </c>
    </row>
    <row r="400">
      <c r="A400" s="38" t="s">
        <v>20285</v>
      </c>
      <c r="B400" s="44"/>
      <c r="C400" s="38" t="s">
        <v>19556</v>
      </c>
      <c r="D400" s="94" t="s">
        <v>20310</v>
      </c>
      <c r="E400" s="44"/>
      <c r="F400" s="38" t="s">
        <v>20311</v>
      </c>
      <c r="G400" s="94" t="s">
        <v>20312</v>
      </c>
    </row>
    <row r="401">
      <c r="A401" s="38" t="s">
        <v>20285</v>
      </c>
      <c r="B401" s="44"/>
      <c r="C401" s="94" t="s">
        <v>20313</v>
      </c>
      <c r="D401" s="94" t="s">
        <v>20314</v>
      </c>
      <c r="E401" s="44"/>
      <c r="F401" s="38" t="s">
        <v>20315</v>
      </c>
      <c r="G401" s="94" t="s">
        <v>20316</v>
      </c>
    </row>
    <row r="402">
      <c r="A402" s="38" t="s">
        <v>20285</v>
      </c>
      <c r="B402" s="44"/>
      <c r="C402" s="94" t="s">
        <v>20317</v>
      </c>
      <c r="D402" s="94" t="s">
        <v>20318</v>
      </c>
      <c r="E402" s="44"/>
      <c r="F402" s="38" t="s">
        <v>20319</v>
      </c>
      <c r="G402" s="94" t="s">
        <v>20320</v>
      </c>
    </row>
    <row r="403">
      <c r="A403" s="38" t="s">
        <v>20285</v>
      </c>
      <c r="B403" s="44"/>
      <c r="C403" s="94" t="s">
        <v>17806</v>
      </c>
      <c r="D403" s="94" t="s">
        <v>18597</v>
      </c>
      <c r="E403" s="38">
        <v>200.0</v>
      </c>
      <c r="F403" s="38" t="s">
        <v>20321</v>
      </c>
      <c r="G403" s="94" t="s">
        <v>18598</v>
      </c>
    </row>
    <row r="404">
      <c r="A404" s="38" t="s">
        <v>20285</v>
      </c>
      <c r="B404" s="44"/>
      <c r="C404" s="94" t="s">
        <v>20322</v>
      </c>
      <c r="D404" s="94" t="s">
        <v>19342</v>
      </c>
      <c r="E404" s="38" t="s">
        <v>20323</v>
      </c>
      <c r="F404" s="38" t="s">
        <v>20324</v>
      </c>
      <c r="G404" s="94" t="s">
        <v>19343</v>
      </c>
    </row>
    <row r="405">
      <c r="A405" s="38" t="s">
        <v>20285</v>
      </c>
      <c r="B405" s="44"/>
      <c r="C405" s="44"/>
      <c r="D405" s="44"/>
      <c r="E405" s="38">
        <v>45.0</v>
      </c>
      <c r="F405" s="38" t="s">
        <v>175</v>
      </c>
      <c r="G405" s="38" t="s">
        <v>20325</v>
      </c>
    </row>
    <row r="406">
      <c r="A406" s="38" t="s">
        <v>20285</v>
      </c>
      <c r="B406" s="759">
        <v>0.7625</v>
      </c>
      <c r="C406" s="44"/>
      <c r="D406" s="44"/>
      <c r="E406" s="38">
        <v>-1000.0</v>
      </c>
      <c r="F406" s="38" t="s">
        <v>20326</v>
      </c>
      <c r="G406" s="44"/>
    </row>
    <row r="407">
      <c r="A407" s="38" t="s">
        <v>20327</v>
      </c>
      <c r="B407" s="759">
        <v>0.3541666666666667</v>
      </c>
      <c r="C407" s="94" t="s">
        <v>20328</v>
      </c>
      <c r="D407" s="94" t="s">
        <v>20329</v>
      </c>
      <c r="E407" s="44"/>
      <c r="F407" s="38" t="s">
        <v>20330</v>
      </c>
      <c r="G407" s="94" t="s">
        <v>20331</v>
      </c>
    </row>
    <row r="408">
      <c r="A408" s="38" t="s">
        <v>20327</v>
      </c>
      <c r="B408" s="759">
        <v>0.375</v>
      </c>
      <c r="C408" s="38" t="s">
        <v>19556</v>
      </c>
      <c r="D408" s="38" t="s">
        <v>20332</v>
      </c>
      <c r="E408" s="44"/>
      <c r="F408" s="38" t="s">
        <v>20333</v>
      </c>
      <c r="G408" s="777" t="s">
        <v>15072</v>
      </c>
    </row>
    <row r="409">
      <c r="A409" s="38" t="s">
        <v>20327</v>
      </c>
      <c r="B409" s="759">
        <v>0.4166666666666667</v>
      </c>
      <c r="C409" s="94" t="s">
        <v>20317</v>
      </c>
      <c r="D409" s="94" t="s">
        <v>19118</v>
      </c>
      <c r="E409" s="44"/>
      <c r="F409" s="38" t="s">
        <v>20319</v>
      </c>
      <c r="G409" s="94" t="s">
        <v>20334</v>
      </c>
    </row>
    <row r="410">
      <c r="A410" s="38" t="s">
        <v>20327</v>
      </c>
      <c r="B410" s="759">
        <v>0.4375</v>
      </c>
      <c r="C410" s="94" t="s">
        <v>20335</v>
      </c>
      <c r="D410" s="94" t="s">
        <v>19196</v>
      </c>
      <c r="E410" s="44"/>
      <c r="F410" s="38" t="s">
        <v>20336</v>
      </c>
      <c r="G410" s="94" t="s">
        <v>20337</v>
      </c>
    </row>
    <row r="411">
      <c r="A411" s="38" t="s">
        <v>20327</v>
      </c>
      <c r="B411" s="759">
        <v>0.4583333333333333</v>
      </c>
      <c r="C411" s="94" t="s">
        <v>17698</v>
      </c>
      <c r="D411" s="94" t="s">
        <v>20338</v>
      </c>
      <c r="E411" s="44"/>
      <c r="F411" s="38" t="s">
        <v>12473</v>
      </c>
      <c r="G411" s="94" t="s">
        <v>20339</v>
      </c>
    </row>
    <row r="412">
      <c r="A412" s="38" t="s">
        <v>20327</v>
      </c>
      <c r="B412" s="759">
        <v>0.4791666666666667</v>
      </c>
      <c r="C412" s="38" t="s">
        <v>20340</v>
      </c>
      <c r="D412" s="38" t="s">
        <v>19083</v>
      </c>
      <c r="E412" s="44"/>
      <c r="F412" s="38" t="s">
        <v>20341</v>
      </c>
      <c r="G412" s="44"/>
      <c r="H412" s="8"/>
      <c r="I412" s="8"/>
      <c r="J412" s="8"/>
      <c r="K412" s="8"/>
      <c r="L412" s="8"/>
    </row>
    <row r="413">
      <c r="A413" s="38" t="s">
        <v>20327</v>
      </c>
      <c r="B413" s="759">
        <v>0.5</v>
      </c>
      <c r="C413" s="94" t="s">
        <v>20342</v>
      </c>
      <c r="D413" s="94" t="s">
        <v>18525</v>
      </c>
      <c r="E413" s="44"/>
      <c r="F413" s="38" t="s">
        <v>20324</v>
      </c>
      <c r="G413" s="94" t="s">
        <v>20320</v>
      </c>
      <c r="H413" s="5"/>
      <c r="I413" s="5"/>
      <c r="J413" s="8"/>
      <c r="K413" s="8"/>
      <c r="L413" s="8"/>
    </row>
    <row r="414">
      <c r="A414" s="38" t="s">
        <v>20327</v>
      </c>
      <c r="B414" s="44"/>
      <c r="C414" s="38" t="s">
        <v>20343</v>
      </c>
      <c r="D414" s="38" t="s">
        <v>20344</v>
      </c>
      <c r="E414" s="44"/>
      <c r="F414" s="38" t="s">
        <v>12473</v>
      </c>
      <c r="G414" s="44"/>
    </row>
    <row r="415">
      <c r="A415" s="38" t="s">
        <v>20327</v>
      </c>
      <c r="B415" s="759">
        <v>0.5416666666666666</v>
      </c>
      <c r="C415" s="44"/>
      <c r="D415" s="44"/>
      <c r="E415" s="44"/>
      <c r="F415" s="38" t="s">
        <v>20345</v>
      </c>
      <c r="G415" s="44"/>
    </row>
    <row r="416">
      <c r="A416" s="38" t="s">
        <v>20327</v>
      </c>
      <c r="B416" s="759">
        <v>0.5416666666666666</v>
      </c>
      <c r="C416" s="38" t="s">
        <v>20346</v>
      </c>
      <c r="D416" s="38" t="s">
        <v>19789</v>
      </c>
      <c r="E416" s="44"/>
      <c r="F416" s="38" t="s">
        <v>20347</v>
      </c>
      <c r="G416" s="44"/>
    </row>
    <row r="417">
      <c r="A417" s="38" t="s">
        <v>20327</v>
      </c>
      <c r="B417" s="759">
        <v>0.5833333333333334</v>
      </c>
      <c r="C417" s="38" t="s">
        <v>19568</v>
      </c>
      <c r="D417" s="94" t="s">
        <v>18466</v>
      </c>
      <c r="E417" s="44"/>
      <c r="F417" s="38" t="s">
        <v>20324</v>
      </c>
      <c r="G417" s="94" t="s">
        <v>20348</v>
      </c>
    </row>
    <row r="418">
      <c r="A418" s="38" t="s">
        <v>20327</v>
      </c>
      <c r="B418" s="759">
        <v>0.6041666666666666</v>
      </c>
      <c r="C418" s="94" t="s">
        <v>20349</v>
      </c>
      <c r="D418" s="94" t="s">
        <v>20350</v>
      </c>
      <c r="E418" s="38">
        <v>50.0</v>
      </c>
      <c r="F418" s="38" t="s">
        <v>3913</v>
      </c>
      <c r="G418" s="94" t="s">
        <v>14988</v>
      </c>
    </row>
    <row r="419">
      <c r="A419" s="38" t="s">
        <v>20327</v>
      </c>
      <c r="B419" s="759">
        <v>0.625</v>
      </c>
      <c r="C419" s="38" t="s">
        <v>1889</v>
      </c>
      <c r="D419" s="94" t="s">
        <v>20351</v>
      </c>
      <c r="E419" s="44"/>
      <c r="F419" s="38" t="s">
        <v>20352</v>
      </c>
      <c r="G419" s="94" t="s">
        <v>20353</v>
      </c>
    </row>
    <row r="420">
      <c r="A420" s="38" t="s">
        <v>20327</v>
      </c>
      <c r="B420" s="759">
        <v>0.6458333333333334</v>
      </c>
      <c r="C420" s="94" t="s">
        <v>20354</v>
      </c>
      <c r="D420" s="38" t="s">
        <v>19046</v>
      </c>
      <c r="E420" s="44"/>
      <c r="F420" s="38" t="s">
        <v>20355</v>
      </c>
      <c r="G420" s="38" t="s">
        <v>20356</v>
      </c>
    </row>
    <row r="421">
      <c r="A421" s="38" t="s">
        <v>20327</v>
      </c>
      <c r="B421" s="759">
        <v>0.7083333333333334</v>
      </c>
      <c r="C421" s="94" t="s">
        <v>20357</v>
      </c>
      <c r="D421" s="94" t="s">
        <v>20358</v>
      </c>
      <c r="E421" s="44"/>
      <c r="F421" s="38" t="s">
        <v>3913</v>
      </c>
      <c r="G421" s="94" t="s">
        <v>19630</v>
      </c>
      <c r="H421" s="38" t="s">
        <v>381</v>
      </c>
    </row>
    <row r="422">
      <c r="A422" s="38" t="s">
        <v>20327</v>
      </c>
      <c r="B422" s="44"/>
      <c r="C422" s="44"/>
      <c r="D422" s="44"/>
      <c r="E422" s="38">
        <v>190.0</v>
      </c>
      <c r="F422" s="38" t="s">
        <v>20359</v>
      </c>
      <c r="G422" s="38" t="s">
        <v>20360</v>
      </c>
    </row>
    <row r="423">
      <c r="A423" s="38" t="s">
        <v>20361</v>
      </c>
      <c r="B423" s="759">
        <v>0.375</v>
      </c>
      <c r="C423" s="94" t="s">
        <v>20362</v>
      </c>
      <c r="D423" s="94" t="s">
        <v>20363</v>
      </c>
      <c r="E423" s="44"/>
      <c r="F423" s="38" t="s">
        <v>20364</v>
      </c>
      <c r="G423" s="94" t="s">
        <v>20365</v>
      </c>
    </row>
    <row r="424">
      <c r="A424" s="38" t="s">
        <v>20361</v>
      </c>
      <c r="B424" s="759">
        <v>0.3958333333333333</v>
      </c>
      <c r="C424" s="94" t="s">
        <v>20366</v>
      </c>
      <c r="D424" s="94" t="s">
        <v>19089</v>
      </c>
      <c r="E424" s="44"/>
      <c r="F424" s="38" t="s">
        <v>20367</v>
      </c>
      <c r="G424" s="38" t="s">
        <v>20368</v>
      </c>
    </row>
    <row r="425">
      <c r="A425" s="38" t="s">
        <v>20361</v>
      </c>
      <c r="B425" s="759">
        <v>0.4166666666666667</v>
      </c>
      <c r="C425" s="38" t="s">
        <v>20369</v>
      </c>
      <c r="D425" s="44"/>
      <c r="E425" s="44"/>
      <c r="F425" s="38" t="s">
        <v>20370</v>
      </c>
      <c r="G425" s="38" t="s">
        <v>20371</v>
      </c>
    </row>
    <row r="426">
      <c r="A426" s="38" t="s">
        <v>20361</v>
      </c>
      <c r="B426" s="44"/>
      <c r="C426" s="44"/>
      <c r="D426" s="44"/>
      <c r="E426" s="38">
        <v>-15.0</v>
      </c>
      <c r="F426" s="38" t="s">
        <v>20372</v>
      </c>
      <c r="G426" s="44"/>
    </row>
    <row r="427">
      <c r="A427" s="38" t="s">
        <v>20361</v>
      </c>
      <c r="B427" s="44"/>
      <c r="C427" s="38" t="s">
        <v>20373</v>
      </c>
      <c r="D427" s="38" t="s">
        <v>18583</v>
      </c>
      <c r="E427" s="44"/>
      <c r="F427" s="38" t="s">
        <v>20374</v>
      </c>
      <c r="G427" s="61" t="s">
        <v>18584</v>
      </c>
    </row>
    <row r="428">
      <c r="A428" s="38" t="s">
        <v>20361</v>
      </c>
      <c r="B428" s="44"/>
      <c r="C428" s="38" t="s">
        <v>20375</v>
      </c>
      <c r="D428" s="94" t="s">
        <v>20376</v>
      </c>
      <c r="E428" s="44"/>
      <c r="F428" s="38" t="s">
        <v>4508</v>
      </c>
      <c r="G428" s="94" t="s">
        <v>20377</v>
      </c>
    </row>
    <row r="429">
      <c r="A429" s="38" t="s">
        <v>20361</v>
      </c>
      <c r="B429" s="44"/>
      <c r="C429" s="94" t="s">
        <v>20378</v>
      </c>
      <c r="D429" s="38" t="s">
        <v>20379</v>
      </c>
      <c r="E429" s="44"/>
      <c r="F429" s="38" t="s">
        <v>20380</v>
      </c>
      <c r="G429" s="94" t="s">
        <v>20381</v>
      </c>
    </row>
    <row r="430">
      <c r="A430" s="38" t="s">
        <v>20361</v>
      </c>
      <c r="B430" s="44"/>
      <c r="C430" s="44"/>
      <c r="D430" s="94" t="s">
        <v>19126</v>
      </c>
      <c r="E430" s="44"/>
      <c r="F430" s="38" t="s">
        <v>20382</v>
      </c>
      <c r="G430" s="94" t="s">
        <v>3342</v>
      </c>
    </row>
    <row r="431">
      <c r="A431" s="38" t="s">
        <v>20361</v>
      </c>
      <c r="B431" s="44"/>
      <c r="C431" s="38" t="s">
        <v>20383</v>
      </c>
      <c r="D431" s="44"/>
      <c r="E431" s="44"/>
      <c r="F431" s="38" t="s">
        <v>10166</v>
      </c>
      <c r="G431" s="44"/>
    </row>
    <row r="432">
      <c r="A432" s="44"/>
      <c r="B432" s="44"/>
      <c r="C432" s="38" t="s">
        <v>18984</v>
      </c>
      <c r="D432" s="38" t="s">
        <v>18983</v>
      </c>
      <c r="E432" s="44"/>
      <c r="F432" s="38" t="s">
        <v>20384</v>
      </c>
      <c r="G432" s="38" t="s">
        <v>20385</v>
      </c>
    </row>
    <row r="433">
      <c r="A433" s="38" t="s">
        <v>20361</v>
      </c>
      <c r="B433" s="44"/>
      <c r="C433" s="94" t="s">
        <v>18966</v>
      </c>
      <c r="D433" s="94" t="s">
        <v>18967</v>
      </c>
      <c r="E433" s="38">
        <v>1420.0</v>
      </c>
      <c r="F433" s="38" t="s">
        <v>20386</v>
      </c>
      <c r="G433" s="38" t="s">
        <v>20387</v>
      </c>
      <c r="H433" s="5"/>
      <c r="I433" s="8"/>
      <c r="J433" s="8"/>
    </row>
    <row r="434">
      <c r="A434" s="38" t="s">
        <v>20361</v>
      </c>
      <c r="B434" s="44"/>
      <c r="C434" s="94" t="s">
        <v>20388</v>
      </c>
      <c r="D434" s="94" t="s">
        <v>20389</v>
      </c>
      <c r="E434" s="38">
        <v>430.0</v>
      </c>
      <c r="F434" s="38" t="s">
        <v>20390</v>
      </c>
      <c r="G434" s="94" t="s">
        <v>20391</v>
      </c>
    </row>
    <row r="435">
      <c r="A435" s="38" t="s">
        <v>20361</v>
      </c>
      <c r="B435" s="44"/>
      <c r="C435" s="38" t="s">
        <v>20392</v>
      </c>
      <c r="D435" s="38" t="s">
        <v>4179</v>
      </c>
      <c r="E435" s="44"/>
      <c r="F435" s="38" t="s">
        <v>20367</v>
      </c>
      <c r="G435" s="44"/>
    </row>
    <row r="436">
      <c r="A436" s="38" t="s">
        <v>20393</v>
      </c>
      <c r="B436" s="44"/>
      <c r="C436" s="38" t="s">
        <v>20394</v>
      </c>
      <c r="D436" s="38" t="s">
        <v>20395</v>
      </c>
      <c r="E436" s="38">
        <v>50.0</v>
      </c>
      <c r="F436" s="44"/>
      <c r="G436" s="38" t="s">
        <v>20396</v>
      </c>
    </row>
    <row r="437">
      <c r="A437" s="38" t="s">
        <v>20393</v>
      </c>
      <c r="B437" s="44"/>
      <c r="C437" s="38" t="s">
        <v>17713</v>
      </c>
      <c r="D437" s="94" t="s">
        <v>18446</v>
      </c>
      <c r="E437" s="44"/>
      <c r="F437" s="38" t="s">
        <v>20397</v>
      </c>
      <c r="G437" s="38" t="s">
        <v>20398</v>
      </c>
    </row>
    <row r="438">
      <c r="A438" s="38" t="s">
        <v>20393</v>
      </c>
      <c r="B438" s="44"/>
      <c r="C438" s="44"/>
      <c r="D438" s="44"/>
      <c r="E438" s="38">
        <v>40.0</v>
      </c>
      <c r="F438" s="38" t="s">
        <v>20399</v>
      </c>
      <c r="G438" s="44"/>
    </row>
    <row r="439">
      <c r="A439" s="38" t="s">
        <v>20393</v>
      </c>
      <c r="B439" s="44"/>
      <c r="C439" s="94" t="s">
        <v>17819</v>
      </c>
      <c r="D439" s="94" t="s">
        <v>20400</v>
      </c>
      <c r="E439" s="44"/>
      <c r="F439" s="38" t="s">
        <v>20401</v>
      </c>
      <c r="G439" s="94" t="s">
        <v>19081</v>
      </c>
    </row>
    <row r="440">
      <c r="A440" s="38" t="s">
        <v>20393</v>
      </c>
      <c r="B440" s="44"/>
      <c r="C440" s="94" t="s">
        <v>20402</v>
      </c>
      <c r="D440" s="94" t="s">
        <v>20403</v>
      </c>
      <c r="E440" s="38">
        <v>540.0</v>
      </c>
      <c r="F440" s="38" t="s">
        <v>20404</v>
      </c>
      <c r="G440" s="94" t="s">
        <v>20405</v>
      </c>
    </row>
    <row r="441">
      <c r="A441" s="38" t="s">
        <v>20393</v>
      </c>
      <c r="B441" s="44"/>
      <c r="C441" s="38" t="s">
        <v>20406</v>
      </c>
      <c r="D441" s="47" t="s">
        <v>18519</v>
      </c>
      <c r="E441" s="38">
        <v>80.0</v>
      </c>
      <c r="F441" s="38" t="s">
        <v>20407</v>
      </c>
      <c r="G441" s="47" t="s">
        <v>7306</v>
      </c>
    </row>
    <row r="442">
      <c r="A442" s="38" t="s">
        <v>20393</v>
      </c>
      <c r="B442" s="44"/>
      <c r="C442" s="44"/>
      <c r="D442" s="44"/>
      <c r="E442" s="38">
        <v>300.0</v>
      </c>
      <c r="F442" s="38" t="s">
        <v>20408</v>
      </c>
      <c r="G442" s="38" t="s">
        <v>20409</v>
      </c>
    </row>
    <row r="443">
      <c r="A443" s="38" t="s">
        <v>20393</v>
      </c>
      <c r="B443" s="44"/>
      <c r="C443" s="94" t="s">
        <v>20410</v>
      </c>
      <c r="D443" s="94" t="s">
        <v>20411</v>
      </c>
      <c r="E443" s="38">
        <v>354.0</v>
      </c>
      <c r="F443" s="38" t="s">
        <v>20412</v>
      </c>
      <c r="G443" s="94" t="s">
        <v>20391</v>
      </c>
    </row>
    <row r="444">
      <c r="A444" s="44"/>
      <c r="B444" s="44"/>
      <c r="C444" s="44"/>
      <c r="D444" s="44"/>
      <c r="E444" s="38">
        <v>-700.0</v>
      </c>
      <c r="F444" s="38" t="s">
        <v>20413</v>
      </c>
      <c r="G444" s="44"/>
    </row>
    <row r="445">
      <c r="A445" s="141">
        <v>45782.0</v>
      </c>
      <c r="B445" s="44"/>
      <c r="C445" s="94" t="s">
        <v>20414</v>
      </c>
      <c r="D445" s="38" t="s">
        <v>18071</v>
      </c>
      <c r="E445" s="44"/>
      <c r="F445" s="38" t="s">
        <v>20336</v>
      </c>
      <c r="G445" s="94" t="s">
        <v>20415</v>
      </c>
    </row>
    <row r="446">
      <c r="A446" s="141">
        <v>45782.0</v>
      </c>
      <c r="B446" s="44"/>
      <c r="C446" s="94" t="s">
        <v>20416</v>
      </c>
      <c r="D446" s="94" t="s">
        <v>20417</v>
      </c>
      <c r="E446" s="38">
        <v>60.0</v>
      </c>
      <c r="F446" s="38" t="s">
        <v>20418</v>
      </c>
      <c r="G446" s="94" t="s">
        <v>20419</v>
      </c>
    </row>
    <row r="447">
      <c r="A447" s="141">
        <v>45782.0</v>
      </c>
      <c r="B447" s="44"/>
      <c r="C447" s="38" t="s">
        <v>20420</v>
      </c>
      <c r="D447" s="94" t="s">
        <v>19155</v>
      </c>
      <c r="E447" s="44"/>
      <c r="F447" s="38" t="s">
        <v>20241</v>
      </c>
      <c r="G447" s="94" t="s">
        <v>19156</v>
      </c>
    </row>
    <row r="448">
      <c r="A448" s="141">
        <v>45782.0</v>
      </c>
      <c r="B448" s="44"/>
      <c r="C448" s="94" t="s">
        <v>17816</v>
      </c>
      <c r="D448" s="94" t="s">
        <v>20421</v>
      </c>
      <c r="E448" s="38">
        <v>40.0</v>
      </c>
      <c r="F448" s="38" t="s">
        <v>20330</v>
      </c>
      <c r="G448" s="94" t="s">
        <v>20422</v>
      </c>
    </row>
    <row r="449">
      <c r="A449" s="141">
        <v>45782.0</v>
      </c>
      <c r="B449" s="44"/>
      <c r="C449" s="94" t="s">
        <v>17685</v>
      </c>
      <c r="D449" s="94" t="s">
        <v>20423</v>
      </c>
      <c r="E449" s="44"/>
      <c r="F449" s="38" t="s">
        <v>3643</v>
      </c>
      <c r="G449" s="94" t="s">
        <v>20424</v>
      </c>
    </row>
    <row r="450">
      <c r="A450" s="141">
        <v>45782.0</v>
      </c>
      <c r="B450" s="44"/>
      <c r="C450" s="38" t="s">
        <v>17713</v>
      </c>
      <c r="D450" s="94" t="s">
        <v>20425</v>
      </c>
      <c r="E450" s="44"/>
      <c r="F450" s="38" t="s">
        <v>20330</v>
      </c>
      <c r="G450" s="94" t="s">
        <v>20426</v>
      </c>
    </row>
    <row r="451">
      <c r="A451" s="141">
        <v>45782.0</v>
      </c>
      <c r="B451" s="44"/>
      <c r="C451" s="94" t="s">
        <v>20313</v>
      </c>
      <c r="D451" s="94" t="s">
        <v>19191</v>
      </c>
      <c r="E451" s="44"/>
      <c r="F451" s="38" t="s">
        <v>20427</v>
      </c>
      <c r="G451" s="94" t="s">
        <v>20428</v>
      </c>
      <c r="H451" s="44"/>
    </row>
    <row r="452">
      <c r="A452" s="141">
        <v>45782.0</v>
      </c>
      <c r="B452" s="44"/>
      <c r="C452" s="94" t="s">
        <v>19730</v>
      </c>
      <c r="D452" s="94" t="s">
        <v>19260</v>
      </c>
      <c r="E452" s="38">
        <v>100.0</v>
      </c>
      <c r="F452" s="38" t="s">
        <v>20429</v>
      </c>
      <c r="G452" s="94" t="s">
        <v>19555</v>
      </c>
    </row>
    <row r="453">
      <c r="A453" s="141">
        <v>45782.0</v>
      </c>
      <c r="B453" s="44"/>
      <c r="C453" s="38" t="s">
        <v>3175</v>
      </c>
      <c r="D453" s="94" t="s">
        <v>20430</v>
      </c>
      <c r="E453" s="44"/>
      <c r="F453" s="38" t="s">
        <v>20431</v>
      </c>
      <c r="G453" s="94" t="s">
        <v>19378</v>
      </c>
    </row>
    <row r="454">
      <c r="A454" s="141">
        <v>45813.0</v>
      </c>
      <c r="B454" s="44"/>
      <c r="C454" s="38" t="s">
        <v>19622</v>
      </c>
      <c r="D454" s="94" t="s">
        <v>19612</v>
      </c>
      <c r="E454" s="38">
        <v>80.0</v>
      </c>
      <c r="F454" s="38" t="s">
        <v>20432</v>
      </c>
      <c r="G454" s="94" t="s">
        <v>20433</v>
      </c>
    </row>
    <row r="455">
      <c r="A455" s="141">
        <v>45813.0</v>
      </c>
      <c r="B455" s="44"/>
      <c r="C455" s="38" t="s">
        <v>20434</v>
      </c>
      <c r="D455" s="44"/>
      <c r="E455" s="38">
        <v>30.0</v>
      </c>
      <c r="F455" s="38" t="s">
        <v>5885</v>
      </c>
      <c r="G455" s="38" t="s">
        <v>20435</v>
      </c>
    </row>
    <row r="456">
      <c r="A456" s="141">
        <v>45813.0</v>
      </c>
      <c r="B456" s="44"/>
      <c r="C456" s="38" t="s">
        <v>19704</v>
      </c>
      <c r="D456" s="94" t="s">
        <v>20436</v>
      </c>
      <c r="E456" s="38">
        <v>50.0</v>
      </c>
      <c r="F456" s="38" t="s">
        <v>13622</v>
      </c>
      <c r="G456" s="94" t="s">
        <v>20437</v>
      </c>
    </row>
    <row r="457">
      <c r="A457" s="141">
        <v>45843.0</v>
      </c>
      <c r="B457" s="44"/>
      <c r="C457" s="38" t="s">
        <v>20438</v>
      </c>
      <c r="D457" s="38" t="s">
        <v>20439</v>
      </c>
      <c r="E457" s="44"/>
      <c r="F457" s="38" t="s">
        <v>20241</v>
      </c>
      <c r="G457" s="94" t="s">
        <v>1056</v>
      </c>
    </row>
    <row r="458">
      <c r="A458" s="141">
        <v>45843.0</v>
      </c>
      <c r="B458" s="44"/>
      <c r="C458" s="38" t="s">
        <v>20271</v>
      </c>
      <c r="D458" s="94" t="s">
        <v>20440</v>
      </c>
      <c r="E458" s="38">
        <v>90.0</v>
      </c>
      <c r="F458" s="38" t="s">
        <v>20241</v>
      </c>
      <c r="G458" s="94" t="s">
        <v>20441</v>
      </c>
    </row>
    <row r="459">
      <c r="A459" s="141">
        <v>45843.0</v>
      </c>
      <c r="B459" s="44"/>
      <c r="C459" s="44"/>
      <c r="D459" s="44"/>
      <c r="E459" s="38">
        <v>-3600.0</v>
      </c>
      <c r="F459" s="38" t="s">
        <v>19729</v>
      </c>
      <c r="G459" s="44"/>
    </row>
    <row r="460">
      <c r="A460" s="141">
        <v>45843.0</v>
      </c>
      <c r="B460" s="44"/>
      <c r="C460" s="94" t="s">
        <v>19990</v>
      </c>
      <c r="D460" s="94" t="s">
        <v>17804</v>
      </c>
      <c r="E460" s="44"/>
      <c r="F460" s="38" t="s">
        <v>20241</v>
      </c>
      <c r="G460" s="94" t="s">
        <v>20442</v>
      </c>
    </row>
    <row r="461">
      <c r="A461" s="141">
        <v>45843.0</v>
      </c>
      <c r="B461" s="44"/>
      <c r="C461" s="94" t="s">
        <v>20182</v>
      </c>
      <c r="D461" s="94" t="s">
        <v>13226</v>
      </c>
      <c r="E461" s="44"/>
      <c r="F461" s="38" t="s">
        <v>20443</v>
      </c>
      <c r="G461" s="94" t="s">
        <v>20444</v>
      </c>
    </row>
    <row r="462">
      <c r="A462" s="141">
        <v>45843.0</v>
      </c>
      <c r="B462" s="44"/>
      <c r="C462" s="94" t="s">
        <v>19661</v>
      </c>
      <c r="D462" s="38" t="s">
        <v>20445</v>
      </c>
      <c r="E462" s="44"/>
      <c r="F462" s="38" t="s">
        <v>20446</v>
      </c>
      <c r="G462" s="94" t="s">
        <v>20442</v>
      </c>
    </row>
    <row r="463">
      <c r="A463" s="141">
        <v>45843.0</v>
      </c>
      <c r="B463" s="44"/>
      <c r="C463" s="38" t="s">
        <v>20394</v>
      </c>
      <c r="D463" s="38" t="s">
        <v>20447</v>
      </c>
      <c r="E463" s="44"/>
      <c r="F463" s="38" t="s">
        <v>3643</v>
      </c>
      <c r="G463" s="44"/>
    </row>
    <row r="464">
      <c r="A464" s="141">
        <v>45843.0</v>
      </c>
      <c r="B464" s="44"/>
      <c r="C464" s="94" t="s">
        <v>20448</v>
      </c>
      <c r="D464" s="94" t="s">
        <v>18487</v>
      </c>
      <c r="E464" s="44"/>
      <c r="F464" s="38" t="s">
        <v>20241</v>
      </c>
      <c r="G464" s="94" t="s">
        <v>18641</v>
      </c>
    </row>
    <row r="465">
      <c r="A465" s="141">
        <v>45843.0</v>
      </c>
      <c r="B465" s="44"/>
      <c r="C465" s="44"/>
      <c r="D465" s="94" t="s">
        <v>20449</v>
      </c>
      <c r="E465" s="44"/>
      <c r="F465" s="44"/>
      <c r="G465" s="94" t="s">
        <v>20450</v>
      </c>
    </row>
    <row r="466">
      <c r="A466" s="141">
        <v>45874.0</v>
      </c>
      <c r="B466" s="44"/>
      <c r="C466" s="38" t="s">
        <v>19752</v>
      </c>
      <c r="D466" s="94" t="s">
        <v>20451</v>
      </c>
      <c r="E466" s="44"/>
      <c r="F466" s="38" t="s">
        <v>20452</v>
      </c>
      <c r="G466" s="94" t="s">
        <v>20453</v>
      </c>
    </row>
    <row r="467">
      <c r="A467" s="141">
        <v>45874.0</v>
      </c>
      <c r="B467" s="44"/>
      <c r="C467" s="38" t="s">
        <v>20454</v>
      </c>
      <c r="D467" s="38" t="s">
        <v>19789</v>
      </c>
      <c r="E467" s="44"/>
      <c r="F467" s="38" t="s">
        <v>20455</v>
      </c>
      <c r="G467" s="743" t="s">
        <v>1017</v>
      </c>
    </row>
    <row r="468">
      <c r="A468" s="141">
        <v>45874.0</v>
      </c>
      <c r="B468" s="44"/>
      <c r="C468" s="94" t="s">
        <v>20456</v>
      </c>
      <c r="D468" s="94" t="s">
        <v>19412</v>
      </c>
      <c r="E468" s="44"/>
      <c r="F468" s="38" t="s">
        <v>20457</v>
      </c>
      <c r="G468" s="94" t="s">
        <v>20458</v>
      </c>
    </row>
    <row r="469">
      <c r="A469" s="141">
        <v>45874.0</v>
      </c>
      <c r="B469" s="44"/>
      <c r="C469" s="94" t="s">
        <v>19990</v>
      </c>
      <c r="D469" s="94" t="s">
        <v>20459</v>
      </c>
      <c r="E469" s="44"/>
      <c r="F469" s="38" t="s">
        <v>20460</v>
      </c>
      <c r="G469" s="94" t="s">
        <v>2641</v>
      </c>
    </row>
    <row r="470">
      <c r="A470" s="141">
        <v>45874.0</v>
      </c>
      <c r="B470" s="44"/>
      <c r="C470" s="94" t="s">
        <v>20461</v>
      </c>
      <c r="D470" s="94" t="s">
        <v>19267</v>
      </c>
      <c r="E470" s="44"/>
      <c r="F470" s="38" t="s">
        <v>20241</v>
      </c>
      <c r="G470" s="94" t="s">
        <v>20462</v>
      </c>
    </row>
    <row r="471">
      <c r="A471" s="141">
        <v>45874.0</v>
      </c>
      <c r="B471" s="44"/>
      <c r="C471" s="44"/>
      <c r="D471" s="94" t="s">
        <v>20463</v>
      </c>
      <c r="E471" s="44"/>
      <c r="F471" s="38" t="s">
        <v>20464</v>
      </c>
      <c r="G471" s="94" t="s">
        <v>20465</v>
      </c>
    </row>
    <row r="472">
      <c r="A472" s="141">
        <v>45874.0</v>
      </c>
      <c r="B472" s="44"/>
      <c r="C472" s="38" t="s">
        <v>19912</v>
      </c>
      <c r="D472" s="38" t="s">
        <v>20466</v>
      </c>
      <c r="E472" s="44"/>
      <c r="F472" s="38" t="s">
        <v>20467</v>
      </c>
      <c r="G472" s="743" t="s">
        <v>1017</v>
      </c>
    </row>
    <row r="473">
      <c r="A473" s="141">
        <v>45905.0</v>
      </c>
      <c r="B473" s="44"/>
      <c r="C473" s="38" t="s">
        <v>20468</v>
      </c>
      <c r="D473" s="38" t="s">
        <v>17714</v>
      </c>
      <c r="E473" s="44"/>
      <c r="F473" s="38" t="s">
        <v>20469</v>
      </c>
      <c r="G473" s="38" t="s">
        <v>20470</v>
      </c>
    </row>
    <row r="474">
      <c r="A474" s="141">
        <v>45905.0</v>
      </c>
      <c r="B474" s="44"/>
      <c r="C474" s="38" t="s">
        <v>19661</v>
      </c>
      <c r="D474" s="94" t="s">
        <v>20471</v>
      </c>
      <c r="E474" s="44"/>
      <c r="F474" s="38" t="s">
        <v>3643</v>
      </c>
      <c r="G474" s="94" t="s">
        <v>20472</v>
      </c>
    </row>
    <row r="475">
      <c r="A475" s="141">
        <v>45905.0</v>
      </c>
      <c r="B475" s="44"/>
      <c r="C475" s="38" t="s">
        <v>20473</v>
      </c>
      <c r="D475" s="38" t="s">
        <v>19419</v>
      </c>
      <c r="E475" s="44"/>
      <c r="F475" s="38" t="s">
        <v>20474</v>
      </c>
      <c r="G475" s="38" t="s">
        <v>20475</v>
      </c>
    </row>
    <row r="476">
      <c r="A476" s="141">
        <v>45905.0</v>
      </c>
      <c r="B476" s="44"/>
      <c r="C476" s="38" t="s">
        <v>20476</v>
      </c>
      <c r="D476" s="44"/>
      <c r="E476" s="44"/>
      <c r="F476" s="38" t="s">
        <v>20477</v>
      </c>
      <c r="G476" s="94" t="s">
        <v>7028</v>
      </c>
    </row>
    <row r="477">
      <c r="A477" s="141">
        <v>45905.0</v>
      </c>
      <c r="B477" s="44"/>
      <c r="C477" s="38" t="s">
        <v>20478</v>
      </c>
      <c r="D477" s="44"/>
      <c r="E477" s="44"/>
      <c r="F477" s="38" t="s">
        <v>20479</v>
      </c>
      <c r="G477" s="94" t="s">
        <v>19979</v>
      </c>
    </row>
    <row r="478">
      <c r="A478" s="141">
        <v>45905.0</v>
      </c>
      <c r="B478" s="44"/>
      <c r="C478" s="38" t="s">
        <v>20394</v>
      </c>
      <c r="D478" s="38" t="s">
        <v>20480</v>
      </c>
      <c r="E478" s="44"/>
      <c r="F478" s="38" t="s">
        <v>20481</v>
      </c>
      <c r="G478" s="38" t="s">
        <v>20482</v>
      </c>
    </row>
    <row r="479">
      <c r="A479" s="141">
        <v>45905.0</v>
      </c>
      <c r="B479" s="44"/>
      <c r="C479" s="38" t="s">
        <v>18492</v>
      </c>
      <c r="D479" s="94" t="s">
        <v>20483</v>
      </c>
      <c r="E479" s="44"/>
      <c r="F479" s="38" t="s">
        <v>20484</v>
      </c>
      <c r="G479" s="38" t="s">
        <v>20485</v>
      </c>
    </row>
    <row r="480">
      <c r="A480" s="141">
        <v>45905.0</v>
      </c>
      <c r="B480" s="44"/>
      <c r="C480" s="38" t="s">
        <v>20486</v>
      </c>
      <c r="D480" s="38" t="s">
        <v>19532</v>
      </c>
      <c r="E480" s="38">
        <v>110.0</v>
      </c>
      <c r="F480" s="38" t="s">
        <v>20487</v>
      </c>
      <c r="G480" s="94" t="s">
        <v>19286</v>
      </c>
    </row>
    <row r="481">
      <c r="A481" s="141">
        <v>45996.0</v>
      </c>
      <c r="B481" s="44"/>
      <c r="C481" s="38" t="s">
        <v>20488</v>
      </c>
      <c r="D481" s="94" t="s">
        <v>19248</v>
      </c>
      <c r="E481" s="44"/>
      <c r="F481" s="38" t="s">
        <v>20489</v>
      </c>
      <c r="G481" s="38" t="s">
        <v>6344</v>
      </c>
    </row>
    <row r="482">
      <c r="A482" s="141">
        <v>45996.0</v>
      </c>
      <c r="B482" s="44"/>
      <c r="C482" s="38" t="s">
        <v>18983</v>
      </c>
      <c r="D482" s="38" t="s">
        <v>18984</v>
      </c>
      <c r="E482" s="38">
        <v>60.0</v>
      </c>
      <c r="F482" s="38" t="s">
        <v>20490</v>
      </c>
      <c r="G482" s="47" t="s">
        <v>18985</v>
      </c>
    </row>
    <row r="483">
      <c r="A483" s="141">
        <v>45996.0</v>
      </c>
      <c r="B483" s="44"/>
      <c r="C483" s="38" t="s">
        <v>1889</v>
      </c>
      <c r="D483" s="38" t="s">
        <v>20052</v>
      </c>
      <c r="E483" s="44"/>
      <c r="F483" s="38" t="s">
        <v>20491</v>
      </c>
      <c r="G483" s="38" t="s">
        <v>20055</v>
      </c>
    </row>
    <row r="484">
      <c r="A484" s="130"/>
      <c r="B484" s="130"/>
      <c r="C484" s="130"/>
      <c r="D484" s="130"/>
      <c r="E484" s="131">
        <v>-200.0</v>
      </c>
      <c r="F484" s="131" t="s">
        <v>19644</v>
      </c>
      <c r="G484" s="130"/>
    </row>
    <row r="485">
      <c r="A485" s="38" t="s">
        <v>20492</v>
      </c>
      <c r="B485" s="44"/>
      <c r="C485" s="38" t="s">
        <v>20493</v>
      </c>
      <c r="D485" s="38" t="s">
        <v>20494</v>
      </c>
      <c r="E485" s="38">
        <v>15.0</v>
      </c>
      <c r="F485" s="38" t="s">
        <v>1442</v>
      </c>
      <c r="G485" s="44"/>
    </row>
    <row r="486">
      <c r="A486" s="38" t="s">
        <v>20492</v>
      </c>
      <c r="B486" s="44"/>
      <c r="C486" s="38" t="s">
        <v>20495</v>
      </c>
      <c r="D486" s="38" t="s">
        <v>20496</v>
      </c>
      <c r="E486" s="44"/>
      <c r="F486" s="38" t="s">
        <v>20497</v>
      </c>
      <c r="G486" s="38" t="s">
        <v>20498</v>
      </c>
    </row>
    <row r="487">
      <c r="A487" s="38" t="s">
        <v>20492</v>
      </c>
      <c r="B487" s="44"/>
      <c r="C487" s="94" t="s">
        <v>20499</v>
      </c>
      <c r="D487" s="94" t="s">
        <v>20500</v>
      </c>
      <c r="E487" s="38">
        <v>90.0</v>
      </c>
      <c r="F487" s="38" t="s">
        <v>20241</v>
      </c>
      <c r="G487" s="94" t="s">
        <v>20501</v>
      </c>
    </row>
    <row r="488">
      <c r="A488" s="38" t="s">
        <v>20492</v>
      </c>
      <c r="B488" s="44"/>
      <c r="C488" s="38" t="s">
        <v>20502</v>
      </c>
      <c r="D488" s="38" t="s">
        <v>17880</v>
      </c>
      <c r="E488" s="44"/>
      <c r="F488" s="38" t="s">
        <v>20503</v>
      </c>
      <c r="G488" s="38" t="s">
        <v>19914</v>
      </c>
    </row>
    <row r="489">
      <c r="A489" s="38" t="s">
        <v>20492</v>
      </c>
      <c r="B489" s="44"/>
      <c r="C489" s="38" t="s">
        <v>3177</v>
      </c>
      <c r="D489" s="38" t="s">
        <v>20504</v>
      </c>
      <c r="E489" s="38">
        <v>70.0</v>
      </c>
      <c r="F489" s="38" t="s">
        <v>20505</v>
      </c>
      <c r="G489" s="38" t="s">
        <v>20506</v>
      </c>
    </row>
    <row r="490">
      <c r="A490" s="38" t="s">
        <v>20492</v>
      </c>
      <c r="B490" s="44"/>
      <c r="C490" s="94" t="s">
        <v>20507</v>
      </c>
      <c r="D490" s="304" t="s">
        <v>20508</v>
      </c>
      <c r="E490" s="38">
        <v>90.0</v>
      </c>
      <c r="F490" s="38" t="s">
        <v>12473</v>
      </c>
      <c r="G490" s="94" t="s">
        <v>20509</v>
      </c>
    </row>
    <row r="491">
      <c r="A491" s="38" t="s">
        <v>20510</v>
      </c>
      <c r="B491" s="44"/>
      <c r="C491" s="38" t="s">
        <v>20511</v>
      </c>
      <c r="D491" s="38" t="s">
        <v>20512</v>
      </c>
      <c r="E491" s="38">
        <v>30.0</v>
      </c>
      <c r="F491" s="38" t="s">
        <v>5885</v>
      </c>
      <c r="G491" s="44"/>
    </row>
    <row r="492">
      <c r="A492" s="38" t="s">
        <v>20510</v>
      </c>
      <c r="B492" s="44"/>
      <c r="C492" s="38" t="s">
        <v>20513</v>
      </c>
      <c r="D492" s="38" t="s">
        <v>19126</v>
      </c>
      <c r="E492" s="44"/>
      <c r="F492" s="38" t="s">
        <v>19798</v>
      </c>
      <c r="G492" s="94" t="s">
        <v>3342</v>
      </c>
    </row>
    <row r="493">
      <c r="A493" s="38" t="s">
        <v>20510</v>
      </c>
      <c r="B493" s="44"/>
      <c r="C493" s="94" t="s">
        <v>20514</v>
      </c>
      <c r="D493" s="94" t="s">
        <v>20515</v>
      </c>
      <c r="E493" s="44"/>
      <c r="F493" s="38" t="s">
        <v>20336</v>
      </c>
      <c r="G493" s="94" t="s">
        <v>20516</v>
      </c>
    </row>
    <row r="494">
      <c r="A494" s="38" t="s">
        <v>20517</v>
      </c>
      <c r="B494" s="44"/>
      <c r="C494" s="38" t="s">
        <v>20511</v>
      </c>
      <c r="D494" s="44"/>
      <c r="E494" s="44"/>
      <c r="F494" s="38" t="s">
        <v>20518</v>
      </c>
      <c r="G494" s="743" t="s">
        <v>1017</v>
      </c>
    </row>
    <row r="495">
      <c r="A495" s="38" t="s">
        <v>20517</v>
      </c>
      <c r="B495" s="44"/>
      <c r="C495" s="38" t="s">
        <v>20519</v>
      </c>
      <c r="D495" s="44"/>
      <c r="E495" s="44"/>
      <c r="F495" s="38" t="s">
        <v>20520</v>
      </c>
      <c r="G495" s="44"/>
      <c r="H495" s="38" t="s">
        <v>20521</v>
      </c>
    </row>
    <row r="496">
      <c r="A496" s="38" t="s">
        <v>20517</v>
      </c>
      <c r="B496" s="44"/>
      <c r="C496" s="38" t="s">
        <v>20522</v>
      </c>
      <c r="D496" s="38" t="s">
        <v>20523</v>
      </c>
      <c r="E496" s="44"/>
      <c r="F496" s="38" t="s">
        <v>20524</v>
      </c>
      <c r="G496" s="94" t="s">
        <v>20462</v>
      </c>
    </row>
    <row r="497">
      <c r="A497" s="38" t="s">
        <v>20517</v>
      </c>
      <c r="B497" s="44"/>
      <c r="C497" s="38" t="s">
        <v>20525</v>
      </c>
      <c r="D497" s="94" t="s">
        <v>20526</v>
      </c>
      <c r="E497" s="44"/>
      <c r="F497" s="38" t="s">
        <v>20527</v>
      </c>
      <c r="G497" s="94" t="s">
        <v>20528</v>
      </c>
    </row>
    <row r="498">
      <c r="A498" s="38" t="s">
        <v>20517</v>
      </c>
      <c r="B498" s="44"/>
      <c r="C498" s="38" t="s">
        <v>20529</v>
      </c>
      <c r="D498" s="38" t="s">
        <v>20530</v>
      </c>
      <c r="E498" s="38">
        <v>280.0</v>
      </c>
      <c r="F498" s="38" t="s">
        <v>20531</v>
      </c>
      <c r="G498" s="38" t="s">
        <v>1328</v>
      </c>
    </row>
    <row r="499">
      <c r="A499" s="38" t="s">
        <v>20517</v>
      </c>
      <c r="B499" s="44"/>
      <c r="C499" s="38" t="s">
        <v>20070</v>
      </c>
      <c r="D499" s="94" t="s">
        <v>18491</v>
      </c>
      <c r="E499" s="44"/>
      <c r="F499" s="38" t="s">
        <v>3913</v>
      </c>
      <c r="G499" s="94" t="s">
        <v>18493</v>
      </c>
    </row>
    <row r="500">
      <c r="A500" s="38" t="s">
        <v>20532</v>
      </c>
      <c r="B500" s="44"/>
      <c r="C500" s="38" t="s">
        <v>20263</v>
      </c>
      <c r="D500" s="44"/>
      <c r="E500" s="44"/>
      <c r="F500" s="38" t="s">
        <v>20533</v>
      </c>
      <c r="G500" s="44"/>
    </row>
    <row r="501">
      <c r="A501" s="38" t="s">
        <v>20532</v>
      </c>
      <c r="B501" s="44"/>
      <c r="C501" s="38" t="s">
        <v>20534</v>
      </c>
      <c r="D501" s="38" t="s">
        <v>19051</v>
      </c>
      <c r="E501" s="38">
        <v>120.0</v>
      </c>
      <c r="F501" s="38" t="s">
        <v>20535</v>
      </c>
      <c r="G501" s="38" t="s">
        <v>20536</v>
      </c>
      <c r="H501" s="1" t="s">
        <v>20537</v>
      </c>
    </row>
    <row r="502">
      <c r="A502" s="44"/>
      <c r="B502" s="44"/>
      <c r="C502" s="44"/>
      <c r="D502" s="44"/>
      <c r="E502" s="38">
        <v>-180.0</v>
      </c>
      <c r="F502" s="38" t="s">
        <v>20538</v>
      </c>
      <c r="G502" s="44"/>
    </row>
    <row r="503">
      <c r="A503" s="38" t="s">
        <v>20532</v>
      </c>
      <c r="B503" s="44"/>
      <c r="C503" s="94" t="s">
        <v>20539</v>
      </c>
      <c r="D503" s="94" t="s">
        <v>20540</v>
      </c>
      <c r="E503" s="38">
        <v>50.0</v>
      </c>
      <c r="F503" s="38" t="s">
        <v>20541</v>
      </c>
      <c r="G503" s="94" t="s">
        <v>20542</v>
      </c>
    </row>
    <row r="504">
      <c r="A504" s="38" t="s">
        <v>20532</v>
      </c>
      <c r="B504" s="759">
        <v>0.6666666666666666</v>
      </c>
      <c r="C504" s="38" t="s">
        <v>20543</v>
      </c>
      <c r="D504" s="38" t="s">
        <v>20544</v>
      </c>
      <c r="E504" s="38">
        <v>70.0</v>
      </c>
      <c r="F504" s="38" t="s">
        <v>20545</v>
      </c>
      <c r="G504" s="38" t="s">
        <v>20546</v>
      </c>
      <c r="H504" s="38" t="s">
        <v>20547</v>
      </c>
    </row>
    <row r="505">
      <c r="A505" s="38" t="s">
        <v>20548</v>
      </c>
      <c r="B505" s="44"/>
      <c r="C505" s="38" t="s">
        <v>20549</v>
      </c>
      <c r="D505" s="44"/>
      <c r="E505" s="44"/>
      <c r="F505" s="38" t="s">
        <v>20370</v>
      </c>
      <c r="G505" s="803" t="s">
        <v>20550</v>
      </c>
    </row>
    <row r="506">
      <c r="A506" s="38" t="s">
        <v>20548</v>
      </c>
      <c r="B506" s="759">
        <v>0.4444444444444444</v>
      </c>
      <c r="C506" s="38" t="s">
        <v>19564</v>
      </c>
      <c r="D506" s="38" t="s">
        <v>19051</v>
      </c>
      <c r="E506" s="44"/>
      <c r="F506" s="38" t="s">
        <v>20551</v>
      </c>
      <c r="G506" s="38" t="s">
        <v>20536</v>
      </c>
      <c r="H506" s="38" t="s">
        <v>20552</v>
      </c>
      <c r="I506" s="44"/>
      <c r="J506" s="44"/>
    </row>
    <row r="507">
      <c r="A507" s="38" t="s">
        <v>20548</v>
      </c>
      <c r="B507" s="44"/>
      <c r="C507" s="38" t="s">
        <v>20553</v>
      </c>
      <c r="D507" s="38" t="s">
        <v>20109</v>
      </c>
      <c r="E507" s="44"/>
      <c r="F507" s="38" t="s">
        <v>20554</v>
      </c>
      <c r="G507" s="94" t="s">
        <v>20555</v>
      </c>
      <c r="H507" s="38" t="s">
        <v>20556</v>
      </c>
      <c r="I507" s="44"/>
      <c r="J507" s="44"/>
    </row>
    <row r="508">
      <c r="A508" s="38" t="s">
        <v>20548</v>
      </c>
      <c r="B508" s="44"/>
      <c r="C508" s="38" t="s">
        <v>20557</v>
      </c>
      <c r="D508" s="44"/>
      <c r="E508" s="44"/>
      <c r="F508" s="38" t="s">
        <v>20558</v>
      </c>
      <c r="G508" s="803" t="s">
        <v>20550</v>
      </c>
    </row>
    <row r="509">
      <c r="A509" s="38" t="s">
        <v>20548</v>
      </c>
      <c r="B509" s="44"/>
      <c r="C509" s="38" t="s">
        <v>19556</v>
      </c>
      <c r="D509" s="94" t="s">
        <v>18388</v>
      </c>
      <c r="E509" s="44"/>
      <c r="F509" s="38" t="s">
        <v>20241</v>
      </c>
      <c r="G509" s="94" t="s">
        <v>20559</v>
      </c>
      <c r="H509" s="44"/>
    </row>
    <row r="510">
      <c r="A510" s="38" t="s">
        <v>20548</v>
      </c>
      <c r="B510" s="759">
        <v>0.5972222222222222</v>
      </c>
      <c r="C510" s="38" t="s">
        <v>3177</v>
      </c>
      <c r="D510" s="38" t="s">
        <v>20560</v>
      </c>
      <c r="E510" s="38">
        <v>40.0</v>
      </c>
      <c r="F510" s="38" t="s">
        <v>20330</v>
      </c>
      <c r="G510" s="743" t="s">
        <v>19531</v>
      </c>
      <c r="H510" s="44"/>
    </row>
    <row r="511">
      <c r="A511" s="38" t="s">
        <v>20548</v>
      </c>
      <c r="B511" s="44"/>
      <c r="C511" s="38" t="s">
        <v>20373</v>
      </c>
      <c r="D511" s="38" t="s">
        <v>18583</v>
      </c>
      <c r="E511" s="44"/>
      <c r="F511" s="38" t="s">
        <v>20561</v>
      </c>
      <c r="G511" s="61" t="s">
        <v>18584</v>
      </c>
      <c r="H511" s="44"/>
    </row>
    <row r="512">
      <c r="A512" s="38" t="s">
        <v>20548</v>
      </c>
      <c r="B512" s="44"/>
      <c r="C512" s="38" t="s">
        <v>19802</v>
      </c>
      <c r="D512" s="94" t="s">
        <v>18516</v>
      </c>
      <c r="E512" s="44"/>
      <c r="F512" s="38" t="s">
        <v>20562</v>
      </c>
      <c r="G512" s="94" t="s">
        <v>20559</v>
      </c>
      <c r="H512" s="44"/>
    </row>
    <row r="513">
      <c r="A513" s="38" t="s">
        <v>20563</v>
      </c>
      <c r="B513" s="44"/>
      <c r="C513" s="38" t="s">
        <v>1889</v>
      </c>
      <c r="D513" s="44"/>
      <c r="E513" s="44"/>
      <c r="F513" s="38" t="s">
        <v>996</v>
      </c>
      <c r="G513" s="44"/>
      <c r="H513" s="44"/>
      <c r="I513" s="44"/>
    </row>
    <row r="514">
      <c r="A514" s="38" t="s">
        <v>20563</v>
      </c>
      <c r="B514" s="44"/>
      <c r="C514" s="38" t="s">
        <v>20564</v>
      </c>
      <c r="D514" s="804" t="s">
        <v>19789</v>
      </c>
      <c r="E514" s="44"/>
      <c r="F514" s="38" t="s">
        <v>20565</v>
      </c>
      <c r="G514" s="46" t="s">
        <v>1017</v>
      </c>
    </row>
    <row r="515">
      <c r="A515" s="38" t="s">
        <v>20566</v>
      </c>
      <c r="B515" s="44"/>
      <c r="C515" s="38" t="s">
        <v>17933</v>
      </c>
      <c r="D515" s="44"/>
      <c r="E515" s="44"/>
      <c r="F515" s="38" t="s">
        <v>20567</v>
      </c>
      <c r="G515" s="38" t="s">
        <v>20568</v>
      </c>
    </row>
    <row r="516">
      <c r="A516" s="38" t="s">
        <v>20566</v>
      </c>
      <c r="B516" s="44"/>
      <c r="C516" s="38" t="s">
        <v>20569</v>
      </c>
      <c r="D516" s="94" t="s">
        <v>20570</v>
      </c>
      <c r="E516" s="44"/>
      <c r="F516" s="38" t="s">
        <v>20571</v>
      </c>
      <c r="G516" s="94" t="s">
        <v>20572</v>
      </c>
      <c r="H516" s="44"/>
    </row>
    <row r="517">
      <c r="A517" s="38" t="s">
        <v>20566</v>
      </c>
      <c r="B517" s="44"/>
      <c r="C517" s="38" t="s">
        <v>20553</v>
      </c>
      <c r="D517" s="44"/>
      <c r="E517" s="44"/>
      <c r="F517" s="38" t="s">
        <v>1377</v>
      </c>
      <c r="G517" s="94" t="s">
        <v>20110</v>
      </c>
    </row>
    <row r="518">
      <c r="A518" s="38" t="s">
        <v>20566</v>
      </c>
      <c r="B518" s="44"/>
      <c r="C518" s="38" t="s">
        <v>1889</v>
      </c>
      <c r="D518" s="38" t="s">
        <v>19789</v>
      </c>
      <c r="E518" s="44"/>
      <c r="F518" s="38" t="s">
        <v>10205</v>
      </c>
      <c r="G518" s="46" t="s">
        <v>1017</v>
      </c>
    </row>
    <row r="519">
      <c r="A519" s="38" t="s">
        <v>20566</v>
      </c>
      <c r="B519" s="44"/>
      <c r="C519" s="94" t="s">
        <v>20573</v>
      </c>
      <c r="D519" s="94" t="s">
        <v>20574</v>
      </c>
      <c r="E519" s="44"/>
      <c r="F519" s="38" t="s">
        <v>3643</v>
      </c>
      <c r="G519" s="94" t="s">
        <v>20575</v>
      </c>
    </row>
    <row r="520">
      <c r="A520" s="38" t="s">
        <v>20566</v>
      </c>
      <c r="B520" s="44"/>
      <c r="C520" s="38" t="s">
        <v>17685</v>
      </c>
      <c r="D520" s="38" t="s">
        <v>20576</v>
      </c>
      <c r="E520" s="38">
        <v>40.0</v>
      </c>
      <c r="F520" s="38" t="s">
        <v>20330</v>
      </c>
      <c r="G520" s="38" t="s">
        <v>20577</v>
      </c>
    </row>
    <row r="521">
      <c r="A521" s="38" t="s">
        <v>20566</v>
      </c>
      <c r="B521" s="44"/>
      <c r="C521" s="38" t="s">
        <v>19906</v>
      </c>
      <c r="D521" s="44"/>
      <c r="E521" s="38">
        <v>40.0</v>
      </c>
      <c r="F521" s="38" t="s">
        <v>20330</v>
      </c>
      <c r="G521" s="44"/>
    </row>
    <row r="522">
      <c r="A522" s="38" t="s">
        <v>20566</v>
      </c>
      <c r="B522" s="44"/>
      <c r="C522" s="44"/>
      <c r="D522" s="44"/>
      <c r="E522" s="44"/>
      <c r="F522" s="38" t="s">
        <v>20578</v>
      </c>
      <c r="G522" s="44"/>
    </row>
    <row r="523">
      <c r="A523" s="38" t="s">
        <v>20566</v>
      </c>
      <c r="B523" s="44"/>
      <c r="C523" s="38" t="s">
        <v>19538</v>
      </c>
      <c r="D523" s="38" t="s">
        <v>20579</v>
      </c>
      <c r="E523" s="44"/>
      <c r="F523" s="38" t="s">
        <v>20580</v>
      </c>
      <c r="G523" s="38" t="s">
        <v>20581</v>
      </c>
      <c r="H523" s="44"/>
    </row>
    <row r="524">
      <c r="A524" s="38" t="s">
        <v>20582</v>
      </c>
      <c r="B524" s="44"/>
      <c r="C524" s="38" t="s">
        <v>3175</v>
      </c>
      <c r="D524" s="44"/>
      <c r="E524" s="38">
        <v>50.0</v>
      </c>
      <c r="F524" s="38" t="s">
        <v>20583</v>
      </c>
      <c r="G524" s="44"/>
      <c r="H524" s="44"/>
    </row>
    <row r="525">
      <c r="A525" s="38" t="s">
        <v>20582</v>
      </c>
      <c r="B525" s="44"/>
      <c r="C525" s="38" t="s">
        <v>20495</v>
      </c>
      <c r="D525" s="38" t="s">
        <v>18685</v>
      </c>
      <c r="E525" s="44"/>
      <c r="F525" s="38" t="s">
        <v>20584</v>
      </c>
      <c r="G525" s="44"/>
      <c r="H525" s="44"/>
    </row>
    <row r="526">
      <c r="A526" s="38" t="s">
        <v>20582</v>
      </c>
      <c r="B526" s="44"/>
      <c r="C526" s="38" t="s">
        <v>1889</v>
      </c>
      <c r="D526" s="38" t="s">
        <v>19789</v>
      </c>
      <c r="E526" s="44"/>
      <c r="F526" s="38" t="s">
        <v>20585</v>
      </c>
      <c r="G526" s="46" t="s">
        <v>1017</v>
      </c>
      <c r="H526" s="44"/>
    </row>
    <row r="527">
      <c r="A527" s="38" t="s">
        <v>20582</v>
      </c>
      <c r="B527" s="44"/>
      <c r="C527" s="38" t="s">
        <v>20373</v>
      </c>
      <c r="D527" s="38" t="s">
        <v>18583</v>
      </c>
      <c r="E527" s="44"/>
      <c r="F527" s="38" t="s">
        <v>20586</v>
      </c>
      <c r="G527" s="61" t="s">
        <v>18584</v>
      </c>
      <c r="H527" s="44"/>
    </row>
    <row r="528">
      <c r="A528" s="38" t="s">
        <v>20587</v>
      </c>
      <c r="B528" s="44"/>
      <c r="C528" s="44"/>
      <c r="D528" s="44"/>
      <c r="E528" s="44"/>
      <c r="F528" s="38" t="s">
        <v>20588</v>
      </c>
      <c r="G528" s="44"/>
      <c r="H528" s="44"/>
    </row>
    <row r="529">
      <c r="A529" s="38" t="s">
        <v>20587</v>
      </c>
      <c r="B529" s="44"/>
      <c r="C529" s="94" t="s">
        <v>19012</v>
      </c>
      <c r="D529" s="94" t="s">
        <v>19013</v>
      </c>
      <c r="E529" s="38">
        <v>740.0</v>
      </c>
      <c r="F529" s="38" t="s">
        <v>20589</v>
      </c>
      <c r="G529" s="94" t="s">
        <v>20275</v>
      </c>
      <c r="H529" s="44"/>
    </row>
    <row r="530">
      <c r="A530" s="38" t="s">
        <v>20587</v>
      </c>
      <c r="B530" s="44"/>
      <c r="C530" s="38" t="s">
        <v>20590</v>
      </c>
      <c r="D530" s="44"/>
      <c r="E530" s="44"/>
      <c r="F530" s="38" t="s">
        <v>20591</v>
      </c>
      <c r="G530" s="38" t="s">
        <v>20592</v>
      </c>
      <c r="H530" s="44"/>
    </row>
    <row r="531">
      <c r="A531" s="38" t="s">
        <v>20587</v>
      </c>
      <c r="B531" s="44"/>
      <c r="C531" s="38" t="s">
        <v>1889</v>
      </c>
      <c r="D531" s="38" t="s">
        <v>19789</v>
      </c>
      <c r="E531" s="44"/>
      <c r="F531" s="38" t="s">
        <v>20593</v>
      </c>
      <c r="G531" s="46" t="s">
        <v>1017</v>
      </c>
      <c r="H531" s="44"/>
    </row>
    <row r="532">
      <c r="A532" s="38" t="s">
        <v>20587</v>
      </c>
      <c r="B532" s="44"/>
      <c r="C532" s="44"/>
      <c r="D532" s="44"/>
      <c r="E532" s="38">
        <v>-20.0</v>
      </c>
      <c r="F532" s="38" t="s">
        <v>20594</v>
      </c>
      <c r="G532" s="44"/>
      <c r="H532" s="44"/>
    </row>
    <row r="533">
      <c r="A533" s="38" t="s">
        <v>20587</v>
      </c>
      <c r="B533" s="44"/>
      <c r="C533" s="38" t="s">
        <v>19944</v>
      </c>
      <c r="D533" s="94" t="s">
        <v>20595</v>
      </c>
      <c r="E533" s="38">
        <v>350.0</v>
      </c>
      <c r="F533" s="38" t="s">
        <v>20596</v>
      </c>
      <c r="G533" s="38" t="s">
        <v>20597</v>
      </c>
      <c r="H533" s="217" t="s">
        <v>20598</v>
      </c>
      <c r="I533" s="44"/>
      <c r="J533" s="1" t="s">
        <v>20599</v>
      </c>
    </row>
    <row r="534">
      <c r="A534" s="38" t="s">
        <v>20587</v>
      </c>
      <c r="B534" s="44"/>
      <c r="C534" s="38" t="s">
        <v>20600</v>
      </c>
      <c r="D534" s="38" t="s">
        <v>20601</v>
      </c>
      <c r="E534" s="38" t="s">
        <v>19309</v>
      </c>
      <c r="F534" s="38" t="s">
        <v>20602</v>
      </c>
      <c r="G534" s="38" t="s">
        <v>20603</v>
      </c>
      <c r="H534" s="44"/>
      <c r="I534" s="801" t="s">
        <v>20604</v>
      </c>
      <c r="J534" s="44"/>
    </row>
    <row r="535">
      <c r="A535" s="38" t="s">
        <v>20587</v>
      </c>
      <c r="B535" s="44"/>
      <c r="C535" s="38" t="s">
        <v>20605</v>
      </c>
      <c r="D535" s="44"/>
      <c r="E535" s="44"/>
      <c r="F535" s="38" t="s">
        <v>5885</v>
      </c>
      <c r="G535" s="38" t="s">
        <v>20606</v>
      </c>
    </row>
    <row r="536">
      <c r="A536" s="38" t="s">
        <v>20587</v>
      </c>
      <c r="B536" s="44"/>
      <c r="C536" s="44"/>
      <c r="D536" s="44"/>
      <c r="E536" s="38" t="s">
        <v>19627</v>
      </c>
      <c r="F536" s="38" t="s">
        <v>20607</v>
      </c>
      <c r="G536" s="38" t="s">
        <v>20608</v>
      </c>
    </row>
    <row r="537">
      <c r="A537" s="38" t="s">
        <v>20609</v>
      </c>
      <c r="B537" s="44"/>
      <c r="C537" s="38" t="s">
        <v>20610</v>
      </c>
      <c r="D537" s="38" t="s">
        <v>17682</v>
      </c>
      <c r="E537" s="44"/>
      <c r="F537" s="38" t="s">
        <v>20457</v>
      </c>
      <c r="G537" s="94" t="s">
        <v>20339</v>
      </c>
    </row>
    <row r="538">
      <c r="A538" s="38" t="s">
        <v>20609</v>
      </c>
      <c r="B538" s="44"/>
      <c r="C538" s="38" t="s">
        <v>19997</v>
      </c>
      <c r="D538" s="38" t="s">
        <v>20611</v>
      </c>
      <c r="E538" s="44"/>
      <c r="F538" s="38" t="s">
        <v>20612</v>
      </c>
      <c r="G538" s="38" t="s">
        <v>1143</v>
      </c>
    </row>
    <row r="539">
      <c r="A539" s="38" t="s">
        <v>20609</v>
      </c>
      <c r="B539" s="44"/>
      <c r="C539" s="38" t="s">
        <v>19556</v>
      </c>
      <c r="D539" s="38" t="s">
        <v>20613</v>
      </c>
      <c r="E539" s="44"/>
      <c r="F539" s="38" t="s">
        <v>20614</v>
      </c>
      <c r="G539" s="38" t="s">
        <v>20615</v>
      </c>
    </row>
    <row r="540">
      <c r="A540" s="38" t="s">
        <v>20616</v>
      </c>
      <c r="B540" s="44"/>
      <c r="C540" s="38" t="s">
        <v>20617</v>
      </c>
      <c r="D540" s="38" t="s">
        <v>20618</v>
      </c>
      <c r="E540" s="44"/>
      <c r="F540" s="38" t="s">
        <v>20241</v>
      </c>
      <c r="G540" s="38" t="s">
        <v>9007</v>
      </c>
    </row>
    <row r="541">
      <c r="A541" s="38" t="s">
        <v>20616</v>
      </c>
      <c r="B541" s="44"/>
      <c r="C541" s="38" t="s">
        <v>17717</v>
      </c>
      <c r="D541" s="44"/>
      <c r="E541" s="44"/>
      <c r="F541" s="38" t="s">
        <v>19851</v>
      </c>
      <c r="G541" s="38" t="s">
        <v>20619</v>
      </c>
    </row>
    <row r="542">
      <c r="A542" s="38" t="s">
        <v>20616</v>
      </c>
      <c r="B542" s="44"/>
      <c r="C542" s="38" t="s">
        <v>1981</v>
      </c>
      <c r="D542" s="94" t="s">
        <v>1982</v>
      </c>
      <c r="E542" s="44"/>
      <c r="F542" s="38" t="s">
        <v>20620</v>
      </c>
      <c r="G542" s="94" t="s">
        <v>1985</v>
      </c>
    </row>
    <row r="543">
      <c r="A543" s="131" t="s">
        <v>20616</v>
      </c>
      <c r="B543" s="130"/>
      <c r="C543" s="131" t="s">
        <v>17806</v>
      </c>
      <c r="D543" s="131" t="s">
        <v>18963</v>
      </c>
      <c r="E543" s="130"/>
      <c r="F543" s="131" t="s">
        <v>20621</v>
      </c>
      <c r="G543" s="131" t="s">
        <v>18964</v>
      </c>
    </row>
    <row r="544">
      <c r="A544" s="38" t="s">
        <v>20616</v>
      </c>
      <c r="B544" s="44"/>
      <c r="C544" s="94" t="s">
        <v>20317</v>
      </c>
      <c r="D544" s="94" t="s">
        <v>20622</v>
      </c>
      <c r="E544" s="38" t="s">
        <v>19309</v>
      </c>
      <c r="F544" s="38" t="s">
        <v>20623</v>
      </c>
      <c r="G544" s="94" t="s">
        <v>18537</v>
      </c>
    </row>
    <row r="545">
      <c r="A545" s="38" t="s">
        <v>20616</v>
      </c>
      <c r="B545" s="44"/>
      <c r="C545" s="38" t="s">
        <v>19411</v>
      </c>
      <c r="D545" s="94" t="s">
        <v>19423</v>
      </c>
      <c r="E545" s="44"/>
      <c r="F545" s="38" t="s">
        <v>20624</v>
      </c>
      <c r="G545" s="94" t="s">
        <v>20625</v>
      </c>
    </row>
    <row r="546">
      <c r="A546" s="38" t="s">
        <v>20616</v>
      </c>
      <c r="B546" s="44"/>
      <c r="C546" s="94" t="s">
        <v>20626</v>
      </c>
      <c r="D546" s="94" t="s">
        <v>20627</v>
      </c>
      <c r="E546" s="38" t="s">
        <v>20628</v>
      </c>
      <c r="F546" s="38" t="s">
        <v>20629</v>
      </c>
      <c r="G546" s="94" t="s">
        <v>20630</v>
      </c>
    </row>
    <row r="547">
      <c r="A547" s="38" t="s">
        <v>20616</v>
      </c>
      <c r="B547" s="44"/>
      <c r="C547" s="38" t="s">
        <v>19846</v>
      </c>
      <c r="D547" s="94" t="s">
        <v>20631</v>
      </c>
      <c r="E547" s="38">
        <v>50.0</v>
      </c>
      <c r="F547" s="38" t="s">
        <v>13622</v>
      </c>
      <c r="G547" s="94" t="s">
        <v>20632</v>
      </c>
    </row>
    <row r="548">
      <c r="A548" s="38" t="s">
        <v>20633</v>
      </c>
      <c r="B548" s="44"/>
      <c r="C548" s="38" t="s">
        <v>18732</v>
      </c>
      <c r="D548" s="38" t="s">
        <v>18571</v>
      </c>
      <c r="E548" s="44"/>
      <c r="F548" s="38" t="s">
        <v>20634</v>
      </c>
      <c r="G548" s="38" t="s">
        <v>20635</v>
      </c>
    </row>
    <row r="549">
      <c r="A549" s="38" t="s">
        <v>20633</v>
      </c>
      <c r="B549" s="44"/>
      <c r="C549" s="38" t="s">
        <v>19901</v>
      </c>
      <c r="D549" s="38" t="s">
        <v>20636</v>
      </c>
      <c r="E549" s="44"/>
      <c r="F549" s="38" t="s">
        <v>20637</v>
      </c>
      <c r="G549" s="44"/>
      <c r="H549" s="44"/>
      <c r="I549" s="44"/>
    </row>
    <row r="550">
      <c r="A550" s="38" t="s">
        <v>20633</v>
      </c>
      <c r="B550" s="44"/>
      <c r="C550" s="38" t="s">
        <v>19765</v>
      </c>
      <c r="D550" s="94" t="s">
        <v>18946</v>
      </c>
      <c r="E550" s="44"/>
      <c r="F550" s="38" t="s">
        <v>20457</v>
      </c>
      <c r="G550" s="38" t="s">
        <v>20638</v>
      </c>
      <c r="H550" s="44"/>
    </row>
    <row r="551">
      <c r="A551" s="38" t="s">
        <v>20633</v>
      </c>
      <c r="B551" s="44"/>
      <c r="C551" s="38" t="s">
        <v>19556</v>
      </c>
      <c r="D551" s="94" t="s">
        <v>18288</v>
      </c>
      <c r="E551" s="44"/>
      <c r="F551" s="38" t="s">
        <v>20639</v>
      </c>
      <c r="G551" s="94" t="s">
        <v>18289</v>
      </c>
    </row>
    <row r="552">
      <c r="A552" s="38" t="s">
        <v>20633</v>
      </c>
      <c r="B552" s="44"/>
      <c r="C552" s="94" t="s">
        <v>20640</v>
      </c>
      <c r="D552" s="94" t="s">
        <v>20641</v>
      </c>
      <c r="E552" s="44"/>
      <c r="F552" s="38" t="s">
        <v>20642</v>
      </c>
      <c r="G552" s="94" t="s">
        <v>18641</v>
      </c>
    </row>
    <row r="553">
      <c r="A553" s="38" t="s">
        <v>20633</v>
      </c>
      <c r="B553" s="44"/>
      <c r="C553" s="38" t="s">
        <v>19556</v>
      </c>
      <c r="D553" s="38" t="s">
        <v>20643</v>
      </c>
      <c r="E553" s="44"/>
      <c r="F553" s="38" t="s">
        <v>20644</v>
      </c>
      <c r="G553" s="94" t="s">
        <v>20645</v>
      </c>
      <c r="H553" s="44"/>
    </row>
    <row r="554">
      <c r="A554" s="38" t="s">
        <v>20633</v>
      </c>
      <c r="B554" s="44"/>
      <c r="C554" s="38" t="s">
        <v>20646</v>
      </c>
      <c r="D554" s="94" t="s">
        <v>18046</v>
      </c>
      <c r="E554" s="44"/>
      <c r="F554" s="38" t="s">
        <v>20367</v>
      </c>
      <c r="G554" s="94" t="s">
        <v>20442</v>
      </c>
    </row>
    <row r="555">
      <c r="A555" s="38" t="s">
        <v>20633</v>
      </c>
      <c r="B555" s="44"/>
      <c r="C555" s="38" t="s">
        <v>20647</v>
      </c>
      <c r="D555" s="38" t="s">
        <v>19789</v>
      </c>
      <c r="E555" s="44"/>
      <c r="F555" s="38" t="s">
        <v>20648</v>
      </c>
      <c r="G555" s="38" t="s">
        <v>20649</v>
      </c>
    </row>
    <row r="556">
      <c r="A556" s="38" t="s">
        <v>20633</v>
      </c>
      <c r="B556" s="44"/>
      <c r="C556" s="38" t="s">
        <v>18732</v>
      </c>
      <c r="D556" s="38" t="s">
        <v>18571</v>
      </c>
      <c r="E556" s="44"/>
      <c r="F556" s="38" t="s">
        <v>896</v>
      </c>
      <c r="G556" s="38" t="s">
        <v>20650</v>
      </c>
    </row>
    <row r="557">
      <c r="A557" s="38" t="s">
        <v>20633</v>
      </c>
      <c r="B557" s="44"/>
      <c r="C557" s="38" t="s">
        <v>19891</v>
      </c>
      <c r="D557" s="44"/>
      <c r="E557" s="44"/>
      <c r="F557" s="38" t="s">
        <v>20651</v>
      </c>
      <c r="G557" s="38" t="s">
        <v>20652</v>
      </c>
    </row>
    <row r="558">
      <c r="A558" s="38" t="s">
        <v>20653</v>
      </c>
      <c r="B558" s="44"/>
      <c r="C558" s="38" t="s">
        <v>20617</v>
      </c>
      <c r="D558" s="94" t="s">
        <v>4318</v>
      </c>
      <c r="E558" s="44"/>
      <c r="F558" s="38" t="s">
        <v>20319</v>
      </c>
      <c r="G558" s="94" t="s">
        <v>18289</v>
      </c>
    </row>
    <row r="559">
      <c r="A559" s="38" t="s">
        <v>20653</v>
      </c>
      <c r="B559" s="44"/>
      <c r="C559" s="94" t="s">
        <v>20573</v>
      </c>
      <c r="D559" s="94" t="s">
        <v>20654</v>
      </c>
      <c r="E559" s="44"/>
      <c r="F559" s="38" t="s">
        <v>20319</v>
      </c>
      <c r="G559" s="94" t="s">
        <v>20442</v>
      </c>
    </row>
    <row r="560">
      <c r="A560" s="38" t="s">
        <v>20653</v>
      </c>
      <c r="B560" s="44"/>
      <c r="C560" s="38" t="s">
        <v>18378</v>
      </c>
      <c r="D560" s="94" t="s">
        <v>20655</v>
      </c>
      <c r="E560" s="44"/>
      <c r="F560" s="38" t="s">
        <v>20367</v>
      </c>
      <c r="G560" s="94" t="s">
        <v>20656</v>
      </c>
    </row>
    <row r="561">
      <c r="A561" s="38" t="s">
        <v>20653</v>
      </c>
      <c r="B561" s="44"/>
      <c r="C561" s="38" t="s">
        <v>20657</v>
      </c>
      <c r="D561" s="94" t="s">
        <v>20658</v>
      </c>
      <c r="E561" s="44"/>
      <c r="F561" s="38" t="s">
        <v>20336</v>
      </c>
      <c r="G561" s="94" t="s">
        <v>18545</v>
      </c>
    </row>
    <row r="562">
      <c r="A562" s="805" t="s">
        <v>20659</v>
      </c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648"/>
      <c r="P562" s="648"/>
      <c r="Q562" s="648"/>
      <c r="R562" s="648"/>
      <c r="S562" s="648"/>
    </row>
    <row r="563">
      <c r="A563" s="806">
        <v>45694.0</v>
      </c>
      <c r="B563" s="44"/>
      <c r="C563" s="38" t="s">
        <v>1657</v>
      </c>
      <c r="D563" s="38" t="s">
        <v>1658</v>
      </c>
      <c r="E563" s="44"/>
      <c r="F563" s="38" t="s">
        <v>20586</v>
      </c>
      <c r="G563" s="94" t="s">
        <v>20660</v>
      </c>
    </row>
    <row r="564">
      <c r="A564" s="806">
        <v>45694.0</v>
      </c>
      <c r="B564" s="44"/>
      <c r="C564" s="38" t="s">
        <v>20661</v>
      </c>
      <c r="D564" s="38" t="s">
        <v>20662</v>
      </c>
      <c r="E564" s="44"/>
      <c r="F564" s="38" t="s">
        <v>20663</v>
      </c>
      <c r="G564" s="44"/>
    </row>
    <row r="565">
      <c r="A565" s="806">
        <v>45694.0</v>
      </c>
      <c r="B565" s="44"/>
      <c r="C565" s="38" t="s">
        <v>20664</v>
      </c>
      <c r="D565" s="94" t="s">
        <v>19423</v>
      </c>
      <c r="E565" s="44"/>
      <c r="F565" s="38" t="s">
        <v>20665</v>
      </c>
      <c r="G565" s="94" t="s">
        <v>20625</v>
      </c>
    </row>
    <row r="566">
      <c r="A566" s="806">
        <v>45694.0</v>
      </c>
      <c r="B566" s="44"/>
      <c r="C566" s="38" t="s">
        <v>20394</v>
      </c>
      <c r="D566" s="44"/>
      <c r="E566" s="38">
        <v>15.0</v>
      </c>
      <c r="F566" s="38" t="s">
        <v>16237</v>
      </c>
      <c r="G566" s="38"/>
    </row>
    <row r="567">
      <c r="A567" s="806">
        <v>45694.0</v>
      </c>
      <c r="B567" s="44"/>
      <c r="C567" s="38" t="s">
        <v>19704</v>
      </c>
      <c r="D567" s="94" t="s">
        <v>20666</v>
      </c>
      <c r="E567" s="44"/>
      <c r="F567" s="38" t="s">
        <v>20667</v>
      </c>
      <c r="G567" s="94" t="s">
        <v>20668</v>
      </c>
    </row>
    <row r="568">
      <c r="A568" s="806">
        <v>45694.0</v>
      </c>
      <c r="B568" s="44"/>
      <c r="C568" s="38" t="s">
        <v>3177</v>
      </c>
      <c r="D568" s="38" t="s">
        <v>20669</v>
      </c>
      <c r="E568" s="44"/>
      <c r="F568" s="38" t="s">
        <v>3913</v>
      </c>
      <c r="G568" s="112" t="s">
        <v>20670</v>
      </c>
      <c r="H568" s="44"/>
    </row>
    <row r="569">
      <c r="A569" s="806">
        <v>45694.0</v>
      </c>
      <c r="B569" s="44"/>
      <c r="C569" s="38" t="s">
        <v>19704</v>
      </c>
      <c r="D569" s="94" t="s">
        <v>19403</v>
      </c>
      <c r="E569" s="44"/>
      <c r="F569" s="38" t="s">
        <v>20671</v>
      </c>
      <c r="G569" s="94" t="s">
        <v>20672</v>
      </c>
    </row>
    <row r="570">
      <c r="A570" s="806">
        <v>45694.0</v>
      </c>
      <c r="B570" s="44"/>
      <c r="C570" s="44"/>
      <c r="D570" s="44"/>
      <c r="E570" s="38">
        <v>80.0</v>
      </c>
      <c r="F570" s="38" t="s">
        <v>20673</v>
      </c>
      <c r="G570" s="44"/>
    </row>
    <row r="571">
      <c r="A571" s="806">
        <v>45694.0</v>
      </c>
      <c r="B571" s="44"/>
      <c r="C571" s="38" t="s">
        <v>20674</v>
      </c>
      <c r="D571" s="38" t="s">
        <v>19775</v>
      </c>
      <c r="E571" s="44"/>
      <c r="F571" s="38" t="s">
        <v>20675</v>
      </c>
      <c r="G571" s="94" t="s">
        <v>20676</v>
      </c>
    </row>
    <row r="572">
      <c r="A572" s="806">
        <v>45722.0</v>
      </c>
      <c r="B572" s="44"/>
      <c r="C572" s="38" t="s">
        <v>18015</v>
      </c>
      <c r="D572" s="44"/>
      <c r="E572" s="44"/>
      <c r="F572" s="38" t="s">
        <v>20677</v>
      </c>
      <c r="G572" s="94" t="s">
        <v>20678</v>
      </c>
    </row>
    <row r="573">
      <c r="A573" s="806">
        <v>45722.0</v>
      </c>
      <c r="B573" s="44"/>
      <c r="C573" s="38" t="s">
        <v>20679</v>
      </c>
      <c r="D573" s="38" t="s">
        <v>20680</v>
      </c>
      <c r="E573" s="44"/>
      <c r="F573" s="38" t="s">
        <v>20681</v>
      </c>
      <c r="G573" s="38" t="s">
        <v>20682</v>
      </c>
    </row>
    <row r="574">
      <c r="A574" s="806">
        <v>45722.0</v>
      </c>
      <c r="B574" s="44"/>
      <c r="C574" s="38" t="s">
        <v>20683</v>
      </c>
      <c r="D574" s="94" t="s">
        <v>20684</v>
      </c>
      <c r="E574" s="44"/>
      <c r="F574" s="38" t="s">
        <v>20685</v>
      </c>
      <c r="G574" s="94" t="s">
        <v>20686</v>
      </c>
    </row>
    <row r="575">
      <c r="A575" s="806">
        <v>45722.0</v>
      </c>
      <c r="B575" s="44"/>
      <c r="C575" s="44"/>
      <c r="D575" s="44"/>
      <c r="E575" s="38">
        <v>-2050.0</v>
      </c>
      <c r="F575" s="38" t="s">
        <v>20687</v>
      </c>
      <c r="G575" s="44"/>
    </row>
    <row r="576">
      <c r="A576" s="806">
        <v>45722.0</v>
      </c>
      <c r="B576" s="759">
        <v>0.5416666666666666</v>
      </c>
      <c r="C576" s="44"/>
      <c r="D576" s="44"/>
      <c r="E576" s="38">
        <v>15.0</v>
      </c>
      <c r="F576" s="38" t="s">
        <v>20688</v>
      </c>
      <c r="G576" s="44"/>
    </row>
    <row r="577">
      <c r="A577" s="806">
        <v>45722.0</v>
      </c>
      <c r="B577" s="44"/>
      <c r="C577" s="38" t="s">
        <v>19772</v>
      </c>
      <c r="D577" s="44"/>
      <c r="E577" s="44"/>
      <c r="F577" s="38" t="s">
        <v>20689</v>
      </c>
      <c r="G577" s="786" t="s">
        <v>20690</v>
      </c>
    </row>
    <row r="578">
      <c r="A578" s="806">
        <v>45722.0</v>
      </c>
      <c r="B578" s="44"/>
      <c r="C578" s="38" t="s">
        <v>20691</v>
      </c>
      <c r="D578" s="38" t="s">
        <v>20692</v>
      </c>
      <c r="E578" s="38">
        <v>60.0</v>
      </c>
      <c r="F578" s="38" t="s">
        <v>20418</v>
      </c>
      <c r="G578" s="94" t="s">
        <v>20693</v>
      </c>
    </row>
    <row r="579">
      <c r="A579" s="806">
        <v>45722.0</v>
      </c>
      <c r="B579" s="44"/>
      <c r="C579" s="94" t="s">
        <v>20694</v>
      </c>
      <c r="D579" s="44"/>
      <c r="E579" s="38">
        <v>50.0</v>
      </c>
      <c r="F579" s="38" t="s">
        <v>20695</v>
      </c>
      <c r="G579" s="44"/>
    </row>
    <row r="580">
      <c r="A580" s="806">
        <v>45722.0</v>
      </c>
      <c r="B580" s="44"/>
      <c r="C580" s="38" t="s">
        <v>20003</v>
      </c>
      <c r="D580" s="94" t="s">
        <v>12218</v>
      </c>
      <c r="E580" s="38">
        <v>960.0</v>
      </c>
      <c r="F580" s="38" t="s">
        <v>20696</v>
      </c>
      <c r="G580" s="94" t="s">
        <v>20166</v>
      </c>
    </row>
    <row r="581">
      <c r="A581" s="806">
        <v>45753.0</v>
      </c>
      <c r="B581" s="44"/>
      <c r="C581" s="38" t="s">
        <v>3177</v>
      </c>
      <c r="D581" s="38" t="s">
        <v>20697</v>
      </c>
      <c r="E581" s="38">
        <v>45.0</v>
      </c>
      <c r="F581" s="38" t="s">
        <v>3913</v>
      </c>
      <c r="G581" s="38" t="s">
        <v>20698</v>
      </c>
      <c r="H581" s="22" t="s">
        <v>20699</v>
      </c>
      <c r="I581" s="24"/>
      <c r="J581" s="24"/>
    </row>
    <row r="582">
      <c r="A582" s="806">
        <v>45753.0</v>
      </c>
      <c r="B582" s="44"/>
      <c r="C582" s="38" t="s">
        <v>20700</v>
      </c>
      <c r="D582" s="38" t="s">
        <v>20701</v>
      </c>
      <c r="E582" s="38">
        <v>60.0</v>
      </c>
      <c r="F582" s="38" t="s">
        <v>20702</v>
      </c>
      <c r="G582" s="38" t="s">
        <v>20703</v>
      </c>
      <c r="H582" s="240" t="s">
        <v>20704</v>
      </c>
      <c r="I582" s="143"/>
      <c r="J582" s="143"/>
      <c r="K582" s="143"/>
      <c r="L582" s="143"/>
      <c r="M582" s="143"/>
      <c r="N582" s="143"/>
      <c r="O582" s="2" t="s">
        <v>20705</v>
      </c>
      <c r="P582" s="465"/>
    </row>
    <row r="583">
      <c r="A583" s="806">
        <v>45753.0</v>
      </c>
      <c r="B583" s="44"/>
      <c r="C583" s="38" t="s">
        <v>20706</v>
      </c>
      <c r="D583" s="38" t="s">
        <v>20707</v>
      </c>
      <c r="E583" s="44"/>
      <c r="F583" s="38" t="s">
        <v>20708</v>
      </c>
      <c r="G583" s="38" t="s">
        <v>20709</v>
      </c>
      <c r="H583" s="44"/>
    </row>
    <row r="584">
      <c r="A584" s="67"/>
      <c r="B584" s="44"/>
      <c r="C584" s="44"/>
      <c r="D584" s="44"/>
      <c r="E584" s="38">
        <v>-1200.0</v>
      </c>
      <c r="F584" s="44"/>
      <c r="G584" s="44"/>
    </row>
    <row r="585">
      <c r="A585" s="67"/>
      <c r="B585" s="44"/>
      <c r="C585" s="44"/>
      <c r="D585" s="44"/>
      <c r="E585" s="38">
        <v>10.0</v>
      </c>
      <c r="F585" s="44"/>
      <c r="G585" s="44"/>
    </row>
    <row r="586">
      <c r="A586" s="806">
        <v>45783.0</v>
      </c>
      <c r="B586" s="44"/>
      <c r="C586" s="38" t="s">
        <v>20014</v>
      </c>
      <c r="D586" s="38" t="s">
        <v>20075</v>
      </c>
      <c r="E586" s="44"/>
      <c r="F586" s="38" t="s">
        <v>20170</v>
      </c>
      <c r="G586" s="94" t="s">
        <v>20078</v>
      </c>
    </row>
    <row r="587">
      <c r="A587" s="806">
        <v>45783.0</v>
      </c>
      <c r="B587" s="44"/>
      <c r="C587" s="38" t="s">
        <v>20513</v>
      </c>
      <c r="D587" s="38" t="s">
        <v>19126</v>
      </c>
      <c r="E587" s="44"/>
      <c r="F587" s="38" t="s">
        <v>20710</v>
      </c>
      <c r="G587" s="94" t="s">
        <v>20711</v>
      </c>
    </row>
    <row r="588">
      <c r="A588" s="806">
        <v>45783.0</v>
      </c>
      <c r="B588" s="44"/>
      <c r="C588" s="38" t="s">
        <v>19733</v>
      </c>
      <c r="D588" s="94" t="s">
        <v>20712</v>
      </c>
      <c r="E588" s="44"/>
      <c r="F588" s="38" t="s">
        <v>20713</v>
      </c>
      <c r="G588" s="94" t="s">
        <v>18768</v>
      </c>
    </row>
    <row r="589">
      <c r="A589" s="806">
        <v>45783.0</v>
      </c>
      <c r="B589" s="44"/>
      <c r="C589" s="38" t="s">
        <v>3175</v>
      </c>
      <c r="D589" s="44"/>
      <c r="E589" s="44"/>
      <c r="F589" s="38" t="s">
        <v>20714</v>
      </c>
      <c r="G589" s="44"/>
    </row>
    <row r="590">
      <c r="A590" s="806">
        <v>45906.0</v>
      </c>
      <c r="B590" s="44"/>
      <c r="C590" s="38" t="s">
        <v>18398</v>
      </c>
      <c r="D590" s="38" t="s">
        <v>18937</v>
      </c>
      <c r="E590" s="44"/>
      <c r="F590" s="38" t="s">
        <v>20715</v>
      </c>
      <c r="G590" s="47" t="s">
        <v>18717</v>
      </c>
    </row>
    <row r="591">
      <c r="A591" s="806">
        <v>45906.0</v>
      </c>
      <c r="B591" s="44"/>
      <c r="C591" s="38" t="s">
        <v>19174</v>
      </c>
      <c r="D591" s="38" t="s">
        <v>19175</v>
      </c>
      <c r="E591" s="44"/>
      <c r="F591" s="38" t="s">
        <v>20367</v>
      </c>
      <c r="G591" s="304" t="s">
        <v>19176</v>
      </c>
    </row>
    <row r="592">
      <c r="A592" s="806">
        <v>45906.0</v>
      </c>
      <c r="B592" s="44"/>
      <c r="C592" s="38" t="s">
        <v>20716</v>
      </c>
      <c r="D592" s="94" t="s">
        <v>19532</v>
      </c>
      <c r="E592" s="44"/>
      <c r="F592" s="38" t="s">
        <v>20717</v>
      </c>
      <c r="G592" s="94" t="s">
        <v>19286</v>
      </c>
    </row>
    <row r="593">
      <c r="A593" s="806">
        <v>45906.0</v>
      </c>
      <c r="B593" s="44"/>
      <c r="C593" s="38" t="s">
        <v>20718</v>
      </c>
      <c r="D593" s="44"/>
      <c r="E593" s="44"/>
      <c r="F593" s="38" t="s">
        <v>20719</v>
      </c>
      <c r="G593" s="38" t="s">
        <v>19865</v>
      </c>
    </row>
    <row r="594">
      <c r="A594" s="806">
        <v>45906.0</v>
      </c>
      <c r="B594" s="44"/>
      <c r="C594" s="38" t="s">
        <v>4349</v>
      </c>
      <c r="D594" s="94" t="s">
        <v>20720</v>
      </c>
      <c r="E594" s="44"/>
      <c r="F594" s="38" t="s">
        <v>20241</v>
      </c>
      <c r="G594" s="94" t="s">
        <v>20721</v>
      </c>
    </row>
    <row r="595">
      <c r="A595" s="806">
        <v>45936.0</v>
      </c>
      <c r="B595" s="44"/>
      <c r="C595" s="38" t="s">
        <v>20722</v>
      </c>
      <c r="D595" s="38" t="s">
        <v>20723</v>
      </c>
      <c r="E595" s="44"/>
      <c r="F595" s="38" t="s">
        <v>20724</v>
      </c>
      <c r="G595" s="38" t="s">
        <v>20725</v>
      </c>
    </row>
    <row r="596">
      <c r="A596" s="806">
        <v>45936.0</v>
      </c>
      <c r="B596" s="44"/>
      <c r="C596" s="94" t="s">
        <v>19990</v>
      </c>
      <c r="D596" s="38" t="s">
        <v>20726</v>
      </c>
      <c r="E596" s="38">
        <v>50.0</v>
      </c>
      <c r="F596" s="38" t="s">
        <v>13622</v>
      </c>
      <c r="G596" s="94" t="s">
        <v>20727</v>
      </c>
    </row>
    <row r="597">
      <c r="A597" s="806">
        <v>45936.0</v>
      </c>
      <c r="B597" s="44"/>
      <c r="C597" s="94" t="s">
        <v>20728</v>
      </c>
      <c r="D597" s="94" t="s">
        <v>18442</v>
      </c>
      <c r="E597" s="44"/>
      <c r="F597" s="38" t="s">
        <v>20729</v>
      </c>
      <c r="G597" s="94" t="s">
        <v>20730</v>
      </c>
    </row>
    <row r="598">
      <c r="A598" s="806">
        <v>45936.0</v>
      </c>
      <c r="B598" s="44"/>
      <c r="C598" s="38" t="s">
        <v>20700</v>
      </c>
      <c r="D598" s="38" t="s">
        <v>20701</v>
      </c>
      <c r="E598" s="38">
        <v>580.0</v>
      </c>
      <c r="F598" s="38" t="s">
        <v>20731</v>
      </c>
      <c r="G598" s="94" t="s">
        <v>20732</v>
      </c>
    </row>
    <row r="599">
      <c r="A599" s="806">
        <v>45936.0</v>
      </c>
      <c r="B599" s="44"/>
      <c r="C599" s="44"/>
      <c r="D599" s="44"/>
      <c r="E599" s="44"/>
      <c r="F599" s="44"/>
      <c r="G599" s="94" t="s">
        <v>20733</v>
      </c>
    </row>
    <row r="600">
      <c r="A600" s="806">
        <v>45936.0</v>
      </c>
      <c r="B600" s="44"/>
      <c r="C600" s="44"/>
      <c r="D600" s="44"/>
      <c r="E600" s="38">
        <v>80.0</v>
      </c>
      <c r="F600" s="94" t="s">
        <v>20734</v>
      </c>
      <c r="G600" s="807">
        <f>+37062060959</f>
        <v>37062060959</v>
      </c>
    </row>
    <row r="601">
      <c r="A601" s="806">
        <v>45967.0</v>
      </c>
      <c r="B601" s="44"/>
      <c r="C601" s="38" t="s">
        <v>20735</v>
      </c>
      <c r="D601" s="44"/>
      <c r="E601" s="44"/>
      <c r="F601" s="38" t="s">
        <v>20736</v>
      </c>
      <c r="G601" s="38" t="s">
        <v>20733</v>
      </c>
    </row>
    <row r="602">
      <c r="A602" s="806">
        <v>45967.0</v>
      </c>
      <c r="B602" s="44"/>
      <c r="C602" s="44"/>
      <c r="D602" s="44"/>
      <c r="E602" s="44"/>
      <c r="F602" s="38" t="s">
        <v>20737</v>
      </c>
      <c r="G602" s="38" t="s">
        <v>20738</v>
      </c>
    </row>
    <row r="603">
      <c r="A603" s="806">
        <v>45967.0</v>
      </c>
      <c r="B603" s="44"/>
      <c r="C603" s="38" t="s">
        <v>20739</v>
      </c>
      <c r="D603" s="44"/>
      <c r="E603" s="44"/>
      <c r="F603" s="38" t="s">
        <v>20740</v>
      </c>
      <c r="G603" s="38" t="s">
        <v>20741</v>
      </c>
    </row>
    <row r="604">
      <c r="A604" s="806">
        <v>45967.0</v>
      </c>
      <c r="B604" s="44"/>
      <c r="C604" s="38" t="s">
        <v>20742</v>
      </c>
      <c r="D604" s="94" t="s">
        <v>19938</v>
      </c>
      <c r="E604" s="44"/>
      <c r="F604" s="38" t="s">
        <v>1462</v>
      </c>
      <c r="G604" s="38" t="s">
        <v>20741</v>
      </c>
    </row>
    <row r="605">
      <c r="A605" s="806">
        <v>45967.0</v>
      </c>
      <c r="B605" s="44"/>
      <c r="C605" s="38" t="s">
        <v>18189</v>
      </c>
      <c r="D605" s="44"/>
      <c r="E605" s="44"/>
      <c r="F605" s="38" t="s">
        <v>20743</v>
      </c>
      <c r="G605" s="38" t="s">
        <v>1072</v>
      </c>
    </row>
    <row r="606">
      <c r="A606" s="806">
        <v>45967.0</v>
      </c>
      <c r="B606" s="44"/>
      <c r="C606" s="38" t="s">
        <v>20744</v>
      </c>
      <c r="D606" s="44"/>
      <c r="E606" s="44"/>
      <c r="F606" s="38" t="s">
        <v>20745</v>
      </c>
      <c r="G606" s="44"/>
    </row>
    <row r="607">
      <c r="A607" s="806">
        <v>45967.0</v>
      </c>
      <c r="B607" s="44"/>
      <c r="C607" s="38" t="s">
        <v>20746</v>
      </c>
      <c r="D607" s="94" t="s">
        <v>20747</v>
      </c>
      <c r="E607" s="44"/>
      <c r="F607" s="38" t="s">
        <v>20748</v>
      </c>
      <c r="G607" s="94" t="s">
        <v>20749</v>
      </c>
    </row>
    <row r="608">
      <c r="A608" s="806">
        <v>45967.0</v>
      </c>
      <c r="B608" s="44"/>
      <c r="C608" s="38" t="s">
        <v>19944</v>
      </c>
      <c r="D608" s="44"/>
      <c r="E608" s="44"/>
      <c r="F608" s="38" t="s">
        <v>20571</v>
      </c>
      <c r="G608" s="38" t="s">
        <v>20750</v>
      </c>
    </row>
    <row r="609">
      <c r="A609" s="806">
        <v>45967.0</v>
      </c>
      <c r="B609" s="44"/>
      <c r="C609" s="38" t="s">
        <v>20751</v>
      </c>
      <c r="D609" s="44"/>
      <c r="E609" s="38">
        <v>50.0</v>
      </c>
      <c r="F609" s="38" t="s">
        <v>20752</v>
      </c>
      <c r="G609" s="44"/>
    </row>
    <row r="610">
      <c r="A610" s="67"/>
      <c r="B610" s="44"/>
      <c r="C610" s="44"/>
      <c r="D610" s="44"/>
      <c r="E610" s="38">
        <v>-810.0</v>
      </c>
      <c r="F610" s="38" t="s">
        <v>19614</v>
      </c>
      <c r="G610" s="44"/>
    </row>
    <row r="611">
      <c r="A611" s="67"/>
      <c r="B611" s="44"/>
      <c r="C611" s="44"/>
      <c r="D611" s="44"/>
      <c r="E611" s="38">
        <v>120.0</v>
      </c>
      <c r="F611" s="38" t="s">
        <v>20753</v>
      </c>
      <c r="G611" s="44"/>
    </row>
    <row r="612">
      <c r="A612" s="46" t="s">
        <v>20754</v>
      </c>
      <c r="B612" s="44"/>
      <c r="C612" s="38" t="s">
        <v>20755</v>
      </c>
      <c r="D612" s="38" t="s">
        <v>20756</v>
      </c>
      <c r="E612" s="38">
        <v>220.0</v>
      </c>
      <c r="F612" s="38" t="s">
        <v>20757</v>
      </c>
      <c r="G612" s="38" t="s">
        <v>20758</v>
      </c>
    </row>
    <row r="613">
      <c r="A613" s="67"/>
      <c r="B613" s="44"/>
      <c r="C613" s="38" t="s">
        <v>18061</v>
      </c>
      <c r="D613" s="44"/>
      <c r="E613" s="44"/>
      <c r="F613" s="38" t="s">
        <v>20759</v>
      </c>
      <c r="G613" s="38" t="s">
        <v>20760</v>
      </c>
    </row>
    <row r="614">
      <c r="A614" s="67"/>
      <c r="B614" s="44"/>
      <c r="C614" s="38" t="s">
        <v>17713</v>
      </c>
      <c r="D614" s="38" t="s">
        <v>20761</v>
      </c>
      <c r="E614" s="44"/>
      <c r="F614" s="38" t="s">
        <v>20762</v>
      </c>
      <c r="G614" s="44"/>
    </row>
    <row r="615">
      <c r="A615" s="67"/>
      <c r="B615" s="44"/>
      <c r="C615" s="38" t="s">
        <v>17750</v>
      </c>
      <c r="D615" s="38" t="s">
        <v>20763</v>
      </c>
      <c r="E615" s="44"/>
      <c r="F615" s="38" t="s">
        <v>20764</v>
      </c>
      <c r="G615" s="44"/>
    </row>
    <row r="616">
      <c r="A616" s="67"/>
      <c r="B616" s="44"/>
      <c r="C616" s="44"/>
      <c r="D616" s="44"/>
      <c r="E616" s="44"/>
      <c r="F616" s="38" t="s">
        <v>20765</v>
      </c>
      <c r="G616" s="44"/>
    </row>
    <row r="617">
      <c r="A617" s="67"/>
      <c r="B617" s="44"/>
      <c r="C617" s="38" t="s">
        <v>20766</v>
      </c>
      <c r="D617" s="44"/>
      <c r="E617" s="44"/>
      <c r="F617" s="38" t="s">
        <v>20767</v>
      </c>
      <c r="G617" s="38" t="s">
        <v>1030</v>
      </c>
    </row>
    <row r="618">
      <c r="A618" s="805" t="s">
        <v>20768</v>
      </c>
      <c r="B618" s="648"/>
      <c r="C618" s="648"/>
      <c r="D618" s="648"/>
      <c r="E618" s="648"/>
      <c r="F618" s="648"/>
      <c r="G618" s="648"/>
      <c r="H618" s="648"/>
      <c r="I618" s="648"/>
      <c r="J618" s="648"/>
      <c r="K618" s="648"/>
      <c r="L618" s="648"/>
      <c r="M618" s="648"/>
      <c r="N618" s="648"/>
      <c r="O618" s="648"/>
      <c r="P618" s="648"/>
      <c r="Q618" s="648"/>
      <c r="R618" s="648"/>
      <c r="S618" s="648"/>
    </row>
    <row r="619">
      <c r="A619" s="808">
        <v>45664.0</v>
      </c>
      <c r="B619" s="44"/>
      <c r="C619" s="38" t="s">
        <v>20769</v>
      </c>
      <c r="D619" s="38" t="s">
        <v>20770</v>
      </c>
      <c r="E619" s="44"/>
      <c r="F619" s="38" t="s">
        <v>20771</v>
      </c>
      <c r="G619" s="38" t="s">
        <v>20772</v>
      </c>
    </row>
    <row r="620">
      <c r="A620" s="808">
        <v>45664.0</v>
      </c>
      <c r="B620" s="44"/>
      <c r="C620" s="38" t="s">
        <v>17698</v>
      </c>
      <c r="D620" s="38" t="s">
        <v>20773</v>
      </c>
      <c r="E620" s="44"/>
      <c r="F620" s="38" t="s">
        <v>20774</v>
      </c>
      <c r="G620" s="38" t="s">
        <v>7051</v>
      </c>
    </row>
    <row r="621">
      <c r="A621" s="808">
        <v>45664.0</v>
      </c>
      <c r="B621" s="44"/>
      <c r="C621" s="38" t="s">
        <v>20014</v>
      </c>
      <c r="D621" s="38" t="s">
        <v>2857</v>
      </c>
      <c r="E621" s="38">
        <v>60.0</v>
      </c>
      <c r="F621" s="38" t="s">
        <v>20367</v>
      </c>
      <c r="G621" s="94" t="s">
        <v>2861</v>
      </c>
      <c r="H621" s="5"/>
      <c r="I621" s="8"/>
    </row>
    <row r="622">
      <c r="A622" s="808">
        <v>45664.0</v>
      </c>
      <c r="B622" s="44"/>
      <c r="C622" s="38" t="s">
        <v>20775</v>
      </c>
      <c r="D622" s="38" t="s">
        <v>19815</v>
      </c>
      <c r="E622" s="44"/>
      <c r="F622" s="38" t="s">
        <v>20776</v>
      </c>
      <c r="G622" s="38" t="s">
        <v>974</v>
      </c>
    </row>
    <row r="623">
      <c r="A623" s="808">
        <v>45664.0</v>
      </c>
      <c r="B623" s="44"/>
      <c r="C623" s="38" t="s">
        <v>18603</v>
      </c>
      <c r="D623" s="44"/>
      <c r="E623" s="44"/>
      <c r="F623" s="38" t="s">
        <v>1029</v>
      </c>
      <c r="G623" s="38" t="s">
        <v>1030</v>
      </c>
    </row>
    <row r="624">
      <c r="A624" s="808">
        <v>45695.0</v>
      </c>
      <c r="B624" s="44"/>
      <c r="C624" s="38" t="s">
        <v>19849</v>
      </c>
      <c r="D624" s="44"/>
      <c r="E624" s="44"/>
      <c r="F624" s="38" t="s">
        <v>5885</v>
      </c>
      <c r="G624" s="38" t="s">
        <v>19697</v>
      </c>
    </row>
    <row r="625">
      <c r="A625" s="808">
        <v>45695.0</v>
      </c>
      <c r="B625" s="44"/>
      <c r="C625" s="44"/>
      <c r="D625" s="44"/>
      <c r="E625" s="44"/>
      <c r="F625" s="38" t="s">
        <v>20777</v>
      </c>
      <c r="G625" s="38" t="s">
        <v>20778</v>
      </c>
    </row>
    <row r="626">
      <c r="A626" s="808">
        <v>45695.0</v>
      </c>
      <c r="B626" s="44"/>
      <c r="C626" s="38" t="s">
        <v>17694</v>
      </c>
      <c r="D626" s="38" t="s">
        <v>20779</v>
      </c>
      <c r="E626" s="44"/>
      <c r="F626" s="38" t="s">
        <v>20780</v>
      </c>
      <c r="G626" s="44"/>
    </row>
    <row r="627">
      <c r="A627" s="808">
        <v>45723.0</v>
      </c>
      <c r="B627" s="44"/>
      <c r="C627" s="38" t="s">
        <v>4328</v>
      </c>
      <c r="D627" s="38" t="s">
        <v>20781</v>
      </c>
      <c r="E627" s="38">
        <v>250.0</v>
      </c>
      <c r="F627" s="38" t="s">
        <v>20782</v>
      </c>
      <c r="G627" s="38" t="s">
        <v>20760</v>
      </c>
    </row>
    <row r="628">
      <c r="A628" s="808">
        <v>45723.0</v>
      </c>
      <c r="B628" s="44"/>
      <c r="C628" s="44"/>
      <c r="D628" s="44"/>
      <c r="E628" s="38">
        <v>20.0</v>
      </c>
      <c r="F628" s="38" t="s">
        <v>20783</v>
      </c>
      <c r="G628" s="44"/>
    </row>
    <row r="629">
      <c r="A629" s="808">
        <v>45723.0</v>
      </c>
      <c r="B629" s="44"/>
      <c r="C629" s="44"/>
      <c r="D629" s="38" t="s">
        <v>20657</v>
      </c>
      <c r="E629" s="38">
        <v>15.0</v>
      </c>
      <c r="F629" s="38" t="s">
        <v>16237</v>
      </c>
      <c r="G629" s="38" t="s">
        <v>19531</v>
      </c>
    </row>
    <row r="630">
      <c r="A630" s="808">
        <v>45723.0</v>
      </c>
      <c r="B630" s="44"/>
      <c r="C630" s="38" t="s">
        <v>20784</v>
      </c>
      <c r="D630" s="44"/>
      <c r="E630" s="38">
        <v>-5.0</v>
      </c>
      <c r="F630" s="38" t="s">
        <v>20785</v>
      </c>
      <c r="G630" s="38" t="s">
        <v>20786</v>
      </c>
    </row>
    <row r="631">
      <c r="A631" s="808">
        <v>45754.0</v>
      </c>
      <c r="B631" s="44"/>
      <c r="C631" s="38" t="s">
        <v>4184</v>
      </c>
      <c r="D631" s="775" t="s">
        <v>4176</v>
      </c>
      <c r="E631" s="44"/>
      <c r="F631" s="38" t="s">
        <v>4185</v>
      </c>
      <c r="G631" s="38" t="s">
        <v>4186</v>
      </c>
      <c r="H631" s="1" t="s">
        <v>4187</v>
      </c>
      <c r="P631" s="809" t="s">
        <v>4188</v>
      </c>
      <c r="Q631" s="75" t="s">
        <v>20787</v>
      </c>
      <c r="R631" s="160" t="s">
        <v>4190</v>
      </c>
      <c r="S631" s="160" t="s">
        <v>4191</v>
      </c>
      <c r="T631" s="809" t="s">
        <v>4192</v>
      </c>
      <c r="U631" s="810" t="s">
        <v>4193</v>
      </c>
      <c r="V631" s="811" t="s">
        <v>4194</v>
      </c>
      <c r="W631" s="159" t="s">
        <v>4195</v>
      </c>
      <c r="X631" s="812" t="s">
        <v>20788</v>
      </c>
    </row>
    <row r="632">
      <c r="A632" s="808">
        <v>45754.0</v>
      </c>
      <c r="B632" s="44"/>
      <c r="C632" s="38" t="s">
        <v>19754</v>
      </c>
      <c r="D632" s="44"/>
      <c r="E632" s="38">
        <v>144.0</v>
      </c>
      <c r="F632" s="38" t="s">
        <v>20789</v>
      </c>
      <c r="G632" s="38" t="s">
        <v>20790</v>
      </c>
    </row>
    <row r="633">
      <c r="A633" s="808">
        <v>45754.0</v>
      </c>
      <c r="B633" s="44"/>
      <c r="C633" s="44"/>
      <c r="D633" s="44"/>
      <c r="E633" s="38">
        <v>20.0</v>
      </c>
      <c r="F633" s="38" t="s">
        <v>20791</v>
      </c>
      <c r="G633" s="44"/>
    </row>
    <row r="634">
      <c r="A634" s="808">
        <v>45754.0</v>
      </c>
      <c r="B634" s="759">
        <v>0.6527777777777778</v>
      </c>
      <c r="C634" s="38" t="s">
        <v>20792</v>
      </c>
      <c r="D634" s="38" t="s">
        <v>20793</v>
      </c>
      <c r="E634" s="44"/>
      <c r="F634" s="38" t="s">
        <v>20794</v>
      </c>
      <c r="G634" s="38" t="s">
        <v>20795</v>
      </c>
    </row>
    <row r="635">
      <c r="A635" s="808">
        <v>45845.0</v>
      </c>
      <c r="B635" s="44"/>
      <c r="C635" s="38" t="s">
        <v>18732</v>
      </c>
      <c r="D635" s="94" t="s">
        <v>18733</v>
      </c>
      <c r="E635" s="38">
        <v>15.0</v>
      </c>
      <c r="F635" s="38" t="s">
        <v>16237</v>
      </c>
      <c r="G635" s="775" t="s">
        <v>20796</v>
      </c>
    </row>
    <row r="636">
      <c r="A636" s="808">
        <v>45845.0</v>
      </c>
      <c r="B636" s="44"/>
      <c r="C636" s="38" t="s">
        <v>20313</v>
      </c>
      <c r="D636" s="38" t="s">
        <v>18709</v>
      </c>
      <c r="E636" s="44"/>
      <c r="F636" s="38" t="s">
        <v>20797</v>
      </c>
      <c r="G636" s="38" t="s">
        <v>20798</v>
      </c>
    </row>
    <row r="637">
      <c r="A637" s="808">
        <v>45876.0</v>
      </c>
      <c r="B637" s="44"/>
      <c r="C637" s="38" t="s">
        <v>20799</v>
      </c>
      <c r="D637" s="94" t="s">
        <v>20800</v>
      </c>
      <c r="E637" s="44"/>
      <c r="F637" s="38" t="s">
        <v>20801</v>
      </c>
      <c r="G637" s="94" t="s">
        <v>20802</v>
      </c>
    </row>
    <row r="638">
      <c r="A638" s="808">
        <v>45876.0</v>
      </c>
      <c r="B638" s="44"/>
      <c r="C638" s="38" t="s">
        <v>20476</v>
      </c>
      <c r="D638" s="94" t="s">
        <v>20803</v>
      </c>
      <c r="E638" s="44"/>
      <c r="F638" s="38" t="s">
        <v>20804</v>
      </c>
      <c r="G638" s="94" t="s">
        <v>20805</v>
      </c>
    </row>
    <row r="639">
      <c r="A639" s="808">
        <v>45876.0</v>
      </c>
      <c r="B639" s="44"/>
      <c r="C639" s="38" t="s">
        <v>19955</v>
      </c>
      <c r="D639" s="38" t="s">
        <v>17725</v>
      </c>
      <c r="E639" s="44"/>
      <c r="F639" s="38" t="s">
        <v>17726</v>
      </c>
      <c r="G639" s="38" t="s">
        <v>17648</v>
      </c>
    </row>
    <row r="640">
      <c r="A640" s="808">
        <v>45876.0</v>
      </c>
      <c r="B640" s="44"/>
      <c r="C640" s="38" t="s">
        <v>19661</v>
      </c>
      <c r="D640" s="44"/>
      <c r="E640" s="38">
        <v>50.0</v>
      </c>
      <c r="F640" s="38" t="s">
        <v>20806</v>
      </c>
      <c r="G640" s="44"/>
    </row>
    <row r="641">
      <c r="A641" s="808">
        <v>45876.0</v>
      </c>
      <c r="B641" s="44"/>
      <c r="C641" s="44"/>
      <c r="D641" s="44"/>
      <c r="E641" s="38">
        <v>20.0</v>
      </c>
      <c r="F641" s="38" t="s">
        <v>20807</v>
      </c>
      <c r="G641" s="44"/>
    </row>
    <row r="642">
      <c r="A642" s="808">
        <v>45876.0</v>
      </c>
      <c r="B642" s="44"/>
      <c r="C642" s="38" t="s">
        <v>20808</v>
      </c>
      <c r="D642" s="38" t="s">
        <v>20809</v>
      </c>
      <c r="E642" s="44"/>
      <c r="F642" s="38" t="s">
        <v>4299</v>
      </c>
      <c r="G642" s="38" t="s">
        <v>19818</v>
      </c>
    </row>
    <row r="643">
      <c r="A643" s="808">
        <v>45876.0</v>
      </c>
      <c r="B643" s="759">
        <v>0.7083333333333334</v>
      </c>
      <c r="C643" s="44"/>
      <c r="D643" s="44"/>
      <c r="E643" s="38">
        <v>10.0</v>
      </c>
      <c r="F643" s="38" t="s">
        <v>20810</v>
      </c>
      <c r="G643" s="44"/>
    </row>
    <row r="644">
      <c r="A644" s="808">
        <v>45907.0</v>
      </c>
      <c r="B644" s="44"/>
      <c r="C644" s="38" t="s">
        <v>18732</v>
      </c>
      <c r="D644" s="38" t="s">
        <v>18571</v>
      </c>
      <c r="E644" s="44"/>
      <c r="F644" s="38" t="s">
        <v>20811</v>
      </c>
      <c r="G644" s="47" t="s">
        <v>1309</v>
      </c>
    </row>
    <row r="645">
      <c r="A645" s="808">
        <v>45907.0</v>
      </c>
      <c r="B645" s="44"/>
      <c r="C645" s="38" t="s">
        <v>20473</v>
      </c>
      <c r="D645" s="44"/>
      <c r="E645" s="44"/>
      <c r="F645" s="38" t="s">
        <v>20812</v>
      </c>
      <c r="G645" s="134" t="s">
        <v>20247</v>
      </c>
      <c r="H645" s="134" t="s">
        <v>20248</v>
      </c>
      <c r="I645" s="38">
        <v>3.04299948E8</v>
      </c>
      <c r="J645" s="38" t="s">
        <v>20249</v>
      </c>
      <c r="K645" s="44"/>
      <c r="L645" s="44"/>
      <c r="M645" s="38" t="s">
        <v>20813</v>
      </c>
    </row>
    <row r="646">
      <c r="A646" s="808">
        <v>45907.0</v>
      </c>
      <c r="B646" s="44"/>
      <c r="C646" s="38" t="s">
        <v>19747</v>
      </c>
      <c r="D646" s="38" t="s">
        <v>18685</v>
      </c>
      <c r="E646" s="44"/>
      <c r="F646" s="38" t="s">
        <v>20814</v>
      </c>
      <c r="G646" s="38" t="s">
        <v>7028</v>
      </c>
    </row>
    <row r="647">
      <c r="A647" s="808">
        <v>45907.0</v>
      </c>
      <c r="B647" s="44"/>
      <c r="C647" s="38" t="s">
        <v>20003</v>
      </c>
      <c r="D647" s="38" t="s">
        <v>20815</v>
      </c>
      <c r="E647" s="44"/>
      <c r="F647" s="38" t="s">
        <v>20170</v>
      </c>
      <c r="G647" s="38" t="s">
        <v>20652</v>
      </c>
    </row>
    <row r="648">
      <c r="A648" s="808">
        <v>45907.0</v>
      </c>
      <c r="B648" s="44"/>
      <c r="C648" s="38" t="s">
        <v>20014</v>
      </c>
      <c r="D648" s="94" t="s">
        <v>20255</v>
      </c>
      <c r="E648" s="38">
        <v>30.0</v>
      </c>
      <c r="F648" s="38" t="s">
        <v>20816</v>
      </c>
      <c r="G648" s="94" t="s">
        <v>20256</v>
      </c>
      <c r="H648" s="4"/>
    </row>
    <row r="649">
      <c r="A649" s="808">
        <v>45937.0</v>
      </c>
      <c r="B649" s="44"/>
      <c r="C649" s="38" t="s">
        <v>20817</v>
      </c>
      <c r="D649" s="38" t="s">
        <v>20818</v>
      </c>
      <c r="E649" s="44"/>
      <c r="F649" s="38" t="s">
        <v>19798</v>
      </c>
      <c r="G649" s="38" t="s">
        <v>19531</v>
      </c>
    </row>
    <row r="650">
      <c r="A650" s="808">
        <v>45937.0</v>
      </c>
      <c r="B650" s="44"/>
      <c r="C650" s="38" t="s">
        <v>20819</v>
      </c>
      <c r="D650" s="38" t="s">
        <v>18685</v>
      </c>
      <c r="E650" s="44"/>
      <c r="F650" s="38" t="s">
        <v>20820</v>
      </c>
      <c r="G650" s="38" t="s">
        <v>20821</v>
      </c>
    </row>
    <row r="651">
      <c r="A651" s="808">
        <v>45937.0</v>
      </c>
      <c r="B651" s="44"/>
      <c r="C651" s="38" t="s">
        <v>19362</v>
      </c>
      <c r="D651" s="38" t="s">
        <v>19363</v>
      </c>
      <c r="E651" s="44"/>
      <c r="F651" s="38" t="s">
        <v>20822</v>
      </c>
      <c r="G651" s="38" t="s">
        <v>20823</v>
      </c>
    </row>
    <row r="652">
      <c r="A652" s="808">
        <v>45968.0</v>
      </c>
      <c r="B652" s="44"/>
      <c r="C652" s="38" t="s">
        <v>17750</v>
      </c>
      <c r="D652" s="38" t="s">
        <v>20763</v>
      </c>
      <c r="E652" s="44"/>
      <c r="F652" s="38" t="s">
        <v>20824</v>
      </c>
      <c r="G652" s="38" t="s">
        <v>1707</v>
      </c>
    </row>
    <row r="653">
      <c r="A653" s="808">
        <v>45968.0</v>
      </c>
      <c r="B653" s="44"/>
      <c r="C653" s="38" t="s">
        <v>20825</v>
      </c>
      <c r="D653" s="38" t="s">
        <v>1696</v>
      </c>
      <c r="E653" s="38">
        <v>170.0</v>
      </c>
      <c r="F653" s="38" t="s">
        <v>20826</v>
      </c>
      <c r="G653" s="38" t="s">
        <v>1697</v>
      </c>
      <c r="H653" s="813" t="s">
        <v>20827</v>
      </c>
      <c r="I653" s="84"/>
    </row>
    <row r="654">
      <c r="A654" s="808">
        <v>45968.0</v>
      </c>
      <c r="B654" s="44"/>
      <c r="C654" s="38" t="s">
        <v>17822</v>
      </c>
      <c r="D654" s="44"/>
      <c r="E654" s="38">
        <v>20.0</v>
      </c>
      <c r="F654" s="38" t="s">
        <v>20828</v>
      </c>
      <c r="G654" s="44"/>
    </row>
    <row r="655">
      <c r="A655" s="808">
        <v>45968.0</v>
      </c>
      <c r="B655" s="44"/>
      <c r="C655" s="44"/>
      <c r="D655" s="44"/>
      <c r="E655" s="38">
        <v>200.0</v>
      </c>
      <c r="F655" s="743" t="s">
        <v>19531</v>
      </c>
      <c r="G655" s="38" t="s">
        <v>20829</v>
      </c>
    </row>
    <row r="656">
      <c r="A656" s="808">
        <v>45968.0</v>
      </c>
      <c r="B656" s="44"/>
      <c r="C656" s="44"/>
      <c r="D656" s="44"/>
      <c r="E656" s="38">
        <v>60.0</v>
      </c>
      <c r="F656" s="38" t="s">
        <v>20830</v>
      </c>
      <c r="G656" s="38" t="s">
        <v>19531</v>
      </c>
    </row>
    <row r="657">
      <c r="A657" s="808">
        <v>45968.0</v>
      </c>
      <c r="B657" s="44"/>
      <c r="C657" s="94" t="s">
        <v>20089</v>
      </c>
      <c r="D657" s="94" t="s">
        <v>18954</v>
      </c>
      <c r="E657" s="44"/>
      <c r="F657" s="38" t="s">
        <v>20831</v>
      </c>
      <c r="G657" s="38" t="s">
        <v>18908</v>
      </c>
    </row>
    <row r="658">
      <c r="A658" s="164" t="s">
        <v>20832</v>
      </c>
      <c r="B658" s="44"/>
      <c r="C658" s="38" t="s">
        <v>19154</v>
      </c>
      <c r="D658" s="44"/>
      <c r="E658" s="44"/>
      <c r="F658" s="38" t="s">
        <v>20833</v>
      </c>
      <c r="G658" s="775" t="s">
        <v>15381</v>
      </c>
    </row>
    <row r="659">
      <c r="A659" s="164" t="s">
        <v>20832</v>
      </c>
      <c r="B659" s="44"/>
      <c r="C659" s="38" t="s">
        <v>19752</v>
      </c>
      <c r="D659" s="38" t="s">
        <v>20763</v>
      </c>
      <c r="E659" s="44"/>
      <c r="F659" s="38" t="s">
        <v>20834</v>
      </c>
      <c r="G659" s="38" t="s">
        <v>1707</v>
      </c>
    </row>
    <row r="660">
      <c r="A660" s="164" t="s">
        <v>20832</v>
      </c>
      <c r="B660" s="759">
        <v>0.5694444444444444</v>
      </c>
      <c r="C660" s="38" t="s">
        <v>17933</v>
      </c>
      <c r="D660" s="38" t="s">
        <v>20835</v>
      </c>
      <c r="E660" s="44"/>
      <c r="F660" s="38" t="s">
        <v>20418</v>
      </c>
      <c r="G660" s="38" t="s">
        <v>20836</v>
      </c>
    </row>
    <row r="661">
      <c r="A661" s="164" t="s">
        <v>20832</v>
      </c>
      <c r="B661" s="44"/>
      <c r="C661" s="38" t="s">
        <v>3175</v>
      </c>
      <c r="D661" s="44"/>
      <c r="E661" s="38" t="s">
        <v>20837</v>
      </c>
      <c r="F661" s="38" t="s">
        <v>20838</v>
      </c>
      <c r="G661" s="38" t="s">
        <v>20839</v>
      </c>
    </row>
    <row r="662">
      <c r="A662" s="164" t="s">
        <v>20840</v>
      </c>
      <c r="B662" s="44"/>
      <c r="C662" s="38" t="s">
        <v>20610</v>
      </c>
      <c r="D662" s="38" t="s">
        <v>20841</v>
      </c>
      <c r="E662" s="44"/>
      <c r="F662" s="38" t="s">
        <v>20842</v>
      </c>
      <c r="G662" s="44"/>
      <c r="H662" s="44"/>
    </row>
    <row r="663">
      <c r="A663" s="164" t="s">
        <v>20843</v>
      </c>
      <c r="B663" s="44"/>
      <c r="C663" s="38" t="s">
        <v>20844</v>
      </c>
      <c r="D663" s="94" t="s">
        <v>19736</v>
      </c>
      <c r="E663" s="44"/>
      <c r="F663" s="38" t="s">
        <v>20845</v>
      </c>
      <c r="G663" s="94" t="s">
        <v>20398</v>
      </c>
    </row>
    <row r="664">
      <c r="A664" s="164" t="s">
        <v>20843</v>
      </c>
      <c r="B664" s="44"/>
      <c r="C664" s="38" t="s">
        <v>20003</v>
      </c>
      <c r="D664" s="38" t="s">
        <v>20815</v>
      </c>
      <c r="E664" s="44"/>
      <c r="F664" s="38" t="s">
        <v>20846</v>
      </c>
      <c r="G664" s="38" t="s">
        <v>20847</v>
      </c>
    </row>
    <row r="665">
      <c r="A665" s="164" t="s">
        <v>20848</v>
      </c>
      <c r="B665" s="44"/>
      <c r="C665" s="38" t="s">
        <v>20849</v>
      </c>
      <c r="D665" s="38" t="s">
        <v>20850</v>
      </c>
      <c r="E665" s="44"/>
      <c r="F665" s="38" t="s">
        <v>20851</v>
      </c>
      <c r="G665" s="38" t="s">
        <v>20852</v>
      </c>
    </row>
    <row r="666">
      <c r="A666" s="164" t="s">
        <v>20848</v>
      </c>
      <c r="B666" s="44"/>
      <c r="C666" s="44"/>
      <c r="D666" s="44"/>
      <c r="E666" s="38">
        <v>410.0</v>
      </c>
      <c r="F666" s="38" t="s">
        <v>20853</v>
      </c>
      <c r="G666" s="38" t="s">
        <v>20482</v>
      </c>
    </row>
    <row r="667">
      <c r="A667" s="164" t="s">
        <v>20848</v>
      </c>
      <c r="B667" s="44"/>
      <c r="C667" s="38" t="s">
        <v>20854</v>
      </c>
      <c r="D667" s="44"/>
      <c r="E667" s="38" t="s">
        <v>19309</v>
      </c>
      <c r="F667" s="38" t="s">
        <v>20855</v>
      </c>
      <c r="G667" s="38" t="s">
        <v>20856</v>
      </c>
    </row>
    <row r="668">
      <c r="A668" s="164" t="s">
        <v>20857</v>
      </c>
      <c r="B668" s="44"/>
      <c r="C668" s="38" t="s">
        <v>19564</v>
      </c>
      <c r="D668" s="38" t="s">
        <v>18282</v>
      </c>
      <c r="E668" s="44"/>
      <c r="F668" s="38" t="s">
        <v>20858</v>
      </c>
      <c r="G668" s="777" t="s">
        <v>20859</v>
      </c>
    </row>
    <row r="669">
      <c r="A669" s="164" t="s">
        <v>20857</v>
      </c>
      <c r="B669" s="759">
        <v>0.4722222222222222</v>
      </c>
      <c r="C669" s="44"/>
      <c r="D669" s="44"/>
      <c r="E669" s="38">
        <v>-40.0</v>
      </c>
      <c r="F669" s="38" t="s">
        <v>20860</v>
      </c>
      <c r="G669" s="44"/>
    </row>
    <row r="670">
      <c r="A670" s="164" t="s">
        <v>20857</v>
      </c>
      <c r="B670" s="44"/>
      <c r="C670" s="44"/>
      <c r="D670" s="44"/>
      <c r="E670" s="44"/>
      <c r="F670" s="38" t="s">
        <v>20861</v>
      </c>
      <c r="G670" s="38" t="s">
        <v>20862</v>
      </c>
    </row>
    <row r="671">
      <c r="A671" s="164" t="s">
        <v>4181</v>
      </c>
      <c r="B671" s="44"/>
      <c r="C671" s="38" t="s">
        <v>20863</v>
      </c>
      <c r="D671" s="38" t="s">
        <v>20864</v>
      </c>
      <c r="E671" s="44"/>
      <c r="F671" s="38" t="s">
        <v>20865</v>
      </c>
      <c r="G671" s="44"/>
    </row>
    <row r="672">
      <c r="A672" s="164" t="s">
        <v>4181</v>
      </c>
      <c r="B672" s="44"/>
      <c r="C672" s="38" t="s">
        <v>4182</v>
      </c>
      <c r="D672" s="38" t="s">
        <v>4176</v>
      </c>
      <c r="E672" s="44"/>
      <c r="F672" s="38" t="s">
        <v>4183</v>
      </c>
      <c r="G672" s="38" t="s">
        <v>7437</v>
      </c>
    </row>
    <row r="673">
      <c r="A673" s="164" t="s">
        <v>4181</v>
      </c>
      <c r="B673" s="44"/>
      <c r="C673" s="44"/>
      <c r="D673" s="44"/>
      <c r="E673" s="38">
        <v>10.0</v>
      </c>
      <c r="F673" s="38" t="s">
        <v>20866</v>
      </c>
      <c r="G673" s="44"/>
    </row>
    <row r="674">
      <c r="A674" s="164" t="s">
        <v>20867</v>
      </c>
      <c r="B674" s="44"/>
      <c r="C674" s="38" t="s">
        <v>20868</v>
      </c>
      <c r="D674" s="38" t="s">
        <v>20869</v>
      </c>
      <c r="E674" s="38">
        <v>15.0</v>
      </c>
      <c r="F674" s="38" t="s">
        <v>20870</v>
      </c>
      <c r="G674" s="44"/>
    </row>
    <row r="675">
      <c r="A675" s="164" t="s">
        <v>20867</v>
      </c>
      <c r="B675" s="44"/>
      <c r="C675" s="38" t="s">
        <v>20871</v>
      </c>
      <c r="D675" s="38" t="s">
        <v>20872</v>
      </c>
      <c r="E675" s="38">
        <v>35.0</v>
      </c>
      <c r="F675" s="38" t="s">
        <v>20170</v>
      </c>
      <c r="G675" s="44"/>
    </row>
    <row r="676">
      <c r="A676" s="164" t="s">
        <v>20867</v>
      </c>
      <c r="B676" s="759">
        <v>0.5215277777777778</v>
      </c>
      <c r="C676" s="44"/>
      <c r="D676" s="44"/>
      <c r="E676" s="564">
        <v>16.0</v>
      </c>
      <c r="F676" s="564" t="s">
        <v>20873</v>
      </c>
      <c r="G676" s="44"/>
    </row>
    <row r="677">
      <c r="A677" s="164" t="s">
        <v>20867</v>
      </c>
      <c r="B677" s="759">
        <v>0.5743055555555555</v>
      </c>
      <c r="C677" s="44"/>
      <c r="D677" s="44"/>
      <c r="E677" s="38">
        <v>-1800.0</v>
      </c>
      <c r="F677" s="38" t="s">
        <v>19534</v>
      </c>
      <c r="G677" s="44"/>
    </row>
    <row r="678">
      <c r="A678" s="164" t="s">
        <v>20874</v>
      </c>
      <c r="B678" s="44"/>
      <c r="C678" s="38" t="s">
        <v>20875</v>
      </c>
      <c r="D678" s="44"/>
      <c r="E678" s="44"/>
      <c r="F678" s="38" t="s">
        <v>20876</v>
      </c>
      <c r="G678" s="38" t="s">
        <v>19660</v>
      </c>
    </row>
    <row r="679">
      <c r="A679" s="164" t="s">
        <v>20874</v>
      </c>
      <c r="B679" s="44"/>
      <c r="C679" s="38" t="s">
        <v>20877</v>
      </c>
      <c r="D679" s="44"/>
      <c r="E679" s="44"/>
      <c r="F679" s="38" t="s">
        <v>20878</v>
      </c>
      <c r="G679" s="38" t="s">
        <v>20498</v>
      </c>
    </row>
    <row r="680">
      <c r="A680" s="164" t="s">
        <v>20874</v>
      </c>
      <c r="B680" s="44"/>
      <c r="C680" s="38" t="s">
        <v>18603</v>
      </c>
      <c r="D680" s="38" t="s">
        <v>20523</v>
      </c>
      <c r="E680" s="44"/>
      <c r="F680" s="38" t="s">
        <v>4299</v>
      </c>
      <c r="G680" s="38" t="s">
        <v>20462</v>
      </c>
    </row>
    <row r="681">
      <c r="A681" s="164" t="s">
        <v>20874</v>
      </c>
      <c r="B681" s="44"/>
      <c r="C681" s="44"/>
      <c r="D681" s="44"/>
      <c r="E681" s="44"/>
      <c r="F681" s="44"/>
      <c r="G681" s="44"/>
    </row>
    <row r="682">
      <c r="A682" s="164" t="s">
        <v>20874</v>
      </c>
      <c r="B682" s="44"/>
      <c r="C682" s="38" t="s">
        <v>3177</v>
      </c>
      <c r="D682" s="44"/>
      <c r="E682" s="38">
        <v>20.0</v>
      </c>
      <c r="F682" s="38" t="s">
        <v>20879</v>
      </c>
      <c r="G682" s="38">
        <v>3.7060532806E10</v>
      </c>
    </row>
    <row r="683">
      <c r="A683" s="164" t="s">
        <v>20874</v>
      </c>
      <c r="B683" s="44"/>
      <c r="C683" s="44"/>
      <c r="D683" s="44"/>
      <c r="E683" s="44"/>
      <c r="F683" s="38" t="s">
        <v>20880</v>
      </c>
      <c r="G683" s="38" t="s">
        <v>20741</v>
      </c>
    </row>
    <row r="684">
      <c r="A684" s="164" t="s">
        <v>20881</v>
      </c>
      <c r="B684" s="44"/>
      <c r="C684" s="38" t="s">
        <v>20882</v>
      </c>
      <c r="D684" s="38" t="s">
        <v>20883</v>
      </c>
      <c r="E684" s="44"/>
      <c r="F684" s="38" t="s">
        <v>20884</v>
      </c>
      <c r="G684" s="44"/>
    </row>
    <row r="685">
      <c r="A685" s="164" t="s">
        <v>20881</v>
      </c>
      <c r="B685" s="44"/>
      <c r="C685" s="38" t="s">
        <v>20885</v>
      </c>
      <c r="D685" s="38" t="s">
        <v>18416</v>
      </c>
      <c r="E685" s="38"/>
      <c r="F685" s="38" t="s">
        <v>20886</v>
      </c>
      <c r="G685" s="38" t="s">
        <v>20887</v>
      </c>
      <c r="H685" s="44"/>
      <c r="I685" s="44"/>
      <c r="J685" s="44"/>
    </row>
    <row r="686">
      <c r="A686" s="164" t="s">
        <v>20881</v>
      </c>
      <c r="B686" s="44"/>
      <c r="C686" s="38" t="s">
        <v>20888</v>
      </c>
      <c r="D686" s="38" t="s">
        <v>20889</v>
      </c>
      <c r="E686" s="38">
        <v>35.0</v>
      </c>
      <c r="F686" s="38" t="s">
        <v>175</v>
      </c>
      <c r="G686" s="44"/>
    </row>
    <row r="687">
      <c r="A687" s="164" t="s">
        <v>20890</v>
      </c>
      <c r="B687" s="44"/>
      <c r="C687" s="47" t="s">
        <v>18712</v>
      </c>
      <c r="D687" s="47" t="s">
        <v>4179</v>
      </c>
      <c r="E687" s="44"/>
      <c r="F687" s="38" t="s">
        <v>20891</v>
      </c>
      <c r="G687" s="47" t="s">
        <v>18661</v>
      </c>
    </row>
    <row r="688">
      <c r="A688" s="164" t="s">
        <v>20890</v>
      </c>
      <c r="B688" s="44"/>
      <c r="C688" s="38" t="s">
        <v>17675</v>
      </c>
      <c r="D688" s="38" t="s">
        <v>18091</v>
      </c>
      <c r="E688" s="44"/>
      <c r="F688" s="38" t="s">
        <v>20892</v>
      </c>
      <c r="G688" s="38" t="s">
        <v>18092</v>
      </c>
    </row>
    <row r="689">
      <c r="A689" s="164" t="s">
        <v>20890</v>
      </c>
      <c r="B689" s="44"/>
      <c r="C689" s="38" t="s">
        <v>20893</v>
      </c>
      <c r="D689" s="44"/>
      <c r="E689" s="44"/>
      <c r="F689" s="38" t="s">
        <v>20894</v>
      </c>
      <c r="G689" s="38" t="s">
        <v>1015</v>
      </c>
    </row>
    <row r="690">
      <c r="A690" s="164" t="s">
        <v>20890</v>
      </c>
      <c r="B690" s="44"/>
      <c r="C690" s="38" t="s">
        <v>17750</v>
      </c>
      <c r="D690" s="38" t="s">
        <v>20763</v>
      </c>
      <c r="E690" s="44"/>
      <c r="F690" s="38" t="s">
        <v>19798</v>
      </c>
      <c r="G690" s="38" t="s">
        <v>1707</v>
      </c>
    </row>
    <row r="691">
      <c r="A691" s="164" t="s">
        <v>20895</v>
      </c>
      <c r="B691" s="44"/>
      <c r="C691" s="44"/>
      <c r="D691" s="44"/>
      <c r="E691" s="38">
        <v>50.0</v>
      </c>
      <c r="F691" s="38" t="s">
        <v>20896</v>
      </c>
      <c r="G691" s="44"/>
    </row>
    <row r="692">
      <c r="A692" s="164" t="s">
        <v>20897</v>
      </c>
      <c r="B692" s="44"/>
      <c r="C692" s="44"/>
      <c r="D692" s="44"/>
      <c r="E692" s="38">
        <v>150.0</v>
      </c>
      <c r="F692" s="38" t="s">
        <v>20898</v>
      </c>
      <c r="G692" s="44"/>
    </row>
    <row r="693">
      <c r="A693" s="164" t="s">
        <v>20897</v>
      </c>
      <c r="B693" s="44"/>
      <c r="C693" s="38" t="s">
        <v>17694</v>
      </c>
      <c r="D693" s="38" t="s">
        <v>20899</v>
      </c>
      <c r="E693" s="44"/>
      <c r="F693" s="38" t="s">
        <v>20900</v>
      </c>
      <c r="G693" s="38" t="s">
        <v>20901</v>
      </c>
    </row>
    <row r="694">
      <c r="A694" s="164" t="s">
        <v>20897</v>
      </c>
      <c r="B694" s="44"/>
      <c r="C694" s="38" t="s">
        <v>20271</v>
      </c>
      <c r="D694" s="44"/>
      <c r="E694" s="44"/>
      <c r="F694" s="38" t="s">
        <v>20902</v>
      </c>
      <c r="G694" s="38" t="s">
        <v>20903</v>
      </c>
    </row>
    <row r="695">
      <c r="A695" s="164" t="s">
        <v>20897</v>
      </c>
      <c r="B695" s="44"/>
      <c r="C695" s="44"/>
      <c r="D695" s="38" t="s">
        <v>19460</v>
      </c>
      <c r="E695" s="44"/>
      <c r="F695" s="38" t="s">
        <v>20904</v>
      </c>
      <c r="G695" s="38" t="s">
        <v>20905</v>
      </c>
    </row>
    <row r="696">
      <c r="A696" s="164" t="s">
        <v>20906</v>
      </c>
      <c r="B696" s="44"/>
      <c r="C696" s="44"/>
      <c r="D696" s="44"/>
      <c r="E696" s="44"/>
      <c r="F696" s="38" t="s">
        <v>20907</v>
      </c>
      <c r="G696" s="38" t="s">
        <v>5611</v>
      </c>
    </row>
    <row r="697">
      <c r="A697" s="164" t="s">
        <v>20906</v>
      </c>
      <c r="B697" s="44"/>
      <c r="C697" s="38" t="s">
        <v>17698</v>
      </c>
      <c r="D697" s="38" t="s">
        <v>20908</v>
      </c>
      <c r="E697" s="38">
        <v>50.0</v>
      </c>
      <c r="F697" s="38" t="s">
        <v>3643</v>
      </c>
      <c r="G697" s="38" t="s">
        <v>20909</v>
      </c>
    </row>
    <row r="698">
      <c r="A698" s="814" t="s">
        <v>20910</v>
      </c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</row>
    <row r="699">
      <c r="A699" s="808">
        <v>45665.0</v>
      </c>
      <c r="B699" s="44"/>
      <c r="C699" s="38" t="s">
        <v>20911</v>
      </c>
      <c r="D699" s="38" t="s">
        <v>20912</v>
      </c>
      <c r="E699" s="38">
        <v>185.0</v>
      </c>
      <c r="F699" s="38" t="s">
        <v>20913</v>
      </c>
      <c r="G699" s="44"/>
      <c r="H699" s="44"/>
    </row>
    <row r="700">
      <c r="A700" s="808">
        <v>45785.0</v>
      </c>
      <c r="B700" s="44"/>
      <c r="C700" s="38" t="s">
        <v>19556</v>
      </c>
      <c r="D700" s="44"/>
      <c r="E700" s="38">
        <v>80.0</v>
      </c>
      <c r="F700" s="38" t="s">
        <v>20914</v>
      </c>
      <c r="G700" s="38" t="s">
        <v>20915</v>
      </c>
      <c r="H700" s="44"/>
    </row>
    <row r="701">
      <c r="A701" s="808">
        <v>45816.0</v>
      </c>
      <c r="B701" s="44"/>
      <c r="C701" s="38" t="s">
        <v>20916</v>
      </c>
      <c r="D701" s="44"/>
      <c r="E701" s="38">
        <v>45.0</v>
      </c>
      <c r="F701" s="38" t="s">
        <v>20917</v>
      </c>
      <c r="G701" s="815">
        <f>+37063234075</f>
        <v>37063234075</v>
      </c>
    </row>
    <row r="702">
      <c r="A702" s="808">
        <v>45816.0</v>
      </c>
      <c r="B702" s="44"/>
      <c r="C702" s="94" t="s">
        <v>20918</v>
      </c>
      <c r="D702" s="94" t="s">
        <v>18926</v>
      </c>
      <c r="E702" s="44"/>
      <c r="F702" s="38" t="s">
        <v>20919</v>
      </c>
      <c r="G702" s="94" t="s">
        <v>541</v>
      </c>
    </row>
    <row r="703">
      <c r="A703" s="808">
        <v>45816.0</v>
      </c>
      <c r="B703" s="44"/>
      <c r="C703" s="38" t="s">
        <v>20920</v>
      </c>
      <c r="D703" s="38" t="s">
        <v>20921</v>
      </c>
      <c r="E703" s="38">
        <v>150.0</v>
      </c>
      <c r="F703" s="38" t="s">
        <v>20922</v>
      </c>
      <c r="G703" s="38" t="s">
        <v>20923</v>
      </c>
    </row>
    <row r="704">
      <c r="A704" s="808">
        <v>45846.0</v>
      </c>
      <c r="B704" s="44"/>
      <c r="C704" s="38" t="s">
        <v>2864</v>
      </c>
      <c r="D704" s="38" t="s">
        <v>20924</v>
      </c>
      <c r="E704" s="38">
        <v>45.0</v>
      </c>
      <c r="F704" s="38" t="s">
        <v>19895</v>
      </c>
      <c r="G704" s="38" t="s">
        <v>19531</v>
      </c>
    </row>
    <row r="705">
      <c r="A705" s="808">
        <v>45877.0</v>
      </c>
      <c r="B705" s="44"/>
      <c r="C705" s="38" t="s">
        <v>17698</v>
      </c>
      <c r="D705" s="38" t="s">
        <v>20925</v>
      </c>
      <c r="E705" s="44"/>
      <c r="F705" s="44"/>
      <c r="G705" s="38" t="s">
        <v>17347</v>
      </c>
    </row>
    <row r="706">
      <c r="A706" s="808">
        <v>45877.0</v>
      </c>
      <c r="B706" s="44"/>
      <c r="C706" s="44"/>
      <c r="D706" s="44"/>
      <c r="E706" s="38">
        <v>210.0</v>
      </c>
      <c r="F706" s="38" t="s">
        <v>20926</v>
      </c>
      <c r="G706" s="44"/>
    </row>
    <row r="707">
      <c r="A707" s="808">
        <v>45877.0</v>
      </c>
      <c r="B707" s="44"/>
      <c r="C707" s="44"/>
      <c r="D707" s="44"/>
      <c r="E707" s="38">
        <v>-4.75</v>
      </c>
      <c r="F707" s="38" t="s">
        <v>20927</v>
      </c>
      <c r="G707" s="44"/>
    </row>
    <row r="708">
      <c r="A708" s="141">
        <v>45969.0</v>
      </c>
      <c r="B708" s="44"/>
      <c r="C708" s="38" t="s">
        <v>20928</v>
      </c>
      <c r="D708" s="38" t="s">
        <v>20929</v>
      </c>
      <c r="E708" s="38">
        <v>15.0</v>
      </c>
      <c r="F708" s="38" t="s">
        <v>20930</v>
      </c>
      <c r="G708" s="44"/>
    </row>
    <row r="709">
      <c r="A709" s="141">
        <v>45999.0</v>
      </c>
      <c r="B709" s="44"/>
      <c r="C709" s="38" t="s">
        <v>20911</v>
      </c>
      <c r="D709" s="38" t="s">
        <v>20931</v>
      </c>
      <c r="E709" s="44"/>
      <c r="F709" s="38" t="s">
        <v>20932</v>
      </c>
      <c r="G709" s="47" t="s">
        <v>20933</v>
      </c>
    </row>
    <row r="710">
      <c r="A710" s="141">
        <v>45999.0</v>
      </c>
      <c r="B710" s="44"/>
      <c r="C710" s="38" t="s">
        <v>20934</v>
      </c>
      <c r="D710" s="38" t="s">
        <v>18051</v>
      </c>
      <c r="E710" s="44"/>
      <c r="F710" s="38" t="s">
        <v>20935</v>
      </c>
      <c r="G710" s="38" t="s">
        <v>18052</v>
      </c>
    </row>
    <row r="711">
      <c r="A711" s="141">
        <v>45999.0</v>
      </c>
      <c r="B711" s="44"/>
      <c r="C711" s="38" t="s">
        <v>20488</v>
      </c>
      <c r="D711" s="38" t="s">
        <v>20936</v>
      </c>
      <c r="E711" s="38" t="s">
        <v>20937</v>
      </c>
      <c r="F711" s="38" t="s">
        <v>20938</v>
      </c>
      <c r="G711" s="94" t="s">
        <v>20939</v>
      </c>
    </row>
    <row r="712">
      <c r="A712" s="164" t="s">
        <v>20940</v>
      </c>
      <c r="B712" s="44"/>
      <c r="C712" s="38" t="s">
        <v>19836</v>
      </c>
      <c r="D712" s="38" t="s">
        <v>20936</v>
      </c>
      <c r="E712" s="38" t="s">
        <v>20941</v>
      </c>
      <c r="F712" s="38" t="s">
        <v>6549</v>
      </c>
      <c r="G712" s="38" t="s">
        <v>20942</v>
      </c>
    </row>
    <row r="713">
      <c r="A713" s="164" t="s">
        <v>20940</v>
      </c>
      <c r="B713" s="44"/>
      <c r="C713" s="38" t="s">
        <v>20943</v>
      </c>
      <c r="D713" s="38" t="s">
        <v>20944</v>
      </c>
      <c r="E713" s="44"/>
      <c r="F713" s="38" t="s">
        <v>20945</v>
      </c>
      <c r="G713" s="44"/>
    </row>
    <row r="714">
      <c r="A714" s="164" t="s">
        <v>20940</v>
      </c>
      <c r="B714" s="44"/>
      <c r="C714" s="38" t="s">
        <v>20946</v>
      </c>
      <c r="D714" s="38" t="s">
        <v>20947</v>
      </c>
      <c r="E714" s="44"/>
      <c r="F714" s="38" t="s">
        <v>20948</v>
      </c>
      <c r="G714" s="44"/>
    </row>
    <row r="715">
      <c r="A715" s="164" t="s">
        <v>20940</v>
      </c>
      <c r="B715" s="44"/>
      <c r="C715" s="44"/>
      <c r="D715" s="44"/>
      <c r="E715" s="38">
        <v>50.0</v>
      </c>
      <c r="F715" s="38" t="s">
        <v>20949</v>
      </c>
      <c r="G715" s="44"/>
    </row>
    <row r="716">
      <c r="A716" s="164" t="s">
        <v>20940</v>
      </c>
      <c r="B716" s="44"/>
      <c r="C716" s="44"/>
      <c r="D716" s="44"/>
      <c r="E716" s="38">
        <v>-4.29</v>
      </c>
      <c r="F716" s="38" t="s">
        <v>20950</v>
      </c>
      <c r="G716" s="44"/>
    </row>
    <row r="717">
      <c r="A717" s="164" t="s">
        <v>20951</v>
      </c>
      <c r="B717" s="44"/>
      <c r="C717" s="38" t="s">
        <v>19556</v>
      </c>
      <c r="D717" s="38" t="s">
        <v>20952</v>
      </c>
      <c r="E717" s="38" t="s">
        <v>20953</v>
      </c>
      <c r="F717" s="38" t="s">
        <v>20954</v>
      </c>
      <c r="G717" s="94" t="s">
        <v>20955</v>
      </c>
    </row>
    <row r="718">
      <c r="A718" s="164" t="s">
        <v>20951</v>
      </c>
      <c r="B718" s="44"/>
      <c r="C718" s="38" t="s">
        <v>20956</v>
      </c>
      <c r="D718" s="38" t="s">
        <v>20957</v>
      </c>
      <c r="E718" s="44"/>
      <c r="F718" s="38" t="s">
        <v>20958</v>
      </c>
      <c r="G718" s="38" t="s">
        <v>20959</v>
      </c>
      <c r="H718" s="38" t="s">
        <v>20960</v>
      </c>
      <c r="I718" s="44"/>
      <c r="J718" s="44"/>
      <c r="K718" s="44"/>
    </row>
    <row r="719">
      <c r="A719" s="164" t="s">
        <v>20961</v>
      </c>
      <c r="B719" s="44"/>
      <c r="C719" s="38" t="s">
        <v>20962</v>
      </c>
      <c r="D719" s="38" t="s">
        <v>20963</v>
      </c>
      <c r="E719" s="44"/>
      <c r="F719" s="38" t="s">
        <v>20964</v>
      </c>
      <c r="G719" s="38" t="s">
        <v>20965</v>
      </c>
    </row>
    <row r="720">
      <c r="A720" s="164" t="s">
        <v>20961</v>
      </c>
      <c r="B720" s="44"/>
      <c r="C720" s="38" t="s">
        <v>20966</v>
      </c>
      <c r="D720" s="38" t="s">
        <v>20947</v>
      </c>
      <c r="E720" s="38">
        <v>90.0</v>
      </c>
      <c r="F720" s="38" t="s">
        <v>20967</v>
      </c>
      <c r="G720" s="44"/>
    </row>
    <row r="721">
      <c r="A721" s="164" t="s">
        <v>20961</v>
      </c>
      <c r="B721" s="44"/>
      <c r="C721" s="44"/>
      <c r="D721" s="44"/>
      <c r="E721" s="38">
        <v>-70.0</v>
      </c>
      <c r="F721" s="38" t="s">
        <v>19534</v>
      </c>
      <c r="G721" s="44"/>
    </row>
    <row r="722">
      <c r="A722" s="164" t="s">
        <v>20961</v>
      </c>
      <c r="B722" s="44"/>
      <c r="C722" s="44"/>
      <c r="D722" s="44"/>
      <c r="E722" s="38">
        <v>-1050.0</v>
      </c>
      <c r="F722" s="38" t="s">
        <v>19534</v>
      </c>
      <c r="G722" s="44"/>
    </row>
    <row r="723">
      <c r="A723" s="164" t="s">
        <v>20968</v>
      </c>
      <c r="B723" s="44"/>
      <c r="C723" s="38" t="s">
        <v>18445</v>
      </c>
      <c r="D723" s="94" t="s">
        <v>20969</v>
      </c>
      <c r="E723" s="38">
        <v>10.0</v>
      </c>
      <c r="F723" s="38" t="s">
        <v>20970</v>
      </c>
      <c r="G723" s="94" t="s">
        <v>20971</v>
      </c>
    </row>
    <row r="724">
      <c r="A724" s="164" t="s">
        <v>20968</v>
      </c>
      <c r="B724" s="44"/>
      <c r="C724" s="38" t="s">
        <v>19661</v>
      </c>
      <c r="D724" s="38" t="s">
        <v>20972</v>
      </c>
      <c r="E724" s="44"/>
      <c r="F724" s="38" t="s">
        <v>20973</v>
      </c>
      <c r="G724" s="777" t="s">
        <v>20974</v>
      </c>
    </row>
    <row r="725">
      <c r="A725" s="164" t="s">
        <v>20968</v>
      </c>
      <c r="B725" s="44"/>
      <c r="C725" s="38" t="s">
        <v>20975</v>
      </c>
      <c r="D725" s="38" t="s">
        <v>20976</v>
      </c>
      <c r="E725" s="44"/>
      <c r="F725" s="38" t="s">
        <v>20977</v>
      </c>
      <c r="G725" s="38" t="s">
        <v>20978</v>
      </c>
      <c r="O725" s="816"/>
    </row>
    <row r="726">
      <c r="A726" s="164" t="s">
        <v>20968</v>
      </c>
      <c r="B726" s="44"/>
      <c r="C726" s="38" t="s">
        <v>17753</v>
      </c>
      <c r="D726" s="38" t="s">
        <v>20979</v>
      </c>
      <c r="E726" s="38">
        <v>10.0</v>
      </c>
      <c r="F726" s="38" t="s">
        <v>20980</v>
      </c>
      <c r="G726" s="38" t="s">
        <v>19531</v>
      </c>
    </row>
    <row r="727">
      <c r="A727" s="164" t="s">
        <v>20968</v>
      </c>
      <c r="B727" s="44"/>
      <c r="C727" s="38" t="s">
        <v>17753</v>
      </c>
      <c r="D727" s="38" t="s">
        <v>20981</v>
      </c>
      <c r="E727" s="38">
        <v>50.0</v>
      </c>
      <c r="F727" s="38" t="s">
        <v>20982</v>
      </c>
      <c r="G727" s="44"/>
    </row>
    <row r="728">
      <c r="A728" s="164" t="s">
        <v>20983</v>
      </c>
      <c r="B728" s="44"/>
      <c r="C728" s="44"/>
      <c r="D728" s="44"/>
      <c r="E728" s="38">
        <v>-10.0</v>
      </c>
      <c r="F728" s="38" t="s">
        <v>20984</v>
      </c>
      <c r="G728" s="44"/>
    </row>
    <row r="729">
      <c r="A729" s="164" t="s">
        <v>1888</v>
      </c>
      <c r="B729" s="44"/>
      <c r="C729" s="44"/>
      <c r="D729" s="44"/>
      <c r="E729" s="38">
        <v>35.0</v>
      </c>
      <c r="F729" s="38" t="s">
        <v>20985</v>
      </c>
      <c r="G729" s="44"/>
    </row>
    <row r="730">
      <c r="A730" s="164" t="s">
        <v>1888</v>
      </c>
      <c r="B730" s="44"/>
      <c r="C730" s="38" t="s">
        <v>1889</v>
      </c>
      <c r="D730" s="38" t="s">
        <v>19789</v>
      </c>
      <c r="E730" s="44"/>
      <c r="F730" s="38" t="s">
        <v>20986</v>
      </c>
      <c r="G730" s="38" t="s">
        <v>20741</v>
      </c>
    </row>
    <row r="731">
      <c r="A731" s="164" t="s">
        <v>1888</v>
      </c>
      <c r="B731" s="44"/>
      <c r="C731" s="38" t="s">
        <v>20987</v>
      </c>
      <c r="D731" s="38" t="s">
        <v>20988</v>
      </c>
      <c r="E731" s="38">
        <v>50.0</v>
      </c>
      <c r="F731" s="38" t="s">
        <v>20989</v>
      </c>
      <c r="G731" s="38" t="s">
        <v>20990</v>
      </c>
    </row>
    <row r="732">
      <c r="A732" s="164" t="s">
        <v>1888</v>
      </c>
      <c r="B732" s="759">
        <v>0.5486111111111112</v>
      </c>
      <c r="C732" s="44"/>
      <c r="D732" s="44"/>
      <c r="E732" s="38">
        <v>232.0</v>
      </c>
      <c r="F732" s="38" t="s">
        <v>20991</v>
      </c>
      <c r="G732" s="44"/>
    </row>
    <row r="733">
      <c r="A733" s="164" t="s">
        <v>1888</v>
      </c>
      <c r="B733" s="759">
        <v>0.5763888888888888</v>
      </c>
      <c r="C733" s="44"/>
      <c r="D733" s="44"/>
      <c r="E733" s="38">
        <v>15.0</v>
      </c>
      <c r="F733" s="38" t="s">
        <v>20992</v>
      </c>
      <c r="G733" s="44"/>
    </row>
    <row r="734">
      <c r="A734" s="164" t="s">
        <v>1888</v>
      </c>
      <c r="B734" s="44"/>
      <c r="C734" s="38" t="s">
        <v>17646</v>
      </c>
      <c r="D734" s="44"/>
      <c r="E734" s="44"/>
      <c r="F734" s="38" t="s">
        <v>20993</v>
      </c>
      <c r="G734" s="38" t="s">
        <v>1260</v>
      </c>
    </row>
    <row r="735">
      <c r="A735" s="164" t="s">
        <v>20994</v>
      </c>
      <c r="B735" s="44"/>
      <c r="C735" s="44"/>
      <c r="D735" s="44"/>
      <c r="E735" s="38">
        <v>40.0</v>
      </c>
      <c r="F735" s="38" t="s">
        <v>20995</v>
      </c>
      <c r="G735" s="44"/>
    </row>
    <row r="736">
      <c r="A736" s="164" t="s">
        <v>20994</v>
      </c>
      <c r="B736" s="44"/>
      <c r="C736" s="38" t="s">
        <v>20996</v>
      </c>
      <c r="D736" s="38" t="s">
        <v>19036</v>
      </c>
      <c r="E736" s="44"/>
      <c r="F736" s="38" t="s">
        <v>1462</v>
      </c>
      <c r="G736" s="817" t="s">
        <v>19037</v>
      </c>
    </row>
    <row r="737">
      <c r="A737" s="164" t="s">
        <v>20994</v>
      </c>
      <c r="B737" s="44"/>
      <c r="C737" s="44"/>
      <c r="D737" s="44"/>
      <c r="E737" s="38">
        <v>100.0</v>
      </c>
      <c r="F737" s="38" t="s">
        <v>20997</v>
      </c>
      <c r="G737" s="44"/>
    </row>
    <row r="738">
      <c r="A738" s="164" t="s">
        <v>20994</v>
      </c>
      <c r="B738" s="44"/>
      <c r="C738" s="38" t="s">
        <v>19661</v>
      </c>
      <c r="D738" s="44"/>
      <c r="E738" s="38">
        <v>40.0</v>
      </c>
      <c r="F738" s="38" t="s">
        <v>20998</v>
      </c>
      <c r="G738" s="44"/>
    </row>
    <row r="739">
      <c r="A739" s="164" t="s">
        <v>20994</v>
      </c>
      <c r="B739" s="44"/>
      <c r="C739" s="44"/>
      <c r="D739" s="44"/>
      <c r="E739" s="38">
        <v>-11.64</v>
      </c>
      <c r="F739" s="38" t="s">
        <v>20999</v>
      </c>
      <c r="G739" s="44"/>
    </row>
    <row r="740">
      <c r="A740" s="164" t="s">
        <v>21000</v>
      </c>
      <c r="B740" s="44"/>
      <c r="C740" s="44"/>
      <c r="D740" s="44"/>
      <c r="E740" s="38">
        <v>141.0</v>
      </c>
      <c r="F740" s="38" t="s">
        <v>21001</v>
      </c>
      <c r="G740" s="44"/>
    </row>
    <row r="741">
      <c r="A741" s="164" t="s">
        <v>21000</v>
      </c>
      <c r="B741" s="44"/>
      <c r="C741" s="38" t="s">
        <v>21002</v>
      </c>
      <c r="D741" s="38" t="s">
        <v>20618</v>
      </c>
      <c r="E741" s="44"/>
      <c r="F741" s="38" t="s">
        <v>21003</v>
      </c>
      <c r="G741" s="38" t="s">
        <v>21004</v>
      </c>
    </row>
    <row r="742">
      <c r="A742" s="164" t="s">
        <v>21005</v>
      </c>
      <c r="B742" s="44"/>
      <c r="C742" s="44"/>
      <c r="D742" s="44"/>
      <c r="E742" s="38">
        <v>-13.47</v>
      </c>
      <c r="F742" s="38" t="s">
        <v>21006</v>
      </c>
      <c r="G742" s="44"/>
    </row>
    <row r="743">
      <c r="A743" s="164" t="s">
        <v>21005</v>
      </c>
      <c r="B743" s="44"/>
      <c r="C743" s="38" t="s">
        <v>19556</v>
      </c>
      <c r="D743" s="38" t="s">
        <v>21007</v>
      </c>
      <c r="E743" s="44"/>
      <c r="F743" s="38" t="s">
        <v>21008</v>
      </c>
      <c r="G743" s="44"/>
    </row>
    <row r="744">
      <c r="A744" s="818" t="s">
        <v>21009</v>
      </c>
      <c r="B744" s="648"/>
      <c r="C744" s="648"/>
      <c r="D744" s="648"/>
      <c r="E744" s="648"/>
      <c r="F744" s="648"/>
      <c r="G744" s="648"/>
      <c r="H744" s="648"/>
      <c r="I744" s="648"/>
      <c r="J744" s="648"/>
      <c r="K744" s="648"/>
      <c r="L744" s="648"/>
      <c r="M744" s="648"/>
      <c r="N744" s="648"/>
      <c r="O744" s="648"/>
      <c r="P744" s="648"/>
      <c r="Q744" s="648"/>
      <c r="R744" s="648"/>
      <c r="S744" s="648"/>
      <c r="T744" s="648"/>
      <c r="U744" s="648"/>
    </row>
    <row r="745">
      <c r="A745" s="808">
        <v>45666.0</v>
      </c>
      <c r="B745" s="44"/>
      <c r="C745" s="38" t="s">
        <v>19904</v>
      </c>
      <c r="D745" s="38" t="s">
        <v>19815</v>
      </c>
      <c r="E745" s="44"/>
      <c r="F745" s="38" t="s">
        <v>21010</v>
      </c>
      <c r="G745" s="38" t="s">
        <v>974</v>
      </c>
    </row>
    <row r="746">
      <c r="A746" s="808">
        <v>45697.0</v>
      </c>
      <c r="B746" s="44"/>
      <c r="C746" s="38" t="s">
        <v>21011</v>
      </c>
      <c r="D746" s="38" t="s">
        <v>21012</v>
      </c>
      <c r="E746" s="44"/>
      <c r="F746" s="38" t="s">
        <v>21013</v>
      </c>
      <c r="G746" s="38" t="s">
        <v>1873</v>
      </c>
    </row>
    <row r="747">
      <c r="A747" s="808">
        <v>45697.0</v>
      </c>
      <c r="B747" s="44"/>
      <c r="C747" s="38" t="s">
        <v>20213</v>
      </c>
      <c r="D747" s="38" t="s">
        <v>20850</v>
      </c>
      <c r="E747" s="44"/>
      <c r="F747" s="38" t="s">
        <v>21014</v>
      </c>
      <c r="G747" s="44"/>
    </row>
    <row r="748">
      <c r="A748" s="808">
        <v>45697.0</v>
      </c>
      <c r="B748" s="44"/>
      <c r="C748" s="38" t="s">
        <v>21015</v>
      </c>
      <c r="D748" s="44"/>
      <c r="E748" s="38">
        <v>60.0</v>
      </c>
      <c r="F748" s="38" t="s">
        <v>21016</v>
      </c>
      <c r="G748" s="38">
        <v>3.7060570468E10</v>
      </c>
    </row>
    <row r="749">
      <c r="A749" s="808">
        <v>45697.0</v>
      </c>
      <c r="B749" s="44"/>
      <c r="C749" s="44"/>
      <c r="D749" s="44"/>
      <c r="E749" s="38">
        <v>-22.78</v>
      </c>
      <c r="F749" s="38" t="s">
        <v>21017</v>
      </c>
      <c r="G749" s="44"/>
    </row>
    <row r="750">
      <c r="A750" s="808">
        <v>45697.0</v>
      </c>
      <c r="B750" s="44"/>
      <c r="C750" s="44"/>
      <c r="D750" s="44"/>
      <c r="E750" s="38">
        <v>15.0</v>
      </c>
      <c r="F750" s="38" t="s">
        <v>21018</v>
      </c>
      <c r="G750" s="38" t="s">
        <v>21019</v>
      </c>
    </row>
    <row r="751">
      <c r="A751" s="808">
        <v>45697.0</v>
      </c>
      <c r="B751" s="44"/>
      <c r="C751" s="38" t="s">
        <v>21020</v>
      </c>
      <c r="D751" s="38" t="s">
        <v>21021</v>
      </c>
      <c r="E751" s="38">
        <v>40.0</v>
      </c>
      <c r="F751" s="38" t="s">
        <v>21022</v>
      </c>
      <c r="G751" s="44"/>
    </row>
    <row r="752">
      <c r="A752" s="808">
        <v>45725.0</v>
      </c>
      <c r="B752" s="44"/>
      <c r="C752" s="44"/>
      <c r="D752" s="44"/>
      <c r="E752" s="38">
        <v>-40.0</v>
      </c>
      <c r="F752" s="38" t="s">
        <v>21023</v>
      </c>
      <c r="G752" s="44"/>
    </row>
    <row r="753">
      <c r="A753" s="808">
        <v>45725.0</v>
      </c>
      <c r="B753" s="44"/>
      <c r="C753" s="38" t="s">
        <v>1981</v>
      </c>
      <c r="D753" s="38" t="s">
        <v>1982</v>
      </c>
      <c r="E753" s="44"/>
      <c r="F753" s="38" t="s">
        <v>1984</v>
      </c>
      <c r="G753" s="94" t="s">
        <v>1985</v>
      </c>
    </row>
    <row r="754">
      <c r="A754" s="808">
        <v>45786.0</v>
      </c>
      <c r="B754" s="44"/>
      <c r="C754" s="38" t="s">
        <v>21024</v>
      </c>
      <c r="D754" s="38" t="s">
        <v>21025</v>
      </c>
      <c r="E754" s="44"/>
      <c r="F754" s="38" t="s">
        <v>21026</v>
      </c>
      <c r="G754" s="44"/>
    </row>
    <row r="755">
      <c r="A755" s="808">
        <v>45786.0</v>
      </c>
      <c r="B755" s="44"/>
      <c r="C755" s="44"/>
      <c r="D755" s="44"/>
      <c r="E755" s="38">
        <v>-540.0</v>
      </c>
      <c r="F755" s="38" t="s">
        <v>21027</v>
      </c>
      <c r="G755" s="44"/>
    </row>
    <row r="756">
      <c r="A756" s="808">
        <v>45786.0</v>
      </c>
      <c r="B756" s="44"/>
      <c r="C756" s="44"/>
      <c r="D756" s="44"/>
      <c r="E756" s="38">
        <v>270.0</v>
      </c>
      <c r="F756" s="38" t="s">
        <v>21028</v>
      </c>
      <c r="G756" s="44"/>
    </row>
    <row r="757">
      <c r="A757" s="808">
        <v>45786.0</v>
      </c>
      <c r="B757" s="44"/>
      <c r="C757" s="44"/>
      <c r="D757" s="44"/>
      <c r="E757" s="38">
        <v>-50.0</v>
      </c>
      <c r="F757" s="38" t="s">
        <v>21029</v>
      </c>
      <c r="G757" s="44"/>
    </row>
    <row r="758">
      <c r="A758" s="808">
        <v>45878.0</v>
      </c>
      <c r="B758" s="759">
        <v>0.5486111111111112</v>
      </c>
      <c r="C758" s="38"/>
      <c r="D758" s="44"/>
      <c r="E758" s="38">
        <v>15.0</v>
      </c>
      <c r="F758" s="38" t="s">
        <v>16237</v>
      </c>
      <c r="G758" s="44"/>
    </row>
    <row r="759">
      <c r="A759" s="808">
        <v>45878.0</v>
      </c>
      <c r="B759" s="44"/>
      <c r="C759" s="38" t="s">
        <v>17753</v>
      </c>
      <c r="D759" s="38" t="s">
        <v>21030</v>
      </c>
      <c r="E759" s="38">
        <v>53.2</v>
      </c>
      <c r="F759" s="38" t="s">
        <v>21031</v>
      </c>
      <c r="G759" s="38" t="s">
        <v>21032</v>
      </c>
    </row>
    <row r="760">
      <c r="A760" s="808">
        <v>45878.0</v>
      </c>
      <c r="B760" s="44"/>
      <c r="C760" s="44"/>
      <c r="D760" s="44"/>
      <c r="E760" s="38">
        <v>-2.5</v>
      </c>
      <c r="F760" s="38" t="s">
        <v>21033</v>
      </c>
      <c r="G760" s="44"/>
    </row>
    <row r="761">
      <c r="A761" s="808">
        <v>45878.0</v>
      </c>
      <c r="B761" s="44"/>
      <c r="C761" s="44"/>
      <c r="D761" s="44"/>
      <c r="E761" s="38">
        <v>-73.0</v>
      </c>
      <c r="F761" s="38" t="s">
        <v>21034</v>
      </c>
      <c r="G761" s="44"/>
    </row>
    <row r="762">
      <c r="A762" s="808">
        <v>45909.0</v>
      </c>
      <c r="B762" s="44"/>
      <c r="C762" s="38" t="s">
        <v>21035</v>
      </c>
      <c r="D762" s="38" t="s">
        <v>17781</v>
      </c>
      <c r="E762" s="44"/>
      <c r="F762" s="38" t="s">
        <v>21036</v>
      </c>
      <c r="G762" s="38" t="s">
        <v>5897</v>
      </c>
    </row>
    <row r="763">
      <c r="A763" s="808">
        <v>45909.0</v>
      </c>
      <c r="B763" s="44"/>
      <c r="C763" s="38" t="s">
        <v>4178</v>
      </c>
      <c r="D763" s="38" t="s">
        <v>4179</v>
      </c>
      <c r="E763" s="44"/>
      <c r="F763" s="38" t="s">
        <v>4180</v>
      </c>
      <c r="G763" s="38" t="s">
        <v>1940</v>
      </c>
    </row>
    <row r="764">
      <c r="A764" s="808">
        <v>45909.0</v>
      </c>
      <c r="B764" s="44"/>
      <c r="C764" s="38" t="s">
        <v>20120</v>
      </c>
      <c r="D764" s="44"/>
      <c r="E764" s="44"/>
      <c r="F764" s="38" t="s">
        <v>21037</v>
      </c>
      <c r="G764" s="112" t="s">
        <v>21038</v>
      </c>
    </row>
    <row r="765">
      <c r="A765" s="808">
        <v>45970.0</v>
      </c>
      <c r="B765" s="44"/>
      <c r="C765" s="38" t="s">
        <v>20495</v>
      </c>
      <c r="D765" s="38" t="s">
        <v>21039</v>
      </c>
      <c r="E765" s="44"/>
      <c r="F765" s="38" t="s">
        <v>21040</v>
      </c>
      <c r="G765" s="38" t="s">
        <v>1170</v>
      </c>
    </row>
    <row r="766">
      <c r="A766" s="808">
        <v>46000.0</v>
      </c>
      <c r="B766" s="44"/>
      <c r="C766" s="38" t="s">
        <v>17646</v>
      </c>
      <c r="D766" s="38" t="s">
        <v>21041</v>
      </c>
      <c r="E766" s="38">
        <v>15.0</v>
      </c>
      <c r="F766" s="38" t="s">
        <v>16237</v>
      </c>
      <c r="G766" s="44"/>
    </row>
    <row r="767">
      <c r="A767" s="808">
        <v>46000.0</v>
      </c>
      <c r="B767" s="44"/>
      <c r="C767" s="38" t="s">
        <v>21042</v>
      </c>
      <c r="D767" s="47" t="s">
        <v>17857</v>
      </c>
      <c r="E767" s="44"/>
      <c r="F767" s="38" t="s">
        <v>20489</v>
      </c>
      <c r="G767" s="38" t="s">
        <v>5897</v>
      </c>
    </row>
    <row r="768">
      <c r="A768" s="808">
        <v>46000.0</v>
      </c>
      <c r="B768" s="44"/>
      <c r="C768" s="44"/>
      <c r="D768" s="44"/>
      <c r="E768" s="38">
        <v>420.0</v>
      </c>
      <c r="F768" s="38" t="s">
        <v>21043</v>
      </c>
      <c r="G768" s="44"/>
    </row>
    <row r="769">
      <c r="A769" s="164" t="s">
        <v>1986</v>
      </c>
      <c r="B769" s="38" t="s">
        <v>21044</v>
      </c>
      <c r="C769" s="38" t="s">
        <v>21045</v>
      </c>
      <c r="D769" s="38" t="s">
        <v>21046</v>
      </c>
      <c r="E769" s="44"/>
      <c r="F769" s="38" t="s">
        <v>1987</v>
      </c>
      <c r="G769" s="38" t="s">
        <v>21047</v>
      </c>
    </row>
    <row r="770">
      <c r="A770" s="164" t="s">
        <v>1986</v>
      </c>
      <c r="B770" s="759">
        <v>0.6111111111111112</v>
      </c>
      <c r="C770" s="38" t="s">
        <v>20875</v>
      </c>
      <c r="D770" s="38" t="s">
        <v>21048</v>
      </c>
      <c r="E770" s="44"/>
      <c r="F770" s="38" t="s">
        <v>21049</v>
      </c>
      <c r="G770" s="38" t="s">
        <v>1734</v>
      </c>
    </row>
    <row r="771">
      <c r="A771" s="164" t="s">
        <v>21050</v>
      </c>
      <c r="B771" s="44"/>
      <c r="C771" s="38" t="s">
        <v>20875</v>
      </c>
      <c r="D771" s="38" t="s">
        <v>21048</v>
      </c>
      <c r="E771" s="44"/>
      <c r="F771" s="38" t="s">
        <v>1972</v>
      </c>
      <c r="G771" s="38" t="s">
        <v>1734</v>
      </c>
    </row>
    <row r="772">
      <c r="A772" s="164" t="s">
        <v>21050</v>
      </c>
      <c r="B772" s="44"/>
      <c r="C772" s="38" t="s">
        <v>21045</v>
      </c>
      <c r="D772" s="38" t="s">
        <v>21046</v>
      </c>
      <c r="E772" s="44"/>
      <c r="F772" s="38" t="s">
        <v>21051</v>
      </c>
      <c r="G772" s="38" t="s">
        <v>21047</v>
      </c>
    </row>
    <row r="773">
      <c r="A773" s="164" t="s">
        <v>21050</v>
      </c>
      <c r="B773" s="44"/>
      <c r="C773" s="94" t="s">
        <v>21052</v>
      </c>
      <c r="D773" s="94" t="s">
        <v>21053</v>
      </c>
      <c r="E773" s="44"/>
      <c r="F773" s="38" t="s">
        <v>21054</v>
      </c>
      <c r="G773" s="38" t="s">
        <v>17648</v>
      </c>
    </row>
    <row r="774">
      <c r="A774" s="164" t="s">
        <v>21050</v>
      </c>
      <c r="B774" s="44"/>
      <c r="C774" s="94" t="s">
        <v>18732</v>
      </c>
      <c r="D774" s="94" t="s">
        <v>18733</v>
      </c>
      <c r="E774" s="38">
        <v>1232.0</v>
      </c>
      <c r="F774" s="38" t="s">
        <v>21055</v>
      </c>
      <c r="G774" s="94" t="s">
        <v>20796</v>
      </c>
    </row>
    <row r="775">
      <c r="A775" s="164" t="s">
        <v>21056</v>
      </c>
      <c r="B775" s="44"/>
      <c r="C775" s="94" t="s">
        <v>21057</v>
      </c>
      <c r="D775" s="38" t="s">
        <v>21058</v>
      </c>
      <c r="E775" s="44"/>
      <c r="F775" s="38" t="s">
        <v>21059</v>
      </c>
      <c r="G775" s="94" t="s">
        <v>541</v>
      </c>
    </row>
    <row r="776">
      <c r="A776" s="164" t="s">
        <v>21060</v>
      </c>
      <c r="B776" s="44"/>
      <c r="C776" s="38" t="s">
        <v>21061</v>
      </c>
      <c r="D776" s="38" t="s">
        <v>20763</v>
      </c>
      <c r="E776" s="44"/>
      <c r="F776" s="38" t="s">
        <v>21062</v>
      </c>
      <c r="G776" s="38" t="s">
        <v>21063</v>
      </c>
    </row>
    <row r="777">
      <c r="A777" s="164" t="s">
        <v>4175</v>
      </c>
      <c r="B777" s="44"/>
      <c r="C777" s="38" t="s">
        <v>4169</v>
      </c>
      <c r="D777" s="38" t="s">
        <v>4176</v>
      </c>
      <c r="E777" s="44"/>
      <c r="F777" s="38" t="s">
        <v>4177</v>
      </c>
      <c r="G777" s="38" t="s">
        <v>1940</v>
      </c>
    </row>
    <row r="778">
      <c r="A778" s="164" t="s">
        <v>4175</v>
      </c>
      <c r="B778" s="44"/>
      <c r="C778" s="38" t="s">
        <v>21064</v>
      </c>
      <c r="D778" s="38" t="s">
        <v>21065</v>
      </c>
      <c r="E778" s="38">
        <v>15.0</v>
      </c>
      <c r="F778" s="38" t="s">
        <v>19824</v>
      </c>
      <c r="G778" s="44"/>
    </row>
    <row r="779">
      <c r="A779" s="164" t="s">
        <v>21066</v>
      </c>
      <c r="B779" s="44"/>
      <c r="C779" s="38" t="s">
        <v>20849</v>
      </c>
      <c r="D779" s="38" t="s">
        <v>20850</v>
      </c>
      <c r="E779" s="44"/>
      <c r="F779" s="38" t="s">
        <v>21067</v>
      </c>
      <c r="G779" s="44"/>
    </row>
    <row r="780">
      <c r="A780" s="164" t="s">
        <v>21066</v>
      </c>
      <c r="B780" s="44"/>
      <c r="C780" s="38" t="s">
        <v>19661</v>
      </c>
      <c r="D780" s="94" t="s">
        <v>21068</v>
      </c>
      <c r="E780" s="44"/>
      <c r="F780" s="38" t="s">
        <v>21069</v>
      </c>
      <c r="G780" s="38" t="s">
        <v>21070</v>
      </c>
    </row>
    <row r="781">
      <c r="A781" s="164" t="s">
        <v>21071</v>
      </c>
      <c r="B781" s="44"/>
      <c r="C781" s="38" t="s">
        <v>21072</v>
      </c>
      <c r="D781" s="38" t="s">
        <v>21073</v>
      </c>
      <c r="E781" s="44"/>
      <c r="F781" s="38" t="s">
        <v>20677</v>
      </c>
      <c r="G781" s="38" t="s">
        <v>21074</v>
      </c>
    </row>
    <row r="782">
      <c r="A782" s="164" t="s">
        <v>21071</v>
      </c>
      <c r="B782" s="44"/>
      <c r="C782" s="38" t="s">
        <v>21075</v>
      </c>
      <c r="D782" s="38" t="s">
        <v>21076</v>
      </c>
      <c r="E782" s="44"/>
      <c r="F782" s="38" t="s">
        <v>21077</v>
      </c>
      <c r="G782" s="38" t="s">
        <v>17648</v>
      </c>
    </row>
    <row r="783">
      <c r="A783" s="164" t="s">
        <v>21071</v>
      </c>
      <c r="B783" s="759">
        <v>0.5763888888888888</v>
      </c>
      <c r="C783" s="38" t="s">
        <v>21078</v>
      </c>
      <c r="D783" s="38" t="s">
        <v>21079</v>
      </c>
      <c r="E783" s="38">
        <v>100.0</v>
      </c>
      <c r="F783" s="38" t="s">
        <v>21080</v>
      </c>
      <c r="G783" s="44"/>
    </row>
    <row r="784">
      <c r="A784" s="164" t="s">
        <v>21071</v>
      </c>
      <c r="B784" s="759">
        <v>0.5972222222222222</v>
      </c>
      <c r="C784" s="38" t="s">
        <v>21081</v>
      </c>
      <c r="D784" s="38" t="s">
        <v>21082</v>
      </c>
      <c r="E784" s="44"/>
      <c r="F784" s="38" t="s">
        <v>21083</v>
      </c>
      <c r="G784" s="38" t="s">
        <v>21084</v>
      </c>
    </row>
    <row r="785">
      <c r="A785" s="164" t="s">
        <v>21071</v>
      </c>
      <c r="B785" s="44"/>
      <c r="C785" s="44"/>
      <c r="D785" s="44"/>
      <c r="E785" s="38">
        <v>-28.0</v>
      </c>
      <c r="F785" s="38" t="s">
        <v>21085</v>
      </c>
      <c r="G785" s="44"/>
    </row>
    <row r="786">
      <c r="A786" s="164" t="s">
        <v>21086</v>
      </c>
      <c r="B786" s="44"/>
      <c r="C786" s="38" t="s">
        <v>19778</v>
      </c>
      <c r="D786" s="44"/>
      <c r="E786" s="44"/>
      <c r="F786" s="38" t="s">
        <v>21087</v>
      </c>
      <c r="G786" s="38" t="s">
        <v>21088</v>
      </c>
    </row>
    <row r="787">
      <c r="A787" s="164" t="s">
        <v>21086</v>
      </c>
      <c r="B787" s="44"/>
      <c r="C787" s="38" t="s">
        <v>21089</v>
      </c>
      <c r="D787" s="38" t="s">
        <v>20841</v>
      </c>
      <c r="E787" s="44"/>
      <c r="F787" s="38" t="s">
        <v>21090</v>
      </c>
      <c r="G787" s="38" t="s">
        <v>21091</v>
      </c>
    </row>
    <row r="788">
      <c r="A788" s="164" t="s">
        <v>21086</v>
      </c>
      <c r="B788" s="44"/>
      <c r="C788" s="38" t="s">
        <v>21092</v>
      </c>
      <c r="D788" s="94" t="s">
        <v>20109</v>
      </c>
      <c r="E788" s="44"/>
      <c r="F788" s="38" t="s">
        <v>21093</v>
      </c>
      <c r="G788" s="94" t="s">
        <v>20110</v>
      </c>
    </row>
    <row r="789">
      <c r="A789" s="164" t="s">
        <v>21086</v>
      </c>
      <c r="B789" s="759">
        <v>0.5833333333333334</v>
      </c>
      <c r="C789" s="38" t="s">
        <v>20882</v>
      </c>
      <c r="D789" s="38" t="s">
        <v>21094</v>
      </c>
      <c r="E789" s="38">
        <v>30.0</v>
      </c>
      <c r="F789" s="38" t="s">
        <v>21095</v>
      </c>
      <c r="G789" s="44"/>
    </row>
    <row r="790">
      <c r="A790" s="164" t="s">
        <v>21096</v>
      </c>
      <c r="B790" s="44"/>
      <c r="C790" s="38" t="s">
        <v>21097</v>
      </c>
      <c r="D790" s="94" t="s">
        <v>20156</v>
      </c>
      <c r="E790" s="44"/>
      <c r="F790" s="38" t="s">
        <v>21098</v>
      </c>
      <c r="G790" s="94" t="s">
        <v>20955</v>
      </c>
    </row>
    <row r="791">
      <c r="A791" s="164" t="s">
        <v>21099</v>
      </c>
      <c r="B791" s="44"/>
      <c r="C791" s="38" t="s">
        <v>21100</v>
      </c>
      <c r="D791" s="38" t="s">
        <v>20809</v>
      </c>
      <c r="E791" s="44"/>
      <c r="F791" s="38" t="s">
        <v>21101</v>
      </c>
      <c r="G791" s="38" t="s">
        <v>21102</v>
      </c>
    </row>
    <row r="792">
      <c r="A792" s="164" t="s">
        <v>21099</v>
      </c>
      <c r="B792" s="44"/>
      <c r="C792" s="38" t="s">
        <v>21103</v>
      </c>
      <c r="D792" s="44"/>
      <c r="E792" s="44"/>
      <c r="F792" s="38" t="s">
        <v>21104</v>
      </c>
      <c r="G792" s="38" t="s">
        <v>21105</v>
      </c>
    </row>
    <row r="793">
      <c r="A793" s="164" t="s">
        <v>21099</v>
      </c>
      <c r="B793" s="38" t="s">
        <v>2089</v>
      </c>
      <c r="C793" s="38" t="s">
        <v>4169</v>
      </c>
      <c r="D793" s="38" t="s">
        <v>4176</v>
      </c>
      <c r="E793" s="44"/>
      <c r="F793" s="38" t="s">
        <v>2086</v>
      </c>
      <c r="G793" s="44"/>
      <c r="H793" s="44"/>
      <c r="I793" s="44"/>
    </row>
    <row r="794">
      <c r="A794" s="164" t="s">
        <v>21106</v>
      </c>
      <c r="B794" s="759">
        <v>0.375</v>
      </c>
      <c r="C794" s="38" t="s">
        <v>21107</v>
      </c>
      <c r="D794" s="38" t="s">
        <v>20611</v>
      </c>
      <c r="E794" s="44"/>
      <c r="F794" s="38" t="s">
        <v>21108</v>
      </c>
      <c r="G794" s="44"/>
      <c r="H794" s="44"/>
      <c r="I794" s="44"/>
    </row>
    <row r="795">
      <c r="A795" s="164" t="s">
        <v>21106</v>
      </c>
      <c r="B795" s="44"/>
      <c r="C795" s="38" t="s">
        <v>17757</v>
      </c>
      <c r="D795" s="38" t="s">
        <v>18051</v>
      </c>
      <c r="E795" s="44"/>
      <c r="F795" s="38" t="s">
        <v>21109</v>
      </c>
      <c r="G795" s="94" t="s">
        <v>21110</v>
      </c>
    </row>
    <row r="796">
      <c r="A796" s="164" t="s">
        <v>21106</v>
      </c>
      <c r="B796" s="44"/>
      <c r="C796" s="38" t="s">
        <v>21111</v>
      </c>
      <c r="D796" s="44"/>
      <c r="E796" s="44"/>
      <c r="F796" s="38" t="s">
        <v>21112</v>
      </c>
      <c r="G796" s="38" t="s">
        <v>21113</v>
      </c>
    </row>
    <row r="797">
      <c r="A797" s="164" t="s">
        <v>21106</v>
      </c>
      <c r="B797" s="44"/>
      <c r="C797" s="38" t="s">
        <v>21114</v>
      </c>
      <c r="D797" s="38" t="s">
        <v>21115</v>
      </c>
      <c r="E797" s="44"/>
      <c r="F797" s="38" t="s">
        <v>21116</v>
      </c>
      <c r="G797" s="38" t="s">
        <v>974</v>
      </c>
    </row>
    <row r="798">
      <c r="A798" s="164" t="s">
        <v>21106</v>
      </c>
      <c r="B798" s="44"/>
      <c r="C798" s="94" t="s">
        <v>21117</v>
      </c>
      <c r="D798" s="94" t="s">
        <v>21118</v>
      </c>
      <c r="E798" s="44"/>
      <c r="F798" s="38" t="s">
        <v>21119</v>
      </c>
      <c r="G798" s="94" t="s">
        <v>20284</v>
      </c>
    </row>
    <row r="799">
      <c r="A799" s="782" t="s">
        <v>21120</v>
      </c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141">
        <v>45667.0</v>
      </c>
      <c r="B800" s="44"/>
      <c r="C800" s="38" t="s">
        <v>21121</v>
      </c>
      <c r="D800" s="44"/>
      <c r="E800" s="44"/>
      <c r="F800" s="38" t="s">
        <v>4403</v>
      </c>
      <c r="G800" s="38" t="s">
        <v>21122</v>
      </c>
    </row>
    <row r="801">
      <c r="A801" s="141">
        <v>45667.0</v>
      </c>
      <c r="B801" s="44"/>
      <c r="C801" s="38" t="s">
        <v>21123</v>
      </c>
      <c r="D801" s="38" t="s">
        <v>21124</v>
      </c>
      <c r="E801" s="44"/>
      <c r="F801" s="38" t="s">
        <v>3643</v>
      </c>
      <c r="G801" s="44"/>
    </row>
    <row r="802">
      <c r="A802" s="141">
        <v>45667.0</v>
      </c>
      <c r="B802" s="44"/>
      <c r="C802" s="38" t="s">
        <v>18015</v>
      </c>
      <c r="D802" s="44"/>
      <c r="E802" s="44"/>
      <c r="F802" s="38" t="s">
        <v>9881</v>
      </c>
      <c r="G802" s="38" t="s">
        <v>21125</v>
      </c>
      <c r="R802" s="767"/>
      <c r="S802" s="767"/>
      <c r="T802" s="767"/>
    </row>
    <row r="803">
      <c r="A803" s="141">
        <v>45667.0</v>
      </c>
      <c r="B803" s="44"/>
      <c r="C803" s="38" t="s">
        <v>21111</v>
      </c>
      <c r="D803" s="44"/>
      <c r="E803" s="38">
        <v>84.0</v>
      </c>
      <c r="F803" s="38" t="s">
        <v>21126</v>
      </c>
      <c r="G803" s="38" t="s">
        <v>21127</v>
      </c>
      <c r="R803" s="767"/>
      <c r="S803" s="767"/>
      <c r="T803" s="767"/>
    </row>
    <row r="804">
      <c r="A804" s="141">
        <v>45667.0</v>
      </c>
      <c r="B804" s="44"/>
      <c r="C804" s="94" t="s">
        <v>17698</v>
      </c>
      <c r="D804" s="94" t="s">
        <v>21128</v>
      </c>
      <c r="E804" s="44"/>
      <c r="F804" s="38" t="s">
        <v>21129</v>
      </c>
      <c r="G804" s="94" t="s">
        <v>21130</v>
      </c>
      <c r="R804" s="767"/>
      <c r="S804" s="767"/>
      <c r="T804" s="767"/>
    </row>
    <row r="805">
      <c r="A805" s="141">
        <v>45667.0</v>
      </c>
      <c r="B805" s="44"/>
      <c r="C805" s="94" t="s">
        <v>21131</v>
      </c>
      <c r="D805" s="94" t="s">
        <v>21132</v>
      </c>
      <c r="E805" s="44"/>
      <c r="F805" s="38" t="s">
        <v>21133</v>
      </c>
      <c r="G805" s="94" t="s">
        <v>21134</v>
      </c>
      <c r="R805" s="767"/>
      <c r="S805" s="767"/>
      <c r="T805" s="767"/>
    </row>
    <row r="806">
      <c r="A806" s="141">
        <v>45667.0</v>
      </c>
      <c r="B806" s="44"/>
      <c r="C806" s="44"/>
      <c r="D806" s="44"/>
      <c r="E806" s="38">
        <v>-2300.0</v>
      </c>
      <c r="F806" s="38" t="s">
        <v>21135</v>
      </c>
      <c r="G806" s="44"/>
      <c r="R806" s="767"/>
      <c r="S806" s="767"/>
      <c r="T806" s="767"/>
    </row>
    <row r="807">
      <c r="A807" s="141">
        <v>45667.0</v>
      </c>
      <c r="B807" s="44"/>
      <c r="C807" s="38" t="s">
        <v>19912</v>
      </c>
      <c r="D807" s="38" t="s">
        <v>21136</v>
      </c>
      <c r="E807" s="44"/>
      <c r="F807" s="38" t="s">
        <v>21137</v>
      </c>
      <c r="G807" s="38" t="s">
        <v>17648</v>
      </c>
      <c r="R807" s="767"/>
      <c r="S807" s="767"/>
      <c r="T807" s="767"/>
    </row>
    <row r="808">
      <c r="A808" s="141">
        <v>45667.0</v>
      </c>
      <c r="B808" s="44"/>
      <c r="C808" s="38" t="s">
        <v>19912</v>
      </c>
      <c r="D808" s="38" t="s">
        <v>17802</v>
      </c>
      <c r="E808" s="44"/>
      <c r="F808" s="38" t="s">
        <v>20367</v>
      </c>
      <c r="G808" s="38" t="s">
        <v>17648</v>
      </c>
      <c r="R808" s="767"/>
      <c r="S808" s="767"/>
      <c r="T808" s="767"/>
    </row>
    <row r="809">
      <c r="A809" s="141">
        <v>45667.0</v>
      </c>
      <c r="B809" s="44"/>
      <c r="C809" s="38" t="s">
        <v>17780</v>
      </c>
      <c r="D809" s="38" t="s">
        <v>17781</v>
      </c>
      <c r="E809" s="44"/>
      <c r="F809" s="38" t="s">
        <v>21138</v>
      </c>
      <c r="G809" s="38" t="s">
        <v>17648</v>
      </c>
      <c r="R809" s="767"/>
      <c r="S809" s="767"/>
      <c r="T809" s="767"/>
    </row>
    <row r="810">
      <c r="A810" s="806">
        <v>45698.0</v>
      </c>
      <c r="B810" s="44"/>
      <c r="C810" s="409" t="s">
        <v>18864</v>
      </c>
      <c r="D810" s="819" t="s">
        <v>18865</v>
      </c>
      <c r="E810" s="820" t="s">
        <v>19309</v>
      </c>
      <c r="F810" s="409" t="s">
        <v>20367</v>
      </c>
      <c r="G810" s="819" t="s">
        <v>21139</v>
      </c>
      <c r="Q810" s="767"/>
      <c r="R810" s="767"/>
      <c r="S810" s="767"/>
      <c r="T810" s="767"/>
    </row>
    <row r="811">
      <c r="A811" s="806">
        <v>45698.0</v>
      </c>
      <c r="B811" s="44"/>
      <c r="C811" s="38" t="s">
        <v>19556</v>
      </c>
      <c r="D811" s="38" t="s">
        <v>17895</v>
      </c>
      <c r="E811" s="44"/>
      <c r="F811" s="38" t="s">
        <v>21140</v>
      </c>
      <c r="G811" s="38" t="s">
        <v>17648</v>
      </c>
      <c r="Q811" s="767"/>
      <c r="R811" s="767"/>
      <c r="S811" s="767"/>
      <c r="T811" s="767"/>
    </row>
    <row r="812">
      <c r="A812" s="806">
        <v>45698.0</v>
      </c>
      <c r="B812" s="44"/>
      <c r="C812" s="819" t="s">
        <v>19990</v>
      </c>
      <c r="D812" s="409" t="s">
        <v>18262</v>
      </c>
      <c r="E812" s="766"/>
      <c r="F812" s="409" t="s">
        <v>21141</v>
      </c>
      <c r="G812" s="819" t="s">
        <v>21142</v>
      </c>
      <c r="Q812" s="767"/>
      <c r="R812" s="767"/>
      <c r="S812" s="767"/>
      <c r="T812" s="767"/>
    </row>
    <row r="813">
      <c r="A813" s="806">
        <v>45698.0</v>
      </c>
      <c r="B813" s="44"/>
      <c r="C813" s="38" t="s">
        <v>20664</v>
      </c>
      <c r="D813" s="38" t="s">
        <v>21143</v>
      </c>
      <c r="E813" s="743">
        <v>-10.0</v>
      </c>
      <c r="F813" s="38" t="s">
        <v>21144</v>
      </c>
      <c r="G813" s="44"/>
      <c r="Q813" s="767"/>
      <c r="R813" s="767"/>
      <c r="S813" s="767"/>
      <c r="T813" s="767"/>
    </row>
    <row r="814">
      <c r="A814" s="806">
        <v>45698.0</v>
      </c>
      <c r="B814" s="44"/>
      <c r="C814" s="38" t="s">
        <v>18001</v>
      </c>
      <c r="D814" s="38" t="s">
        <v>17665</v>
      </c>
      <c r="E814" s="751"/>
      <c r="F814" s="38" t="s">
        <v>20367</v>
      </c>
      <c r="G814" s="38" t="s">
        <v>17648</v>
      </c>
      <c r="Q814" s="767"/>
      <c r="R814" s="767"/>
      <c r="S814" s="767"/>
      <c r="T814" s="767"/>
    </row>
    <row r="815">
      <c r="A815" s="806">
        <v>45698.0</v>
      </c>
      <c r="B815" s="44"/>
      <c r="C815" s="38" t="s">
        <v>21145</v>
      </c>
      <c r="D815" s="47" t="s">
        <v>18174</v>
      </c>
      <c r="E815" s="751"/>
      <c r="F815" s="38" t="s">
        <v>21133</v>
      </c>
      <c r="G815" s="38" t="s">
        <v>17648</v>
      </c>
      <c r="Q815" s="767"/>
      <c r="R815" s="767"/>
      <c r="S815" s="767"/>
      <c r="T815" s="767"/>
    </row>
    <row r="816">
      <c r="A816" s="806">
        <v>45698.0</v>
      </c>
      <c r="B816" s="44"/>
      <c r="C816" s="38" t="s">
        <v>20617</v>
      </c>
      <c r="D816" s="38" t="s">
        <v>20618</v>
      </c>
      <c r="E816" s="751"/>
      <c r="F816" s="38" t="s">
        <v>21133</v>
      </c>
      <c r="G816" s="38" t="s">
        <v>9007</v>
      </c>
      <c r="Q816" s="767"/>
      <c r="R816" s="767"/>
      <c r="S816" s="767"/>
      <c r="T816" s="767"/>
    </row>
    <row r="817">
      <c r="A817" s="806">
        <v>45698.0</v>
      </c>
      <c r="B817" s="44"/>
      <c r="C817" s="38" t="s">
        <v>21146</v>
      </c>
      <c r="D817" s="38" t="s">
        <v>18360</v>
      </c>
      <c r="E817" s="751"/>
      <c r="F817" s="38" t="s">
        <v>19824</v>
      </c>
      <c r="G817" s="38" t="s">
        <v>19857</v>
      </c>
      <c r="Q817" s="767"/>
      <c r="R817" s="767"/>
      <c r="S817" s="767"/>
      <c r="T817" s="767"/>
    </row>
    <row r="818">
      <c r="A818" s="806">
        <v>45698.0</v>
      </c>
      <c r="B818" s="44"/>
      <c r="C818" s="38" t="s">
        <v>20617</v>
      </c>
      <c r="D818" s="38" t="s">
        <v>21147</v>
      </c>
      <c r="E818" s="751"/>
      <c r="F818" s="38" t="s">
        <v>21140</v>
      </c>
      <c r="G818" s="38" t="s">
        <v>17648</v>
      </c>
      <c r="Q818" s="767"/>
      <c r="R818" s="767"/>
      <c r="S818" s="767"/>
      <c r="T818" s="767"/>
    </row>
    <row r="819">
      <c r="A819" s="806">
        <v>45698.0</v>
      </c>
      <c r="B819" s="44"/>
      <c r="C819" s="38" t="s">
        <v>17810</v>
      </c>
      <c r="D819" s="38" t="s">
        <v>17811</v>
      </c>
      <c r="E819" s="751"/>
      <c r="F819" s="38" t="s">
        <v>21148</v>
      </c>
      <c r="G819" s="38" t="s">
        <v>17648</v>
      </c>
      <c r="Q819" s="767"/>
      <c r="R819" s="767"/>
      <c r="S819" s="767"/>
      <c r="T819" s="767"/>
    </row>
    <row r="820">
      <c r="A820" s="806">
        <v>45698.0</v>
      </c>
      <c r="B820" s="759">
        <v>0.6729166666666667</v>
      </c>
      <c r="C820" s="38" t="s">
        <v>20875</v>
      </c>
      <c r="D820" s="38" t="s">
        <v>21149</v>
      </c>
      <c r="E820" s="743">
        <v>210.0</v>
      </c>
      <c r="F820" s="44"/>
      <c r="G820" s="38" t="s">
        <v>17347</v>
      </c>
      <c r="Q820" s="767"/>
      <c r="R820" s="767"/>
      <c r="S820" s="767"/>
      <c r="T820" s="767"/>
    </row>
    <row r="821">
      <c r="A821" s="806">
        <v>45698.0</v>
      </c>
      <c r="B821" s="44"/>
      <c r="C821" s="38" t="s">
        <v>21150</v>
      </c>
      <c r="D821" s="38" t="s">
        <v>3175</v>
      </c>
      <c r="E821" s="743">
        <v>10.0</v>
      </c>
      <c r="F821" s="38" t="s">
        <v>21151</v>
      </c>
      <c r="G821" s="44"/>
      <c r="Q821" s="767"/>
      <c r="R821" s="767"/>
      <c r="S821" s="767"/>
      <c r="T821" s="767"/>
    </row>
    <row r="822">
      <c r="A822" s="141">
        <v>45726.0</v>
      </c>
      <c r="B822" s="44"/>
      <c r="C822" s="94" t="s">
        <v>21152</v>
      </c>
      <c r="D822" s="38" t="s">
        <v>18001</v>
      </c>
      <c r="E822" s="751"/>
      <c r="F822" s="38" t="s">
        <v>21109</v>
      </c>
      <c r="G822" s="94" t="s">
        <v>21153</v>
      </c>
      <c r="Q822" s="767"/>
      <c r="R822" s="767"/>
      <c r="S822" s="767"/>
      <c r="T822" s="767"/>
    </row>
    <row r="823">
      <c r="A823" s="141">
        <v>45726.0</v>
      </c>
      <c r="B823" s="44"/>
      <c r="C823" s="38" t="s">
        <v>21154</v>
      </c>
      <c r="D823" s="38" t="s">
        <v>19561</v>
      </c>
      <c r="E823" s="751"/>
      <c r="F823" s="38" t="s">
        <v>21155</v>
      </c>
      <c r="G823" s="38" t="s">
        <v>17648</v>
      </c>
      <c r="Q823" s="767"/>
      <c r="R823" s="767"/>
      <c r="S823" s="767"/>
      <c r="T823" s="767"/>
    </row>
    <row r="824">
      <c r="A824" s="141">
        <v>45726.0</v>
      </c>
      <c r="B824" s="44"/>
      <c r="C824" s="94" t="s">
        <v>21156</v>
      </c>
      <c r="D824" s="94" t="s">
        <v>19645</v>
      </c>
      <c r="E824" s="751"/>
      <c r="F824" s="38" t="s">
        <v>21157</v>
      </c>
      <c r="G824" s="94" t="s">
        <v>21158</v>
      </c>
      <c r="Q824" s="767"/>
      <c r="R824" s="767"/>
      <c r="S824" s="767"/>
      <c r="T824" s="767"/>
    </row>
    <row r="825">
      <c r="A825" s="141">
        <v>45726.0</v>
      </c>
      <c r="B825" s="44"/>
      <c r="C825" s="38" t="s">
        <v>21159</v>
      </c>
      <c r="D825" s="38" t="s">
        <v>20083</v>
      </c>
      <c r="E825" s="751"/>
      <c r="F825" s="38" t="s">
        <v>21140</v>
      </c>
      <c r="G825" s="38" t="s">
        <v>17648</v>
      </c>
      <c r="I825" s="1" t="s">
        <v>21160</v>
      </c>
      <c r="Q825" s="767"/>
      <c r="R825" s="767"/>
      <c r="S825" s="767"/>
      <c r="T825" s="767"/>
    </row>
    <row r="826">
      <c r="A826" s="141">
        <v>45726.0</v>
      </c>
      <c r="B826" s="44"/>
      <c r="C826" s="38" t="s">
        <v>18001</v>
      </c>
      <c r="D826" s="40" t="s">
        <v>18163</v>
      </c>
      <c r="E826" s="751"/>
      <c r="F826" s="38" t="s">
        <v>21161</v>
      </c>
      <c r="G826" s="94" t="s">
        <v>20288</v>
      </c>
      <c r="Q826" s="767"/>
      <c r="R826" s="767"/>
      <c r="S826" s="767"/>
      <c r="T826" s="767"/>
    </row>
    <row r="827">
      <c r="A827" s="141">
        <v>45726.0</v>
      </c>
      <c r="B827" s="44"/>
      <c r="C827" s="38" t="s">
        <v>17757</v>
      </c>
      <c r="D827" s="38" t="s">
        <v>21162</v>
      </c>
      <c r="E827" s="751"/>
      <c r="F827" s="38" t="s">
        <v>20367</v>
      </c>
      <c r="G827" s="38" t="s">
        <v>17648</v>
      </c>
      <c r="Q827" s="767"/>
      <c r="R827" s="767"/>
      <c r="S827" s="767"/>
      <c r="T827" s="767"/>
    </row>
    <row r="828">
      <c r="A828" s="141">
        <v>45726.0</v>
      </c>
      <c r="B828" s="44"/>
      <c r="C828" s="38" t="s">
        <v>17757</v>
      </c>
      <c r="D828" s="38" t="s">
        <v>21163</v>
      </c>
      <c r="E828" s="751"/>
      <c r="F828" s="38" t="s">
        <v>21109</v>
      </c>
      <c r="G828" s="38" t="s">
        <v>17648</v>
      </c>
      <c r="Q828" s="767"/>
      <c r="R828" s="767"/>
      <c r="S828" s="767"/>
      <c r="T828" s="767"/>
    </row>
    <row r="829">
      <c r="A829" s="141">
        <v>45726.0</v>
      </c>
      <c r="B829" s="44"/>
      <c r="C829" s="38" t="s">
        <v>19113</v>
      </c>
      <c r="D829" s="94" t="s">
        <v>19114</v>
      </c>
      <c r="E829" s="743">
        <v>80.0</v>
      </c>
      <c r="F829" s="38" t="s">
        <v>21137</v>
      </c>
      <c r="G829" s="94" t="s">
        <v>21164</v>
      </c>
      <c r="Q829" s="767"/>
      <c r="R829" s="767"/>
      <c r="S829" s="767"/>
      <c r="T829" s="767"/>
    </row>
    <row r="830">
      <c r="A830" s="141">
        <v>45726.0</v>
      </c>
      <c r="B830" s="44"/>
      <c r="C830" s="94" t="s">
        <v>20182</v>
      </c>
      <c r="D830" s="94" t="s">
        <v>21165</v>
      </c>
      <c r="E830" s="44"/>
      <c r="F830" s="38" t="s">
        <v>21166</v>
      </c>
      <c r="G830" s="94" t="s">
        <v>21167</v>
      </c>
      <c r="Q830" s="767"/>
      <c r="R830" s="767"/>
      <c r="S830" s="767"/>
      <c r="T830" s="767"/>
    </row>
    <row r="831">
      <c r="A831" s="141">
        <v>45726.0</v>
      </c>
      <c r="B831" s="44"/>
      <c r="C831" s="38" t="s">
        <v>18445</v>
      </c>
      <c r="D831" s="38" t="s">
        <v>20047</v>
      </c>
      <c r="E831" s="751"/>
      <c r="F831" s="38" t="s">
        <v>21168</v>
      </c>
      <c r="G831" s="38" t="s">
        <v>17648</v>
      </c>
      <c r="Q831" s="767"/>
      <c r="R831" s="767"/>
      <c r="S831" s="767"/>
      <c r="T831" s="767"/>
    </row>
    <row r="832">
      <c r="A832" s="141">
        <v>45726.0</v>
      </c>
      <c r="B832" s="44"/>
      <c r="C832" s="38" t="s">
        <v>19556</v>
      </c>
      <c r="D832" s="38" t="s">
        <v>21169</v>
      </c>
      <c r="E832" s="751"/>
      <c r="F832" s="38" t="s">
        <v>21170</v>
      </c>
      <c r="G832" s="94" t="s">
        <v>18768</v>
      </c>
      <c r="Q832" s="767"/>
      <c r="R832" s="767"/>
      <c r="S832" s="767"/>
      <c r="T832" s="767"/>
    </row>
    <row r="833">
      <c r="A833" s="141">
        <v>45726.0</v>
      </c>
      <c r="B833" s="44"/>
      <c r="C833" s="38" t="s">
        <v>19661</v>
      </c>
      <c r="D833" s="38" t="s">
        <v>21171</v>
      </c>
      <c r="E833" s="743">
        <v>40.0</v>
      </c>
      <c r="F833" s="38" t="s">
        <v>20330</v>
      </c>
      <c r="G833" s="44"/>
      <c r="Q833" s="767"/>
      <c r="R833" s="767"/>
      <c r="S833" s="767"/>
      <c r="T833" s="767"/>
    </row>
    <row r="834">
      <c r="A834" s="141">
        <v>45726.0</v>
      </c>
      <c r="B834" s="44"/>
      <c r="C834" s="94" t="s">
        <v>17698</v>
      </c>
      <c r="D834" s="94" t="s">
        <v>18062</v>
      </c>
      <c r="E834" s="751"/>
      <c r="F834" s="38" t="s">
        <v>21109</v>
      </c>
      <c r="G834" s="94" t="s">
        <v>21172</v>
      </c>
      <c r="Q834" s="767"/>
      <c r="R834" s="767"/>
      <c r="S834" s="767"/>
      <c r="T834" s="767"/>
    </row>
    <row r="835">
      <c r="A835" s="141">
        <v>45726.0</v>
      </c>
      <c r="B835" s="44"/>
      <c r="C835" s="38" t="s">
        <v>21173</v>
      </c>
      <c r="D835" s="38" t="s">
        <v>19550</v>
      </c>
      <c r="E835" s="751"/>
      <c r="F835" s="38" t="s">
        <v>21174</v>
      </c>
      <c r="G835" s="777" t="s">
        <v>1985</v>
      </c>
      <c r="Q835" s="767"/>
      <c r="R835" s="767"/>
      <c r="S835" s="767"/>
      <c r="T835" s="767"/>
    </row>
    <row r="836">
      <c r="A836" s="141">
        <v>45726.0</v>
      </c>
      <c r="B836" s="44"/>
      <c r="C836" s="38" t="s">
        <v>21175</v>
      </c>
      <c r="D836" s="38" t="s">
        <v>21176</v>
      </c>
      <c r="E836" s="751"/>
      <c r="F836" s="38" t="s">
        <v>21177</v>
      </c>
      <c r="G836" s="38" t="s">
        <v>21178</v>
      </c>
      <c r="Q836" s="767"/>
      <c r="R836" s="767"/>
      <c r="S836" s="767"/>
      <c r="T836" s="767"/>
    </row>
    <row r="837">
      <c r="A837" s="806">
        <v>45818.0</v>
      </c>
      <c r="B837" s="44"/>
      <c r="C837" s="38" t="s">
        <v>17816</v>
      </c>
      <c r="D837" s="38" t="s">
        <v>17817</v>
      </c>
      <c r="E837" s="751"/>
      <c r="F837" s="38" t="s">
        <v>20241</v>
      </c>
      <c r="G837" s="38" t="s">
        <v>17648</v>
      </c>
      <c r="Q837" s="767"/>
      <c r="R837" s="767"/>
      <c r="S837" s="767"/>
      <c r="T837" s="767"/>
    </row>
    <row r="838">
      <c r="A838" s="806">
        <v>45818.0</v>
      </c>
      <c r="B838" s="44"/>
      <c r="C838" s="38" t="s">
        <v>18001</v>
      </c>
      <c r="D838" s="38" t="s">
        <v>21179</v>
      </c>
      <c r="E838" s="751"/>
      <c r="F838" s="38" t="s">
        <v>21180</v>
      </c>
      <c r="G838" s="38" t="s">
        <v>17648</v>
      </c>
      <c r="Q838" s="767"/>
      <c r="R838" s="767"/>
      <c r="S838" s="767"/>
      <c r="T838" s="767"/>
    </row>
    <row r="839">
      <c r="A839" s="806">
        <v>45818.0</v>
      </c>
      <c r="B839" s="44"/>
      <c r="C839" s="38" t="s">
        <v>20617</v>
      </c>
      <c r="D839" s="38" t="s">
        <v>17804</v>
      </c>
      <c r="E839" s="751"/>
      <c r="F839" s="38" t="s">
        <v>20241</v>
      </c>
      <c r="G839" s="38" t="s">
        <v>17648</v>
      </c>
      <c r="Q839" s="767"/>
      <c r="R839" s="767"/>
      <c r="S839" s="767"/>
      <c r="T839" s="767"/>
    </row>
    <row r="840">
      <c r="A840" s="806">
        <v>45818.0</v>
      </c>
      <c r="B840" s="44"/>
      <c r="C840" s="38" t="s">
        <v>20617</v>
      </c>
      <c r="D840" s="38" t="s">
        <v>17676</v>
      </c>
      <c r="E840" s="751"/>
      <c r="F840" s="38" t="s">
        <v>3643</v>
      </c>
      <c r="G840" s="38" t="s">
        <v>17648</v>
      </c>
      <c r="Q840" s="767"/>
      <c r="R840" s="767"/>
      <c r="S840" s="767"/>
      <c r="T840" s="767"/>
    </row>
    <row r="841">
      <c r="A841" s="806">
        <v>45818.0</v>
      </c>
      <c r="B841" s="44"/>
      <c r="C841" s="38" t="s">
        <v>21181</v>
      </c>
      <c r="D841" s="416" t="s">
        <v>18284</v>
      </c>
      <c r="E841" s="751"/>
      <c r="F841" s="38" t="s">
        <v>21182</v>
      </c>
      <c r="G841" s="94" t="s">
        <v>21183</v>
      </c>
      <c r="Q841" s="767"/>
      <c r="R841" s="767"/>
      <c r="S841" s="767"/>
      <c r="T841" s="767"/>
    </row>
    <row r="842">
      <c r="A842" s="806">
        <v>45818.0</v>
      </c>
      <c r="B842" s="44"/>
      <c r="C842" s="38" t="s">
        <v>21184</v>
      </c>
      <c r="D842" s="416" t="s">
        <v>18057</v>
      </c>
      <c r="E842" s="751"/>
      <c r="F842" s="38" t="s">
        <v>21185</v>
      </c>
      <c r="G842" s="777" t="s">
        <v>21186</v>
      </c>
      <c r="Q842" s="767"/>
      <c r="R842" s="767"/>
      <c r="S842" s="767"/>
      <c r="T842" s="767"/>
    </row>
    <row r="843">
      <c r="A843" s="806">
        <v>45818.0</v>
      </c>
      <c r="B843" s="44"/>
      <c r="C843" s="383" t="s">
        <v>21011</v>
      </c>
      <c r="D843" s="383" t="s">
        <v>20376</v>
      </c>
      <c r="E843" s="821"/>
      <c r="F843" s="383" t="s">
        <v>20370</v>
      </c>
      <c r="G843" s="383" t="s">
        <v>21187</v>
      </c>
      <c r="Q843" s="822" t="s">
        <v>21188</v>
      </c>
      <c r="R843" s="767"/>
      <c r="S843" s="767"/>
      <c r="T843" s="767"/>
      <c r="U843" s="767"/>
      <c r="V843" s="767"/>
      <c r="W843" s="767"/>
    </row>
    <row r="844">
      <c r="A844" s="806">
        <v>45818.0</v>
      </c>
      <c r="B844" s="44"/>
      <c r="C844" s="38" t="s">
        <v>17856</v>
      </c>
      <c r="D844" s="47" t="s">
        <v>17871</v>
      </c>
      <c r="E844" s="821"/>
      <c r="F844" s="383" t="s">
        <v>20330</v>
      </c>
      <c r="G844" s="383" t="s">
        <v>17648</v>
      </c>
      <c r="Q844" s="823" t="s">
        <v>21189</v>
      </c>
      <c r="S844" s="767"/>
      <c r="T844" s="767"/>
      <c r="U844" s="767"/>
      <c r="V844" s="767"/>
      <c r="W844" s="767"/>
    </row>
    <row r="845">
      <c r="A845" s="806">
        <v>45818.0</v>
      </c>
      <c r="B845" s="44"/>
      <c r="C845" s="38" t="s">
        <v>19912</v>
      </c>
      <c r="D845" s="38" t="s">
        <v>18127</v>
      </c>
      <c r="E845" s="751"/>
      <c r="F845" s="38" t="s">
        <v>21190</v>
      </c>
      <c r="G845" s="94" t="s">
        <v>21191</v>
      </c>
      <c r="Q845" s="824" t="s">
        <v>21192</v>
      </c>
      <c r="R845" s="824" t="s">
        <v>21193</v>
      </c>
      <c r="S845" s="767"/>
      <c r="T845" s="767"/>
      <c r="U845" s="767"/>
      <c r="V845" s="767"/>
      <c r="W845" s="767"/>
    </row>
    <row r="846">
      <c r="A846" s="806">
        <v>45818.0</v>
      </c>
      <c r="B846" s="44"/>
      <c r="C846" s="38" t="s">
        <v>19912</v>
      </c>
      <c r="D846" s="94" t="s">
        <v>21194</v>
      </c>
      <c r="E846" s="44"/>
      <c r="F846" s="38" t="s">
        <v>21195</v>
      </c>
      <c r="G846" s="94" t="s">
        <v>21196</v>
      </c>
      <c r="Q846" s="824" t="s">
        <v>21197</v>
      </c>
      <c r="R846" s="824" t="s">
        <v>21198</v>
      </c>
      <c r="S846" s="767"/>
      <c r="T846" s="767"/>
      <c r="U846" s="767"/>
      <c r="V846" s="767"/>
      <c r="W846" s="767"/>
    </row>
    <row r="847">
      <c r="A847" s="806">
        <v>45818.0</v>
      </c>
      <c r="B847" s="44"/>
      <c r="C847" s="38" t="s">
        <v>19944</v>
      </c>
      <c r="D847" s="38" t="s">
        <v>21199</v>
      </c>
      <c r="E847" s="743">
        <v>30.0</v>
      </c>
      <c r="F847" s="38" t="s">
        <v>20745</v>
      </c>
      <c r="G847" s="38" t="s">
        <v>21200</v>
      </c>
      <c r="Q847" s="824" t="s">
        <v>21201</v>
      </c>
      <c r="R847" s="824" t="s">
        <v>21202</v>
      </c>
      <c r="S847" s="767"/>
      <c r="T847" s="767"/>
      <c r="U847" s="767"/>
      <c r="V847" s="767"/>
      <c r="W847" s="767"/>
    </row>
    <row r="848">
      <c r="A848" s="806">
        <v>45818.0</v>
      </c>
      <c r="B848" s="44"/>
      <c r="C848" s="94" t="s">
        <v>21203</v>
      </c>
      <c r="D848" s="94" t="s">
        <v>21204</v>
      </c>
      <c r="E848" s="751"/>
      <c r="F848" s="38" t="s">
        <v>21205</v>
      </c>
      <c r="G848" s="94" t="s">
        <v>20575</v>
      </c>
      <c r="Q848" s="824" t="s">
        <v>21206</v>
      </c>
      <c r="R848" s="824" t="s">
        <v>21207</v>
      </c>
      <c r="S848" s="767"/>
      <c r="T848" s="767"/>
      <c r="U848" s="767"/>
      <c r="V848" s="767"/>
      <c r="W848" s="767"/>
    </row>
    <row r="849">
      <c r="A849" s="806">
        <v>45818.0</v>
      </c>
      <c r="B849" s="44"/>
      <c r="C849" s="38" t="s">
        <v>21208</v>
      </c>
      <c r="D849" s="38" t="s">
        <v>20611</v>
      </c>
      <c r="E849" s="751"/>
      <c r="F849" s="38" t="s">
        <v>21209</v>
      </c>
      <c r="G849" s="44"/>
      <c r="Q849" s="824" t="s">
        <v>21210</v>
      </c>
      <c r="R849" s="824" t="s">
        <v>21211</v>
      </c>
      <c r="S849" s="767"/>
      <c r="T849" s="767"/>
      <c r="U849" s="767"/>
      <c r="V849" s="767"/>
      <c r="W849" s="767"/>
    </row>
    <row r="850">
      <c r="A850" s="806">
        <v>45818.0</v>
      </c>
      <c r="B850" s="44"/>
      <c r="C850" s="38" t="s">
        <v>18224</v>
      </c>
      <c r="D850" s="94" t="s">
        <v>21212</v>
      </c>
      <c r="E850" s="751"/>
      <c r="F850" s="38" t="s">
        <v>21213</v>
      </c>
      <c r="G850" s="94" t="s">
        <v>21214</v>
      </c>
      <c r="Q850" s="824" t="s">
        <v>21215</v>
      </c>
      <c r="R850" s="824" t="s">
        <v>21216</v>
      </c>
      <c r="S850" s="767"/>
      <c r="T850" s="767"/>
      <c r="U850" s="767"/>
      <c r="V850" s="767"/>
      <c r="W850" s="767"/>
    </row>
    <row r="851">
      <c r="A851" s="141">
        <v>45848.0</v>
      </c>
      <c r="B851" s="44"/>
      <c r="C851" s="38" t="s">
        <v>20617</v>
      </c>
      <c r="D851" s="94" t="s">
        <v>18251</v>
      </c>
      <c r="E851" s="44"/>
      <c r="F851" s="38" t="s">
        <v>21217</v>
      </c>
      <c r="G851" s="94" t="s">
        <v>21218</v>
      </c>
      <c r="Q851" s="824" t="s">
        <v>21219</v>
      </c>
      <c r="R851" s="824" t="s">
        <v>21220</v>
      </c>
      <c r="S851" s="767"/>
      <c r="T851" s="767"/>
      <c r="U851" s="767"/>
      <c r="V851" s="767"/>
      <c r="W851" s="767"/>
    </row>
    <row r="852">
      <c r="A852" s="141">
        <v>45848.0</v>
      </c>
      <c r="B852" s="44"/>
      <c r="C852" s="38" t="s">
        <v>21221</v>
      </c>
      <c r="D852" s="38" t="s">
        <v>17851</v>
      </c>
      <c r="E852" s="751"/>
      <c r="F852" s="38" t="s">
        <v>20336</v>
      </c>
      <c r="G852" s="38" t="s">
        <v>17648</v>
      </c>
      <c r="Q852" s="824" t="s">
        <v>21222</v>
      </c>
      <c r="R852" s="824" t="s">
        <v>21223</v>
      </c>
      <c r="S852" s="767"/>
      <c r="T852" s="767"/>
      <c r="U852" s="767"/>
      <c r="V852" s="767"/>
      <c r="W852" s="767"/>
    </row>
    <row r="853">
      <c r="A853" s="141">
        <v>45848.0</v>
      </c>
      <c r="B853" s="44"/>
      <c r="C853" s="49" t="s">
        <v>18232</v>
      </c>
      <c r="D853" s="819" t="s">
        <v>21224</v>
      </c>
      <c r="E853" s="766"/>
      <c r="F853" s="409" t="s">
        <v>21225</v>
      </c>
      <c r="G853" s="819" t="s">
        <v>5573</v>
      </c>
      <c r="Q853" s="825"/>
      <c r="U853" s="767"/>
      <c r="V853" s="767"/>
      <c r="W853" s="767"/>
    </row>
    <row r="854">
      <c r="A854" s="141">
        <v>45848.0</v>
      </c>
      <c r="B854" s="44"/>
      <c r="C854" s="38" t="s">
        <v>21226</v>
      </c>
      <c r="D854" s="38" t="s">
        <v>21227</v>
      </c>
      <c r="E854" s="751"/>
      <c r="F854" s="38" t="s">
        <v>21228</v>
      </c>
      <c r="G854" s="38" t="s">
        <v>17648</v>
      </c>
      <c r="Q854" s="823" t="s">
        <v>21229</v>
      </c>
      <c r="U854" s="767"/>
      <c r="V854" s="767"/>
      <c r="W854" s="767"/>
    </row>
    <row r="855">
      <c r="A855" s="141">
        <v>45848.0</v>
      </c>
      <c r="B855" s="44"/>
      <c r="C855" s="38" t="s">
        <v>17933</v>
      </c>
      <c r="D855" s="777" t="s">
        <v>21230</v>
      </c>
      <c r="E855" s="751"/>
      <c r="F855" s="38" t="s">
        <v>20418</v>
      </c>
      <c r="G855" s="94" t="s">
        <v>21231</v>
      </c>
      <c r="Q855" s="823" t="s">
        <v>21232</v>
      </c>
      <c r="R855" s="826" t="s">
        <v>21233</v>
      </c>
      <c r="S855" s="827" t="s">
        <v>21234</v>
      </c>
      <c r="T855" s="826" t="s">
        <v>21235</v>
      </c>
      <c r="U855" s="767"/>
      <c r="V855" s="767"/>
      <c r="W855" s="767"/>
    </row>
    <row r="856">
      <c r="A856" s="141">
        <v>45848.0</v>
      </c>
      <c r="B856" s="44"/>
      <c r="C856" s="38" t="s">
        <v>2864</v>
      </c>
      <c r="D856" s="38" t="s">
        <v>21236</v>
      </c>
      <c r="E856" s="751"/>
      <c r="F856" s="38" t="s">
        <v>21237</v>
      </c>
      <c r="G856" s="38" t="s">
        <v>17648</v>
      </c>
      <c r="Q856" s="824" t="s">
        <v>21238</v>
      </c>
      <c r="R856" s="824" t="s">
        <v>21239</v>
      </c>
      <c r="S856" s="824" t="s">
        <v>21240</v>
      </c>
      <c r="T856" s="824" t="s">
        <v>21241</v>
      </c>
      <c r="U856" s="767"/>
      <c r="V856" s="767"/>
      <c r="W856" s="767"/>
    </row>
    <row r="857">
      <c r="A857" s="141">
        <v>45848.0</v>
      </c>
      <c r="B857" s="44"/>
      <c r="C857" s="38" t="s">
        <v>19912</v>
      </c>
      <c r="D857" s="38" t="s">
        <v>18248</v>
      </c>
      <c r="E857" s="751"/>
      <c r="F857" s="38" t="s">
        <v>21242</v>
      </c>
      <c r="G857" s="38" t="s">
        <v>17648</v>
      </c>
      <c r="Q857" s="824" t="s">
        <v>21243</v>
      </c>
      <c r="R857" s="824" t="s">
        <v>21239</v>
      </c>
      <c r="S857" s="824" t="s">
        <v>21240</v>
      </c>
      <c r="T857" s="824" t="s">
        <v>21241</v>
      </c>
      <c r="U857" s="767"/>
      <c r="V857" s="767"/>
      <c r="W857" s="767"/>
    </row>
    <row r="858">
      <c r="A858" s="141">
        <v>45848.0</v>
      </c>
      <c r="B858" s="44"/>
      <c r="C858" s="38" t="s">
        <v>21244</v>
      </c>
      <c r="D858" s="38" t="s">
        <v>20611</v>
      </c>
      <c r="E858" s="751"/>
      <c r="F858" s="38" t="s">
        <v>3643</v>
      </c>
      <c r="G858" s="44"/>
      <c r="Q858" s="824" t="s">
        <v>21245</v>
      </c>
      <c r="R858" s="824" t="s">
        <v>21246</v>
      </c>
      <c r="S858" s="824" t="s">
        <v>21247</v>
      </c>
      <c r="T858" s="824" t="s">
        <v>21248</v>
      </c>
      <c r="U858" s="767"/>
      <c r="V858" s="767"/>
      <c r="W858" s="767"/>
    </row>
    <row r="859">
      <c r="A859" s="141">
        <v>45848.0</v>
      </c>
      <c r="B859" s="759">
        <v>0.5</v>
      </c>
      <c r="C859" s="38" t="s">
        <v>3177</v>
      </c>
      <c r="D859" s="38" t="s">
        <v>21249</v>
      </c>
      <c r="E859" s="743"/>
      <c r="F859" s="38" t="s">
        <v>21250</v>
      </c>
      <c r="G859" s="38">
        <v>3.7061837337E10</v>
      </c>
      <c r="Q859" s="824" t="s">
        <v>21251</v>
      </c>
      <c r="R859" s="824" t="s">
        <v>21252</v>
      </c>
      <c r="S859" s="824" t="s">
        <v>21241</v>
      </c>
      <c r="T859" s="824" t="s">
        <v>21253</v>
      </c>
      <c r="U859" s="767"/>
      <c r="V859" s="767"/>
      <c r="W859" s="767"/>
    </row>
    <row r="860">
      <c r="A860" s="141">
        <v>45848.0</v>
      </c>
      <c r="B860" s="759">
        <v>0.5416666666666666</v>
      </c>
      <c r="C860" s="38" t="s">
        <v>3177</v>
      </c>
      <c r="D860" s="38" t="s">
        <v>21249</v>
      </c>
      <c r="E860" s="743">
        <v>20.0</v>
      </c>
      <c r="F860" s="38" t="s">
        <v>21250</v>
      </c>
      <c r="G860" s="38">
        <v>3.7061837337E10</v>
      </c>
      <c r="Q860" s="824" t="s">
        <v>21254</v>
      </c>
      <c r="R860" s="824" t="s">
        <v>21255</v>
      </c>
      <c r="S860" s="824" t="s">
        <v>21253</v>
      </c>
      <c r="T860" s="824" t="s">
        <v>21256</v>
      </c>
      <c r="U860" s="767"/>
      <c r="V860" s="767"/>
      <c r="W860" s="767"/>
    </row>
    <row r="861">
      <c r="A861" s="141">
        <v>45848.0</v>
      </c>
      <c r="B861" s="44"/>
      <c r="C861" s="94" t="s">
        <v>17698</v>
      </c>
      <c r="D861" s="416" t="s">
        <v>21257</v>
      </c>
      <c r="E861" s="828"/>
      <c r="F861" s="529" t="s">
        <v>21258</v>
      </c>
      <c r="G861" s="416" t="s">
        <v>21259</v>
      </c>
      <c r="I861" s="829"/>
      <c r="Q861" s="824" t="s">
        <v>21260</v>
      </c>
      <c r="R861" s="824" t="s">
        <v>21261</v>
      </c>
      <c r="S861" s="824" t="s">
        <v>21256</v>
      </c>
      <c r="T861" s="824" t="s">
        <v>21262</v>
      </c>
      <c r="U861" s="767"/>
      <c r="V861" s="767"/>
      <c r="W861" s="767"/>
    </row>
    <row r="862">
      <c r="A862" s="141">
        <v>45848.0</v>
      </c>
      <c r="B862" s="44"/>
      <c r="C862" s="416" t="s">
        <v>19912</v>
      </c>
      <c r="D862" s="416" t="s">
        <v>18399</v>
      </c>
      <c r="E862" s="828"/>
      <c r="F862" s="529" t="s">
        <v>21263</v>
      </c>
      <c r="G862" s="416" t="s">
        <v>21264</v>
      </c>
      <c r="I862" s="829"/>
      <c r="Q862" s="824" t="s">
        <v>21265</v>
      </c>
      <c r="R862" s="824" t="s">
        <v>21266</v>
      </c>
      <c r="S862" s="824" t="s">
        <v>21262</v>
      </c>
      <c r="T862" s="824" t="s">
        <v>21267</v>
      </c>
      <c r="U862" s="767"/>
      <c r="V862" s="767"/>
      <c r="W862" s="767"/>
    </row>
    <row r="863">
      <c r="A863" s="141">
        <v>45848.0</v>
      </c>
      <c r="B863" s="44"/>
      <c r="C863" s="38" t="s">
        <v>19765</v>
      </c>
      <c r="D863" s="38" t="s">
        <v>17764</v>
      </c>
      <c r="E863" s="44"/>
      <c r="F863" s="38" t="s">
        <v>21268</v>
      </c>
      <c r="G863" s="38" t="s">
        <v>17648</v>
      </c>
      <c r="I863" s="829"/>
      <c r="Q863" s="823" t="s">
        <v>21269</v>
      </c>
      <c r="R863" s="824" t="s">
        <v>21233</v>
      </c>
      <c r="S863" s="826" t="s">
        <v>21234</v>
      </c>
      <c r="T863" s="826" t="s">
        <v>21235</v>
      </c>
      <c r="U863" s="767"/>
      <c r="V863" s="767"/>
      <c r="W863" s="767"/>
    </row>
    <row r="864">
      <c r="A864" s="141">
        <v>45848.0</v>
      </c>
      <c r="B864" s="44"/>
      <c r="C864" s="38" t="s">
        <v>19912</v>
      </c>
      <c r="D864" s="38" t="s">
        <v>18229</v>
      </c>
      <c r="E864" s="44"/>
      <c r="F864" s="38" t="s">
        <v>20241</v>
      </c>
      <c r="G864" s="94" t="s">
        <v>21270</v>
      </c>
      <c r="Q864" s="824" t="s">
        <v>21271</v>
      </c>
      <c r="R864" s="824" t="s">
        <v>21246</v>
      </c>
      <c r="S864" s="824" t="s">
        <v>21247</v>
      </c>
      <c r="T864" s="824" t="s">
        <v>21248</v>
      </c>
      <c r="U864" s="767"/>
      <c r="V864" s="767"/>
      <c r="W864" s="767"/>
    </row>
    <row r="865">
      <c r="A865" s="806">
        <v>45879.0</v>
      </c>
      <c r="B865" s="44"/>
      <c r="C865" s="38" t="s">
        <v>19556</v>
      </c>
      <c r="D865" s="409" t="s">
        <v>20781</v>
      </c>
      <c r="E865" s="407"/>
      <c r="F865" s="409" t="s">
        <v>21272</v>
      </c>
      <c r="G865" s="416" t="s">
        <v>1202</v>
      </c>
      <c r="Q865" s="824" t="s">
        <v>21273</v>
      </c>
      <c r="R865" s="824" t="s">
        <v>21274</v>
      </c>
      <c r="S865" s="824" t="s">
        <v>21248</v>
      </c>
      <c r="T865" s="824" t="s">
        <v>21275</v>
      </c>
      <c r="U865" s="767"/>
      <c r="V865" s="767"/>
      <c r="W865" s="767"/>
    </row>
    <row r="866">
      <c r="A866" s="806">
        <v>45879.0</v>
      </c>
      <c r="B866" s="44"/>
      <c r="C866" s="38" t="s">
        <v>19704</v>
      </c>
      <c r="D866" s="819" t="s">
        <v>21276</v>
      </c>
      <c r="E866" s="409" t="s">
        <v>21277</v>
      </c>
      <c r="F866" s="409" t="s">
        <v>20330</v>
      </c>
      <c r="G866" s="819" t="s">
        <v>21278</v>
      </c>
      <c r="H866" s="38" t="s">
        <v>21279</v>
      </c>
      <c r="I866" s="38" t="s">
        <v>21280</v>
      </c>
      <c r="J866" s="217" t="s">
        <v>21281</v>
      </c>
      <c r="K866" s="44"/>
      <c r="L866" s="44"/>
      <c r="Q866" s="824" t="s">
        <v>21282</v>
      </c>
      <c r="R866" s="824" t="s">
        <v>21261</v>
      </c>
      <c r="S866" s="824" t="s">
        <v>21256</v>
      </c>
      <c r="T866" s="824" t="s">
        <v>21262</v>
      </c>
      <c r="U866" s="767"/>
      <c r="V866" s="767"/>
      <c r="W866" s="767"/>
    </row>
    <row r="867">
      <c r="A867" s="806">
        <v>45879.0</v>
      </c>
      <c r="B867" s="44"/>
      <c r="C867" s="44"/>
      <c r="D867" s="94" t="s">
        <v>20601</v>
      </c>
      <c r="E867" s="409" t="s">
        <v>21277</v>
      </c>
      <c r="F867" s="38" t="s">
        <v>13622</v>
      </c>
      <c r="G867" s="819" t="s">
        <v>21278</v>
      </c>
      <c r="H867" s="44"/>
      <c r="I867" s="44"/>
      <c r="J867" s="44"/>
      <c r="K867" s="44"/>
      <c r="L867" s="44"/>
      <c r="Q867" s="824" t="s">
        <v>21283</v>
      </c>
      <c r="R867" s="824" t="s">
        <v>21284</v>
      </c>
      <c r="S867" s="824" t="s">
        <v>21267</v>
      </c>
      <c r="T867" s="824" t="s">
        <v>21285</v>
      </c>
      <c r="U867" s="767"/>
      <c r="V867" s="767"/>
      <c r="W867" s="767"/>
    </row>
    <row r="868">
      <c r="A868" s="806">
        <v>45879.0</v>
      </c>
      <c r="B868" s="44"/>
      <c r="C868" s="38" t="s">
        <v>3175</v>
      </c>
      <c r="D868" s="777" t="s">
        <v>21286</v>
      </c>
      <c r="E868" s="44"/>
      <c r="F868" s="38" t="s">
        <v>20457</v>
      </c>
      <c r="G868" s="38" t="s">
        <v>17648</v>
      </c>
      <c r="Q868" s="823" t="s">
        <v>21287</v>
      </c>
      <c r="R868" s="824" t="s">
        <v>21233</v>
      </c>
      <c r="S868" s="826" t="s">
        <v>21234</v>
      </c>
      <c r="T868" s="826" t="s">
        <v>21235</v>
      </c>
      <c r="U868" s="767"/>
      <c r="V868" s="767"/>
      <c r="W868" s="767"/>
    </row>
    <row r="869">
      <c r="A869" s="806">
        <v>45879.0</v>
      </c>
      <c r="B869" s="44"/>
      <c r="C869" s="38" t="s">
        <v>21288</v>
      </c>
      <c r="D869" s="777" t="s">
        <v>21289</v>
      </c>
      <c r="E869" s="44"/>
      <c r="F869" s="38" t="s">
        <v>20319</v>
      </c>
      <c r="G869" s="38" t="s">
        <v>17648</v>
      </c>
      <c r="Q869" s="824" t="s">
        <v>21271</v>
      </c>
      <c r="R869" s="824" t="s">
        <v>21274</v>
      </c>
      <c r="S869" s="824" t="s">
        <v>21248</v>
      </c>
      <c r="T869" s="824" t="s">
        <v>21275</v>
      </c>
      <c r="U869" s="767"/>
      <c r="V869" s="767"/>
      <c r="W869" s="767"/>
    </row>
    <row r="870">
      <c r="A870" s="806">
        <v>45879.0</v>
      </c>
      <c r="B870" s="44"/>
      <c r="C870" s="38" t="s">
        <v>20911</v>
      </c>
      <c r="D870" s="38" t="s">
        <v>21290</v>
      </c>
      <c r="E870" s="38">
        <v>40.0</v>
      </c>
      <c r="F870" s="38" t="s">
        <v>21291</v>
      </c>
      <c r="G870" s="38" t="s">
        <v>21292</v>
      </c>
      <c r="Q870" s="824" t="s">
        <v>21273</v>
      </c>
      <c r="R870" s="824" t="s">
        <v>21293</v>
      </c>
      <c r="S870" s="824" t="s">
        <v>21275</v>
      </c>
      <c r="T870" s="824" t="s">
        <v>21294</v>
      </c>
      <c r="U870" s="767"/>
      <c r="V870" s="767"/>
      <c r="W870" s="767"/>
    </row>
    <row r="871">
      <c r="A871" s="806">
        <v>45879.0</v>
      </c>
      <c r="B871" s="44"/>
      <c r="C871" s="38" t="s">
        <v>21295</v>
      </c>
      <c r="D871" s="38" t="s">
        <v>17925</v>
      </c>
      <c r="E871" s="44"/>
      <c r="F871" s="38" t="s">
        <v>20367</v>
      </c>
      <c r="G871" s="38" t="s">
        <v>17648</v>
      </c>
      <c r="Q871" s="824" t="s">
        <v>21282</v>
      </c>
      <c r="R871" s="824" t="s">
        <v>21266</v>
      </c>
      <c r="S871" s="824" t="s">
        <v>21262</v>
      </c>
      <c r="T871" s="824" t="s">
        <v>21267</v>
      </c>
      <c r="U871" s="767"/>
      <c r="V871" s="767"/>
      <c r="W871" s="767"/>
    </row>
    <row r="872">
      <c r="A872" s="806">
        <v>45879.0</v>
      </c>
      <c r="B872" s="44"/>
      <c r="C872" s="38" t="s">
        <v>17681</v>
      </c>
      <c r="D872" s="38" t="s">
        <v>17682</v>
      </c>
      <c r="E872" s="44"/>
      <c r="F872" s="38" t="s">
        <v>20457</v>
      </c>
      <c r="G872" s="38" t="s">
        <v>17648</v>
      </c>
      <c r="Q872" s="824" t="s">
        <v>21283</v>
      </c>
      <c r="R872" s="824" t="s">
        <v>21296</v>
      </c>
      <c r="S872" s="824" t="s">
        <v>21285</v>
      </c>
      <c r="T872" s="824" t="s">
        <v>21297</v>
      </c>
      <c r="U872" s="767"/>
      <c r="V872" s="767"/>
      <c r="W872" s="767"/>
    </row>
    <row r="873">
      <c r="A873" s="806">
        <v>45879.0</v>
      </c>
      <c r="B873" s="44"/>
      <c r="C873" s="38" t="s">
        <v>21146</v>
      </c>
      <c r="D873" s="38" t="s">
        <v>21298</v>
      </c>
      <c r="E873" s="44"/>
      <c r="F873" s="38" t="s">
        <v>21299</v>
      </c>
      <c r="G873" s="94" t="s">
        <v>21300</v>
      </c>
      <c r="Q873" s="823" t="s">
        <v>21301</v>
      </c>
      <c r="R873" s="824" t="s">
        <v>21233</v>
      </c>
      <c r="S873" s="826" t="s">
        <v>21234</v>
      </c>
      <c r="T873" s="824" t="s">
        <v>21234</v>
      </c>
      <c r="U873" s="767"/>
      <c r="V873" s="767"/>
      <c r="W873" s="767"/>
    </row>
    <row r="874">
      <c r="A874" s="806">
        <v>45879.0</v>
      </c>
      <c r="B874" s="44"/>
      <c r="C874" s="38" t="s">
        <v>20617</v>
      </c>
      <c r="D874" s="777" t="s">
        <v>17869</v>
      </c>
      <c r="E874" s="44"/>
      <c r="F874" s="38" t="s">
        <v>20324</v>
      </c>
      <c r="G874" s="38" t="s">
        <v>17648</v>
      </c>
      <c r="Q874" s="824" t="s">
        <v>21302</v>
      </c>
      <c r="R874" s="824" t="s">
        <v>21261</v>
      </c>
      <c r="S874" s="824" t="s">
        <v>21256</v>
      </c>
      <c r="T874" s="825"/>
      <c r="U874" s="767"/>
      <c r="V874" s="767"/>
      <c r="W874" s="767"/>
    </row>
    <row r="875">
      <c r="A875" s="806">
        <v>45879.0</v>
      </c>
      <c r="B875" s="44"/>
      <c r="C875" s="40" t="s">
        <v>17856</v>
      </c>
      <c r="D875" s="94" t="s">
        <v>21303</v>
      </c>
      <c r="E875" s="44"/>
      <c r="F875" s="38" t="s">
        <v>18878</v>
      </c>
      <c r="G875" s="94" t="s">
        <v>21304</v>
      </c>
      <c r="Q875" s="825"/>
      <c r="R875" s="767"/>
      <c r="S875" s="767"/>
      <c r="T875" s="767"/>
      <c r="U875" s="767"/>
      <c r="V875" s="767"/>
      <c r="W875" s="767"/>
    </row>
    <row r="876">
      <c r="A876" s="830">
        <v>45879.0</v>
      </c>
      <c r="C876" s="1" t="s">
        <v>19730</v>
      </c>
      <c r="D876" s="1" t="s">
        <v>20835</v>
      </c>
      <c r="F876" s="1" t="s">
        <v>20418</v>
      </c>
      <c r="G876" s="1" t="s">
        <v>21305</v>
      </c>
      <c r="H876" s="1" t="s">
        <v>21306</v>
      </c>
      <c r="Q876" s="823" t="s">
        <v>21307</v>
      </c>
      <c r="S876" s="767"/>
      <c r="T876" s="767"/>
      <c r="U876" s="767"/>
      <c r="V876" s="767"/>
      <c r="W876" s="767"/>
    </row>
    <row r="877">
      <c r="A877" s="806">
        <v>45879.0</v>
      </c>
      <c r="B877" s="759">
        <v>0.7</v>
      </c>
      <c r="C877" s="44"/>
      <c r="D877" s="44"/>
      <c r="E877" s="38">
        <v>-200.0</v>
      </c>
      <c r="F877" s="38" t="s">
        <v>19841</v>
      </c>
      <c r="G877" s="44"/>
      <c r="Q877" s="824" t="s">
        <v>21308</v>
      </c>
      <c r="R877" s="824" t="s">
        <v>21309</v>
      </c>
      <c r="S877" s="767"/>
      <c r="T877" s="767"/>
      <c r="U877" s="767"/>
      <c r="V877" s="767"/>
      <c r="W877" s="767"/>
    </row>
    <row r="878">
      <c r="A878" s="806">
        <v>45879.0</v>
      </c>
      <c r="B878" s="44"/>
      <c r="C878" s="38" t="s">
        <v>20068</v>
      </c>
      <c r="D878" s="38" t="s">
        <v>21310</v>
      </c>
      <c r="E878" s="44"/>
      <c r="F878" s="38" t="s">
        <v>5885</v>
      </c>
      <c r="G878" s="38" t="s">
        <v>21311</v>
      </c>
      <c r="Q878" s="824" t="s">
        <v>21312</v>
      </c>
      <c r="R878" s="824" t="s">
        <v>21313</v>
      </c>
      <c r="S878" s="767"/>
      <c r="T878" s="767"/>
      <c r="U878" s="767"/>
      <c r="V878" s="767"/>
      <c r="W878" s="767"/>
    </row>
    <row r="879">
      <c r="A879" s="141">
        <v>45910.0</v>
      </c>
      <c r="B879" s="44"/>
      <c r="C879" s="38" t="s">
        <v>19661</v>
      </c>
      <c r="D879" s="94" t="s">
        <v>18410</v>
      </c>
      <c r="E879" s="44"/>
      <c r="F879" s="38" t="s">
        <v>20324</v>
      </c>
      <c r="G879" s="94" t="s">
        <v>21314</v>
      </c>
      <c r="Q879" s="824" t="s">
        <v>21315</v>
      </c>
      <c r="R879" s="824" t="s">
        <v>21316</v>
      </c>
      <c r="S879" s="767"/>
      <c r="T879" s="767"/>
      <c r="U879" s="767"/>
      <c r="V879" s="767"/>
      <c r="W879" s="767"/>
    </row>
    <row r="880">
      <c r="A880" s="141">
        <v>45910.0</v>
      </c>
      <c r="B880" s="44"/>
      <c r="C880" s="38" t="s">
        <v>21317</v>
      </c>
      <c r="D880" s="38" t="s">
        <v>21318</v>
      </c>
      <c r="E880" s="44"/>
      <c r="F880" s="38" t="s">
        <v>21319</v>
      </c>
      <c r="G880" s="38" t="s">
        <v>17648</v>
      </c>
      <c r="Q880" s="824" t="s">
        <v>21320</v>
      </c>
      <c r="R880" s="824" t="s">
        <v>21309</v>
      </c>
      <c r="S880" s="767"/>
      <c r="T880" s="767"/>
      <c r="U880" s="767"/>
      <c r="V880" s="767"/>
      <c r="W880" s="767"/>
    </row>
    <row r="881">
      <c r="A881" s="141">
        <v>45910.0</v>
      </c>
      <c r="B881" s="44"/>
      <c r="C881" s="94" t="s">
        <v>21321</v>
      </c>
      <c r="D881" s="94" t="s">
        <v>21322</v>
      </c>
      <c r="E881" s="44"/>
      <c r="F881" s="38" t="s">
        <v>21323</v>
      </c>
      <c r="G881" s="94" t="s">
        <v>21324</v>
      </c>
      <c r="Q881" s="825"/>
      <c r="S881" s="767"/>
      <c r="T881" s="767"/>
      <c r="U881" s="767"/>
      <c r="V881" s="767"/>
      <c r="W881" s="767"/>
    </row>
    <row r="882">
      <c r="A882" s="141">
        <v>45910.0</v>
      </c>
      <c r="B882" s="44"/>
      <c r="C882" s="38" t="s">
        <v>20151</v>
      </c>
      <c r="D882" s="777" t="s">
        <v>17831</v>
      </c>
      <c r="E882" s="44"/>
      <c r="F882" s="38" t="s">
        <v>20336</v>
      </c>
      <c r="G882" s="38" t="s">
        <v>17648</v>
      </c>
      <c r="Q882" s="823" t="s">
        <v>21325</v>
      </c>
      <c r="S882" s="767"/>
      <c r="T882" s="767"/>
      <c r="U882" s="767"/>
      <c r="V882" s="767"/>
      <c r="W882" s="767"/>
    </row>
    <row r="883">
      <c r="A883" s="141">
        <v>45910.0</v>
      </c>
      <c r="B883" s="44"/>
      <c r="C883" s="38" t="s">
        <v>17753</v>
      </c>
      <c r="D883" s="777" t="s">
        <v>21326</v>
      </c>
      <c r="E883" s="44"/>
      <c r="F883" s="38" t="s">
        <v>21327</v>
      </c>
      <c r="G883" s="38" t="s">
        <v>21328</v>
      </c>
      <c r="Q883" s="824" t="s">
        <v>21329</v>
      </c>
      <c r="R883" s="824" t="s">
        <v>21330</v>
      </c>
      <c r="S883" s="767"/>
      <c r="T883" s="767"/>
      <c r="U883" s="767"/>
      <c r="V883" s="767"/>
      <c r="W883" s="767"/>
    </row>
    <row r="884">
      <c r="A884" s="141">
        <v>45910.0</v>
      </c>
      <c r="B884" s="44"/>
      <c r="C884" s="38" t="s">
        <v>3175</v>
      </c>
      <c r="D884" s="38" t="s">
        <v>21331</v>
      </c>
      <c r="E884" s="44"/>
      <c r="F884" s="38" t="s">
        <v>13622</v>
      </c>
      <c r="G884" s="38" t="s">
        <v>4762</v>
      </c>
      <c r="Q884" s="824" t="s">
        <v>21332</v>
      </c>
      <c r="R884" s="824" t="s">
        <v>21333</v>
      </c>
      <c r="S884" s="767"/>
      <c r="T884" s="767"/>
      <c r="U884" s="767"/>
      <c r="V884" s="767"/>
      <c r="W884" s="767"/>
    </row>
    <row r="885">
      <c r="A885" s="141">
        <v>45910.0</v>
      </c>
      <c r="B885" s="44"/>
      <c r="C885" s="38" t="s">
        <v>21334</v>
      </c>
      <c r="D885" s="94" t="s">
        <v>21335</v>
      </c>
      <c r="E885" s="44"/>
      <c r="F885" s="38" t="s">
        <v>20319</v>
      </c>
      <c r="G885" s="94" t="s">
        <v>21336</v>
      </c>
      <c r="Q885" s="824" t="s">
        <v>21337</v>
      </c>
      <c r="R885" s="824" t="s">
        <v>21338</v>
      </c>
      <c r="S885" s="767"/>
      <c r="T885" s="767"/>
      <c r="U885" s="767"/>
      <c r="V885" s="767"/>
      <c r="W885" s="767"/>
    </row>
    <row r="886">
      <c r="A886" s="141">
        <v>45910.0</v>
      </c>
      <c r="B886" s="44"/>
      <c r="C886" s="38" t="s">
        <v>19537</v>
      </c>
      <c r="D886" s="38" t="s">
        <v>17686</v>
      </c>
      <c r="E886" s="44"/>
      <c r="F886" s="38" t="s">
        <v>20319</v>
      </c>
      <c r="G886" s="38" t="s">
        <v>17648</v>
      </c>
      <c r="Q886" s="825"/>
      <c r="R886" s="825"/>
      <c r="S886" s="767"/>
      <c r="T886" s="767"/>
      <c r="U886" s="767"/>
      <c r="V886" s="767"/>
      <c r="W886" s="767"/>
    </row>
    <row r="887">
      <c r="A887" s="141">
        <v>45910.0</v>
      </c>
      <c r="B887" s="44"/>
      <c r="C887" s="38" t="s">
        <v>19538</v>
      </c>
      <c r="D887" s="38" t="s">
        <v>21339</v>
      </c>
      <c r="E887" s="44"/>
      <c r="F887" s="38" t="s">
        <v>20367</v>
      </c>
      <c r="G887" s="38" t="s">
        <v>17648</v>
      </c>
      <c r="Q887" s="824" t="s">
        <v>21340</v>
      </c>
      <c r="R887" s="824" t="s">
        <v>21341</v>
      </c>
      <c r="S887" s="767"/>
      <c r="T887" s="767"/>
      <c r="U887" s="767"/>
      <c r="V887" s="767"/>
      <c r="W887" s="767"/>
    </row>
    <row r="888">
      <c r="A888" s="141">
        <v>45910.0</v>
      </c>
      <c r="B888" s="44"/>
      <c r="C888" s="38" t="s">
        <v>21342</v>
      </c>
      <c r="D888" s="38" t="s">
        <v>21343</v>
      </c>
      <c r="E888" s="44"/>
      <c r="F888" s="38" t="s">
        <v>20367</v>
      </c>
      <c r="G888" s="38" t="s">
        <v>19176</v>
      </c>
      <c r="Q888" s="824" t="s">
        <v>21344</v>
      </c>
      <c r="R888" s="824" t="s">
        <v>21345</v>
      </c>
      <c r="S888" s="767"/>
      <c r="T888" s="767"/>
      <c r="U888" s="767"/>
      <c r="V888" s="767"/>
      <c r="W888" s="767"/>
    </row>
    <row r="889">
      <c r="A889" s="141">
        <v>45910.0</v>
      </c>
      <c r="B889" s="44"/>
      <c r="C889" s="94" t="s">
        <v>21203</v>
      </c>
      <c r="D889" s="94" t="s">
        <v>19975</v>
      </c>
      <c r="E889" s="44"/>
      <c r="F889" s="38" t="s">
        <v>21346</v>
      </c>
      <c r="G889" s="94" t="s">
        <v>21304</v>
      </c>
      <c r="Q889" s="824" t="s">
        <v>21347</v>
      </c>
      <c r="R889" s="824" t="s">
        <v>21348</v>
      </c>
      <c r="S889" s="767"/>
      <c r="T889" s="767"/>
      <c r="U889" s="767"/>
      <c r="V889" s="767"/>
      <c r="W889" s="767"/>
    </row>
    <row r="890">
      <c r="A890" s="141">
        <v>45910.0</v>
      </c>
      <c r="B890" s="44"/>
      <c r="C890" s="38" t="s">
        <v>19556</v>
      </c>
      <c r="D890" s="94" t="s">
        <v>21349</v>
      </c>
      <c r="E890" s="44"/>
      <c r="F890" s="38" t="s">
        <v>21350</v>
      </c>
      <c r="G890" s="94" t="s">
        <v>21351</v>
      </c>
      <c r="Q890" s="831"/>
      <c r="R890" s="767"/>
      <c r="S890" s="767"/>
      <c r="T890" s="767"/>
      <c r="U890" s="767"/>
      <c r="V890" s="767"/>
      <c r="W890" s="767"/>
    </row>
    <row r="891">
      <c r="A891" s="141">
        <v>45910.0</v>
      </c>
      <c r="B891" s="44"/>
      <c r="C891" s="38" t="s">
        <v>21352</v>
      </c>
      <c r="D891" s="38" t="s">
        <v>17777</v>
      </c>
      <c r="E891" s="44"/>
      <c r="F891" s="38" t="s">
        <v>21353</v>
      </c>
      <c r="G891" s="38" t="s">
        <v>17648</v>
      </c>
      <c r="Q891" s="825"/>
      <c r="R891" s="767"/>
      <c r="S891" s="767"/>
      <c r="T891" s="767"/>
      <c r="U891" s="767"/>
      <c r="V891" s="767"/>
      <c r="W891" s="767"/>
    </row>
    <row r="892">
      <c r="A892" s="141">
        <v>45910.0</v>
      </c>
      <c r="B892" s="44"/>
      <c r="C892" s="38" t="s">
        <v>21352</v>
      </c>
      <c r="D892" s="38" t="s">
        <v>17659</v>
      </c>
      <c r="E892" s="44"/>
      <c r="F892" s="38" t="s">
        <v>21354</v>
      </c>
      <c r="G892" s="38" t="s">
        <v>17648</v>
      </c>
      <c r="Q892" s="823" t="s">
        <v>21355</v>
      </c>
      <c r="S892" s="767"/>
      <c r="T892" s="767"/>
      <c r="U892" s="767"/>
      <c r="V892" s="767"/>
      <c r="W892" s="767"/>
    </row>
    <row r="893">
      <c r="A893" s="806">
        <v>45940.0</v>
      </c>
      <c r="B893" s="44"/>
      <c r="C893" s="38" t="s">
        <v>21356</v>
      </c>
      <c r="D893" s="38" t="s">
        <v>21357</v>
      </c>
      <c r="E893" s="44"/>
      <c r="F893" s="38" t="s">
        <v>21358</v>
      </c>
      <c r="G893" s="38" t="s">
        <v>19759</v>
      </c>
      <c r="Q893" s="824" t="s">
        <v>21359</v>
      </c>
      <c r="R893" s="824" t="s">
        <v>21360</v>
      </c>
      <c r="S893" s="767"/>
      <c r="T893" s="767"/>
      <c r="U893" s="767"/>
      <c r="V893" s="767"/>
      <c r="W893" s="767"/>
    </row>
    <row r="894">
      <c r="A894" s="806">
        <v>45940.0</v>
      </c>
      <c r="B894" s="44"/>
      <c r="C894" s="94" t="s">
        <v>20414</v>
      </c>
      <c r="D894" s="94" t="s">
        <v>18071</v>
      </c>
      <c r="E894" s="44"/>
      <c r="F894" s="38" t="s">
        <v>20336</v>
      </c>
      <c r="G894" s="94" t="s">
        <v>20415</v>
      </c>
      <c r="Q894" s="824" t="s">
        <v>21361</v>
      </c>
      <c r="R894" s="824" t="s">
        <v>21362</v>
      </c>
      <c r="S894" s="767"/>
      <c r="T894" s="767"/>
      <c r="U894" s="767"/>
      <c r="V894" s="767"/>
      <c r="W894" s="767"/>
    </row>
    <row r="895">
      <c r="A895" s="806">
        <v>45940.0</v>
      </c>
      <c r="B895" s="44"/>
      <c r="C895" s="38" t="s">
        <v>18445</v>
      </c>
      <c r="D895" s="38" t="s">
        <v>21363</v>
      </c>
      <c r="E895" s="44"/>
      <c r="F895" s="38" t="s">
        <v>20336</v>
      </c>
      <c r="G895" s="38" t="s">
        <v>17648</v>
      </c>
      <c r="Q895" s="824" t="s">
        <v>21364</v>
      </c>
      <c r="R895" s="824" t="s">
        <v>21266</v>
      </c>
      <c r="S895" s="767"/>
      <c r="T895" s="767"/>
      <c r="U895" s="767"/>
      <c r="V895" s="767"/>
      <c r="W895" s="767"/>
    </row>
    <row r="896">
      <c r="A896" s="806">
        <v>45940.0</v>
      </c>
      <c r="B896" s="44"/>
      <c r="C896" s="38" t="s">
        <v>21175</v>
      </c>
      <c r="D896" s="38" t="s">
        <v>17877</v>
      </c>
      <c r="E896" s="44"/>
      <c r="F896" s="38" t="s">
        <v>20367</v>
      </c>
      <c r="G896" s="38" t="s">
        <v>17648</v>
      </c>
      <c r="Q896" s="824" t="s">
        <v>21365</v>
      </c>
      <c r="R896" s="824" t="s">
        <v>21366</v>
      </c>
      <c r="S896" s="767"/>
      <c r="T896" s="767"/>
      <c r="U896" s="767"/>
      <c r="V896" s="767"/>
      <c r="W896" s="767"/>
    </row>
    <row r="897">
      <c r="A897" s="806">
        <v>45940.0</v>
      </c>
      <c r="B897" s="44"/>
      <c r="C897" s="38" t="s">
        <v>21367</v>
      </c>
      <c r="D897" s="94" t="s">
        <v>21368</v>
      </c>
      <c r="E897" s="44"/>
      <c r="F897" s="44"/>
      <c r="G897" s="94" t="s">
        <v>21369</v>
      </c>
      <c r="Q897" s="824" t="s">
        <v>21370</v>
      </c>
      <c r="R897" s="824" t="s">
        <v>21366</v>
      </c>
      <c r="S897" s="767"/>
      <c r="T897" s="767"/>
      <c r="U897" s="767"/>
      <c r="V897" s="767"/>
      <c r="W897" s="767"/>
    </row>
    <row r="898">
      <c r="A898" s="806">
        <v>45940.0</v>
      </c>
      <c r="B898" s="44"/>
      <c r="C898" s="38" t="s">
        <v>4349</v>
      </c>
      <c r="D898" s="416" t="s">
        <v>18412</v>
      </c>
      <c r="E898" s="832"/>
      <c r="F898" s="416" t="s">
        <v>21371</v>
      </c>
      <c r="G898" s="416" t="s">
        <v>21372</v>
      </c>
    </row>
    <row r="899">
      <c r="A899" s="806">
        <v>45940.0</v>
      </c>
      <c r="B899" s="44"/>
      <c r="C899" s="38" t="s">
        <v>21175</v>
      </c>
      <c r="D899" s="94" t="s">
        <v>21373</v>
      </c>
      <c r="E899" s="44"/>
      <c r="F899" s="38" t="s">
        <v>21374</v>
      </c>
      <c r="G899" s="94" t="s">
        <v>21375</v>
      </c>
    </row>
    <row r="900">
      <c r="A900" s="806">
        <v>45940.0</v>
      </c>
      <c r="B900" s="44"/>
      <c r="C900" s="38" t="s">
        <v>19556</v>
      </c>
      <c r="D900" s="38" t="s">
        <v>17903</v>
      </c>
      <c r="E900" s="44"/>
      <c r="F900" s="38" t="s">
        <v>20367</v>
      </c>
      <c r="G900" s="38" t="s">
        <v>17648</v>
      </c>
    </row>
    <row r="901">
      <c r="A901" s="806">
        <v>45940.0</v>
      </c>
      <c r="B901" s="44"/>
      <c r="C901" s="38" t="s">
        <v>19873</v>
      </c>
      <c r="D901" s="38" t="s">
        <v>17892</v>
      </c>
      <c r="E901" s="44"/>
      <c r="F901" s="38" t="s">
        <v>21376</v>
      </c>
      <c r="G901" s="38" t="s">
        <v>17648</v>
      </c>
    </row>
    <row r="902">
      <c r="A902" s="806">
        <v>45940.0</v>
      </c>
      <c r="B902" s="44"/>
      <c r="C902" s="38" t="s">
        <v>21175</v>
      </c>
      <c r="D902" s="38" t="s">
        <v>19152</v>
      </c>
      <c r="E902" s="44"/>
      <c r="F902" s="38" t="s">
        <v>21377</v>
      </c>
      <c r="G902" s="38" t="s">
        <v>17648</v>
      </c>
    </row>
    <row r="903">
      <c r="A903" s="806">
        <v>45940.0</v>
      </c>
      <c r="B903" s="44"/>
      <c r="C903" s="38" t="s">
        <v>21378</v>
      </c>
      <c r="D903" s="38" t="s">
        <v>19767</v>
      </c>
      <c r="E903" s="38">
        <v>40.0</v>
      </c>
      <c r="F903" s="38" t="s">
        <v>3643</v>
      </c>
      <c r="G903" s="777" t="s">
        <v>21379</v>
      </c>
    </row>
    <row r="904">
      <c r="A904" s="806">
        <v>45940.0</v>
      </c>
      <c r="B904" s="44"/>
      <c r="C904" s="38" t="s">
        <v>19704</v>
      </c>
      <c r="D904" s="94" t="s">
        <v>21380</v>
      </c>
      <c r="E904" s="38">
        <v>40.0</v>
      </c>
      <c r="F904" s="38" t="s">
        <v>20330</v>
      </c>
      <c r="G904" s="819" t="s">
        <v>21278</v>
      </c>
    </row>
    <row r="905">
      <c r="A905" s="806">
        <v>45940.0</v>
      </c>
      <c r="B905" s="44"/>
      <c r="C905" s="38" t="s">
        <v>21381</v>
      </c>
      <c r="D905" s="38" t="s">
        <v>17104</v>
      </c>
      <c r="E905" s="44"/>
      <c r="F905" s="38" t="s">
        <v>20367</v>
      </c>
      <c r="G905" s="38" t="s">
        <v>21382</v>
      </c>
    </row>
    <row r="906">
      <c r="A906" s="806">
        <v>45940.0</v>
      </c>
      <c r="B906" s="44"/>
      <c r="C906" s="38" t="s">
        <v>20014</v>
      </c>
      <c r="D906" s="94" t="s">
        <v>19532</v>
      </c>
      <c r="E906" s="38">
        <v>90.0</v>
      </c>
      <c r="F906" s="38" t="s">
        <v>20319</v>
      </c>
      <c r="G906" s="819" t="s">
        <v>19286</v>
      </c>
    </row>
    <row r="907">
      <c r="A907" s="164" t="s">
        <v>21383</v>
      </c>
      <c r="B907" s="44"/>
      <c r="C907" s="38" t="s">
        <v>18001</v>
      </c>
      <c r="D907" s="38" t="s">
        <v>18282</v>
      </c>
      <c r="E907" s="44"/>
      <c r="F907" s="38" t="s">
        <v>20319</v>
      </c>
      <c r="G907" s="94" t="s">
        <v>21384</v>
      </c>
    </row>
    <row r="908">
      <c r="A908" s="164" t="s">
        <v>21383</v>
      </c>
      <c r="B908" s="44"/>
      <c r="C908" s="38" t="s">
        <v>19090</v>
      </c>
      <c r="D908" s="777" t="s">
        <v>21385</v>
      </c>
      <c r="E908" s="44"/>
      <c r="F908" s="38" t="s">
        <v>20367</v>
      </c>
      <c r="G908" s="38" t="s">
        <v>5104</v>
      </c>
    </row>
    <row r="909">
      <c r="A909" s="164" t="s">
        <v>21383</v>
      </c>
      <c r="B909" s="44"/>
      <c r="C909" s="38" t="s">
        <v>17986</v>
      </c>
      <c r="D909" s="38" t="s">
        <v>17987</v>
      </c>
      <c r="E909" s="44"/>
      <c r="F909" s="38" t="s">
        <v>20367</v>
      </c>
      <c r="G909" s="38" t="s">
        <v>17648</v>
      </c>
    </row>
    <row r="910">
      <c r="A910" s="164" t="s">
        <v>21383</v>
      </c>
      <c r="B910" s="44"/>
      <c r="C910" s="94" t="s">
        <v>21386</v>
      </c>
      <c r="D910" s="94" t="s">
        <v>21387</v>
      </c>
      <c r="E910" s="38">
        <v>100.0</v>
      </c>
      <c r="F910" s="38" t="s">
        <v>20629</v>
      </c>
      <c r="G910" s="94" t="s">
        <v>21388</v>
      </c>
    </row>
    <row r="911">
      <c r="A911" s="164" t="s">
        <v>21383</v>
      </c>
      <c r="B911" s="44"/>
      <c r="C911" s="94" t="s">
        <v>21389</v>
      </c>
      <c r="D911" s="94" t="s">
        <v>21390</v>
      </c>
      <c r="E911" s="44"/>
      <c r="F911" s="38" t="s">
        <v>21391</v>
      </c>
      <c r="G911" s="94" t="s">
        <v>21392</v>
      </c>
    </row>
    <row r="912">
      <c r="A912" s="164" t="s">
        <v>21383</v>
      </c>
      <c r="B912" s="44"/>
      <c r="C912" s="38" t="s">
        <v>19556</v>
      </c>
      <c r="D912" s="38" t="s">
        <v>17981</v>
      </c>
      <c r="E912" s="44"/>
      <c r="F912" s="38" t="s">
        <v>20367</v>
      </c>
      <c r="G912" s="38" t="s">
        <v>17648</v>
      </c>
    </row>
    <row r="913">
      <c r="A913" s="164" t="s">
        <v>21383</v>
      </c>
      <c r="B913" s="44"/>
      <c r="C913" s="38" t="s">
        <v>17876</v>
      </c>
      <c r="D913" s="94" t="s">
        <v>19224</v>
      </c>
      <c r="E913" s="44"/>
      <c r="F913" s="38" t="s">
        <v>20319</v>
      </c>
      <c r="G913" s="94" t="s">
        <v>19225</v>
      </c>
    </row>
    <row r="914">
      <c r="A914" s="164" t="s">
        <v>21383</v>
      </c>
      <c r="B914" s="44"/>
      <c r="C914" s="38" t="s">
        <v>17633</v>
      </c>
      <c r="D914" s="38" t="s">
        <v>17691</v>
      </c>
      <c r="E914" s="44"/>
      <c r="F914" s="38" t="s">
        <v>21391</v>
      </c>
      <c r="G914" s="38" t="s">
        <v>17648</v>
      </c>
    </row>
    <row r="915">
      <c r="A915" s="164" t="s">
        <v>21383</v>
      </c>
      <c r="B915" s="44"/>
      <c r="C915" s="38" t="s">
        <v>18277</v>
      </c>
      <c r="D915" s="94" t="s">
        <v>21393</v>
      </c>
      <c r="E915" s="38">
        <v>95.0</v>
      </c>
      <c r="F915" s="38" t="s">
        <v>21394</v>
      </c>
      <c r="G915" s="94" t="s">
        <v>12380</v>
      </c>
    </row>
    <row r="916">
      <c r="A916" s="164" t="s">
        <v>21383</v>
      </c>
      <c r="B916" s="44"/>
      <c r="C916" s="38" t="s">
        <v>18922</v>
      </c>
      <c r="D916" s="777" t="s">
        <v>20445</v>
      </c>
      <c r="E916" s="44"/>
      <c r="F916" s="38" t="s">
        <v>21395</v>
      </c>
      <c r="G916" s="38" t="s">
        <v>17648</v>
      </c>
    </row>
    <row r="917">
      <c r="A917" s="164" t="s">
        <v>21383</v>
      </c>
      <c r="B917" s="44"/>
      <c r="C917" s="38" t="s">
        <v>21396</v>
      </c>
      <c r="D917" s="38" t="s">
        <v>17930</v>
      </c>
      <c r="E917" s="44"/>
      <c r="F917" s="38" t="s">
        <v>21397</v>
      </c>
      <c r="G917" s="38" t="s">
        <v>17648</v>
      </c>
    </row>
    <row r="918">
      <c r="A918" s="164" t="s">
        <v>21383</v>
      </c>
      <c r="B918" s="44"/>
      <c r="C918" s="38" t="s">
        <v>19704</v>
      </c>
      <c r="D918" s="38" t="s">
        <v>21398</v>
      </c>
      <c r="E918" s="38">
        <v>200.0</v>
      </c>
      <c r="F918" s="44"/>
      <c r="G918" s="38" t="s">
        <v>21399</v>
      </c>
    </row>
    <row r="919">
      <c r="A919" s="164" t="s">
        <v>21383</v>
      </c>
      <c r="B919" s="44"/>
      <c r="C919" s="40" t="s">
        <v>18165</v>
      </c>
      <c r="D919" s="94" t="s">
        <v>18166</v>
      </c>
      <c r="E919" s="44"/>
      <c r="F919" s="38" t="s">
        <v>21400</v>
      </c>
      <c r="G919" s="94" t="s">
        <v>21401</v>
      </c>
    </row>
    <row r="920">
      <c r="A920" s="164" t="s">
        <v>21383</v>
      </c>
      <c r="B920" s="44"/>
      <c r="C920" s="38" t="s">
        <v>3175</v>
      </c>
      <c r="D920" s="44"/>
      <c r="E920" s="44"/>
      <c r="F920" s="38" t="s">
        <v>4299</v>
      </c>
      <c r="G920" s="38" t="s">
        <v>21402</v>
      </c>
    </row>
    <row r="921">
      <c r="A921" s="164" t="s">
        <v>21383</v>
      </c>
      <c r="B921" s="44"/>
      <c r="C921" s="47" t="s">
        <v>18429</v>
      </c>
      <c r="D921" s="775" t="s">
        <v>18430</v>
      </c>
      <c r="E921" s="44"/>
      <c r="F921" s="38" t="s">
        <v>20457</v>
      </c>
      <c r="G921" s="777" t="s">
        <v>21403</v>
      </c>
    </row>
    <row r="922">
      <c r="A922" s="164" t="s">
        <v>21383</v>
      </c>
      <c r="B922" s="44"/>
      <c r="C922" s="38" t="s">
        <v>19661</v>
      </c>
      <c r="D922" s="38" t="s">
        <v>21404</v>
      </c>
      <c r="E922" s="38">
        <v>390.0</v>
      </c>
      <c r="F922" s="38" t="s">
        <v>21405</v>
      </c>
      <c r="G922" s="777" t="s">
        <v>2392</v>
      </c>
    </row>
    <row r="923">
      <c r="A923" s="46" t="s">
        <v>21406</v>
      </c>
      <c r="B923" s="44"/>
      <c r="C923" s="38" t="s">
        <v>18001</v>
      </c>
      <c r="D923" s="38" t="s">
        <v>18282</v>
      </c>
      <c r="E923" s="44"/>
      <c r="F923" s="38" t="s">
        <v>21407</v>
      </c>
      <c r="G923" s="94" t="s">
        <v>21384</v>
      </c>
    </row>
    <row r="924">
      <c r="A924" s="46" t="s">
        <v>21406</v>
      </c>
      <c r="B924" s="44"/>
      <c r="C924" s="94" t="s">
        <v>19990</v>
      </c>
      <c r="D924" s="94" t="s">
        <v>21408</v>
      </c>
      <c r="E924" s="44"/>
      <c r="F924" s="38" t="s">
        <v>21409</v>
      </c>
      <c r="G924" s="94" t="s">
        <v>21410</v>
      </c>
    </row>
    <row r="925">
      <c r="A925" s="46" t="s">
        <v>21406</v>
      </c>
      <c r="B925" s="44"/>
      <c r="C925" s="38" t="s">
        <v>19611</v>
      </c>
      <c r="D925" s="38" t="s">
        <v>21411</v>
      </c>
      <c r="E925" s="44"/>
      <c r="F925" s="38" t="s">
        <v>20319</v>
      </c>
      <c r="G925" s="38" t="s">
        <v>17648</v>
      </c>
    </row>
    <row r="926">
      <c r="A926" s="46" t="s">
        <v>21406</v>
      </c>
      <c r="B926" s="44"/>
      <c r="C926" s="38" t="s">
        <v>3175</v>
      </c>
      <c r="D926" s="94" t="s">
        <v>19270</v>
      </c>
      <c r="E926" s="38">
        <v>100.0</v>
      </c>
      <c r="F926" s="38" t="s">
        <v>20324</v>
      </c>
      <c r="G926" s="94" t="s">
        <v>21412</v>
      </c>
    </row>
    <row r="927">
      <c r="A927" s="46" t="s">
        <v>21406</v>
      </c>
      <c r="B927" s="44"/>
      <c r="C927" s="38" t="s">
        <v>20263</v>
      </c>
      <c r="D927" s="38" t="s">
        <v>18012</v>
      </c>
      <c r="E927" s="44"/>
      <c r="F927" s="38" t="s">
        <v>21413</v>
      </c>
      <c r="G927" s="38" t="s">
        <v>17648</v>
      </c>
    </row>
    <row r="928">
      <c r="A928" s="46" t="s">
        <v>21406</v>
      </c>
      <c r="B928" s="44"/>
      <c r="C928" s="38" t="s">
        <v>17753</v>
      </c>
      <c r="D928" s="38" t="s">
        <v>21414</v>
      </c>
      <c r="E928" s="44"/>
      <c r="F928" s="38" t="s">
        <v>21415</v>
      </c>
      <c r="G928" s="94" t="s">
        <v>21416</v>
      </c>
    </row>
    <row r="929">
      <c r="A929" s="46" t="s">
        <v>21406</v>
      </c>
      <c r="B929" s="44"/>
      <c r="C929" s="38" t="s">
        <v>3175</v>
      </c>
      <c r="D929" s="38" t="s">
        <v>21417</v>
      </c>
      <c r="E929" s="44"/>
      <c r="F929" s="38" t="s">
        <v>20367</v>
      </c>
      <c r="G929" s="38" t="s">
        <v>17648</v>
      </c>
    </row>
    <row r="930">
      <c r="A930" s="46" t="s">
        <v>21406</v>
      </c>
      <c r="B930" s="44"/>
      <c r="C930" s="38" t="s">
        <v>21418</v>
      </c>
      <c r="D930" s="38" t="s">
        <v>18954</v>
      </c>
      <c r="E930" s="44"/>
      <c r="F930" s="38" t="s">
        <v>20367</v>
      </c>
      <c r="G930" s="38" t="s">
        <v>11206</v>
      </c>
    </row>
    <row r="931">
      <c r="A931" s="46" t="s">
        <v>21406</v>
      </c>
      <c r="B931" s="44"/>
      <c r="C931" s="38" t="s">
        <v>18766</v>
      </c>
      <c r="D931" s="38" t="s">
        <v>21419</v>
      </c>
      <c r="E931" s="44"/>
      <c r="F931" s="38" t="s">
        <v>21420</v>
      </c>
      <c r="G931" s="38" t="s">
        <v>17648</v>
      </c>
    </row>
    <row r="932">
      <c r="A932" s="46" t="s">
        <v>21406</v>
      </c>
      <c r="B932" s="44"/>
      <c r="C932" s="40" t="s">
        <v>18077</v>
      </c>
      <c r="D932" s="94" t="s">
        <v>21421</v>
      </c>
      <c r="E932" s="44"/>
      <c r="F932" s="38" t="s">
        <v>20457</v>
      </c>
      <c r="G932" s="94" t="s">
        <v>21422</v>
      </c>
    </row>
    <row r="933">
      <c r="A933" s="46" t="s">
        <v>21406</v>
      </c>
      <c r="B933" s="44"/>
      <c r="C933" s="38" t="s">
        <v>21175</v>
      </c>
      <c r="D933" s="94" t="s">
        <v>21423</v>
      </c>
      <c r="E933" s="44"/>
      <c r="F933" s="38" t="s">
        <v>13622</v>
      </c>
      <c r="G933" s="94" t="s">
        <v>21424</v>
      </c>
      <c r="H933" s="217" t="s">
        <v>21425</v>
      </c>
      <c r="I933" s="44"/>
      <c r="J933" s="44"/>
    </row>
    <row r="934">
      <c r="A934" s="46" t="s">
        <v>21406</v>
      </c>
      <c r="B934" s="44"/>
      <c r="C934" s="38" t="s">
        <v>20253</v>
      </c>
      <c r="D934" s="777" t="s">
        <v>18438</v>
      </c>
      <c r="E934" s="44"/>
      <c r="F934" s="38" t="s">
        <v>21426</v>
      </c>
      <c r="G934" s="38" t="s">
        <v>18439</v>
      </c>
    </row>
    <row r="935">
      <c r="A935" s="46" t="s">
        <v>21406</v>
      </c>
      <c r="B935" s="44"/>
      <c r="C935" s="38" t="s">
        <v>19556</v>
      </c>
      <c r="D935" s="38" t="s">
        <v>21427</v>
      </c>
      <c r="E935" s="44"/>
      <c r="F935" s="38" t="s">
        <v>21428</v>
      </c>
      <c r="G935" s="38" t="s">
        <v>21429</v>
      </c>
    </row>
    <row r="936">
      <c r="A936" s="46" t="s">
        <v>21406</v>
      </c>
      <c r="B936" s="44"/>
      <c r="C936" s="38" t="s">
        <v>17750</v>
      </c>
      <c r="D936" s="38" t="s">
        <v>21430</v>
      </c>
      <c r="E936" s="44"/>
      <c r="F936" s="38" t="s">
        <v>21431</v>
      </c>
      <c r="G936" s="38" t="s">
        <v>17648</v>
      </c>
    </row>
    <row r="937">
      <c r="A937" s="46" t="s">
        <v>21406</v>
      </c>
      <c r="B937" s="44"/>
      <c r="C937" s="94" t="s">
        <v>3736</v>
      </c>
      <c r="D937" s="94" t="s">
        <v>21432</v>
      </c>
      <c r="E937" s="44"/>
      <c r="F937" s="38" t="s">
        <v>21433</v>
      </c>
      <c r="G937" s="94" t="s">
        <v>21434</v>
      </c>
      <c r="H937" s="1" t="s">
        <v>21435</v>
      </c>
    </row>
    <row r="938">
      <c r="A938" s="46" t="s">
        <v>21406</v>
      </c>
      <c r="B938" s="44"/>
      <c r="C938" s="777" t="s">
        <v>21436</v>
      </c>
      <c r="D938" s="44"/>
      <c r="E938" s="38">
        <v>40.0</v>
      </c>
      <c r="F938" s="38" t="s">
        <v>4508</v>
      </c>
      <c r="G938" s="777" t="s">
        <v>21437</v>
      </c>
    </row>
    <row r="939">
      <c r="A939" s="46" t="s">
        <v>21406</v>
      </c>
      <c r="B939" s="44"/>
      <c r="C939" s="38" t="s">
        <v>21438</v>
      </c>
      <c r="D939" s="38" t="s">
        <v>19262</v>
      </c>
      <c r="E939" s="44"/>
      <c r="F939" s="38" t="s">
        <v>20241</v>
      </c>
      <c r="G939" s="38" t="s">
        <v>19914</v>
      </c>
    </row>
    <row r="940">
      <c r="A940" s="46" t="s">
        <v>21406</v>
      </c>
      <c r="B940" s="44"/>
      <c r="C940" s="44"/>
      <c r="D940" s="44"/>
      <c r="E940" s="44"/>
      <c r="F940" s="38" t="s">
        <v>21439</v>
      </c>
      <c r="G940" s="38" t="s">
        <v>21440</v>
      </c>
    </row>
    <row r="941">
      <c r="A941" s="164" t="s">
        <v>2496</v>
      </c>
      <c r="B941" s="44"/>
      <c r="C941" s="94" t="s">
        <v>21441</v>
      </c>
      <c r="D941" s="94" t="s">
        <v>20449</v>
      </c>
      <c r="E941" s="44"/>
      <c r="F941" s="38" t="s">
        <v>21442</v>
      </c>
      <c r="G941" s="94" t="s">
        <v>20450</v>
      </c>
    </row>
    <row r="942">
      <c r="A942" s="164" t="s">
        <v>2496</v>
      </c>
      <c r="B942" s="44"/>
      <c r="C942" s="38" t="s">
        <v>19556</v>
      </c>
      <c r="D942" s="38" t="s">
        <v>17699</v>
      </c>
      <c r="E942" s="44"/>
      <c r="F942" s="38" t="s">
        <v>20336</v>
      </c>
      <c r="G942" s="38" t="s">
        <v>17648</v>
      </c>
    </row>
    <row r="943">
      <c r="A943" s="164" t="s">
        <v>2496</v>
      </c>
      <c r="B943" s="44"/>
      <c r="C943" s="38" t="s">
        <v>18766</v>
      </c>
      <c r="D943" s="94" t="s">
        <v>18695</v>
      </c>
      <c r="E943" s="44"/>
      <c r="F943" s="38" t="s">
        <v>20367</v>
      </c>
      <c r="G943" s="94" t="s">
        <v>18696</v>
      </c>
    </row>
    <row r="944">
      <c r="A944" s="164" t="s">
        <v>2496</v>
      </c>
      <c r="B944" s="44"/>
      <c r="C944" s="38" t="s">
        <v>19873</v>
      </c>
      <c r="D944" s="38" t="s">
        <v>17704</v>
      </c>
      <c r="E944" s="44"/>
      <c r="F944" s="38" t="s">
        <v>20324</v>
      </c>
      <c r="G944" s="49" t="s">
        <v>17648</v>
      </c>
    </row>
    <row r="945">
      <c r="A945" s="164" t="s">
        <v>2496</v>
      </c>
      <c r="B945" s="44"/>
      <c r="C945" s="38" t="s">
        <v>19180</v>
      </c>
      <c r="D945" s="38" t="s">
        <v>19181</v>
      </c>
      <c r="E945" s="44"/>
      <c r="F945" s="38" t="s">
        <v>21443</v>
      </c>
      <c r="G945" s="94" t="s">
        <v>1056</v>
      </c>
      <c r="P945" s="833"/>
    </row>
    <row r="946">
      <c r="A946" s="164" t="s">
        <v>2496</v>
      </c>
      <c r="B946" s="44"/>
      <c r="C946" s="94" t="s">
        <v>19556</v>
      </c>
      <c r="D946" s="38" t="s">
        <v>17960</v>
      </c>
      <c r="E946" s="44"/>
      <c r="F946" s="38" t="s">
        <v>20336</v>
      </c>
      <c r="G946" s="49" t="s">
        <v>17648</v>
      </c>
      <c r="P946" s="833"/>
    </row>
    <row r="947">
      <c r="A947" s="164" t="s">
        <v>2496</v>
      </c>
      <c r="B947" s="44"/>
      <c r="C947" s="94" t="s">
        <v>20461</v>
      </c>
      <c r="D947" s="94" t="s">
        <v>18889</v>
      </c>
      <c r="E947" s="44"/>
      <c r="F947" s="38" t="s">
        <v>20241</v>
      </c>
      <c r="G947" s="94" t="s">
        <v>18890</v>
      </c>
    </row>
    <row r="948">
      <c r="A948" s="164" t="s">
        <v>2496</v>
      </c>
      <c r="B948" s="44"/>
      <c r="C948" s="38" t="s">
        <v>18005</v>
      </c>
      <c r="D948" s="38" t="s">
        <v>18006</v>
      </c>
      <c r="E948" s="44"/>
      <c r="F948" s="38" t="s">
        <v>21444</v>
      </c>
      <c r="G948" s="49" t="s">
        <v>17648</v>
      </c>
    </row>
    <row r="949">
      <c r="A949" s="164" t="s">
        <v>2496</v>
      </c>
      <c r="B949" s="44"/>
      <c r="C949" s="38" t="s">
        <v>21445</v>
      </c>
      <c r="D949" s="94" t="s">
        <v>21446</v>
      </c>
      <c r="E949" s="38">
        <v>630.0</v>
      </c>
      <c r="F949" s="38" t="s">
        <v>21447</v>
      </c>
      <c r="G949" s="94" t="s">
        <v>21448</v>
      </c>
    </row>
    <row r="950">
      <c r="A950" s="164" t="s">
        <v>2496</v>
      </c>
      <c r="B950" s="44"/>
      <c r="C950" s="38" t="s">
        <v>19556</v>
      </c>
      <c r="D950" s="94" t="s">
        <v>21449</v>
      </c>
      <c r="E950" s="44"/>
      <c r="F950" s="38" t="s">
        <v>21450</v>
      </c>
      <c r="G950" s="94" t="s">
        <v>21451</v>
      </c>
      <c r="H950" s="1" t="s">
        <v>21452</v>
      </c>
    </row>
    <row r="951">
      <c r="A951" s="164" t="s">
        <v>2496</v>
      </c>
      <c r="B951" s="44"/>
      <c r="C951" s="38" t="s">
        <v>21453</v>
      </c>
      <c r="D951" s="38" t="s">
        <v>21454</v>
      </c>
      <c r="E951" s="44"/>
      <c r="F951" s="38" t="s">
        <v>20432</v>
      </c>
      <c r="G951" s="38" t="s">
        <v>17648</v>
      </c>
      <c r="H951" s="44"/>
    </row>
    <row r="952">
      <c r="A952" s="164" t="s">
        <v>2496</v>
      </c>
      <c r="B952" s="44"/>
      <c r="C952" s="94" t="s">
        <v>21441</v>
      </c>
      <c r="D952" s="94" t="s">
        <v>21455</v>
      </c>
      <c r="E952" s="44"/>
      <c r="F952" s="38" t="s">
        <v>21456</v>
      </c>
      <c r="G952" s="94" t="s">
        <v>21434</v>
      </c>
      <c r="H952" s="38" t="s">
        <v>21435</v>
      </c>
    </row>
    <row r="953">
      <c r="A953" s="164" t="s">
        <v>2496</v>
      </c>
      <c r="B953" s="44"/>
      <c r="C953" s="38" t="s">
        <v>21457</v>
      </c>
      <c r="D953" s="38" t="s">
        <v>21458</v>
      </c>
      <c r="E953" s="44"/>
      <c r="F953" s="38" t="s">
        <v>21459</v>
      </c>
      <c r="G953" s="38" t="s">
        <v>21460</v>
      </c>
    </row>
    <row r="954">
      <c r="A954" s="164" t="s">
        <v>2496</v>
      </c>
      <c r="B954" s="44"/>
      <c r="C954" s="94" t="s">
        <v>21461</v>
      </c>
      <c r="D954" s="94" t="s">
        <v>18435</v>
      </c>
      <c r="E954" s="44"/>
      <c r="F954" s="38" t="s">
        <v>20457</v>
      </c>
      <c r="G954" s="94" t="s">
        <v>21462</v>
      </c>
    </row>
    <row r="955">
      <c r="A955" s="164" t="s">
        <v>2496</v>
      </c>
      <c r="B955" s="44"/>
      <c r="C955" s="94" t="s">
        <v>21463</v>
      </c>
      <c r="D955" s="94" t="s">
        <v>21464</v>
      </c>
      <c r="E955" s="44"/>
      <c r="F955" s="38" t="s">
        <v>21465</v>
      </c>
      <c r="G955" s="38" t="s">
        <v>17648</v>
      </c>
    </row>
    <row r="956">
      <c r="A956" s="46" t="s">
        <v>21466</v>
      </c>
      <c r="B956" s="44"/>
      <c r="C956" s="38" t="s">
        <v>21175</v>
      </c>
      <c r="D956" s="38" t="s">
        <v>19224</v>
      </c>
      <c r="E956" s="44"/>
      <c r="F956" s="38" t="s">
        <v>21467</v>
      </c>
      <c r="G956" s="94" t="s">
        <v>19225</v>
      </c>
    </row>
    <row r="957">
      <c r="A957" s="46" t="s">
        <v>21466</v>
      </c>
      <c r="B957" s="44"/>
      <c r="C957" s="94" t="s">
        <v>21468</v>
      </c>
      <c r="D957" s="94" t="s">
        <v>21469</v>
      </c>
      <c r="E957" s="38">
        <v>60.0</v>
      </c>
      <c r="F957" s="38" t="s">
        <v>3913</v>
      </c>
      <c r="G957" s="94" t="s">
        <v>21451</v>
      </c>
    </row>
    <row r="958">
      <c r="A958" s="46" t="s">
        <v>21466</v>
      </c>
      <c r="B958" s="44"/>
      <c r="C958" s="38" t="s">
        <v>21470</v>
      </c>
      <c r="D958" s="94" t="s">
        <v>17708</v>
      </c>
      <c r="E958" s="44"/>
      <c r="F958" s="38" t="s">
        <v>20432</v>
      </c>
      <c r="G958" s="94" t="s">
        <v>20339</v>
      </c>
    </row>
    <row r="959">
      <c r="A959" s="46" t="s">
        <v>21466</v>
      </c>
      <c r="B959" s="44"/>
      <c r="C959" s="94" t="s">
        <v>20918</v>
      </c>
      <c r="D959" s="94" t="s">
        <v>21471</v>
      </c>
      <c r="E959" s="44"/>
      <c r="F959" s="38" t="s">
        <v>20330</v>
      </c>
      <c r="G959" s="94" t="s">
        <v>541</v>
      </c>
    </row>
    <row r="960">
      <c r="A960" s="46" t="s">
        <v>21466</v>
      </c>
      <c r="B960" s="44"/>
      <c r="C960" s="94" t="s">
        <v>17698</v>
      </c>
      <c r="D960" s="94" t="s">
        <v>21472</v>
      </c>
      <c r="E960" s="44"/>
      <c r="F960" s="38" t="s">
        <v>20336</v>
      </c>
      <c r="G960" s="94" t="s">
        <v>20339</v>
      </c>
    </row>
    <row r="961">
      <c r="A961" s="46" t="s">
        <v>21466</v>
      </c>
      <c r="B961" s="44"/>
      <c r="C961" s="38" t="s">
        <v>18441</v>
      </c>
      <c r="D961" s="94" t="s">
        <v>18442</v>
      </c>
      <c r="E961" s="44"/>
      <c r="F961" s="38" t="s">
        <v>21473</v>
      </c>
      <c r="G961" s="94" t="s">
        <v>20730</v>
      </c>
    </row>
    <row r="962">
      <c r="A962" s="46" t="s">
        <v>21466</v>
      </c>
      <c r="B962" s="44"/>
      <c r="C962" s="38" t="s">
        <v>21474</v>
      </c>
      <c r="D962" s="94" t="s">
        <v>18801</v>
      </c>
      <c r="E962" s="44"/>
      <c r="F962" s="38" t="s">
        <v>20367</v>
      </c>
      <c r="G962" s="94" t="s">
        <v>21475</v>
      </c>
    </row>
    <row r="963">
      <c r="A963" s="46" t="s">
        <v>21466</v>
      </c>
      <c r="B963" s="44"/>
      <c r="C963" s="38" t="s">
        <v>19891</v>
      </c>
      <c r="D963" s="94" t="s">
        <v>21476</v>
      </c>
      <c r="E963" s="44"/>
      <c r="F963" s="38" t="s">
        <v>21477</v>
      </c>
      <c r="G963" s="94" t="s">
        <v>21478</v>
      </c>
    </row>
    <row r="964">
      <c r="A964" s="46" t="s">
        <v>21466</v>
      </c>
      <c r="B964" s="44"/>
      <c r="C964" s="38" t="s">
        <v>19147</v>
      </c>
      <c r="D964" s="38" t="s">
        <v>19148</v>
      </c>
      <c r="E964" s="44"/>
      <c r="F964" s="38" t="s">
        <v>20324</v>
      </c>
      <c r="G964" s="94" t="s">
        <v>21479</v>
      </c>
    </row>
    <row r="965">
      <c r="A965" s="46" t="s">
        <v>21466</v>
      </c>
      <c r="B965" s="44"/>
      <c r="C965" s="94" t="s">
        <v>21480</v>
      </c>
      <c r="D965" s="94" t="s">
        <v>18301</v>
      </c>
      <c r="E965" s="44"/>
      <c r="F965" s="38" t="s">
        <v>21481</v>
      </c>
      <c r="G965" s="94" t="s">
        <v>20575</v>
      </c>
    </row>
    <row r="966">
      <c r="A966" s="46" t="s">
        <v>21466</v>
      </c>
      <c r="B966" s="44"/>
      <c r="C966" s="38" t="s">
        <v>4184</v>
      </c>
      <c r="D966" s="38" t="s">
        <v>19423</v>
      </c>
      <c r="E966" s="44"/>
      <c r="F966" s="38" t="s">
        <v>21482</v>
      </c>
      <c r="G966" s="94" t="s">
        <v>20625</v>
      </c>
    </row>
    <row r="967">
      <c r="A967" s="46" t="s">
        <v>21466</v>
      </c>
      <c r="B967" s="44"/>
      <c r="C967" s="38" t="s">
        <v>19556</v>
      </c>
      <c r="D967" s="777" t="s">
        <v>21483</v>
      </c>
      <c r="E967" s="44"/>
      <c r="F967" s="38" t="s">
        <v>21484</v>
      </c>
      <c r="G967" s="38" t="s">
        <v>17648</v>
      </c>
    </row>
    <row r="968">
      <c r="A968" s="46" t="s">
        <v>21466</v>
      </c>
      <c r="B968" s="44"/>
      <c r="C968" s="38" t="s">
        <v>19556</v>
      </c>
      <c r="D968" s="94" t="s">
        <v>21485</v>
      </c>
      <c r="E968" s="44"/>
      <c r="F968" s="38" t="s">
        <v>21486</v>
      </c>
      <c r="G968" s="94" t="s">
        <v>21487</v>
      </c>
      <c r="H968" s="38" t="s">
        <v>21488</v>
      </c>
    </row>
    <row r="969">
      <c r="A969" s="46" t="s">
        <v>21466</v>
      </c>
      <c r="B969" s="44"/>
      <c r="C969" s="38" t="s">
        <v>21489</v>
      </c>
      <c r="D969" s="94" t="s">
        <v>18392</v>
      </c>
      <c r="E969" s="44"/>
      <c r="F969" s="38" t="s">
        <v>21228</v>
      </c>
      <c r="G969" s="38" t="s">
        <v>21490</v>
      </c>
    </row>
    <row r="970">
      <c r="A970" s="46" t="s">
        <v>21466</v>
      </c>
      <c r="B970" s="44"/>
      <c r="C970" s="44"/>
      <c r="D970" s="44"/>
      <c r="E970" s="38">
        <v>105.0</v>
      </c>
      <c r="F970" s="38" t="s">
        <v>21491</v>
      </c>
      <c r="G970" s="44"/>
    </row>
    <row r="971">
      <c r="A971" s="164" t="s">
        <v>4172</v>
      </c>
      <c r="B971" s="44"/>
      <c r="C971" s="38" t="s">
        <v>21492</v>
      </c>
      <c r="D971" s="94" t="s">
        <v>18270</v>
      </c>
      <c r="E971" s="44"/>
      <c r="F971" s="38" t="s">
        <v>21493</v>
      </c>
      <c r="G971" s="94" t="s">
        <v>20660</v>
      </c>
    </row>
    <row r="972">
      <c r="A972" s="164" t="s">
        <v>4172</v>
      </c>
      <c r="B972" s="44"/>
      <c r="C972" s="38" t="s">
        <v>4169</v>
      </c>
      <c r="D972" s="94" t="s">
        <v>4173</v>
      </c>
      <c r="E972" s="44"/>
      <c r="F972" s="38" t="s">
        <v>4174</v>
      </c>
      <c r="G972" s="94" t="s">
        <v>21494</v>
      </c>
    </row>
    <row r="973">
      <c r="A973" s="164" t="s">
        <v>4172</v>
      </c>
      <c r="B973" s="44"/>
      <c r="C973" s="94" t="s">
        <v>21495</v>
      </c>
      <c r="D973" s="94" t="s">
        <v>21496</v>
      </c>
      <c r="E973" s="44"/>
      <c r="F973" s="38" t="s">
        <v>20457</v>
      </c>
      <c r="G973" s="94" t="s">
        <v>21497</v>
      </c>
    </row>
    <row r="974">
      <c r="A974" s="164" t="s">
        <v>4172</v>
      </c>
      <c r="B974" s="44"/>
      <c r="C974" s="38" t="s">
        <v>20495</v>
      </c>
      <c r="D974" s="61" t="s">
        <v>17862</v>
      </c>
      <c r="E974" s="44"/>
      <c r="F974" s="38" t="s">
        <v>21228</v>
      </c>
      <c r="G974" s="38" t="s">
        <v>17648</v>
      </c>
    </row>
    <row r="975">
      <c r="A975" s="164" t="s">
        <v>4172</v>
      </c>
      <c r="B975" s="44"/>
      <c r="C975" s="38" t="s">
        <v>21498</v>
      </c>
      <c r="D975" s="38" t="s">
        <v>21499</v>
      </c>
      <c r="E975" s="44"/>
      <c r="F975" s="38" t="s">
        <v>21500</v>
      </c>
      <c r="G975" s="777" t="s">
        <v>2290</v>
      </c>
      <c r="H975" s="8"/>
    </row>
    <row r="976">
      <c r="A976" s="164" t="s">
        <v>4172</v>
      </c>
      <c r="B976" s="44"/>
      <c r="C976" s="38" t="s">
        <v>20468</v>
      </c>
      <c r="D976" s="38" t="s">
        <v>19007</v>
      </c>
      <c r="E976" s="44"/>
      <c r="F976" s="38" t="s">
        <v>20241</v>
      </c>
      <c r="G976" s="38" t="s">
        <v>3663</v>
      </c>
      <c r="H976" s="8"/>
    </row>
    <row r="977">
      <c r="A977" s="164" t="s">
        <v>4172</v>
      </c>
      <c r="B977" s="44"/>
      <c r="C977" s="94" t="s">
        <v>4349</v>
      </c>
      <c r="D977" s="94" t="s">
        <v>19168</v>
      </c>
      <c r="E977" s="44"/>
      <c r="F977" s="38" t="s">
        <v>20324</v>
      </c>
      <c r="G977" s="94" t="s">
        <v>18493</v>
      </c>
      <c r="H977" s="8"/>
    </row>
    <row r="978">
      <c r="A978" s="164" t="s">
        <v>4172</v>
      </c>
      <c r="B978" s="44"/>
      <c r="C978" s="38" t="s">
        <v>21501</v>
      </c>
      <c r="D978" s="38" t="s">
        <v>21502</v>
      </c>
      <c r="E978" s="38">
        <v>284.0</v>
      </c>
      <c r="F978" s="38" t="s">
        <v>21503</v>
      </c>
      <c r="G978" s="38" t="s">
        <v>21504</v>
      </c>
      <c r="H978" s="8"/>
    </row>
    <row r="979">
      <c r="A979" s="164" t="s">
        <v>4172</v>
      </c>
      <c r="B979" s="44"/>
      <c r="C979" s="38" t="s">
        <v>19912</v>
      </c>
      <c r="D979" s="94" t="s">
        <v>18178</v>
      </c>
      <c r="E979" s="44"/>
      <c r="F979" s="38" t="s">
        <v>21505</v>
      </c>
      <c r="G979" s="94" t="s">
        <v>21506</v>
      </c>
      <c r="H979" s="5"/>
    </row>
    <row r="980">
      <c r="A980" s="164" t="s">
        <v>4172</v>
      </c>
      <c r="B980" s="44"/>
      <c r="C980" s="38" t="s">
        <v>19556</v>
      </c>
      <c r="D980" s="38" t="s">
        <v>21507</v>
      </c>
      <c r="E980" s="38">
        <v>25.0</v>
      </c>
      <c r="F980" s="38" t="s">
        <v>5885</v>
      </c>
      <c r="G980" s="38" t="s">
        <v>21508</v>
      </c>
      <c r="H980" s="5"/>
    </row>
    <row r="981">
      <c r="A981" s="164" t="s">
        <v>4172</v>
      </c>
      <c r="B981" s="44"/>
      <c r="C981" s="94" t="s">
        <v>19651</v>
      </c>
      <c r="D981" s="94" t="s">
        <v>19093</v>
      </c>
      <c r="E981" s="44"/>
      <c r="F981" s="38" t="s">
        <v>20457</v>
      </c>
      <c r="G981" s="94" t="s">
        <v>20166</v>
      </c>
      <c r="H981" s="5"/>
    </row>
    <row r="982">
      <c r="A982" s="164" t="s">
        <v>4172</v>
      </c>
      <c r="B982" s="44"/>
      <c r="C982" s="94" t="s">
        <v>21509</v>
      </c>
      <c r="D982" s="94" t="s">
        <v>21510</v>
      </c>
      <c r="E982" s="44"/>
      <c r="F982" s="38" t="s">
        <v>20241</v>
      </c>
      <c r="G982" s="94" t="s">
        <v>19957</v>
      </c>
      <c r="H982" s="5"/>
    </row>
    <row r="983">
      <c r="A983" s="164" t="s">
        <v>4172</v>
      </c>
      <c r="B983" s="44"/>
      <c r="C983" s="94" t="s">
        <v>3812</v>
      </c>
      <c r="D983" s="94" t="s">
        <v>21511</v>
      </c>
      <c r="E983" s="44"/>
      <c r="F983" s="38" t="s">
        <v>21512</v>
      </c>
      <c r="G983" s="94" t="s">
        <v>541</v>
      </c>
      <c r="H983" s="8"/>
    </row>
    <row r="984">
      <c r="A984" s="164" t="s">
        <v>4172</v>
      </c>
      <c r="B984" s="44"/>
      <c r="C984" s="38" t="s">
        <v>19912</v>
      </c>
      <c r="D984" s="94" t="s">
        <v>18446</v>
      </c>
      <c r="E984" s="44"/>
      <c r="F984" s="38" t="s">
        <v>20319</v>
      </c>
      <c r="G984" s="94" t="s">
        <v>21513</v>
      </c>
      <c r="H984" s="8"/>
    </row>
    <row r="985">
      <c r="A985" s="164" t="s">
        <v>4172</v>
      </c>
      <c r="B985" s="44"/>
      <c r="C985" s="38" t="s">
        <v>19912</v>
      </c>
      <c r="D985" s="94" t="s">
        <v>21514</v>
      </c>
      <c r="E985" s="44"/>
      <c r="F985" s="44"/>
      <c r="G985" s="94" t="s">
        <v>21515</v>
      </c>
      <c r="H985" s="8"/>
    </row>
    <row r="986">
      <c r="A986" s="164" t="s">
        <v>4172</v>
      </c>
      <c r="B986" s="44"/>
      <c r="C986" s="44"/>
      <c r="D986" s="44"/>
      <c r="E986" s="38">
        <v>-2050.0</v>
      </c>
      <c r="F986" s="38" t="s">
        <v>19648</v>
      </c>
      <c r="G986" s="44"/>
      <c r="H986" s="8"/>
    </row>
    <row r="987">
      <c r="A987" s="46" t="s">
        <v>21516</v>
      </c>
      <c r="B987" s="44"/>
      <c r="C987" s="44"/>
      <c r="D987" s="44"/>
      <c r="E987" s="38">
        <v>100.0</v>
      </c>
      <c r="F987" s="38" t="s">
        <v>21491</v>
      </c>
      <c r="G987" s="44"/>
    </row>
    <row r="988">
      <c r="A988" s="46" t="s">
        <v>21516</v>
      </c>
      <c r="B988" s="44"/>
      <c r="C988" s="38" t="s">
        <v>19834</v>
      </c>
      <c r="D988" s="94" t="s">
        <v>2558</v>
      </c>
      <c r="E988" s="743" t="s">
        <v>21517</v>
      </c>
      <c r="F988" s="38" t="s">
        <v>3913</v>
      </c>
      <c r="G988" s="94" t="s">
        <v>19628</v>
      </c>
      <c r="Q988" s="833"/>
    </row>
    <row r="989">
      <c r="A989" s="46" t="s">
        <v>21516</v>
      </c>
      <c r="B989" s="44"/>
      <c r="C989" s="38" t="s">
        <v>20122</v>
      </c>
      <c r="D989" s="94" t="s">
        <v>20121</v>
      </c>
      <c r="E989" s="743" t="s">
        <v>2916</v>
      </c>
      <c r="F989" s="38" t="s">
        <v>3724</v>
      </c>
      <c r="G989" s="94" t="s">
        <v>1024</v>
      </c>
      <c r="Q989" s="833"/>
    </row>
    <row r="990">
      <c r="A990" s="46" t="s">
        <v>21516</v>
      </c>
      <c r="B990" s="44"/>
      <c r="C990" s="94" t="s">
        <v>21518</v>
      </c>
      <c r="D990" s="94" t="s">
        <v>21519</v>
      </c>
      <c r="E990" s="743">
        <v>95.0</v>
      </c>
      <c r="F990" s="38" t="s">
        <v>21520</v>
      </c>
      <c r="G990" s="94" t="s">
        <v>18908</v>
      </c>
      <c r="Q990" s="833"/>
    </row>
    <row r="991">
      <c r="A991" s="46" t="s">
        <v>21516</v>
      </c>
      <c r="B991" s="44"/>
      <c r="C991" s="94" t="s">
        <v>17719</v>
      </c>
      <c r="D991" s="94" t="s">
        <v>21521</v>
      </c>
      <c r="E991" s="743">
        <v>50.0</v>
      </c>
      <c r="F991" s="38" t="s">
        <v>21522</v>
      </c>
      <c r="G991" s="94" t="s">
        <v>20424</v>
      </c>
      <c r="Q991" s="833"/>
    </row>
    <row r="992">
      <c r="A992" s="46" t="s">
        <v>21516</v>
      </c>
      <c r="B992" s="44"/>
      <c r="C992" s="38" t="s">
        <v>21523</v>
      </c>
      <c r="D992" s="94" t="s">
        <v>21524</v>
      </c>
      <c r="E992" s="743" t="s">
        <v>19309</v>
      </c>
      <c r="F992" s="38" t="s">
        <v>21525</v>
      </c>
      <c r="G992" s="94" t="s">
        <v>21526</v>
      </c>
      <c r="Q992" s="833"/>
    </row>
    <row r="993">
      <c r="A993" s="46" t="s">
        <v>21516</v>
      </c>
      <c r="B993" s="44"/>
      <c r="C993" s="38" t="s">
        <v>19912</v>
      </c>
      <c r="D993" s="94" t="s">
        <v>20425</v>
      </c>
      <c r="E993" s="743" t="s">
        <v>19309</v>
      </c>
      <c r="F993" s="38" t="s">
        <v>20330</v>
      </c>
      <c r="G993" s="94" t="s">
        <v>21527</v>
      </c>
      <c r="Q993" s="833"/>
    </row>
    <row r="994">
      <c r="A994" s="46" t="s">
        <v>21516</v>
      </c>
      <c r="B994" s="44"/>
      <c r="C994" s="38" t="s">
        <v>21528</v>
      </c>
      <c r="D994" s="38" t="s">
        <v>20111</v>
      </c>
      <c r="E994" s="743">
        <v>50.0</v>
      </c>
      <c r="F994" s="38" t="s">
        <v>21529</v>
      </c>
      <c r="G994" s="38" t="s">
        <v>21530</v>
      </c>
    </row>
    <row r="995">
      <c r="A995" s="46" t="s">
        <v>21516</v>
      </c>
      <c r="B995" s="44"/>
      <c r="C995" s="94" t="s">
        <v>21531</v>
      </c>
      <c r="D995" s="94" t="s">
        <v>21532</v>
      </c>
      <c r="E995" s="743" t="s">
        <v>21533</v>
      </c>
      <c r="F995" s="38" t="s">
        <v>21534</v>
      </c>
      <c r="G995" s="94" t="s">
        <v>21535</v>
      </c>
      <c r="H995" s="1" t="s">
        <v>21536</v>
      </c>
    </row>
    <row r="996">
      <c r="A996" s="46" t="s">
        <v>21516</v>
      </c>
      <c r="B996" s="44"/>
      <c r="C996" s="94" t="s">
        <v>21537</v>
      </c>
      <c r="D996" s="94" t="s">
        <v>19432</v>
      </c>
      <c r="E996" s="38" t="s">
        <v>19309</v>
      </c>
      <c r="F996" s="38" t="s">
        <v>20241</v>
      </c>
      <c r="G996" s="94" t="s">
        <v>21475</v>
      </c>
    </row>
    <row r="997">
      <c r="A997" s="46" t="s">
        <v>21516</v>
      </c>
      <c r="B997" s="44"/>
      <c r="C997" s="94" t="s">
        <v>21538</v>
      </c>
      <c r="D997" s="94" t="s">
        <v>19562</v>
      </c>
      <c r="E997" s="743">
        <v>50.0</v>
      </c>
      <c r="F997" s="38" t="s">
        <v>13622</v>
      </c>
      <c r="G997" s="94" t="s">
        <v>19563</v>
      </c>
    </row>
    <row r="998">
      <c r="A998" s="46" t="s">
        <v>21516</v>
      </c>
      <c r="B998" s="44"/>
      <c r="C998" s="38" t="s">
        <v>19912</v>
      </c>
      <c r="D998" s="94" t="s">
        <v>20344</v>
      </c>
      <c r="E998" s="743" t="s">
        <v>21539</v>
      </c>
      <c r="F998" s="38" t="s">
        <v>20319</v>
      </c>
      <c r="G998" s="94" t="s">
        <v>21540</v>
      </c>
    </row>
    <row r="999">
      <c r="A999" s="46" t="s">
        <v>21516</v>
      </c>
      <c r="B999" s="44"/>
      <c r="C999" s="38" t="s">
        <v>20928</v>
      </c>
      <c r="D999" s="38" t="s">
        <v>21541</v>
      </c>
      <c r="E999" s="38" t="s">
        <v>19627</v>
      </c>
      <c r="F999" s="38" t="s">
        <v>21542</v>
      </c>
      <c r="G999" s="777" t="s">
        <v>6113</v>
      </c>
    </row>
    <row r="1000">
      <c r="A1000" s="46" t="s">
        <v>21516</v>
      </c>
      <c r="B1000" s="44"/>
      <c r="C1000" s="44"/>
      <c r="D1000" s="44"/>
      <c r="E1000" s="38">
        <v>30.0</v>
      </c>
      <c r="F1000" s="38" t="s">
        <v>21491</v>
      </c>
      <c r="G1000" s="44"/>
    </row>
    <row r="1001">
      <c r="A1001" s="164" t="s">
        <v>21543</v>
      </c>
      <c r="B1001" s="44"/>
      <c r="C1001" s="38" t="s">
        <v>20003</v>
      </c>
      <c r="D1001" s="38" t="s">
        <v>20181</v>
      </c>
      <c r="E1001" s="38">
        <v>85.0</v>
      </c>
      <c r="F1001" s="38" t="s">
        <v>21544</v>
      </c>
      <c r="G1001" s="38" t="s">
        <v>21545</v>
      </c>
    </row>
    <row r="1002">
      <c r="A1002" s="164" t="s">
        <v>21543</v>
      </c>
      <c r="B1002" s="44"/>
      <c r="C1002" s="38" t="s">
        <v>19823</v>
      </c>
      <c r="D1002" s="44"/>
      <c r="E1002" s="38">
        <v>30.0</v>
      </c>
      <c r="F1002" s="38" t="s">
        <v>21546</v>
      </c>
      <c r="G1002" s="44"/>
    </row>
    <row r="1003">
      <c r="A1003" s="164" t="s">
        <v>21543</v>
      </c>
      <c r="B1003" s="44"/>
      <c r="C1003" s="38" t="s">
        <v>21547</v>
      </c>
      <c r="D1003" s="94" t="s">
        <v>20508</v>
      </c>
      <c r="E1003" s="38" t="s">
        <v>19309</v>
      </c>
      <c r="F1003" s="38" t="s">
        <v>21548</v>
      </c>
      <c r="G1003" s="94" t="s">
        <v>21549</v>
      </c>
    </row>
    <row r="1004">
      <c r="A1004" s="164" t="s">
        <v>21543</v>
      </c>
      <c r="B1004" s="44"/>
      <c r="C1004" s="38" t="s">
        <v>17713</v>
      </c>
      <c r="D1004" s="94" t="s">
        <v>17743</v>
      </c>
      <c r="E1004" s="44"/>
      <c r="F1004" s="38" t="s">
        <v>20367</v>
      </c>
      <c r="G1004" s="38" t="s">
        <v>17648</v>
      </c>
    </row>
    <row r="1005">
      <c r="A1005" s="164" t="s">
        <v>21543</v>
      </c>
      <c r="B1005" s="44"/>
      <c r="C1005" s="94" t="s">
        <v>20182</v>
      </c>
      <c r="D1005" s="94" t="s">
        <v>21550</v>
      </c>
      <c r="E1005" s="44"/>
      <c r="F1005" s="38" t="s">
        <v>21551</v>
      </c>
      <c r="G1005" s="94" t="s">
        <v>21552</v>
      </c>
    </row>
    <row r="1006">
      <c r="A1006" s="164" t="s">
        <v>21543</v>
      </c>
      <c r="B1006" s="44"/>
      <c r="C1006" s="38" t="s">
        <v>21553</v>
      </c>
      <c r="D1006" s="38" t="s">
        <v>21554</v>
      </c>
      <c r="E1006" s="38" t="s">
        <v>19309</v>
      </c>
      <c r="F1006" s="38" t="s">
        <v>21555</v>
      </c>
      <c r="G1006" s="38" t="s">
        <v>21556</v>
      </c>
      <c r="H1006" s="8"/>
    </row>
    <row r="1007">
      <c r="A1007" s="164" t="s">
        <v>21543</v>
      </c>
      <c r="B1007" s="44"/>
      <c r="C1007" s="94" t="s">
        <v>21557</v>
      </c>
      <c r="D1007" s="94" t="s">
        <v>19111</v>
      </c>
      <c r="E1007" s="44"/>
      <c r="F1007" s="38" t="s">
        <v>20336</v>
      </c>
      <c r="G1007" s="94" t="s">
        <v>21558</v>
      </c>
      <c r="H1007" s="8"/>
    </row>
    <row r="1008">
      <c r="A1008" s="164" t="s">
        <v>21543</v>
      </c>
      <c r="B1008" s="44"/>
      <c r="C1008" s="94" t="s">
        <v>17920</v>
      </c>
      <c r="D1008" s="94" t="s">
        <v>17921</v>
      </c>
      <c r="E1008" s="44"/>
      <c r="F1008" s="38" t="s">
        <v>20457</v>
      </c>
      <c r="G1008" s="94" t="s">
        <v>20442</v>
      </c>
      <c r="H1008" s="8"/>
    </row>
    <row r="1009">
      <c r="A1009" s="164" t="s">
        <v>21543</v>
      </c>
      <c r="B1009" s="44"/>
      <c r="C1009" s="38" t="s">
        <v>21559</v>
      </c>
      <c r="D1009" s="38" t="s">
        <v>21560</v>
      </c>
      <c r="E1009" s="44"/>
      <c r="F1009" s="38" t="s">
        <v>21405</v>
      </c>
      <c r="G1009" s="94" t="s">
        <v>20050</v>
      </c>
      <c r="H1009" s="8"/>
    </row>
    <row r="1010">
      <c r="A1010" s="164" t="s">
        <v>21543</v>
      </c>
      <c r="B1010" s="44"/>
      <c r="C1010" s="38" t="s">
        <v>3177</v>
      </c>
      <c r="D1010" s="94" t="s">
        <v>21561</v>
      </c>
      <c r="E1010" s="44"/>
      <c r="F1010" s="38" t="s">
        <v>21562</v>
      </c>
      <c r="G1010" s="94" t="s">
        <v>21563</v>
      </c>
      <c r="H1010" s="8"/>
    </row>
    <row r="1011">
      <c r="A1011" s="164" t="s">
        <v>21543</v>
      </c>
      <c r="B1011" s="44"/>
      <c r="C1011" s="94" t="s">
        <v>21564</v>
      </c>
      <c r="D1011" s="94" t="s">
        <v>21565</v>
      </c>
      <c r="E1011" s="44"/>
      <c r="F1011" s="38" t="s">
        <v>21566</v>
      </c>
      <c r="G1011" s="94" t="s">
        <v>20575</v>
      </c>
      <c r="H1011" s="8"/>
    </row>
    <row r="1012">
      <c r="A1012" s="164" t="s">
        <v>21543</v>
      </c>
      <c r="B1012" s="44"/>
      <c r="C1012" s="38" t="s">
        <v>19704</v>
      </c>
      <c r="D1012" s="94" t="s">
        <v>21567</v>
      </c>
      <c r="E1012" s="44"/>
      <c r="F1012" s="38" t="s">
        <v>20241</v>
      </c>
      <c r="G1012" s="94" t="s">
        <v>20063</v>
      </c>
      <c r="H1012" s="8"/>
    </row>
    <row r="1013">
      <c r="A1013" s="164" t="s">
        <v>21543</v>
      </c>
      <c r="B1013" s="44"/>
      <c r="C1013" s="38" t="s">
        <v>20122</v>
      </c>
      <c r="D1013" s="38" t="s">
        <v>21568</v>
      </c>
      <c r="E1013" s="44">
        <f>SUM(40+5+16)</f>
        <v>61</v>
      </c>
      <c r="F1013" s="38" t="s">
        <v>21569</v>
      </c>
      <c r="G1013" s="38" t="s">
        <v>21570</v>
      </c>
      <c r="H1013" s="8"/>
    </row>
    <row r="1014">
      <c r="A1014" s="164" t="s">
        <v>21543</v>
      </c>
      <c r="B1014" s="44"/>
      <c r="C1014" s="38" t="s">
        <v>20151</v>
      </c>
      <c r="D1014" s="94" t="s">
        <v>21571</v>
      </c>
      <c r="E1014" s="44"/>
      <c r="F1014" s="38" t="s">
        <v>13622</v>
      </c>
      <c r="G1014" s="38" t="s">
        <v>21572</v>
      </c>
    </row>
    <row r="1015">
      <c r="A1015" s="164" t="s">
        <v>21543</v>
      </c>
      <c r="B1015" s="44"/>
      <c r="C1015" s="38" t="s">
        <v>21547</v>
      </c>
      <c r="D1015" s="94" t="s">
        <v>18698</v>
      </c>
      <c r="E1015" s="44"/>
      <c r="F1015" s="38" t="s">
        <v>21573</v>
      </c>
      <c r="G1015" s="94" t="s">
        <v>21574</v>
      </c>
      <c r="H1015" s="8"/>
      <c r="Q1015" s="833"/>
    </row>
    <row r="1016">
      <c r="A1016" s="164" t="s">
        <v>21543</v>
      </c>
      <c r="B1016" s="44"/>
      <c r="C1016" s="38" t="s">
        <v>19912</v>
      </c>
      <c r="D1016" s="94" t="s">
        <v>18764</v>
      </c>
      <c r="E1016" s="44"/>
      <c r="F1016" s="38" t="s">
        <v>20319</v>
      </c>
      <c r="G1016" s="94" t="s">
        <v>21575</v>
      </c>
      <c r="H1016" s="8"/>
      <c r="Q1016" s="833"/>
    </row>
    <row r="1017">
      <c r="A1017" s="164" t="s">
        <v>21543</v>
      </c>
      <c r="B1017" s="44"/>
      <c r="C1017" s="44"/>
      <c r="D1017" s="44"/>
      <c r="E1017" s="38" t="s">
        <v>19309</v>
      </c>
      <c r="F1017" s="38" t="s">
        <v>21576</v>
      </c>
      <c r="G1017" s="44"/>
      <c r="H1017" s="8"/>
      <c r="Q1017" s="833"/>
    </row>
    <row r="1018">
      <c r="A1018" s="164" t="s">
        <v>21543</v>
      </c>
      <c r="B1018" s="44"/>
      <c r="C1018" s="38" t="s">
        <v>21577</v>
      </c>
      <c r="D1018" s="94" t="s">
        <v>18690</v>
      </c>
      <c r="E1018" s="44"/>
      <c r="F1018" s="38" t="s">
        <v>21578</v>
      </c>
      <c r="G1018" s="94" t="s">
        <v>21574</v>
      </c>
    </row>
    <row r="1019">
      <c r="A1019" s="164" t="s">
        <v>21543</v>
      </c>
      <c r="B1019" s="44"/>
      <c r="C1019" s="94" t="s">
        <v>19955</v>
      </c>
      <c r="D1019" s="94" t="s">
        <v>19954</v>
      </c>
      <c r="E1019" s="44"/>
      <c r="F1019" s="38" t="s">
        <v>20336</v>
      </c>
      <c r="G1019" s="94" t="s">
        <v>19957</v>
      </c>
    </row>
    <row r="1020">
      <c r="A1020" s="46" t="s">
        <v>21579</v>
      </c>
      <c r="B1020" s="44"/>
      <c r="C1020" s="38" t="s">
        <v>21580</v>
      </c>
      <c r="D1020" s="94" t="s">
        <v>21581</v>
      </c>
      <c r="E1020" s="44"/>
      <c r="F1020" s="38" t="s">
        <v>13622</v>
      </c>
      <c r="G1020" s="94" t="s">
        <v>21582</v>
      </c>
    </row>
    <row r="1021">
      <c r="A1021" s="46" t="s">
        <v>21579</v>
      </c>
      <c r="B1021" s="44"/>
      <c r="C1021" s="94" t="s">
        <v>21583</v>
      </c>
      <c r="D1021" s="94" t="s">
        <v>19236</v>
      </c>
      <c r="E1021" s="38">
        <v>90.0</v>
      </c>
      <c r="F1021" s="38" t="s">
        <v>20319</v>
      </c>
      <c r="G1021" s="94" t="s">
        <v>20193</v>
      </c>
    </row>
    <row r="1022">
      <c r="A1022" s="46" t="s">
        <v>21579</v>
      </c>
      <c r="B1022" s="44"/>
      <c r="C1022" s="38" t="s">
        <v>21584</v>
      </c>
      <c r="D1022" s="38" t="s">
        <v>21585</v>
      </c>
      <c r="E1022" s="44"/>
      <c r="F1022" s="38" t="s">
        <v>20432</v>
      </c>
      <c r="G1022" s="38" t="s">
        <v>17648</v>
      </c>
    </row>
    <row r="1023">
      <c r="A1023" s="46" t="s">
        <v>21579</v>
      </c>
      <c r="B1023" s="44"/>
      <c r="C1023" s="94" t="s">
        <v>21203</v>
      </c>
      <c r="D1023" s="94" t="s">
        <v>21586</v>
      </c>
      <c r="E1023" s="44"/>
      <c r="F1023" s="38" t="s">
        <v>20418</v>
      </c>
      <c r="G1023" s="94" t="s">
        <v>2641</v>
      </c>
    </row>
    <row r="1024">
      <c r="A1024" s="46" t="s">
        <v>21579</v>
      </c>
      <c r="B1024" s="44"/>
      <c r="C1024" s="44"/>
      <c r="D1024" s="44"/>
      <c r="E1024" s="38">
        <v>252.0</v>
      </c>
      <c r="F1024" s="38" t="s">
        <v>21587</v>
      </c>
      <c r="G1024" s="38" t="s">
        <v>21588</v>
      </c>
    </row>
    <row r="1025">
      <c r="A1025" s="46" t="s">
        <v>21579</v>
      </c>
      <c r="B1025" s="44"/>
      <c r="C1025" s="38" t="s">
        <v>21589</v>
      </c>
      <c r="D1025" s="38" t="s">
        <v>17911</v>
      </c>
      <c r="E1025" s="44"/>
      <c r="F1025" s="38" t="s">
        <v>20324</v>
      </c>
      <c r="G1025" s="38" t="s">
        <v>17648</v>
      </c>
    </row>
    <row r="1026">
      <c r="A1026" s="46" t="s">
        <v>21579</v>
      </c>
      <c r="B1026" s="44"/>
      <c r="C1026" s="94" t="s">
        <v>21590</v>
      </c>
      <c r="D1026" s="94" t="s">
        <v>20080</v>
      </c>
      <c r="E1026" s="38">
        <v>50.0</v>
      </c>
      <c r="F1026" s="38" t="s">
        <v>3643</v>
      </c>
      <c r="G1026" s="94" t="s">
        <v>20081</v>
      </c>
    </row>
    <row r="1027">
      <c r="A1027" s="46" t="s">
        <v>21579</v>
      </c>
      <c r="B1027" s="44"/>
      <c r="C1027" s="94" t="s">
        <v>21591</v>
      </c>
      <c r="D1027" s="38" t="s">
        <v>21592</v>
      </c>
      <c r="E1027" s="44"/>
      <c r="F1027" s="38" t="s">
        <v>21593</v>
      </c>
      <c r="G1027" s="94" t="s">
        <v>21594</v>
      </c>
    </row>
    <row r="1028">
      <c r="A1028" s="46" t="s">
        <v>21579</v>
      </c>
      <c r="B1028" s="44"/>
      <c r="C1028" s="94" t="s">
        <v>21595</v>
      </c>
      <c r="D1028" s="94" t="s">
        <v>21596</v>
      </c>
      <c r="E1028" s="38" t="s">
        <v>2252</v>
      </c>
      <c r="F1028" s="38" t="s">
        <v>3643</v>
      </c>
      <c r="G1028" s="94" t="s">
        <v>2641</v>
      </c>
    </row>
    <row r="1029">
      <c r="A1029" s="46" t="s">
        <v>21579</v>
      </c>
      <c r="B1029" s="44"/>
      <c r="C1029" s="94" t="s">
        <v>21597</v>
      </c>
      <c r="D1029" s="94" t="s">
        <v>20459</v>
      </c>
      <c r="E1029" s="44"/>
      <c r="F1029" s="38" t="s">
        <v>13622</v>
      </c>
      <c r="G1029" s="94" t="s">
        <v>2641</v>
      </c>
    </row>
    <row r="1030">
      <c r="A1030" s="46" t="s">
        <v>21579</v>
      </c>
      <c r="B1030" s="44"/>
      <c r="C1030" s="38" t="s">
        <v>19912</v>
      </c>
      <c r="D1030" s="38" t="s">
        <v>18760</v>
      </c>
      <c r="E1030" s="44"/>
      <c r="F1030" s="38" t="s">
        <v>21598</v>
      </c>
      <c r="G1030" s="38" t="s">
        <v>18761</v>
      </c>
    </row>
    <row r="1031">
      <c r="A1031" s="46" t="s">
        <v>21579</v>
      </c>
      <c r="B1031" s="44"/>
      <c r="C1031" s="580" t="s">
        <v>18849</v>
      </c>
      <c r="D1031" s="94" t="s">
        <v>18850</v>
      </c>
      <c r="E1031" s="44"/>
      <c r="F1031" s="38" t="s">
        <v>20367</v>
      </c>
      <c r="G1031" s="94" t="s">
        <v>21599</v>
      </c>
    </row>
    <row r="1032">
      <c r="A1032" s="46" t="s">
        <v>21579</v>
      </c>
      <c r="B1032" s="44"/>
      <c r="C1032" s="94" t="s">
        <v>21600</v>
      </c>
      <c r="D1032" s="94" t="s">
        <v>21601</v>
      </c>
      <c r="E1032" s="38">
        <f>SUM(4*70+40)</f>
        <v>320</v>
      </c>
      <c r="F1032" s="38" t="s">
        <v>21602</v>
      </c>
      <c r="G1032" s="94" t="s">
        <v>21603</v>
      </c>
    </row>
    <row r="1033">
      <c r="A1033" s="46" t="s">
        <v>21579</v>
      </c>
      <c r="B1033" s="44"/>
      <c r="C1033" s="38" t="s">
        <v>21604</v>
      </c>
      <c r="D1033" s="94" t="s">
        <v>21605</v>
      </c>
      <c r="E1033" s="38" t="s">
        <v>19309</v>
      </c>
      <c r="F1033" s="38" t="s">
        <v>21606</v>
      </c>
      <c r="G1033" s="94" t="s">
        <v>21607</v>
      </c>
    </row>
    <row r="1034">
      <c r="A1034" s="46" t="s">
        <v>21579</v>
      </c>
      <c r="B1034" s="44"/>
      <c r="C1034" s="38" t="s">
        <v>20617</v>
      </c>
      <c r="D1034" s="94" t="s">
        <v>21608</v>
      </c>
      <c r="E1034" s="44"/>
      <c r="F1034" s="38" t="s">
        <v>21609</v>
      </c>
      <c r="G1034" s="94" t="s">
        <v>21610</v>
      </c>
    </row>
    <row r="1035">
      <c r="A1035" s="46" t="s">
        <v>21579</v>
      </c>
      <c r="B1035" s="44"/>
      <c r="C1035" s="38" t="s">
        <v>20060</v>
      </c>
      <c r="D1035" s="94" t="s">
        <v>20059</v>
      </c>
      <c r="E1035" s="38">
        <v>50.0</v>
      </c>
      <c r="F1035" s="38" t="s">
        <v>13622</v>
      </c>
      <c r="G1035" s="94" t="s">
        <v>20061</v>
      </c>
    </row>
    <row r="1036">
      <c r="A1036" s="46" t="s">
        <v>21579</v>
      </c>
      <c r="B1036" s="44"/>
      <c r="C1036" s="38" t="s">
        <v>20911</v>
      </c>
      <c r="D1036" s="38" t="s">
        <v>21611</v>
      </c>
      <c r="E1036" s="44">
        <f>SUM(30*4+50)</f>
        <v>170</v>
      </c>
      <c r="F1036" s="38" t="s">
        <v>21612</v>
      </c>
      <c r="G1036" s="38" t="s">
        <v>21613</v>
      </c>
    </row>
    <row r="1037">
      <c r="A1037" s="46" t="s">
        <v>21579</v>
      </c>
      <c r="B1037" s="44"/>
      <c r="C1037" s="94" t="s">
        <v>20349</v>
      </c>
      <c r="D1037" s="94" t="s">
        <v>21614</v>
      </c>
      <c r="E1037" s="38" t="s">
        <v>21615</v>
      </c>
      <c r="F1037" s="38" t="s">
        <v>5885</v>
      </c>
      <c r="G1037" s="94" t="s">
        <v>20381</v>
      </c>
    </row>
    <row r="1038">
      <c r="A1038" s="46" t="s">
        <v>21579</v>
      </c>
      <c r="B1038" s="44"/>
      <c r="C1038" s="38" t="s">
        <v>3177</v>
      </c>
      <c r="D1038" s="94" t="s">
        <v>21616</v>
      </c>
      <c r="E1038" s="38">
        <v>40.0</v>
      </c>
      <c r="F1038" s="38" t="s">
        <v>20330</v>
      </c>
      <c r="G1038" s="94" t="s">
        <v>21617</v>
      </c>
    </row>
    <row r="1039">
      <c r="A1039" s="46" t="s">
        <v>21579</v>
      </c>
      <c r="B1039" s="44"/>
      <c r="C1039" s="44"/>
      <c r="D1039" s="44"/>
      <c r="E1039" s="38">
        <v>100.0</v>
      </c>
      <c r="F1039" s="38" t="s">
        <v>21618</v>
      </c>
      <c r="G1039" s="44"/>
    </row>
    <row r="1040">
      <c r="A1040" s="164" t="s">
        <v>21619</v>
      </c>
      <c r="B1040" s="44"/>
      <c r="C1040" s="38" t="s">
        <v>18732</v>
      </c>
      <c r="D1040" s="94" t="s">
        <v>18733</v>
      </c>
      <c r="E1040" s="38">
        <v>100.0</v>
      </c>
      <c r="F1040" s="38" t="s">
        <v>21620</v>
      </c>
      <c r="G1040" s="94" t="s">
        <v>20796</v>
      </c>
      <c r="H1040" s="38"/>
    </row>
    <row r="1041">
      <c r="A1041" s="164" t="s">
        <v>21619</v>
      </c>
      <c r="B1041" s="38" t="s">
        <v>21621</v>
      </c>
      <c r="C1041" s="44"/>
      <c r="D1041" s="44"/>
      <c r="E1041" s="44"/>
      <c r="F1041" s="38" t="s">
        <v>21622</v>
      </c>
      <c r="G1041" s="44"/>
      <c r="H1041" s="44"/>
      <c r="I1041" s="44"/>
    </row>
    <row r="1042">
      <c r="A1042" s="164" t="s">
        <v>21619</v>
      </c>
      <c r="B1042" s="44"/>
      <c r="C1042" s="38" t="s">
        <v>19891</v>
      </c>
      <c r="D1042" s="94" t="s">
        <v>13716</v>
      </c>
      <c r="E1042" s="38">
        <v>65.0</v>
      </c>
      <c r="F1042" s="38" t="s">
        <v>21623</v>
      </c>
      <c r="G1042" s="94" t="s">
        <v>13717</v>
      </c>
    </row>
    <row r="1043">
      <c r="A1043" s="164" t="s">
        <v>21619</v>
      </c>
      <c r="B1043" s="44"/>
      <c r="C1043" s="38" t="s">
        <v>20003</v>
      </c>
      <c r="D1043" s="38" t="s">
        <v>21476</v>
      </c>
      <c r="E1043" s="38">
        <v>372.0</v>
      </c>
      <c r="F1043" s="38" t="s">
        <v>21624</v>
      </c>
      <c r="G1043" s="38" t="s">
        <v>21478</v>
      </c>
    </row>
    <row r="1044">
      <c r="A1044" s="164" t="s">
        <v>21619</v>
      </c>
      <c r="B1044" s="44"/>
      <c r="C1044" s="38" t="s">
        <v>21173</v>
      </c>
      <c r="D1044" s="94" t="s">
        <v>21625</v>
      </c>
      <c r="E1044" s="38">
        <f>SUM(85*4+50+5)</f>
        <v>395</v>
      </c>
      <c r="F1044" s="38" t="s">
        <v>21626</v>
      </c>
      <c r="G1044" s="94" t="s">
        <v>21627</v>
      </c>
    </row>
    <row r="1045">
      <c r="A1045" s="164" t="s">
        <v>21619</v>
      </c>
      <c r="B1045" s="44"/>
      <c r="C1045" s="38" t="s">
        <v>19912</v>
      </c>
      <c r="D1045" s="94" t="s">
        <v>21628</v>
      </c>
      <c r="E1045" s="44"/>
      <c r="F1045" s="38" t="s">
        <v>20319</v>
      </c>
      <c r="G1045" s="94" t="s">
        <v>21629</v>
      </c>
    </row>
    <row r="1046">
      <c r="A1046" s="164" t="s">
        <v>21619</v>
      </c>
      <c r="B1046" s="44"/>
      <c r="C1046" s="38" t="s">
        <v>17753</v>
      </c>
      <c r="D1046" s="38" t="s">
        <v>18156</v>
      </c>
      <c r="E1046" s="44"/>
      <c r="F1046" s="38" t="s">
        <v>20367</v>
      </c>
      <c r="G1046" s="38" t="s">
        <v>18191</v>
      </c>
    </row>
    <row r="1047">
      <c r="A1047" s="164" t="s">
        <v>21619</v>
      </c>
      <c r="B1047" s="44"/>
      <c r="C1047" s="94" t="s">
        <v>21630</v>
      </c>
      <c r="D1047" s="94" t="s">
        <v>21631</v>
      </c>
      <c r="E1047" s="44"/>
      <c r="F1047" s="38" t="s">
        <v>20724</v>
      </c>
      <c r="G1047" s="94" t="s">
        <v>19934</v>
      </c>
    </row>
    <row r="1048">
      <c r="A1048" s="164" t="s">
        <v>21619</v>
      </c>
      <c r="B1048" s="44"/>
      <c r="C1048" s="94" t="s">
        <v>21632</v>
      </c>
      <c r="D1048" s="94" t="s">
        <v>21633</v>
      </c>
      <c r="E1048" s="44"/>
      <c r="F1048" s="38" t="s">
        <v>20241</v>
      </c>
      <c r="G1048" s="94" t="s">
        <v>20339</v>
      </c>
    </row>
    <row r="1049">
      <c r="A1049" s="164" t="s">
        <v>21619</v>
      </c>
      <c r="B1049" s="44"/>
      <c r="C1049" s="94" t="s">
        <v>20253</v>
      </c>
      <c r="D1049" s="94" t="s">
        <v>17885</v>
      </c>
      <c r="E1049" s="44"/>
      <c r="F1049" s="38" t="s">
        <v>21634</v>
      </c>
      <c r="G1049" s="94" t="s">
        <v>20442</v>
      </c>
    </row>
    <row r="1050">
      <c r="A1050" s="164" t="s">
        <v>21619</v>
      </c>
      <c r="B1050" s="44"/>
      <c r="C1050" s="38" t="s">
        <v>18492</v>
      </c>
      <c r="D1050" s="38" t="s">
        <v>18460</v>
      </c>
      <c r="E1050" s="44">
        <f>SUM(40+50)</f>
        <v>90</v>
      </c>
      <c r="F1050" s="38" t="s">
        <v>20241</v>
      </c>
      <c r="G1050" s="94" t="s">
        <v>18462</v>
      </c>
    </row>
    <row r="1051">
      <c r="A1051" s="164" t="s">
        <v>21619</v>
      </c>
      <c r="B1051" s="44"/>
      <c r="C1051" s="94" t="s">
        <v>19651</v>
      </c>
      <c r="D1051" s="94" t="s">
        <v>21635</v>
      </c>
      <c r="E1051" s="38" t="s">
        <v>19309</v>
      </c>
      <c r="F1051" s="38" t="s">
        <v>21405</v>
      </c>
      <c r="G1051" s="94" t="s">
        <v>21636</v>
      </c>
    </row>
    <row r="1052">
      <c r="A1052" s="164" t="s">
        <v>21619</v>
      </c>
      <c r="B1052" s="44"/>
      <c r="C1052" s="38" t="s">
        <v>19556</v>
      </c>
      <c r="D1052" s="94" t="s">
        <v>21637</v>
      </c>
      <c r="E1052" s="38" t="s">
        <v>19309</v>
      </c>
      <c r="F1052" s="38" t="s">
        <v>21638</v>
      </c>
      <c r="G1052" s="94" t="s">
        <v>21639</v>
      </c>
    </row>
    <row r="1053">
      <c r="A1053" s="164" t="s">
        <v>21619</v>
      </c>
      <c r="B1053" s="44"/>
      <c r="C1053" s="38" t="s">
        <v>19538</v>
      </c>
      <c r="D1053" s="38" t="s">
        <v>21640</v>
      </c>
      <c r="E1053" s="44"/>
      <c r="F1053" s="38" t="s">
        <v>5885</v>
      </c>
      <c r="G1053" s="38" t="s">
        <v>21641</v>
      </c>
    </row>
    <row r="1054">
      <c r="A1054" s="164" t="s">
        <v>21619</v>
      </c>
      <c r="B1054" s="44"/>
      <c r="C1054" s="38" t="s">
        <v>20014</v>
      </c>
      <c r="D1054" s="94" t="s">
        <v>21642</v>
      </c>
      <c r="E1054" s="44">
        <f>SUM(105*4+50)</f>
        <v>470</v>
      </c>
      <c r="F1054" s="38" t="s">
        <v>21643</v>
      </c>
      <c r="G1054" s="94" t="s">
        <v>20632</v>
      </c>
    </row>
    <row r="1055">
      <c r="A1055" s="164" t="s">
        <v>21619</v>
      </c>
      <c r="B1055" s="44"/>
      <c r="C1055" s="38" t="s">
        <v>20928</v>
      </c>
      <c r="D1055" s="94" t="s">
        <v>12375</v>
      </c>
      <c r="E1055" s="44"/>
      <c r="F1055" s="38" t="s">
        <v>21644</v>
      </c>
      <c r="G1055" s="94" t="s">
        <v>21645</v>
      </c>
    </row>
    <row r="1056">
      <c r="A1056" s="164" t="s">
        <v>21619</v>
      </c>
      <c r="B1056" s="44"/>
      <c r="C1056" s="94" t="s">
        <v>17952</v>
      </c>
      <c r="D1056" s="94" t="s">
        <v>21646</v>
      </c>
      <c r="E1056" s="38">
        <v>90.0</v>
      </c>
      <c r="F1056" s="38" t="s">
        <v>20241</v>
      </c>
      <c r="G1056" s="94" t="s">
        <v>20272</v>
      </c>
    </row>
    <row r="1057">
      <c r="A1057" s="164" t="s">
        <v>21619</v>
      </c>
      <c r="B1057" s="44"/>
      <c r="C1057" s="44"/>
      <c r="D1057" s="44"/>
      <c r="E1057" s="38">
        <v>-3400.0</v>
      </c>
      <c r="F1057" s="38" t="s">
        <v>19648</v>
      </c>
      <c r="G1057" s="44"/>
    </row>
    <row r="1058">
      <c r="A1058" s="164" t="s">
        <v>21619</v>
      </c>
      <c r="B1058" s="44"/>
      <c r="C1058" s="38" t="s">
        <v>21647</v>
      </c>
      <c r="D1058" s="94" t="s">
        <v>21648</v>
      </c>
      <c r="E1058" s="38" t="s">
        <v>21649</v>
      </c>
      <c r="F1058" s="38" t="s">
        <v>20418</v>
      </c>
      <c r="G1058" s="94" t="s">
        <v>21650</v>
      </c>
    </row>
    <row r="1059">
      <c r="A1059" s="46" t="s">
        <v>21651</v>
      </c>
      <c r="B1059" s="44"/>
      <c r="C1059" s="38" t="s">
        <v>21652</v>
      </c>
      <c r="D1059" s="94" t="s">
        <v>21653</v>
      </c>
      <c r="E1059" s="44"/>
      <c r="F1059" s="38" t="s">
        <v>21654</v>
      </c>
      <c r="G1059" s="94" t="s">
        <v>14991</v>
      </c>
    </row>
    <row r="1060">
      <c r="A1060" s="46" t="s">
        <v>21651</v>
      </c>
      <c r="B1060" s="44"/>
      <c r="C1060" s="94" t="s">
        <v>21655</v>
      </c>
      <c r="D1060" s="94" t="s">
        <v>21656</v>
      </c>
      <c r="E1060" s="38" t="s">
        <v>19309</v>
      </c>
      <c r="F1060" s="38" t="s">
        <v>20319</v>
      </c>
      <c r="G1060" s="94" t="s">
        <v>21657</v>
      </c>
    </row>
    <row r="1061">
      <c r="A1061" s="46" t="s">
        <v>21651</v>
      </c>
      <c r="B1061" s="44"/>
      <c r="C1061" s="94" t="s">
        <v>21658</v>
      </c>
      <c r="D1061" s="94" t="s">
        <v>18861</v>
      </c>
      <c r="E1061" s="38" t="s">
        <v>19309</v>
      </c>
      <c r="F1061" s="38" t="s">
        <v>21659</v>
      </c>
      <c r="G1061" s="94" t="s">
        <v>21563</v>
      </c>
    </row>
    <row r="1062">
      <c r="A1062" s="46" t="s">
        <v>21651</v>
      </c>
      <c r="B1062" s="44"/>
      <c r="C1062" s="38" t="s">
        <v>21660</v>
      </c>
      <c r="D1062" s="94" t="s">
        <v>19019</v>
      </c>
      <c r="E1062" s="44"/>
      <c r="F1062" s="38" t="s">
        <v>21661</v>
      </c>
      <c r="G1062" s="44"/>
    </row>
    <row r="1063">
      <c r="A1063" s="46" t="s">
        <v>21651</v>
      </c>
      <c r="B1063" s="44"/>
      <c r="C1063" s="38" t="s">
        <v>21662</v>
      </c>
      <c r="D1063" s="94" t="s">
        <v>18466</v>
      </c>
      <c r="E1063" s="38" t="s">
        <v>19309</v>
      </c>
      <c r="F1063" s="38" t="s">
        <v>21663</v>
      </c>
      <c r="G1063" s="94" t="s">
        <v>20348</v>
      </c>
      <c r="H1063" s="8"/>
    </row>
    <row r="1064">
      <c r="A1064" s="46" t="s">
        <v>21651</v>
      </c>
      <c r="B1064" s="44"/>
      <c r="C1064" s="38" t="s">
        <v>17753</v>
      </c>
      <c r="D1064" s="94" t="s">
        <v>18475</v>
      </c>
      <c r="E1064" s="44">
        <f>SUM(50+30)</f>
        <v>80</v>
      </c>
      <c r="F1064" s="38" t="s">
        <v>20367</v>
      </c>
      <c r="G1064" s="94" t="s">
        <v>20228</v>
      </c>
      <c r="H1064" s="8"/>
    </row>
    <row r="1065">
      <c r="A1065" s="46" t="s">
        <v>21651</v>
      </c>
      <c r="B1065" s="44"/>
      <c r="C1065" s="94" t="s">
        <v>21664</v>
      </c>
      <c r="D1065" s="94" t="s">
        <v>17714</v>
      </c>
      <c r="E1065" s="44"/>
      <c r="F1065" s="38" t="s">
        <v>21665</v>
      </c>
      <c r="G1065" s="94" t="s">
        <v>20442</v>
      </c>
      <c r="H1065" s="8"/>
    </row>
    <row r="1066">
      <c r="A1066" s="46" t="s">
        <v>21651</v>
      </c>
      <c r="B1066" s="44"/>
      <c r="C1066" s="44"/>
      <c r="D1066" s="94"/>
      <c r="E1066" s="38">
        <v>-70.0</v>
      </c>
      <c r="F1066" s="38" t="s">
        <v>19729</v>
      </c>
      <c r="G1066" s="44"/>
      <c r="H1066" s="8"/>
    </row>
    <row r="1067">
      <c r="A1067" s="46" t="s">
        <v>21651</v>
      </c>
      <c r="B1067" s="44"/>
      <c r="C1067" s="94" t="s">
        <v>17717</v>
      </c>
      <c r="D1067" s="94" t="s">
        <v>21666</v>
      </c>
      <c r="E1067" s="44"/>
      <c r="F1067" s="38" t="s">
        <v>21667</v>
      </c>
      <c r="G1067" s="94" t="s">
        <v>20442</v>
      </c>
      <c r="H1067" s="8"/>
    </row>
    <row r="1068">
      <c r="A1068" s="46" t="s">
        <v>21651</v>
      </c>
      <c r="B1068" s="44"/>
      <c r="C1068" s="94" t="s">
        <v>21668</v>
      </c>
      <c r="D1068" s="94" t="s">
        <v>3384</v>
      </c>
      <c r="E1068" s="44"/>
      <c r="F1068" s="38" t="s">
        <v>3913</v>
      </c>
      <c r="G1068" s="94" t="s">
        <v>18631</v>
      </c>
      <c r="H1068" s="8"/>
    </row>
    <row r="1069">
      <c r="A1069" s="46" t="s">
        <v>21651</v>
      </c>
      <c r="B1069" s="44"/>
      <c r="C1069" s="38" t="s">
        <v>20068</v>
      </c>
      <c r="D1069" s="38" t="s">
        <v>21669</v>
      </c>
      <c r="E1069" s="44"/>
      <c r="F1069" s="38" t="s">
        <v>20367</v>
      </c>
      <c r="G1069" s="38" t="s">
        <v>9035</v>
      </c>
    </row>
    <row r="1070">
      <c r="A1070" s="46" t="s">
        <v>21651</v>
      </c>
      <c r="B1070" s="44"/>
      <c r="C1070" s="94" t="s">
        <v>19636</v>
      </c>
      <c r="D1070" s="94" t="s">
        <v>19636</v>
      </c>
      <c r="E1070" s="44">
        <f>SUM(50+30+20)</f>
        <v>100</v>
      </c>
      <c r="F1070" s="38" t="s">
        <v>21670</v>
      </c>
      <c r="G1070" s="94" t="s">
        <v>19637</v>
      </c>
    </row>
    <row r="1071">
      <c r="A1071" s="46" t="s">
        <v>21651</v>
      </c>
      <c r="B1071" s="44"/>
      <c r="C1071" s="38" t="s">
        <v>18482</v>
      </c>
      <c r="D1071" s="94" t="s">
        <v>18481</v>
      </c>
      <c r="E1071" s="44"/>
      <c r="F1071" s="38" t="s">
        <v>21671</v>
      </c>
      <c r="G1071" s="94" t="s">
        <v>21672</v>
      </c>
    </row>
    <row r="1072">
      <c r="A1072" s="46" t="s">
        <v>21651</v>
      </c>
      <c r="B1072" s="44"/>
      <c r="C1072" s="38" t="s">
        <v>18996</v>
      </c>
      <c r="D1072" s="38" t="s">
        <v>3386</v>
      </c>
      <c r="E1072" s="44"/>
      <c r="F1072" s="38" t="s">
        <v>5885</v>
      </c>
      <c r="G1072" s="94" t="s">
        <v>18631</v>
      </c>
    </row>
    <row r="1073">
      <c r="A1073" s="46" t="s">
        <v>21651</v>
      </c>
      <c r="B1073" s="44"/>
      <c r="C1073" s="94" t="s">
        <v>20573</v>
      </c>
      <c r="D1073" s="94" t="s">
        <v>18487</v>
      </c>
      <c r="E1073" s="44"/>
      <c r="F1073" s="38" t="s">
        <v>21671</v>
      </c>
      <c r="G1073" s="94" t="s">
        <v>18641</v>
      </c>
    </row>
    <row r="1074">
      <c r="A1074" s="46" t="s">
        <v>21651</v>
      </c>
      <c r="B1074" s="44"/>
      <c r="C1074" s="94" t="s">
        <v>21673</v>
      </c>
      <c r="D1074" s="94" t="s">
        <v>19260</v>
      </c>
      <c r="E1074" s="44">
        <f>SUM(40+70)</f>
        <v>110</v>
      </c>
      <c r="F1074" s="38" t="s">
        <v>20457</v>
      </c>
      <c r="G1074" s="94" t="s">
        <v>21674</v>
      </c>
    </row>
    <row r="1075">
      <c r="A1075" s="46" t="s">
        <v>21651</v>
      </c>
      <c r="B1075" s="44"/>
      <c r="C1075" s="38" t="s">
        <v>19661</v>
      </c>
      <c r="D1075" s="94" t="s">
        <v>21675</v>
      </c>
      <c r="E1075" s="38">
        <v>85.0</v>
      </c>
      <c r="F1075" s="38" t="s">
        <v>21676</v>
      </c>
      <c r="G1075" s="94" t="s">
        <v>21677</v>
      </c>
    </row>
    <row r="1076">
      <c r="A1076" s="46" t="s">
        <v>21651</v>
      </c>
      <c r="B1076" s="44"/>
      <c r="C1076" s="38" t="s">
        <v>17713</v>
      </c>
      <c r="D1076" s="94" t="s">
        <v>21678</v>
      </c>
      <c r="E1076" s="38" t="s">
        <v>21679</v>
      </c>
      <c r="F1076" s="38" t="s">
        <v>21680</v>
      </c>
      <c r="G1076" s="94" t="s">
        <v>21681</v>
      </c>
    </row>
    <row r="1077">
      <c r="A1077" s="46" t="s">
        <v>21651</v>
      </c>
      <c r="B1077" s="44"/>
      <c r="C1077" s="38" t="s">
        <v>18015</v>
      </c>
      <c r="D1077" s="94" t="s">
        <v>21682</v>
      </c>
      <c r="E1077" s="44"/>
      <c r="F1077" s="38" t="s">
        <v>21683</v>
      </c>
      <c r="G1077" s="94" t="s">
        <v>21684</v>
      </c>
    </row>
    <row r="1078">
      <c r="A1078" s="164" t="s">
        <v>21685</v>
      </c>
      <c r="B1078" s="44"/>
      <c r="C1078" s="38" t="s">
        <v>18005</v>
      </c>
      <c r="D1078" s="38" t="s">
        <v>21686</v>
      </c>
      <c r="E1078" s="44"/>
      <c r="F1078" s="38" t="s">
        <v>21566</v>
      </c>
      <c r="G1078" s="38" t="s">
        <v>21122</v>
      </c>
    </row>
    <row r="1079">
      <c r="A1079" s="164" t="s">
        <v>21685</v>
      </c>
      <c r="B1079" s="44"/>
      <c r="C1079" s="94" t="s">
        <v>20573</v>
      </c>
      <c r="D1079" s="94" t="s">
        <v>18491</v>
      </c>
      <c r="E1079" s="38" t="s">
        <v>19309</v>
      </c>
      <c r="F1079" s="38" t="s">
        <v>20324</v>
      </c>
      <c r="G1079" s="94" t="s">
        <v>18493</v>
      </c>
    </row>
    <row r="1080">
      <c r="A1080" s="164" t="s">
        <v>21685</v>
      </c>
      <c r="B1080" s="44"/>
      <c r="C1080" s="38" t="s">
        <v>18990</v>
      </c>
      <c r="D1080" s="777" t="s">
        <v>18989</v>
      </c>
      <c r="E1080" s="44"/>
      <c r="F1080" s="38" t="s">
        <v>20367</v>
      </c>
      <c r="G1080" s="38" t="s">
        <v>21122</v>
      </c>
    </row>
    <row r="1081">
      <c r="A1081" s="164" t="s">
        <v>21685</v>
      </c>
      <c r="B1081" s="44"/>
      <c r="C1081" s="38" t="s">
        <v>4328</v>
      </c>
      <c r="D1081" s="94" t="s">
        <v>19051</v>
      </c>
      <c r="E1081" s="44">
        <f>SUM(50+30)</f>
        <v>80</v>
      </c>
      <c r="F1081" s="38" t="s">
        <v>20367</v>
      </c>
      <c r="G1081" s="94" t="s">
        <v>21687</v>
      </c>
    </row>
    <row r="1082">
      <c r="A1082" s="164" t="s">
        <v>21685</v>
      </c>
      <c r="B1082" s="44"/>
      <c r="C1082" s="38" t="s">
        <v>19661</v>
      </c>
      <c r="D1082" s="38" t="s">
        <v>18984</v>
      </c>
      <c r="E1082" s="44"/>
      <c r="F1082" s="38" t="s">
        <v>20367</v>
      </c>
      <c r="G1082" s="38" t="s">
        <v>21122</v>
      </c>
    </row>
    <row r="1083">
      <c r="A1083" s="164" t="s">
        <v>21685</v>
      </c>
      <c r="B1083" s="44"/>
      <c r="C1083" s="38" t="s">
        <v>4328</v>
      </c>
      <c r="D1083" s="94" t="s">
        <v>20351</v>
      </c>
      <c r="E1083" s="44"/>
      <c r="F1083" s="38" t="s">
        <v>20319</v>
      </c>
      <c r="G1083" s="94" t="s">
        <v>20353</v>
      </c>
    </row>
    <row r="1084">
      <c r="A1084" s="164" t="s">
        <v>21685</v>
      </c>
      <c r="B1084" s="44"/>
      <c r="C1084" s="38" t="s">
        <v>17822</v>
      </c>
      <c r="D1084" s="94" t="s">
        <v>20627</v>
      </c>
      <c r="E1084" s="44"/>
      <c r="F1084" s="38" t="s">
        <v>20629</v>
      </c>
      <c r="G1084" s="94" t="s">
        <v>20442</v>
      </c>
    </row>
    <row r="1085">
      <c r="A1085" s="164" t="s">
        <v>21685</v>
      </c>
      <c r="B1085" s="44"/>
      <c r="C1085" s="38" t="s">
        <v>3177</v>
      </c>
      <c r="D1085" s="94" t="s">
        <v>21688</v>
      </c>
      <c r="E1085" s="44"/>
      <c r="F1085" s="38" t="s">
        <v>3643</v>
      </c>
      <c r="G1085" s="94" t="s">
        <v>21689</v>
      </c>
    </row>
    <row r="1086">
      <c r="A1086" s="164" t="s">
        <v>21685</v>
      </c>
      <c r="B1086" s="44"/>
      <c r="C1086" s="38" t="s">
        <v>19704</v>
      </c>
      <c r="D1086" s="94" t="s">
        <v>17720</v>
      </c>
      <c r="E1086" s="44"/>
      <c r="F1086" s="38" t="s">
        <v>20336</v>
      </c>
      <c r="G1086" s="94" t="s">
        <v>20339</v>
      </c>
    </row>
    <row r="1087">
      <c r="A1087" s="164" t="s">
        <v>21685</v>
      </c>
      <c r="B1087" s="44"/>
      <c r="C1087" s="94" t="s">
        <v>19955</v>
      </c>
      <c r="D1087" s="94" t="s">
        <v>21690</v>
      </c>
      <c r="E1087" s="44"/>
      <c r="F1087" s="38" t="s">
        <v>20432</v>
      </c>
      <c r="G1087" s="94" t="s">
        <v>20575</v>
      </c>
    </row>
    <row r="1088">
      <c r="A1088" s="164" t="s">
        <v>21685</v>
      </c>
      <c r="B1088" s="44"/>
      <c r="C1088" s="94" t="s">
        <v>20281</v>
      </c>
      <c r="D1088" s="94" t="s">
        <v>20013</v>
      </c>
      <c r="E1088" s="38">
        <v>40.0</v>
      </c>
      <c r="F1088" s="38" t="s">
        <v>20330</v>
      </c>
      <c r="G1088" s="94" t="s">
        <v>21691</v>
      </c>
    </row>
    <row r="1089">
      <c r="A1089" s="164" t="s">
        <v>21685</v>
      </c>
      <c r="B1089" s="44"/>
      <c r="C1089" s="38" t="s">
        <v>18015</v>
      </c>
      <c r="D1089" s="94" t="s">
        <v>19075</v>
      </c>
      <c r="E1089" s="44"/>
      <c r="F1089" s="38" t="s">
        <v>21692</v>
      </c>
      <c r="G1089" s="94" t="s">
        <v>21672</v>
      </c>
    </row>
    <row r="1090">
      <c r="A1090" s="164" t="s">
        <v>21685</v>
      </c>
      <c r="B1090" s="44"/>
      <c r="C1090" s="94" t="s">
        <v>20573</v>
      </c>
      <c r="D1090" s="94" t="s">
        <v>18915</v>
      </c>
      <c r="E1090" s="44"/>
      <c r="F1090" s="38" t="s">
        <v>21693</v>
      </c>
      <c r="G1090" s="94" t="s">
        <v>19478</v>
      </c>
    </row>
    <row r="1091">
      <c r="A1091" s="164" t="s">
        <v>21685</v>
      </c>
      <c r="B1091" s="44"/>
      <c r="C1091" s="38" t="s">
        <v>4184</v>
      </c>
      <c r="D1091" s="94" t="s">
        <v>19620</v>
      </c>
      <c r="E1091" s="44"/>
      <c r="F1091" s="38" t="s">
        <v>3913</v>
      </c>
      <c r="G1091" s="94" t="s">
        <v>21694</v>
      </c>
    </row>
    <row r="1092">
      <c r="A1092" s="164" t="s">
        <v>21685</v>
      </c>
      <c r="B1092" s="44"/>
      <c r="C1092" s="94" t="s">
        <v>20200</v>
      </c>
      <c r="D1092" s="94" t="s">
        <v>21695</v>
      </c>
      <c r="E1092" s="44"/>
      <c r="F1092" s="38" t="s">
        <v>20319</v>
      </c>
      <c r="G1092" s="94" t="s">
        <v>21696</v>
      </c>
    </row>
    <row r="1093">
      <c r="A1093" s="164" t="s">
        <v>21685</v>
      </c>
      <c r="B1093" s="44"/>
      <c r="C1093" s="38" t="s">
        <v>4184</v>
      </c>
      <c r="D1093" s="38" t="s">
        <v>19615</v>
      </c>
      <c r="E1093" s="44"/>
      <c r="F1093" s="38" t="s">
        <v>21697</v>
      </c>
      <c r="G1093" s="94" t="s">
        <v>21694</v>
      </c>
    </row>
    <row r="1094">
      <c r="A1094" s="164" t="s">
        <v>21685</v>
      </c>
      <c r="B1094" s="44"/>
      <c r="C1094" s="38" t="s">
        <v>21698</v>
      </c>
      <c r="D1094" s="94" t="s">
        <v>21699</v>
      </c>
      <c r="E1094" s="38">
        <v>45.0</v>
      </c>
      <c r="F1094" s="38" t="s">
        <v>3643</v>
      </c>
      <c r="G1094" s="94" t="s">
        <v>21700</v>
      </c>
    </row>
    <row r="1095">
      <c r="A1095" s="46" t="s">
        <v>21701</v>
      </c>
      <c r="B1095" s="44"/>
      <c r="C1095" s="94" t="s">
        <v>21702</v>
      </c>
      <c r="D1095" s="94" t="s">
        <v>19218</v>
      </c>
      <c r="E1095" s="44"/>
      <c r="F1095" s="38" t="s">
        <v>21703</v>
      </c>
      <c r="G1095" s="94" t="s">
        <v>21704</v>
      </c>
    </row>
    <row r="1096">
      <c r="A1096" s="46" t="s">
        <v>21701</v>
      </c>
      <c r="B1096" s="44"/>
      <c r="C1096" s="94" t="s">
        <v>20573</v>
      </c>
      <c r="D1096" s="94" t="s">
        <v>21705</v>
      </c>
      <c r="E1096" s="44"/>
      <c r="F1096" s="38" t="s">
        <v>21706</v>
      </c>
      <c r="G1096" s="94" t="s">
        <v>21707</v>
      </c>
    </row>
    <row r="1097">
      <c r="A1097" s="46" t="s">
        <v>21701</v>
      </c>
      <c r="B1097" s="44"/>
      <c r="C1097" s="94" t="s">
        <v>21708</v>
      </c>
      <c r="D1097" s="94" t="s">
        <v>20116</v>
      </c>
      <c r="E1097" s="38">
        <v>-10.0</v>
      </c>
      <c r="F1097" s="38" t="s">
        <v>21709</v>
      </c>
      <c r="G1097" s="94" t="s">
        <v>21710</v>
      </c>
    </row>
    <row r="1098">
      <c r="A1098" s="46" t="s">
        <v>21701</v>
      </c>
      <c r="B1098" s="44"/>
      <c r="C1098" s="94" t="s">
        <v>21711</v>
      </c>
      <c r="D1098" s="94" t="s">
        <v>19369</v>
      </c>
      <c r="E1098" s="44">
        <f>SUM(140*4+50)</f>
        <v>610</v>
      </c>
      <c r="F1098" s="38" t="s">
        <v>21405</v>
      </c>
      <c r="G1098" s="94" t="s">
        <v>19370</v>
      </c>
    </row>
    <row r="1099">
      <c r="A1099" s="46" t="s">
        <v>21701</v>
      </c>
      <c r="B1099" s="44"/>
      <c r="C1099" s="44"/>
      <c r="D1099" s="44"/>
      <c r="E1099" s="38">
        <v>-650.0</v>
      </c>
      <c r="F1099" s="38" t="s">
        <v>21712</v>
      </c>
      <c r="G1099" s="44"/>
    </row>
    <row r="1100">
      <c r="A1100" s="46" t="s">
        <v>21701</v>
      </c>
      <c r="B1100" s="44"/>
      <c r="C1100" s="38" t="s">
        <v>3175</v>
      </c>
      <c r="D1100" s="38" t="s">
        <v>21713</v>
      </c>
      <c r="E1100" s="38">
        <v>54.0</v>
      </c>
      <c r="F1100" s="38" t="s">
        <v>21714</v>
      </c>
      <c r="G1100" s="94" t="s">
        <v>21715</v>
      </c>
    </row>
    <row r="1101">
      <c r="A1101" s="46" t="s">
        <v>21701</v>
      </c>
      <c r="B1101" s="44"/>
      <c r="C1101" s="94" t="s">
        <v>21716</v>
      </c>
      <c r="D1101" s="94" t="s">
        <v>21717</v>
      </c>
      <c r="E1101" s="44"/>
      <c r="F1101" s="38" t="s">
        <v>21718</v>
      </c>
      <c r="G1101" s="94" t="s">
        <v>21535</v>
      </c>
    </row>
    <row r="1102">
      <c r="A1102" s="46" t="s">
        <v>21701</v>
      </c>
      <c r="B1102" s="44"/>
      <c r="C1102" s="38" t="s">
        <v>20005</v>
      </c>
      <c r="D1102" s="38" t="s">
        <v>21719</v>
      </c>
      <c r="E1102" s="44"/>
      <c r="F1102" s="38" t="s">
        <v>21720</v>
      </c>
      <c r="G1102" s="94" t="s">
        <v>21721</v>
      </c>
    </row>
    <row r="1103">
      <c r="A1103" s="46" t="s">
        <v>21701</v>
      </c>
      <c r="B1103" s="44"/>
      <c r="C1103" s="38" t="s">
        <v>20003</v>
      </c>
      <c r="D1103" s="94" t="s">
        <v>21722</v>
      </c>
      <c r="E1103" s="38" t="s">
        <v>19627</v>
      </c>
      <c r="F1103" s="38" t="s">
        <v>21659</v>
      </c>
      <c r="G1103" s="94" t="s">
        <v>21723</v>
      </c>
    </row>
    <row r="1104">
      <c r="A1104" s="46" t="s">
        <v>21701</v>
      </c>
      <c r="B1104" s="44"/>
      <c r="C1104" s="38" t="s">
        <v>4184</v>
      </c>
      <c r="D1104" s="94" t="s">
        <v>18709</v>
      </c>
      <c r="E1104" s="44"/>
      <c r="F1104" s="38" t="s">
        <v>21724</v>
      </c>
      <c r="G1104" s="94" t="s">
        <v>21721</v>
      </c>
    </row>
    <row r="1105">
      <c r="A1105" s="46" t="s">
        <v>21701</v>
      </c>
      <c r="B1105" s="44"/>
      <c r="C1105" s="38" t="s">
        <v>3175</v>
      </c>
      <c r="D1105" s="94" t="s">
        <v>19003</v>
      </c>
      <c r="E1105" s="38" t="s">
        <v>19309</v>
      </c>
      <c r="F1105" s="38" t="s">
        <v>21725</v>
      </c>
      <c r="G1105" s="94" t="s">
        <v>20168</v>
      </c>
    </row>
    <row r="1106">
      <c r="A1106" s="164" t="s">
        <v>21726</v>
      </c>
      <c r="B1106" s="44"/>
      <c r="C1106" s="44"/>
      <c r="D1106" s="44"/>
      <c r="E1106" s="38">
        <v>890.0</v>
      </c>
      <c r="F1106" s="38" t="s">
        <v>21727</v>
      </c>
      <c r="G1106" s="44"/>
    </row>
    <row r="1107">
      <c r="A1107" s="164" t="s">
        <v>21726</v>
      </c>
      <c r="B1107" s="44"/>
      <c r="C1107" s="38" t="s">
        <v>21728</v>
      </c>
      <c r="D1107" s="94" t="s">
        <v>18831</v>
      </c>
      <c r="E1107" s="44">
        <f>SUM(70+40)</f>
        <v>110</v>
      </c>
      <c r="F1107" s="38" t="s">
        <v>21729</v>
      </c>
      <c r="G1107" s="94" t="s">
        <v>21730</v>
      </c>
    </row>
    <row r="1108">
      <c r="A1108" s="164" t="s">
        <v>21726</v>
      </c>
      <c r="B1108" s="44"/>
      <c r="C1108" s="38" t="s">
        <v>17822</v>
      </c>
      <c r="D1108" s="44"/>
      <c r="E1108" s="38">
        <v>30.0</v>
      </c>
      <c r="F1108" s="38" t="s">
        <v>20745</v>
      </c>
      <c r="G1108" s="38" t="s">
        <v>21731</v>
      </c>
    </row>
    <row r="1109">
      <c r="A1109" s="164" t="s">
        <v>21726</v>
      </c>
      <c r="B1109" s="44"/>
      <c r="C1109" s="38" t="s">
        <v>21498</v>
      </c>
      <c r="D1109" s="44"/>
      <c r="E1109" s="44"/>
      <c r="F1109" s="38" t="s">
        <v>21732</v>
      </c>
      <c r="G1109" s="38" t="s">
        <v>2722</v>
      </c>
    </row>
    <row r="1110">
      <c r="A1110" s="164" t="s">
        <v>21726</v>
      </c>
      <c r="B1110" s="44"/>
      <c r="C1110" s="38" t="s">
        <v>21733</v>
      </c>
      <c r="D1110" s="94" t="s">
        <v>20139</v>
      </c>
      <c r="E1110" s="44"/>
      <c r="F1110" s="38" t="s">
        <v>20330</v>
      </c>
      <c r="G1110" s="94" t="s">
        <v>20140</v>
      </c>
    </row>
    <row r="1111">
      <c r="A1111" s="164" t="s">
        <v>21726</v>
      </c>
      <c r="B1111" s="44"/>
      <c r="C1111" s="38" t="s">
        <v>20833</v>
      </c>
      <c r="D1111" s="94" t="s">
        <v>20027</v>
      </c>
      <c r="E1111" s="44">
        <f>SUM(70+40)</f>
        <v>110</v>
      </c>
      <c r="F1111" s="38" t="s">
        <v>21734</v>
      </c>
      <c r="G1111" s="94" t="s">
        <v>19308</v>
      </c>
    </row>
    <row r="1112">
      <c r="A1112" s="164" t="s">
        <v>21726</v>
      </c>
      <c r="B1112" s="44"/>
      <c r="C1112" s="38" t="s">
        <v>17713</v>
      </c>
      <c r="D1112" s="38" t="s">
        <v>21735</v>
      </c>
      <c r="E1112" s="44"/>
      <c r="F1112" s="38" t="s">
        <v>21736</v>
      </c>
      <c r="G1112" s="94" t="s">
        <v>21737</v>
      </c>
    </row>
    <row r="1113">
      <c r="A1113" s="164" t="s">
        <v>21726</v>
      </c>
      <c r="B1113" s="44"/>
      <c r="C1113" s="38" t="s">
        <v>20502</v>
      </c>
      <c r="D1113" s="38" t="s">
        <v>17880</v>
      </c>
      <c r="E1113" s="44"/>
      <c r="F1113" s="38" t="s">
        <v>20324</v>
      </c>
      <c r="G1113" s="38" t="s">
        <v>17648</v>
      </c>
    </row>
    <row r="1114">
      <c r="A1114" s="164" t="s">
        <v>21726</v>
      </c>
      <c r="B1114" s="44"/>
      <c r="C1114" s="38" t="s">
        <v>3175</v>
      </c>
      <c r="D1114" s="94" t="s">
        <v>20430</v>
      </c>
      <c r="E1114" s="38" t="s">
        <v>19627</v>
      </c>
      <c r="F1114" s="38" t="s">
        <v>21738</v>
      </c>
      <c r="G1114" s="94" t="s">
        <v>19378</v>
      </c>
    </row>
    <row r="1115">
      <c r="A1115" s="164" t="s">
        <v>21726</v>
      </c>
      <c r="B1115" s="44"/>
      <c r="C1115" s="38" t="s">
        <v>21739</v>
      </c>
      <c r="D1115" s="94" t="s">
        <v>17866</v>
      </c>
      <c r="E1115" s="44"/>
      <c r="F1115" s="38" t="s">
        <v>20629</v>
      </c>
      <c r="G1115" s="38" t="s">
        <v>17648</v>
      </c>
    </row>
    <row r="1116">
      <c r="A1116" s="164" t="s">
        <v>21726</v>
      </c>
      <c r="B1116" s="44"/>
      <c r="C1116" s="38" t="s">
        <v>19564</v>
      </c>
      <c r="D1116" s="94" t="s">
        <v>21740</v>
      </c>
      <c r="E1116" s="44"/>
      <c r="F1116" s="38" t="s">
        <v>21741</v>
      </c>
      <c r="G1116" s="94" t="s">
        <v>20442</v>
      </c>
    </row>
    <row r="1117">
      <c r="A1117" s="164" t="s">
        <v>21726</v>
      </c>
      <c r="B1117" s="44"/>
      <c r="C1117" s="38" t="s">
        <v>19306</v>
      </c>
      <c r="D1117" s="94" t="s">
        <v>19307</v>
      </c>
      <c r="E1117" s="38">
        <v>110.0</v>
      </c>
      <c r="F1117" s="38" t="s">
        <v>21742</v>
      </c>
      <c r="G1117" s="94" t="s">
        <v>19308</v>
      </c>
    </row>
    <row r="1118">
      <c r="A1118" s="834" t="s">
        <v>21726</v>
      </c>
      <c r="B1118" s="130"/>
      <c r="C1118" s="131" t="s">
        <v>19062</v>
      </c>
      <c r="D1118" s="835" t="s">
        <v>21743</v>
      </c>
      <c r="E1118" s="130"/>
      <c r="F1118" s="131" t="s">
        <v>20457</v>
      </c>
      <c r="G1118" s="131" t="s">
        <v>21744</v>
      </c>
    </row>
    <row r="1119">
      <c r="A1119" s="164" t="s">
        <v>21726</v>
      </c>
      <c r="B1119" s="44"/>
      <c r="C1119" s="49" t="s">
        <v>4349</v>
      </c>
      <c r="D1119" s="38" t="s">
        <v>21745</v>
      </c>
      <c r="E1119" s="44"/>
      <c r="F1119" s="38" t="s">
        <v>20241</v>
      </c>
      <c r="G1119" s="94" t="s">
        <v>21746</v>
      </c>
    </row>
    <row r="1120">
      <c r="A1120" s="164" t="s">
        <v>21726</v>
      </c>
      <c r="B1120" s="44"/>
      <c r="C1120" s="94" t="s">
        <v>21747</v>
      </c>
      <c r="D1120" s="94" t="s">
        <v>21748</v>
      </c>
      <c r="E1120" s="44"/>
      <c r="F1120" s="38" t="s">
        <v>21720</v>
      </c>
      <c r="G1120" s="94" t="s">
        <v>21749</v>
      </c>
    </row>
    <row r="1121">
      <c r="A1121" s="164" t="s">
        <v>21726</v>
      </c>
      <c r="B1121" s="44"/>
      <c r="C1121" s="38" t="s">
        <v>21750</v>
      </c>
      <c r="D1121" s="94" t="s">
        <v>21751</v>
      </c>
      <c r="E1121" s="44"/>
      <c r="F1121" s="38" t="s">
        <v>21752</v>
      </c>
      <c r="G1121" s="94" t="s">
        <v>21753</v>
      </c>
    </row>
    <row r="1122">
      <c r="A1122" s="164" t="s">
        <v>21726</v>
      </c>
      <c r="B1122" s="44"/>
      <c r="C1122" s="38" t="s">
        <v>4331</v>
      </c>
      <c r="D1122" s="94" t="s">
        <v>21754</v>
      </c>
      <c r="E1122" s="38" t="s">
        <v>19309</v>
      </c>
      <c r="F1122" s="38" t="s">
        <v>21703</v>
      </c>
      <c r="G1122" s="94" t="s">
        <v>21755</v>
      </c>
    </row>
    <row r="1123">
      <c r="A1123" s="164" t="s">
        <v>21726</v>
      </c>
      <c r="B1123" s="44"/>
      <c r="C1123" s="38" t="s">
        <v>17753</v>
      </c>
      <c r="D1123" s="94" t="s">
        <v>21756</v>
      </c>
      <c r="E1123" s="44"/>
      <c r="F1123" s="38" t="s">
        <v>13622</v>
      </c>
      <c r="G1123" s="94" t="s">
        <v>14991</v>
      </c>
    </row>
    <row r="1124">
      <c r="A1124" s="164" t="s">
        <v>21726</v>
      </c>
      <c r="B1124" s="44"/>
      <c r="C1124" s="94" t="s">
        <v>19162</v>
      </c>
      <c r="D1124" s="94" t="s">
        <v>21757</v>
      </c>
      <c r="E1124" s="44"/>
      <c r="F1124" s="38" t="s">
        <v>21758</v>
      </c>
      <c r="G1124" s="94" t="s">
        <v>21460</v>
      </c>
    </row>
    <row r="1125">
      <c r="A1125" s="164" t="s">
        <v>21726</v>
      </c>
      <c r="B1125" s="44"/>
      <c r="C1125" s="38" t="s">
        <v>21759</v>
      </c>
      <c r="D1125" s="94" t="s">
        <v>21760</v>
      </c>
      <c r="E1125" s="44"/>
      <c r="F1125" s="38" t="s">
        <v>5885</v>
      </c>
      <c r="G1125" s="94" t="s">
        <v>21761</v>
      </c>
    </row>
    <row r="1126">
      <c r="A1126" s="164" t="s">
        <v>21726</v>
      </c>
      <c r="B1126" s="44"/>
      <c r="C1126" s="94" t="s">
        <v>19990</v>
      </c>
      <c r="D1126" s="94" t="s">
        <v>21762</v>
      </c>
      <c r="E1126" s="38" t="s">
        <v>19309</v>
      </c>
      <c r="F1126" s="38" t="s">
        <v>20367</v>
      </c>
      <c r="G1126" s="94" t="s">
        <v>21763</v>
      </c>
    </row>
    <row r="1127">
      <c r="A1127" s="46" t="s">
        <v>21764</v>
      </c>
      <c r="B1127" s="44"/>
      <c r="C1127" s="38" t="s">
        <v>18482</v>
      </c>
      <c r="D1127" s="94" t="s">
        <v>18875</v>
      </c>
      <c r="E1127" s="44"/>
      <c r="F1127" s="38" t="s">
        <v>20241</v>
      </c>
      <c r="G1127" s="94" t="s">
        <v>21765</v>
      </c>
    </row>
    <row r="1128">
      <c r="A1128" s="46" t="s">
        <v>21764</v>
      </c>
      <c r="B1128" s="44"/>
      <c r="C1128" s="44"/>
      <c r="D1128" s="44"/>
      <c r="E1128" s="44"/>
      <c r="F1128" s="38" t="s">
        <v>21766</v>
      </c>
      <c r="G1128" s="38" t="s">
        <v>21767</v>
      </c>
    </row>
    <row r="1129">
      <c r="A1129" s="46" t="s">
        <v>21764</v>
      </c>
      <c r="B1129" s="67"/>
      <c r="C1129" s="94" t="s">
        <v>21768</v>
      </c>
      <c r="D1129" s="94" t="s">
        <v>19801</v>
      </c>
      <c r="E1129" s="38">
        <v>38.0</v>
      </c>
      <c r="F1129" s="38" t="s">
        <v>21769</v>
      </c>
      <c r="G1129" s="94" t="s">
        <v>20226</v>
      </c>
    </row>
    <row r="1130">
      <c r="A1130" s="836" t="s">
        <v>21764</v>
      </c>
      <c r="B1130" s="837"/>
      <c r="C1130" s="783" t="s">
        <v>21770</v>
      </c>
      <c r="D1130" s="131" t="s">
        <v>21771</v>
      </c>
      <c r="E1130" s="130"/>
      <c r="F1130" s="131" t="s">
        <v>21772</v>
      </c>
      <c r="G1130" s="783" t="s">
        <v>20339</v>
      </c>
    </row>
    <row r="1131">
      <c r="A1131" s="46" t="s">
        <v>21764</v>
      </c>
      <c r="B1131" s="67"/>
      <c r="C1131" s="38" t="s">
        <v>21146</v>
      </c>
      <c r="D1131" s="94" t="s">
        <v>21773</v>
      </c>
      <c r="E1131" s="38">
        <v>80.0</v>
      </c>
      <c r="F1131" s="38" t="s">
        <v>20432</v>
      </c>
      <c r="G1131" s="94" t="s">
        <v>21774</v>
      </c>
    </row>
    <row r="1132">
      <c r="A1132" s="46" t="s">
        <v>21764</v>
      </c>
      <c r="B1132" s="67"/>
      <c r="C1132" s="94" t="s">
        <v>21775</v>
      </c>
      <c r="D1132" s="94" t="s">
        <v>19317</v>
      </c>
      <c r="E1132" s="38">
        <v>-5.0</v>
      </c>
      <c r="F1132" s="38" t="s">
        <v>20336</v>
      </c>
      <c r="G1132" s="94" t="s">
        <v>19318</v>
      </c>
    </row>
    <row r="1133">
      <c r="A1133" s="46" t="s">
        <v>21764</v>
      </c>
      <c r="B1133" s="67"/>
      <c r="C1133" s="47" t="s">
        <v>19125</v>
      </c>
      <c r="D1133" s="38" t="s">
        <v>19126</v>
      </c>
      <c r="E1133" s="44"/>
      <c r="F1133" s="38" t="s">
        <v>20457</v>
      </c>
      <c r="G1133" s="94" t="s">
        <v>3342</v>
      </c>
    </row>
    <row r="1134">
      <c r="A1134" s="46" t="s">
        <v>21764</v>
      </c>
      <c r="B1134" s="67"/>
      <c r="C1134" s="44"/>
      <c r="D1134" s="44"/>
      <c r="E1134" s="38">
        <v>1020.0</v>
      </c>
      <c r="F1134" s="38" t="s">
        <v>21776</v>
      </c>
      <c r="G1134" s="38" t="s">
        <v>2630</v>
      </c>
      <c r="H1134" s="44"/>
    </row>
    <row r="1135">
      <c r="A1135" s="46" t="s">
        <v>21764</v>
      </c>
      <c r="B1135" s="67"/>
      <c r="C1135" s="94" t="s">
        <v>20182</v>
      </c>
      <c r="D1135" s="94" t="s">
        <v>21777</v>
      </c>
      <c r="E1135" s="44"/>
      <c r="F1135" s="38" t="s">
        <v>20241</v>
      </c>
      <c r="G1135" s="94" t="s">
        <v>21778</v>
      </c>
    </row>
    <row r="1136">
      <c r="A1136" s="46" t="s">
        <v>21764</v>
      </c>
      <c r="B1136" s="67"/>
      <c r="C1136" s="94" t="s">
        <v>21779</v>
      </c>
      <c r="D1136" s="94" t="s">
        <v>21780</v>
      </c>
      <c r="E1136" s="44"/>
      <c r="F1136" s="38" t="s">
        <v>20319</v>
      </c>
      <c r="G1136" s="94" t="s">
        <v>21781</v>
      </c>
    </row>
    <row r="1137">
      <c r="A1137" s="46" t="s">
        <v>21764</v>
      </c>
      <c r="B1137" s="67"/>
      <c r="C1137" s="38" t="s">
        <v>20028</v>
      </c>
      <c r="D1137" s="94" t="s">
        <v>17900</v>
      </c>
      <c r="E1137" s="44"/>
      <c r="F1137" s="38" t="s">
        <v>20367</v>
      </c>
      <c r="G1137" s="94" t="s">
        <v>20442</v>
      </c>
    </row>
    <row r="1138">
      <c r="A1138" s="46" t="s">
        <v>21764</v>
      </c>
      <c r="B1138" s="67"/>
      <c r="C1138" s="38" t="s">
        <v>21078</v>
      </c>
      <c r="D1138" s="38" t="s">
        <v>21782</v>
      </c>
      <c r="E1138" s="38">
        <v>275.0</v>
      </c>
      <c r="F1138" s="38" t="s">
        <v>21783</v>
      </c>
      <c r="G1138" s="38" t="s">
        <v>21784</v>
      </c>
    </row>
    <row r="1139">
      <c r="A1139" s="46" t="s">
        <v>21764</v>
      </c>
      <c r="B1139" s="67"/>
      <c r="C1139" s="38" t="s">
        <v>21173</v>
      </c>
      <c r="D1139" s="38" t="s">
        <v>19550</v>
      </c>
      <c r="E1139" s="44"/>
      <c r="F1139" s="38" t="s">
        <v>21785</v>
      </c>
      <c r="G1139" s="38" t="s">
        <v>21786</v>
      </c>
    </row>
    <row r="1140">
      <c r="A1140" s="46" t="s">
        <v>21764</v>
      </c>
      <c r="B1140" s="67"/>
      <c r="C1140" s="44"/>
      <c r="D1140" s="44"/>
      <c r="E1140" s="38">
        <v>-3150.0</v>
      </c>
      <c r="F1140" s="38" t="s">
        <v>19534</v>
      </c>
      <c r="G1140" s="44"/>
    </row>
    <row r="1141">
      <c r="A1141" s="46" t="s">
        <v>21764</v>
      </c>
      <c r="B1141" s="67"/>
      <c r="C1141" s="94" t="s">
        <v>19411</v>
      </c>
      <c r="D1141" s="94" t="s">
        <v>19412</v>
      </c>
      <c r="E1141" s="44"/>
      <c r="F1141" s="38" t="s">
        <v>21720</v>
      </c>
      <c r="G1141" s="94" t="s">
        <v>21787</v>
      </c>
    </row>
    <row r="1142">
      <c r="A1142" s="46" t="s">
        <v>21764</v>
      </c>
      <c r="B1142" s="67"/>
      <c r="C1142" s="94" t="s">
        <v>21788</v>
      </c>
      <c r="D1142" s="94" t="s">
        <v>18278</v>
      </c>
      <c r="E1142" s="44"/>
      <c r="F1142" s="38" t="s">
        <v>20241</v>
      </c>
      <c r="G1142" s="94" t="s">
        <v>21789</v>
      </c>
    </row>
    <row r="1143">
      <c r="A1143" s="46" t="s">
        <v>21764</v>
      </c>
      <c r="B1143" s="67"/>
      <c r="C1143" s="94" t="s">
        <v>21790</v>
      </c>
      <c r="D1143" s="94" t="s">
        <v>18216</v>
      </c>
      <c r="E1143" s="44"/>
      <c r="F1143" s="38" t="s">
        <v>21791</v>
      </c>
      <c r="G1143" s="94" t="s">
        <v>21792</v>
      </c>
    </row>
    <row r="1144">
      <c r="A1144" s="46" t="s">
        <v>21764</v>
      </c>
      <c r="B1144" s="67"/>
      <c r="C1144" s="38" t="s">
        <v>3177</v>
      </c>
      <c r="D1144" s="94" t="s">
        <v>21793</v>
      </c>
      <c r="E1144" s="38"/>
      <c r="F1144" s="38" t="s">
        <v>3643</v>
      </c>
      <c r="G1144" s="94" t="s">
        <v>21794</v>
      </c>
      <c r="H1144" s="8"/>
    </row>
    <row r="1145">
      <c r="A1145" s="46" t="s">
        <v>21764</v>
      </c>
      <c r="B1145" s="67"/>
      <c r="C1145" s="38" t="s">
        <v>21288</v>
      </c>
      <c r="D1145" s="38" t="s">
        <v>18502</v>
      </c>
      <c r="E1145" s="44"/>
      <c r="F1145" s="38" t="s">
        <v>21795</v>
      </c>
      <c r="G1145" s="94" t="s">
        <v>21796</v>
      </c>
      <c r="H1145" s="8"/>
    </row>
    <row r="1146">
      <c r="A1146" s="46" t="s">
        <v>21764</v>
      </c>
      <c r="B1146" s="67"/>
      <c r="C1146" s="38" t="s">
        <v>18315</v>
      </c>
      <c r="D1146" s="94" t="s">
        <v>19342</v>
      </c>
      <c r="E1146" s="38" t="s">
        <v>19627</v>
      </c>
      <c r="F1146" s="38" t="s">
        <v>20324</v>
      </c>
      <c r="G1146" s="94" t="s">
        <v>19343</v>
      </c>
      <c r="H1146" s="8"/>
    </row>
    <row r="1147">
      <c r="A1147" s="46" t="s">
        <v>21764</v>
      </c>
      <c r="B1147" s="67"/>
      <c r="C1147" s="44"/>
      <c r="D1147" s="44"/>
      <c r="E1147" s="38">
        <v>20.0</v>
      </c>
      <c r="F1147" s="38" t="s">
        <v>21797</v>
      </c>
      <c r="G1147" s="38" t="s">
        <v>16522</v>
      </c>
      <c r="H1147" s="8"/>
    </row>
    <row r="1148">
      <c r="A1148" s="46" t="s">
        <v>21764</v>
      </c>
      <c r="B1148" s="67"/>
      <c r="C1148" s="94" t="s">
        <v>1657</v>
      </c>
      <c r="D1148" s="44"/>
      <c r="E1148" s="44"/>
      <c r="F1148" s="38" t="s">
        <v>3913</v>
      </c>
      <c r="G1148" s="94" t="s">
        <v>21798</v>
      </c>
      <c r="H1148" s="8"/>
    </row>
    <row r="1149">
      <c r="A1149" s="164" t="s">
        <v>21799</v>
      </c>
      <c r="B1149" s="67"/>
      <c r="C1149" s="94" t="s">
        <v>1657</v>
      </c>
      <c r="D1149" s="94" t="s">
        <v>21800</v>
      </c>
      <c r="E1149" s="44"/>
      <c r="F1149" s="38" t="s">
        <v>21801</v>
      </c>
      <c r="G1149" s="94" t="s">
        <v>21802</v>
      </c>
      <c r="H1149" s="8"/>
    </row>
    <row r="1150">
      <c r="A1150" s="164" t="s">
        <v>21799</v>
      </c>
      <c r="B1150" s="67"/>
      <c r="C1150" s="38" t="s">
        <v>21803</v>
      </c>
      <c r="D1150" s="38" t="s">
        <v>21804</v>
      </c>
      <c r="E1150" s="44"/>
      <c r="F1150" s="38" t="s">
        <v>21805</v>
      </c>
      <c r="G1150" s="38" t="s">
        <v>21641</v>
      </c>
    </row>
    <row r="1151">
      <c r="A1151" s="164" t="s">
        <v>21799</v>
      </c>
      <c r="B1151" s="67"/>
      <c r="C1151" s="94" t="s">
        <v>19730</v>
      </c>
      <c r="D1151" s="94" t="s">
        <v>21806</v>
      </c>
      <c r="E1151" s="38" t="s">
        <v>19309</v>
      </c>
      <c r="F1151" s="38" t="s">
        <v>21807</v>
      </c>
      <c r="G1151" s="94" t="s">
        <v>20072</v>
      </c>
    </row>
    <row r="1152">
      <c r="A1152" s="164" t="s">
        <v>21799</v>
      </c>
      <c r="B1152" s="67"/>
      <c r="C1152" s="38" t="s">
        <v>18061</v>
      </c>
      <c r="D1152" s="38" t="s">
        <v>21808</v>
      </c>
      <c r="E1152" s="44"/>
      <c r="F1152" s="38" t="s">
        <v>21809</v>
      </c>
      <c r="G1152" s="38" t="s">
        <v>19660</v>
      </c>
    </row>
    <row r="1153">
      <c r="A1153" s="164" t="s">
        <v>21799</v>
      </c>
      <c r="B1153" s="67"/>
      <c r="C1153" s="94" t="s">
        <v>3492</v>
      </c>
      <c r="D1153" s="94" t="s">
        <v>3493</v>
      </c>
      <c r="E1153" s="38" t="s">
        <v>19627</v>
      </c>
      <c r="F1153" s="38" t="s">
        <v>21810</v>
      </c>
      <c r="G1153" s="94" t="s">
        <v>21811</v>
      </c>
    </row>
    <row r="1154">
      <c r="A1154" s="164" t="s">
        <v>21799</v>
      </c>
      <c r="B1154" s="67"/>
      <c r="C1154" s="94" t="s">
        <v>21812</v>
      </c>
      <c r="D1154" s="94" t="s">
        <v>20626</v>
      </c>
      <c r="E1154" s="44"/>
      <c r="F1154" s="38" t="s">
        <v>21813</v>
      </c>
      <c r="G1154" s="94" t="s">
        <v>21814</v>
      </c>
    </row>
    <row r="1155">
      <c r="A1155" s="164" t="s">
        <v>21799</v>
      </c>
      <c r="B1155" s="67"/>
      <c r="C1155" s="94" t="s">
        <v>21815</v>
      </c>
      <c r="D1155" s="94" t="s">
        <v>20574</v>
      </c>
      <c r="E1155" s="44"/>
      <c r="F1155" s="38" t="s">
        <v>21816</v>
      </c>
      <c r="G1155" s="94" t="s">
        <v>20575</v>
      </c>
    </row>
    <row r="1156">
      <c r="A1156" s="164" t="s">
        <v>21799</v>
      </c>
      <c r="B1156" s="67"/>
      <c r="C1156" s="38" t="s">
        <v>20286</v>
      </c>
      <c r="D1156" s="94" t="s">
        <v>21817</v>
      </c>
      <c r="E1156" s="38">
        <v>55.0</v>
      </c>
      <c r="F1156" s="38" t="s">
        <v>21818</v>
      </c>
      <c r="G1156" s="94" t="s">
        <v>21819</v>
      </c>
    </row>
    <row r="1157">
      <c r="A1157" s="164" t="s">
        <v>21799</v>
      </c>
      <c r="B1157" s="67"/>
      <c r="C1157" s="94" t="s">
        <v>21820</v>
      </c>
      <c r="D1157" s="94" t="s">
        <v>19036</v>
      </c>
      <c r="E1157" s="44"/>
      <c r="F1157" s="38" t="s">
        <v>20324</v>
      </c>
      <c r="G1157" s="94" t="s">
        <v>10608</v>
      </c>
    </row>
    <row r="1158">
      <c r="A1158" s="164" t="s">
        <v>21799</v>
      </c>
      <c r="B1158" s="44"/>
      <c r="C1158" s="38" t="s">
        <v>19898</v>
      </c>
      <c r="D1158" s="94" t="s">
        <v>20658</v>
      </c>
      <c r="E1158" s="44"/>
      <c r="F1158" s="38" t="s">
        <v>21821</v>
      </c>
      <c r="G1158" s="94" t="s">
        <v>20625</v>
      </c>
    </row>
    <row r="1159">
      <c r="A1159" s="164"/>
      <c r="B1159" s="44"/>
      <c r="C1159" s="38"/>
      <c r="D1159" s="94" t="s">
        <v>21822</v>
      </c>
      <c r="E1159" s="44"/>
      <c r="F1159" s="38" t="s">
        <v>12226</v>
      </c>
      <c r="G1159" s="838" t="s">
        <v>21823</v>
      </c>
      <c r="H1159" s="38" t="s">
        <v>21824</v>
      </c>
      <c r="I1159" s="44"/>
    </row>
    <row r="1160">
      <c r="A1160" s="164" t="s">
        <v>21799</v>
      </c>
      <c r="B1160" s="44"/>
      <c r="C1160" s="38" t="s">
        <v>18996</v>
      </c>
      <c r="D1160" s="94" t="s">
        <v>21825</v>
      </c>
      <c r="E1160" s="44"/>
      <c r="F1160" s="38" t="s">
        <v>20367</v>
      </c>
      <c r="G1160" s="94" t="s">
        <v>21826</v>
      </c>
    </row>
    <row r="1161">
      <c r="A1161" s="164" t="s">
        <v>21799</v>
      </c>
      <c r="B1161" s="44"/>
      <c r="C1161" s="38" t="s">
        <v>18646</v>
      </c>
      <c r="D1161" s="94" t="s">
        <v>18647</v>
      </c>
      <c r="E1161" s="44"/>
      <c r="F1161" s="38" t="s">
        <v>20367</v>
      </c>
      <c r="G1161" s="94" t="s">
        <v>20365</v>
      </c>
    </row>
    <row r="1162">
      <c r="A1162" s="164" t="s">
        <v>21799</v>
      </c>
      <c r="B1162" s="44"/>
      <c r="C1162" s="44"/>
      <c r="D1162" s="44"/>
      <c r="E1162" s="38">
        <v>660.0</v>
      </c>
      <c r="F1162" s="38" t="s">
        <v>21827</v>
      </c>
      <c r="G1162" s="38" t="s">
        <v>21828</v>
      </c>
      <c r="H1162" s="44"/>
    </row>
    <row r="1163">
      <c r="A1163" s="164" t="s">
        <v>21799</v>
      </c>
      <c r="B1163" s="44"/>
      <c r="C1163" s="38" t="s">
        <v>19802</v>
      </c>
      <c r="D1163" s="38" t="s">
        <v>21829</v>
      </c>
      <c r="E1163" s="38" t="s">
        <v>19627</v>
      </c>
      <c r="F1163" s="38" t="s">
        <v>13622</v>
      </c>
      <c r="G1163" s="94" t="s">
        <v>20955</v>
      </c>
    </row>
    <row r="1164">
      <c r="A1164" s="164" t="s">
        <v>21799</v>
      </c>
      <c r="B1164" s="44"/>
      <c r="C1164" s="94" t="s">
        <v>19906</v>
      </c>
      <c r="D1164" s="94" t="s">
        <v>20666</v>
      </c>
      <c r="E1164" s="44"/>
      <c r="F1164" s="38" t="s">
        <v>20367</v>
      </c>
      <c r="G1164" s="94" t="s">
        <v>20668</v>
      </c>
      <c r="H1164" s="44"/>
    </row>
    <row r="1165">
      <c r="A1165" s="164" t="s">
        <v>21799</v>
      </c>
      <c r="B1165" s="44"/>
      <c r="C1165" s="38" t="s">
        <v>19556</v>
      </c>
      <c r="D1165" s="94" t="s">
        <v>18288</v>
      </c>
      <c r="E1165" s="44"/>
      <c r="F1165" s="38" t="s">
        <v>20367</v>
      </c>
      <c r="G1165" s="94" t="s">
        <v>18289</v>
      </c>
    </row>
    <row r="1166">
      <c r="A1166" s="164" t="s">
        <v>21799</v>
      </c>
      <c r="B1166" s="44"/>
      <c r="C1166" s="94" t="s">
        <v>21830</v>
      </c>
      <c r="D1166" s="94" t="s">
        <v>20174</v>
      </c>
      <c r="E1166" s="44">
        <f>SUM(50+40+5)</f>
        <v>95</v>
      </c>
      <c r="F1166" s="38" t="s">
        <v>21671</v>
      </c>
      <c r="G1166" s="94" t="s">
        <v>21831</v>
      </c>
    </row>
    <row r="1167">
      <c r="A1167" s="164" t="s">
        <v>21799</v>
      </c>
      <c r="B1167" s="44"/>
      <c r="C1167" s="94" t="s">
        <v>20200</v>
      </c>
      <c r="D1167" s="94" t="s">
        <v>19530</v>
      </c>
      <c r="E1167" s="38">
        <v>45.0</v>
      </c>
      <c r="F1167" s="38" t="s">
        <v>21832</v>
      </c>
      <c r="G1167" s="94" t="s">
        <v>20202</v>
      </c>
    </row>
    <row r="1168">
      <c r="A1168" s="164" t="s">
        <v>21799</v>
      </c>
      <c r="B1168" s="44"/>
      <c r="C1168" s="94" t="s">
        <v>18566</v>
      </c>
      <c r="D1168" s="94" t="s">
        <v>18974</v>
      </c>
      <c r="E1168" s="44"/>
      <c r="F1168" s="38" t="s">
        <v>21833</v>
      </c>
      <c r="G1168" s="94" t="s">
        <v>21834</v>
      </c>
    </row>
    <row r="1169">
      <c r="A1169" s="38" t="s">
        <v>21835</v>
      </c>
      <c r="B1169" s="44"/>
      <c r="C1169" s="38" t="s">
        <v>18015</v>
      </c>
      <c r="D1169" s="38" t="s">
        <v>20643</v>
      </c>
      <c r="E1169" s="44"/>
      <c r="F1169" s="38" t="s">
        <v>21836</v>
      </c>
      <c r="G1169" s="38" t="s">
        <v>21837</v>
      </c>
    </row>
    <row r="1170">
      <c r="A1170" s="38" t="s">
        <v>21835</v>
      </c>
      <c r="B1170" s="44"/>
      <c r="C1170" s="38" t="s">
        <v>3175</v>
      </c>
      <c r="D1170" s="38" t="s">
        <v>21838</v>
      </c>
      <c r="E1170" s="44"/>
      <c r="F1170" s="38" t="s">
        <v>21839</v>
      </c>
      <c r="G1170" s="38" t="s">
        <v>4077</v>
      </c>
    </row>
    <row r="1171">
      <c r="A1171" s="38" t="s">
        <v>21835</v>
      </c>
      <c r="B1171" s="44"/>
      <c r="C1171" s="94" t="s">
        <v>20313</v>
      </c>
      <c r="D1171" s="94" t="s">
        <v>20314</v>
      </c>
      <c r="E1171" s="38" t="s">
        <v>19309</v>
      </c>
      <c r="F1171" s="38" t="s">
        <v>20457</v>
      </c>
      <c r="G1171" s="94" t="s">
        <v>20316</v>
      </c>
    </row>
    <row r="1172">
      <c r="A1172" s="38" t="s">
        <v>21835</v>
      </c>
      <c r="B1172" s="44"/>
      <c r="C1172" s="38" t="s">
        <v>19538</v>
      </c>
      <c r="D1172" s="94" t="s">
        <v>18685</v>
      </c>
      <c r="E1172" s="38" t="s">
        <v>19309</v>
      </c>
      <c r="F1172" s="38" t="s">
        <v>21840</v>
      </c>
      <c r="G1172" s="94" t="s">
        <v>20821</v>
      </c>
    </row>
    <row r="1173">
      <c r="A1173" s="38" t="s">
        <v>21835</v>
      </c>
      <c r="B1173" s="44"/>
      <c r="C1173" s="38" t="s">
        <v>19704</v>
      </c>
      <c r="D1173" s="94" t="s">
        <v>21841</v>
      </c>
      <c r="E1173" s="44"/>
      <c r="F1173" s="38" t="s">
        <v>3643</v>
      </c>
      <c r="G1173" s="94" t="s">
        <v>19934</v>
      </c>
    </row>
    <row r="1174">
      <c r="A1174" s="38" t="s">
        <v>21835</v>
      </c>
      <c r="B1174" s="44"/>
      <c r="C1174" s="94" t="s">
        <v>18258</v>
      </c>
      <c r="D1174" s="94" t="s">
        <v>21842</v>
      </c>
      <c r="E1174" s="44">
        <f>SUM(45+5)</f>
        <v>50</v>
      </c>
      <c r="F1174" s="38" t="s">
        <v>21843</v>
      </c>
      <c r="G1174" s="94" t="s">
        <v>21844</v>
      </c>
    </row>
    <row r="1175">
      <c r="A1175" s="38" t="s">
        <v>21835</v>
      </c>
      <c r="B1175" s="44"/>
      <c r="C1175" s="38" t="s">
        <v>19752</v>
      </c>
      <c r="D1175" s="94" t="s">
        <v>20763</v>
      </c>
      <c r="E1175" s="44"/>
      <c r="F1175" s="38" t="s">
        <v>20367</v>
      </c>
      <c r="G1175" s="38" t="s">
        <v>21845</v>
      </c>
    </row>
    <row r="1176">
      <c r="A1176" s="38" t="s">
        <v>21835</v>
      </c>
      <c r="B1176" s="44"/>
      <c r="C1176" s="38" t="s">
        <v>21498</v>
      </c>
      <c r="D1176" s="94" t="s">
        <v>21846</v>
      </c>
      <c r="E1176" s="38">
        <v>30.0</v>
      </c>
      <c r="F1176" s="38" t="s">
        <v>5885</v>
      </c>
      <c r="G1176" s="94" t="s">
        <v>20191</v>
      </c>
    </row>
    <row r="1177">
      <c r="A1177" s="38" t="s">
        <v>21835</v>
      </c>
      <c r="B1177" s="44"/>
      <c r="C1177" s="94" t="s">
        <v>21847</v>
      </c>
      <c r="D1177" s="94" t="s">
        <v>21848</v>
      </c>
      <c r="E1177" s="44"/>
      <c r="F1177" s="38" t="s">
        <v>3913</v>
      </c>
      <c r="G1177" s="94" t="s">
        <v>21849</v>
      </c>
    </row>
    <row r="1178">
      <c r="A1178" s="38" t="s">
        <v>21835</v>
      </c>
      <c r="B1178" s="44"/>
      <c r="C1178" s="38" t="s">
        <v>17856</v>
      </c>
      <c r="D1178" s="94" t="s">
        <v>21850</v>
      </c>
      <c r="E1178" s="38" t="s">
        <v>19627</v>
      </c>
      <c r="F1178" s="38" t="s">
        <v>21720</v>
      </c>
      <c r="G1178" s="94" t="s">
        <v>21851</v>
      </c>
    </row>
    <row r="1179">
      <c r="A1179" s="38" t="s">
        <v>21835</v>
      </c>
      <c r="B1179" s="44"/>
      <c r="C1179" s="94" t="s">
        <v>18576</v>
      </c>
      <c r="D1179" s="94" t="s">
        <v>18577</v>
      </c>
      <c r="E1179" s="38" t="s">
        <v>19309</v>
      </c>
      <c r="F1179" s="38" t="s">
        <v>20324</v>
      </c>
      <c r="G1179" s="94" t="s">
        <v>21831</v>
      </c>
    </row>
    <row r="1180">
      <c r="A1180" s="38" t="s">
        <v>21835</v>
      </c>
      <c r="B1180" s="44"/>
      <c r="C1180" s="94" t="s">
        <v>20313</v>
      </c>
      <c r="D1180" s="94" t="s">
        <v>19191</v>
      </c>
      <c r="E1180" s="44"/>
      <c r="F1180" s="38" t="s">
        <v>20457</v>
      </c>
      <c r="G1180" s="94" t="s">
        <v>20428</v>
      </c>
    </row>
    <row r="1181">
      <c r="A1181" s="38" t="s">
        <v>21835</v>
      </c>
      <c r="B1181" s="44"/>
      <c r="C1181" s="38" t="s">
        <v>19105</v>
      </c>
      <c r="D1181" s="38" t="s">
        <v>19106</v>
      </c>
      <c r="E1181" s="44"/>
      <c r="F1181" s="38" t="s">
        <v>20319</v>
      </c>
      <c r="G1181" s="38" t="s">
        <v>21852</v>
      </c>
    </row>
    <row r="1182">
      <c r="A1182" s="38" t="s">
        <v>21835</v>
      </c>
      <c r="B1182" s="44"/>
      <c r="C1182" s="38" t="s">
        <v>19704</v>
      </c>
      <c r="D1182" s="94" t="s">
        <v>20515</v>
      </c>
      <c r="E1182" s="38" t="s">
        <v>19309</v>
      </c>
      <c r="F1182" s="38" t="s">
        <v>20336</v>
      </c>
      <c r="G1182" s="94" t="s">
        <v>20516</v>
      </c>
    </row>
    <row r="1183">
      <c r="A1183" s="38" t="s">
        <v>21835</v>
      </c>
      <c r="B1183" s="44"/>
      <c r="C1183" s="38" t="s">
        <v>19556</v>
      </c>
      <c r="D1183" s="94" t="s">
        <v>21853</v>
      </c>
      <c r="E1183" s="44"/>
      <c r="F1183" s="38" t="s">
        <v>3643</v>
      </c>
      <c r="G1183" s="94" t="s">
        <v>21854</v>
      </c>
    </row>
    <row r="1184">
      <c r="A1184" s="38" t="s">
        <v>21835</v>
      </c>
      <c r="B1184" s="44"/>
      <c r="C1184" s="38" t="s">
        <v>21855</v>
      </c>
      <c r="D1184" s="38" t="s">
        <v>20447</v>
      </c>
      <c r="E1184" s="44"/>
      <c r="F1184" s="38" t="s">
        <v>3643</v>
      </c>
      <c r="G1184" s="38" t="s">
        <v>21856</v>
      </c>
    </row>
    <row r="1185">
      <c r="A1185" s="38" t="s">
        <v>21835</v>
      </c>
      <c r="B1185" s="44"/>
      <c r="C1185" s="38" t="s">
        <v>19538</v>
      </c>
      <c r="D1185" s="38" t="s">
        <v>20319</v>
      </c>
      <c r="E1185" s="44"/>
      <c r="F1185" s="38" t="s">
        <v>21857</v>
      </c>
      <c r="G1185" s="38" t="s">
        <v>21314</v>
      </c>
    </row>
    <row r="1186">
      <c r="A1186" s="38" t="s">
        <v>21835</v>
      </c>
      <c r="B1186" s="44"/>
      <c r="C1186" s="94" t="s">
        <v>19933</v>
      </c>
      <c r="D1186" s="94" t="s">
        <v>21858</v>
      </c>
      <c r="E1186" s="38">
        <v>45.0</v>
      </c>
      <c r="F1186" s="38" t="s">
        <v>3643</v>
      </c>
      <c r="G1186" s="94" t="s">
        <v>21746</v>
      </c>
    </row>
    <row r="1187">
      <c r="A1187" s="38" t="s">
        <v>21835</v>
      </c>
      <c r="B1187" s="44"/>
      <c r="C1187" s="47" t="s">
        <v>18070</v>
      </c>
      <c r="D1187" s="94" t="s">
        <v>18513</v>
      </c>
      <c r="E1187" s="44"/>
      <c r="F1187" s="38" t="s">
        <v>20319</v>
      </c>
      <c r="G1187" s="94" t="s">
        <v>20320</v>
      </c>
    </row>
    <row r="1188">
      <c r="A1188" s="164" t="s">
        <v>21859</v>
      </c>
      <c r="B1188" s="44"/>
      <c r="C1188" s="38" t="s">
        <v>19912</v>
      </c>
      <c r="D1188" s="94" t="s">
        <v>20209</v>
      </c>
      <c r="E1188" s="38">
        <v>50.0</v>
      </c>
      <c r="F1188" s="38" t="s">
        <v>21644</v>
      </c>
      <c r="G1188" s="94" t="s">
        <v>20211</v>
      </c>
    </row>
    <row r="1189">
      <c r="A1189" s="164" t="s">
        <v>21859</v>
      </c>
      <c r="B1189" s="44"/>
      <c r="C1189" s="38" t="s">
        <v>18001</v>
      </c>
      <c r="D1189" s="38" t="s">
        <v>21048</v>
      </c>
      <c r="E1189" s="44"/>
      <c r="F1189" s="38" t="s">
        <v>21542</v>
      </c>
      <c r="G1189" s="38" t="s">
        <v>19660</v>
      </c>
    </row>
    <row r="1190">
      <c r="A1190" s="164" t="s">
        <v>21859</v>
      </c>
      <c r="B1190" s="44"/>
      <c r="C1190" s="38" t="s">
        <v>19912</v>
      </c>
      <c r="D1190" s="94" t="s">
        <v>18200</v>
      </c>
      <c r="E1190" s="44"/>
      <c r="F1190" s="38" t="s">
        <v>20336</v>
      </c>
      <c r="G1190" s="94" t="s">
        <v>21860</v>
      </c>
    </row>
    <row r="1191">
      <c r="A1191" s="164" t="s">
        <v>21859</v>
      </c>
      <c r="B1191" s="44"/>
      <c r="C1191" s="94" t="s">
        <v>21203</v>
      </c>
      <c r="D1191" s="94" t="s">
        <v>21861</v>
      </c>
      <c r="E1191" s="44"/>
      <c r="F1191" s="38" t="s">
        <v>21862</v>
      </c>
      <c r="G1191" s="94" t="s">
        <v>21863</v>
      </c>
    </row>
    <row r="1192">
      <c r="A1192" s="164" t="s">
        <v>21859</v>
      </c>
      <c r="B1192" s="44"/>
      <c r="C1192" s="94" t="s">
        <v>21321</v>
      </c>
      <c r="D1192" s="94" t="s">
        <v>17768</v>
      </c>
      <c r="E1192" s="44"/>
      <c r="F1192" s="38" t="s">
        <v>20241</v>
      </c>
      <c r="G1192" s="94" t="s">
        <v>20339</v>
      </c>
    </row>
    <row r="1193">
      <c r="A1193" s="164" t="s">
        <v>21859</v>
      </c>
      <c r="B1193" s="44"/>
      <c r="C1193" s="38" t="s">
        <v>21864</v>
      </c>
      <c r="D1193" s="94" t="s">
        <v>21865</v>
      </c>
      <c r="E1193" s="44"/>
      <c r="F1193" s="38" t="s">
        <v>21327</v>
      </c>
      <c r="G1193" s="94" t="s">
        <v>21866</v>
      </c>
    </row>
    <row r="1194">
      <c r="A1194" s="164" t="s">
        <v>21859</v>
      </c>
      <c r="B1194" s="44"/>
      <c r="C1194" s="94" t="s">
        <v>21559</v>
      </c>
      <c r="D1194" s="94" t="s">
        <v>20017</v>
      </c>
      <c r="E1194" s="44"/>
      <c r="F1194" s="38" t="s">
        <v>20367</v>
      </c>
      <c r="G1194" s="38" t="s">
        <v>21867</v>
      </c>
    </row>
    <row r="1195">
      <c r="A1195" s="164" t="s">
        <v>21859</v>
      </c>
      <c r="B1195" s="44"/>
      <c r="C1195" s="94" t="s">
        <v>19584</v>
      </c>
      <c r="D1195" s="94" t="s">
        <v>19585</v>
      </c>
      <c r="E1195" s="38">
        <v>45.0</v>
      </c>
      <c r="F1195" s="38" t="s">
        <v>21868</v>
      </c>
      <c r="G1195" s="94" t="s">
        <v>21869</v>
      </c>
    </row>
    <row r="1196">
      <c r="A1196" s="164" t="s">
        <v>21859</v>
      </c>
      <c r="B1196" s="44"/>
      <c r="C1196" s="94" t="s">
        <v>21870</v>
      </c>
      <c r="D1196" s="94" t="s">
        <v>14478</v>
      </c>
      <c r="E1196" s="38">
        <v>90.0</v>
      </c>
      <c r="F1196" s="38" t="s">
        <v>20241</v>
      </c>
      <c r="G1196" s="94" t="s">
        <v>21871</v>
      </c>
    </row>
    <row r="1197">
      <c r="A1197" s="164" t="s">
        <v>21859</v>
      </c>
      <c r="B1197" s="44"/>
      <c r="C1197" s="38" t="s">
        <v>19802</v>
      </c>
      <c r="D1197" s="38" t="s">
        <v>4314</v>
      </c>
      <c r="E1197" s="44"/>
      <c r="F1197" s="38" t="s">
        <v>21872</v>
      </c>
      <c r="G1197" s="38" t="s">
        <v>21873</v>
      </c>
    </row>
    <row r="1198">
      <c r="A1198" s="164" t="s">
        <v>21859</v>
      </c>
      <c r="B1198" s="44"/>
      <c r="C1198" s="38" t="s">
        <v>20220</v>
      </c>
      <c r="D1198" s="38" t="s">
        <v>20154</v>
      </c>
      <c r="E1198" s="44"/>
      <c r="F1198" s="38" t="s">
        <v>13622</v>
      </c>
      <c r="G1198" s="38" t="s">
        <v>21874</v>
      </c>
    </row>
    <row r="1199">
      <c r="A1199" s="164" t="s">
        <v>21859</v>
      </c>
      <c r="B1199" s="44"/>
      <c r="C1199" s="38" t="s">
        <v>19556</v>
      </c>
      <c r="D1199" s="94" t="s">
        <v>19557</v>
      </c>
      <c r="E1199" s="38">
        <v>50.0</v>
      </c>
      <c r="F1199" s="38" t="s">
        <v>13622</v>
      </c>
      <c r="G1199" s="94" t="s">
        <v>19991</v>
      </c>
    </row>
    <row r="1200">
      <c r="A1200" s="164" t="s">
        <v>21859</v>
      </c>
      <c r="B1200" s="44"/>
      <c r="C1200" s="38" t="s">
        <v>19381</v>
      </c>
      <c r="D1200" s="94" t="s">
        <v>21875</v>
      </c>
      <c r="E1200" s="44"/>
      <c r="F1200" s="38" t="s">
        <v>19994</v>
      </c>
      <c r="G1200" s="94" t="s">
        <v>19383</v>
      </c>
    </row>
    <row r="1201">
      <c r="A1201" s="164" t="s">
        <v>21859</v>
      </c>
      <c r="B1201" s="44"/>
      <c r="C1201" s="38" t="s">
        <v>18001</v>
      </c>
      <c r="D1201" s="38" t="s">
        <v>20307</v>
      </c>
      <c r="E1201" s="44"/>
      <c r="F1201" s="38" t="s">
        <v>21876</v>
      </c>
      <c r="G1201" s="38" t="s">
        <v>21877</v>
      </c>
    </row>
    <row r="1202">
      <c r="A1202" s="164" t="s">
        <v>21859</v>
      </c>
      <c r="B1202" s="44"/>
      <c r="C1202" s="38" t="s">
        <v>19912</v>
      </c>
      <c r="D1202" s="94" t="s">
        <v>19118</v>
      </c>
      <c r="E1202" s="44"/>
      <c r="F1202" s="38" t="s">
        <v>20319</v>
      </c>
      <c r="G1202" s="94" t="s">
        <v>21878</v>
      </c>
    </row>
    <row r="1203">
      <c r="A1203" s="197" t="s">
        <v>21859</v>
      </c>
      <c r="C1203" s="5" t="s">
        <v>17816</v>
      </c>
      <c r="D1203" s="196" t="s">
        <v>21879</v>
      </c>
      <c r="E1203" s="8"/>
      <c r="F1203" s="5" t="s">
        <v>20319</v>
      </c>
      <c r="G1203" s="196" t="s">
        <v>21880</v>
      </c>
    </row>
    <row r="1204">
      <c r="A1204" s="197" t="s">
        <v>21859</v>
      </c>
      <c r="C1204" s="196" t="s">
        <v>21881</v>
      </c>
      <c r="D1204" s="196" t="s">
        <v>21882</v>
      </c>
      <c r="F1204" s="1" t="s">
        <v>20367</v>
      </c>
      <c r="G1204" s="1" t="s">
        <v>17648</v>
      </c>
    </row>
    <row r="1205">
      <c r="A1205" s="834" t="s">
        <v>21859</v>
      </c>
      <c r="B1205" s="130"/>
      <c r="C1205" s="130"/>
      <c r="D1205" s="130"/>
      <c r="E1205" s="131">
        <v>-710.0</v>
      </c>
      <c r="F1205" s="131" t="s">
        <v>21883</v>
      </c>
      <c r="G1205" s="130"/>
    </row>
    <row r="1206">
      <c r="A1206" s="164" t="s">
        <v>21859</v>
      </c>
      <c r="B1206" s="44"/>
      <c r="C1206" s="38" t="s">
        <v>21884</v>
      </c>
      <c r="D1206" s="44"/>
      <c r="E1206" s="44"/>
      <c r="F1206" s="38" t="s">
        <v>21885</v>
      </c>
      <c r="G1206" s="38" t="s">
        <v>21886</v>
      </c>
    </row>
    <row r="1207">
      <c r="A1207" s="164" t="s">
        <v>21859</v>
      </c>
      <c r="B1207" s="44"/>
      <c r="C1207" s="94" t="s">
        <v>21887</v>
      </c>
      <c r="D1207" s="94" t="s">
        <v>20255</v>
      </c>
      <c r="E1207" s="38">
        <v>80.0</v>
      </c>
      <c r="F1207" s="38" t="s">
        <v>20367</v>
      </c>
      <c r="G1207" s="94" t="s">
        <v>20256</v>
      </c>
    </row>
    <row r="1208">
      <c r="A1208" s="164" t="s">
        <v>21859</v>
      </c>
      <c r="B1208" s="44"/>
      <c r="C1208" s="94" t="s">
        <v>21888</v>
      </c>
      <c r="D1208" s="44"/>
      <c r="E1208" s="38">
        <v>720.0</v>
      </c>
      <c r="F1208" s="38" t="s">
        <v>21626</v>
      </c>
      <c r="G1208" s="94" t="s">
        <v>21889</v>
      </c>
    </row>
    <row r="1209">
      <c r="A1209" s="164" t="s">
        <v>21859</v>
      </c>
      <c r="B1209" s="44"/>
      <c r="C1209" s="44"/>
      <c r="D1209" s="44"/>
      <c r="E1209" s="44"/>
      <c r="F1209" s="38" t="s">
        <v>21890</v>
      </c>
      <c r="G1209" s="38" t="s">
        <v>10237</v>
      </c>
      <c r="H1209" s="44"/>
    </row>
    <row r="1210">
      <c r="A1210" s="164" t="s">
        <v>21859</v>
      </c>
      <c r="B1210" s="44"/>
      <c r="C1210" s="44"/>
      <c r="D1210" s="44"/>
      <c r="E1210" s="44"/>
      <c r="F1210" s="38" t="s">
        <v>21891</v>
      </c>
      <c r="G1210" s="44"/>
      <c r="H1210" s="38" t="s">
        <v>337</v>
      </c>
    </row>
    <row r="1211">
      <c r="A1211" s="839" t="s">
        <v>21892</v>
      </c>
      <c r="B1211" s="37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</row>
    <row r="1212">
      <c r="A1212" s="806">
        <v>45668.0</v>
      </c>
      <c r="B1212" s="44"/>
      <c r="C1212" s="94" t="s">
        <v>19990</v>
      </c>
      <c r="D1212" s="94" t="s">
        <v>21893</v>
      </c>
      <c r="E1212" s="38" t="s">
        <v>21894</v>
      </c>
      <c r="F1212" s="38" t="s">
        <v>21895</v>
      </c>
      <c r="G1212" s="94" t="s">
        <v>21896</v>
      </c>
    </row>
    <row r="1213">
      <c r="A1213" s="806">
        <v>45668.0</v>
      </c>
      <c r="B1213" s="44"/>
      <c r="C1213" s="38" t="s">
        <v>21173</v>
      </c>
      <c r="D1213" s="94" t="s">
        <v>21897</v>
      </c>
      <c r="E1213" s="44"/>
      <c r="F1213" s="38" t="s">
        <v>21898</v>
      </c>
      <c r="G1213" s="94" t="s">
        <v>1985</v>
      </c>
    </row>
    <row r="1214">
      <c r="A1214" s="806">
        <v>45668.0</v>
      </c>
      <c r="B1214" s="44"/>
      <c r="C1214" s="94" t="s">
        <v>21899</v>
      </c>
      <c r="D1214" s="94" t="s">
        <v>18896</v>
      </c>
      <c r="E1214" s="44"/>
      <c r="F1214" s="38" t="s">
        <v>21720</v>
      </c>
      <c r="G1214" s="94" t="s">
        <v>21900</v>
      </c>
    </row>
    <row r="1215">
      <c r="A1215" s="806">
        <v>45668.0</v>
      </c>
      <c r="B1215" s="44"/>
      <c r="C1215" s="38" t="s">
        <v>21662</v>
      </c>
      <c r="D1215" s="94" t="s">
        <v>18872</v>
      </c>
      <c r="E1215" s="38" t="s">
        <v>19627</v>
      </c>
      <c r="F1215" s="38" t="s">
        <v>20432</v>
      </c>
      <c r="G1215" s="94" t="s">
        <v>21901</v>
      </c>
    </row>
    <row r="1216">
      <c r="A1216" s="806">
        <v>45668.0</v>
      </c>
      <c r="B1216" s="44"/>
      <c r="C1216" s="38" t="s">
        <v>21662</v>
      </c>
      <c r="D1216" s="94" t="s">
        <v>21902</v>
      </c>
      <c r="E1216" s="38">
        <v>50.0</v>
      </c>
      <c r="F1216" s="38" t="s">
        <v>21644</v>
      </c>
      <c r="G1216" s="94" t="s">
        <v>21903</v>
      </c>
    </row>
    <row r="1217">
      <c r="A1217" s="806">
        <v>45668.0</v>
      </c>
      <c r="B1217" s="44"/>
      <c r="C1217" s="94" t="s">
        <v>20420</v>
      </c>
      <c r="D1217" s="94" t="s">
        <v>19155</v>
      </c>
      <c r="E1217" s="44"/>
      <c r="F1217" s="38" t="s">
        <v>21671</v>
      </c>
      <c r="G1217" s="94" t="s">
        <v>19156</v>
      </c>
    </row>
    <row r="1218">
      <c r="A1218" s="806">
        <v>45668.0</v>
      </c>
      <c r="B1218" s="44"/>
      <c r="C1218" s="38" t="s">
        <v>21904</v>
      </c>
      <c r="D1218" s="94" t="s">
        <v>21905</v>
      </c>
      <c r="E1218" s="44"/>
      <c r="F1218" s="38" t="s">
        <v>21906</v>
      </c>
      <c r="G1218" s="94" t="s">
        <v>20381</v>
      </c>
    </row>
    <row r="1219">
      <c r="A1219" s="806">
        <v>45668.0</v>
      </c>
      <c r="B1219" s="44"/>
      <c r="C1219" s="38" t="s">
        <v>21907</v>
      </c>
      <c r="D1219" s="94" t="s">
        <v>21908</v>
      </c>
      <c r="E1219" s="44"/>
      <c r="F1219" s="38" t="s">
        <v>21909</v>
      </c>
      <c r="G1219" s="94" t="s">
        <v>21908</v>
      </c>
    </row>
    <row r="1220">
      <c r="A1220" s="806">
        <v>45668.0</v>
      </c>
      <c r="B1220" s="44"/>
      <c r="C1220" s="94" t="s">
        <v>21910</v>
      </c>
      <c r="D1220" s="94" t="s">
        <v>21911</v>
      </c>
      <c r="E1220" s="44"/>
      <c r="F1220" s="38" t="s">
        <v>13622</v>
      </c>
      <c r="G1220" s="94" t="s">
        <v>20381</v>
      </c>
    </row>
    <row r="1221">
      <c r="A1221" s="830">
        <v>45668.0</v>
      </c>
      <c r="C1221" s="196" t="s">
        <v>20213</v>
      </c>
      <c r="D1221" s="196" t="s">
        <v>20214</v>
      </c>
      <c r="E1221" s="8"/>
      <c r="F1221" s="5" t="s">
        <v>21912</v>
      </c>
      <c r="G1221" s="196" t="s">
        <v>20216</v>
      </c>
    </row>
    <row r="1222">
      <c r="A1222" s="806">
        <v>45668.0</v>
      </c>
      <c r="B1222" s="44"/>
      <c r="C1222" s="38" t="s">
        <v>18795</v>
      </c>
      <c r="D1222" s="38" t="s">
        <v>21913</v>
      </c>
      <c r="E1222" s="44"/>
      <c r="F1222" s="38" t="s">
        <v>21914</v>
      </c>
      <c r="G1222" s="38" t="s">
        <v>9035</v>
      </c>
    </row>
    <row r="1223">
      <c r="A1223" s="808">
        <v>45727.0</v>
      </c>
      <c r="B1223" s="44"/>
      <c r="C1223" s="38" t="s">
        <v>3175</v>
      </c>
      <c r="D1223" s="94" t="s">
        <v>20655</v>
      </c>
      <c r="E1223" s="44"/>
      <c r="F1223" s="38" t="s">
        <v>20367</v>
      </c>
      <c r="G1223" s="94" t="s">
        <v>20686</v>
      </c>
    </row>
    <row r="1224">
      <c r="A1224" s="808">
        <v>45727.0</v>
      </c>
      <c r="B1224" s="44"/>
      <c r="C1224" s="38" t="s">
        <v>20664</v>
      </c>
      <c r="D1224" s="94" t="s">
        <v>20395</v>
      </c>
      <c r="E1224" s="44"/>
      <c r="F1224" s="38" t="s">
        <v>21683</v>
      </c>
      <c r="G1224" s="94" t="s">
        <v>21915</v>
      </c>
    </row>
    <row r="1225">
      <c r="A1225" s="808">
        <v>45727.0</v>
      </c>
      <c r="B1225" s="44"/>
      <c r="C1225" s="94" t="s">
        <v>21916</v>
      </c>
      <c r="D1225" s="94" t="s">
        <v>19212</v>
      </c>
      <c r="E1225" s="44"/>
      <c r="F1225" s="38" t="s">
        <v>20319</v>
      </c>
      <c r="G1225" s="94" t="s">
        <v>20085</v>
      </c>
    </row>
    <row r="1226">
      <c r="A1226" s="808">
        <v>45727.0</v>
      </c>
      <c r="B1226" s="44"/>
      <c r="C1226" s="38" t="s">
        <v>19873</v>
      </c>
      <c r="D1226" s="94" t="s">
        <v>21917</v>
      </c>
      <c r="E1226" s="38" t="s">
        <v>19309</v>
      </c>
      <c r="F1226" s="38" t="s">
        <v>21918</v>
      </c>
      <c r="G1226" s="94" t="s">
        <v>21919</v>
      </c>
    </row>
    <row r="1227">
      <c r="A1227" s="808">
        <v>45727.0</v>
      </c>
      <c r="B1227" s="44"/>
      <c r="C1227" s="44"/>
      <c r="D1227" s="44"/>
      <c r="E1227" s="38">
        <v>-55.0</v>
      </c>
      <c r="F1227" s="38" t="s">
        <v>19648</v>
      </c>
      <c r="G1227" s="44"/>
    </row>
    <row r="1228">
      <c r="A1228" s="808">
        <v>45727.0</v>
      </c>
      <c r="B1228" s="44"/>
      <c r="C1228" s="38" t="s">
        <v>19912</v>
      </c>
      <c r="D1228" s="94" t="s">
        <v>18181</v>
      </c>
      <c r="E1228" s="44"/>
      <c r="F1228" s="38" t="s">
        <v>20457</v>
      </c>
      <c r="G1228" s="94" t="s">
        <v>21920</v>
      </c>
    </row>
    <row r="1229">
      <c r="A1229" s="808">
        <v>45727.0</v>
      </c>
      <c r="B1229" s="44"/>
      <c r="C1229" s="38" t="s">
        <v>3177</v>
      </c>
      <c r="D1229" s="38" t="s">
        <v>19230</v>
      </c>
      <c r="E1229" s="38">
        <v>80.0</v>
      </c>
      <c r="F1229" s="38" t="s">
        <v>19994</v>
      </c>
      <c r="G1229" s="38" t="s">
        <v>21921</v>
      </c>
    </row>
    <row r="1230">
      <c r="A1230" s="808">
        <v>45727.0</v>
      </c>
      <c r="B1230" s="44"/>
      <c r="C1230" s="94" t="s">
        <v>21922</v>
      </c>
      <c r="D1230" s="94" t="s">
        <v>17786</v>
      </c>
      <c r="E1230" s="44"/>
      <c r="F1230" s="46" t="s">
        <v>21923</v>
      </c>
      <c r="G1230" s="94" t="s">
        <v>20442</v>
      </c>
    </row>
    <row r="1231">
      <c r="A1231" s="808">
        <v>45727.0</v>
      </c>
      <c r="B1231" s="44"/>
      <c r="C1231" s="38" t="s">
        <v>19944</v>
      </c>
      <c r="D1231" s="94" t="s">
        <v>21924</v>
      </c>
      <c r="E1231" s="44"/>
      <c r="F1231" s="38" t="s">
        <v>21925</v>
      </c>
      <c r="G1231" s="94" t="s">
        <v>21926</v>
      </c>
    </row>
    <row r="1232">
      <c r="A1232" s="808">
        <v>45727.0</v>
      </c>
      <c r="B1232" s="44"/>
      <c r="C1232" s="94" t="s">
        <v>19990</v>
      </c>
      <c r="D1232" s="94" t="s">
        <v>18091</v>
      </c>
      <c r="E1232" s="44"/>
      <c r="F1232" s="38" t="s">
        <v>21927</v>
      </c>
      <c r="G1232" s="94" t="s">
        <v>18092</v>
      </c>
    </row>
    <row r="1233">
      <c r="A1233" s="808">
        <v>45727.0</v>
      </c>
      <c r="B1233" s="44"/>
      <c r="C1233" s="38" t="s">
        <v>20928</v>
      </c>
      <c r="D1233" s="94" t="s">
        <v>20194</v>
      </c>
      <c r="E1233" s="44">
        <f>SUM(40+5+40)</f>
        <v>85</v>
      </c>
      <c r="F1233" s="38" t="s">
        <v>21659</v>
      </c>
      <c r="G1233" s="94" t="s">
        <v>20195</v>
      </c>
    </row>
    <row r="1234">
      <c r="A1234" s="808">
        <v>45727.0</v>
      </c>
      <c r="B1234" s="44"/>
      <c r="C1234" s="38" t="s">
        <v>20120</v>
      </c>
      <c r="D1234" s="44"/>
      <c r="E1234" s="44"/>
      <c r="F1234" s="38" t="s">
        <v>21928</v>
      </c>
      <c r="G1234" s="38" t="s">
        <v>21929</v>
      </c>
    </row>
    <row r="1235">
      <c r="A1235" s="808">
        <v>45727.0</v>
      </c>
      <c r="B1235" s="44"/>
      <c r="C1235" s="38" t="s">
        <v>20131</v>
      </c>
      <c r="D1235" s="94" t="s">
        <v>20132</v>
      </c>
      <c r="E1235" s="38">
        <v>70.0</v>
      </c>
      <c r="F1235" s="38" t="s">
        <v>20418</v>
      </c>
      <c r="G1235" s="94" t="s">
        <v>21930</v>
      </c>
    </row>
    <row r="1236">
      <c r="A1236" s="808">
        <v>45727.0</v>
      </c>
      <c r="B1236" s="44"/>
      <c r="C1236" s="38" t="s">
        <v>19912</v>
      </c>
      <c r="D1236" s="94" t="s">
        <v>20029</v>
      </c>
      <c r="E1236" s="44"/>
      <c r="F1236" s="38" t="s">
        <v>20367</v>
      </c>
      <c r="G1236" s="94" t="s">
        <v>19156</v>
      </c>
    </row>
    <row r="1237">
      <c r="A1237" s="808">
        <v>45727.0</v>
      </c>
      <c r="B1237" s="44"/>
      <c r="C1237" s="94" t="s">
        <v>18195</v>
      </c>
      <c r="D1237" s="38" t="s">
        <v>21931</v>
      </c>
      <c r="E1237" s="44"/>
      <c r="F1237" s="38" t="s">
        <v>21932</v>
      </c>
      <c r="G1237" s="94" t="s">
        <v>541</v>
      </c>
    </row>
    <row r="1238">
      <c r="A1238" s="808">
        <v>45727.0</v>
      </c>
      <c r="B1238" s="44"/>
      <c r="C1238" s="38" t="s">
        <v>19704</v>
      </c>
      <c r="D1238" s="94" t="s">
        <v>21933</v>
      </c>
      <c r="E1238" s="38">
        <v>40.0</v>
      </c>
      <c r="F1238" s="38" t="s">
        <v>20330</v>
      </c>
      <c r="G1238" s="94" t="s">
        <v>21934</v>
      </c>
    </row>
    <row r="1239">
      <c r="A1239" s="808">
        <v>45727.0</v>
      </c>
      <c r="B1239" s="44"/>
      <c r="C1239" s="94" t="s">
        <v>17698</v>
      </c>
      <c r="D1239" s="94" t="s">
        <v>19102</v>
      </c>
      <c r="E1239" s="44"/>
      <c r="F1239" s="38" t="s">
        <v>21671</v>
      </c>
      <c r="G1239" s="94" t="s">
        <v>21935</v>
      </c>
    </row>
    <row r="1240">
      <c r="A1240" s="808">
        <v>45727.0</v>
      </c>
      <c r="B1240" s="44"/>
      <c r="C1240" s="94" t="s">
        <v>21936</v>
      </c>
      <c r="D1240" s="94" t="s">
        <v>21937</v>
      </c>
      <c r="E1240" s="44"/>
      <c r="F1240" s="38" t="s">
        <v>21938</v>
      </c>
      <c r="G1240" s="94" t="s">
        <v>20381</v>
      </c>
    </row>
    <row r="1241">
      <c r="A1241" s="808">
        <v>45727.0</v>
      </c>
      <c r="B1241" s="44"/>
      <c r="C1241" s="94" t="s">
        <v>21939</v>
      </c>
      <c r="D1241" s="94" t="s">
        <v>19215</v>
      </c>
      <c r="E1241" s="44"/>
      <c r="F1241" s="38" t="s">
        <v>21940</v>
      </c>
      <c r="G1241" s="94" t="s">
        <v>21941</v>
      </c>
    </row>
    <row r="1242">
      <c r="A1242" s="806">
        <v>45758.0</v>
      </c>
      <c r="B1242" s="44"/>
      <c r="C1242" s="38" t="s">
        <v>19802</v>
      </c>
      <c r="D1242" s="94" t="s">
        <v>21942</v>
      </c>
      <c r="E1242" s="38" t="s">
        <v>19309</v>
      </c>
      <c r="F1242" s="38" t="s">
        <v>21943</v>
      </c>
      <c r="G1242" s="94" t="s">
        <v>13880</v>
      </c>
    </row>
    <row r="1243">
      <c r="A1243" s="806">
        <v>45758.0</v>
      </c>
      <c r="B1243" s="44"/>
      <c r="C1243" s="38" t="s">
        <v>21944</v>
      </c>
      <c r="D1243" s="94" t="s">
        <v>21945</v>
      </c>
      <c r="E1243" s="44"/>
      <c r="F1243" s="38" t="s">
        <v>21946</v>
      </c>
      <c r="G1243" s="94" t="s">
        <v>21947</v>
      </c>
    </row>
    <row r="1244">
      <c r="A1244" s="806">
        <v>45758.0</v>
      </c>
      <c r="B1244" s="44"/>
      <c r="C1244" s="94" t="s">
        <v>21948</v>
      </c>
      <c r="D1244" s="94" t="s">
        <v>3732</v>
      </c>
      <c r="E1244" s="44"/>
      <c r="F1244" s="38" t="s">
        <v>13622</v>
      </c>
      <c r="G1244" s="94" t="s">
        <v>3734</v>
      </c>
      <c r="H1244" s="38" t="s">
        <v>19309</v>
      </c>
    </row>
    <row r="1245">
      <c r="A1245" s="806">
        <v>45758.0</v>
      </c>
      <c r="B1245" s="44"/>
      <c r="C1245" s="94" t="s">
        <v>3736</v>
      </c>
      <c r="D1245" s="44"/>
      <c r="E1245" s="44"/>
      <c r="F1245" s="38" t="s">
        <v>21818</v>
      </c>
      <c r="G1245" s="94" t="s">
        <v>3734</v>
      </c>
      <c r="H1245" s="38" t="s">
        <v>19309</v>
      </c>
    </row>
    <row r="1246">
      <c r="A1246" s="806">
        <v>45758.0</v>
      </c>
      <c r="B1246" s="44"/>
      <c r="C1246" s="38" t="s">
        <v>17753</v>
      </c>
      <c r="D1246" s="94" t="s">
        <v>19321</v>
      </c>
      <c r="E1246" s="44"/>
      <c r="F1246" s="38" t="s">
        <v>20457</v>
      </c>
      <c r="G1246" s="94" t="s">
        <v>21949</v>
      </c>
    </row>
    <row r="1247">
      <c r="A1247" s="806">
        <v>45758.0</v>
      </c>
      <c r="B1247" s="44"/>
      <c r="C1247" s="38" t="s">
        <v>17753</v>
      </c>
      <c r="D1247" s="94" t="s">
        <v>18516</v>
      </c>
      <c r="E1247" s="44"/>
      <c r="F1247" s="38" t="s">
        <v>20319</v>
      </c>
      <c r="G1247" s="94" t="s">
        <v>20559</v>
      </c>
    </row>
    <row r="1248">
      <c r="A1248" s="806">
        <v>45758.0</v>
      </c>
      <c r="B1248" s="44"/>
      <c r="C1248" s="38" t="s">
        <v>3175</v>
      </c>
      <c r="D1248" s="38" t="s">
        <v>19267</v>
      </c>
      <c r="E1248" s="44"/>
      <c r="F1248" s="38" t="s">
        <v>21950</v>
      </c>
      <c r="G1248" s="94" t="s">
        <v>20462</v>
      </c>
    </row>
    <row r="1249">
      <c r="A1249" s="806">
        <v>45758.0</v>
      </c>
      <c r="B1249" s="44"/>
      <c r="C1249" s="38" t="s">
        <v>19556</v>
      </c>
      <c r="D1249" s="94" t="s">
        <v>21951</v>
      </c>
      <c r="E1249" s="38">
        <v>45.0</v>
      </c>
      <c r="F1249" s="38" t="s">
        <v>21952</v>
      </c>
      <c r="G1249" s="94" t="s">
        <v>20147</v>
      </c>
    </row>
    <row r="1250">
      <c r="A1250" s="806">
        <v>45758.0</v>
      </c>
      <c r="B1250" s="44"/>
      <c r="C1250" s="94" t="s">
        <v>21953</v>
      </c>
      <c r="D1250" s="94" t="s">
        <v>20500</v>
      </c>
      <c r="E1250" s="38" t="s">
        <v>19627</v>
      </c>
      <c r="F1250" s="38" t="s">
        <v>21671</v>
      </c>
      <c r="G1250" s="94" t="s">
        <v>20500</v>
      </c>
    </row>
    <row r="1251">
      <c r="A1251" s="806">
        <v>45758.0</v>
      </c>
      <c r="B1251" s="44"/>
      <c r="C1251" s="38" t="s">
        <v>19823</v>
      </c>
      <c r="D1251" s="94" t="s">
        <v>21954</v>
      </c>
      <c r="E1251" s="44">
        <f>SUM(30+50+5)</f>
        <v>85</v>
      </c>
      <c r="F1251" s="38" t="s">
        <v>21955</v>
      </c>
      <c r="G1251" s="94" t="s">
        <v>20195</v>
      </c>
    </row>
    <row r="1252">
      <c r="A1252" s="806">
        <v>45758.0</v>
      </c>
      <c r="B1252" s="44"/>
      <c r="C1252" s="38" t="s">
        <v>19556</v>
      </c>
      <c r="D1252" s="94" t="s">
        <v>19330</v>
      </c>
      <c r="E1252" s="44">
        <f>SUM(50+40)</f>
        <v>90</v>
      </c>
      <c r="F1252" s="38" t="s">
        <v>20241</v>
      </c>
      <c r="G1252" s="94" t="s">
        <v>21956</v>
      </c>
    </row>
    <row r="1253">
      <c r="A1253" s="806">
        <v>45758.0</v>
      </c>
      <c r="B1253" s="44"/>
      <c r="C1253" s="94" t="s">
        <v>21175</v>
      </c>
      <c r="D1253" s="94" t="s">
        <v>21957</v>
      </c>
      <c r="E1253" s="44"/>
      <c r="F1253" s="38" t="s">
        <v>20367</v>
      </c>
      <c r="G1253" s="38" t="s">
        <v>19222</v>
      </c>
    </row>
    <row r="1254">
      <c r="A1254" s="806">
        <v>45758.0</v>
      </c>
      <c r="B1254" s="44"/>
      <c r="C1254" s="44"/>
      <c r="D1254" s="44"/>
      <c r="E1254" s="44">
        <f>SUM(405-50)</f>
        <v>355</v>
      </c>
      <c r="F1254" s="38" t="s">
        <v>21958</v>
      </c>
      <c r="G1254" s="38" t="s">
        <v>19699</v>
      </c>
    </row>
    <row r="1255">
      <c r="A1255" s="806">
        <v>45758.0</v>
      </c>
      <c r="B1255" s="44"/>
      <c r="C1255" s="44"/>
      <c r="D1255" s="44"/>
      <c r="E1255" s="38">
        <v>60.0</v>
      </c>
      <c r="F1255" s="38" t="s">
        <v>20866</v>
      </c>
      <c r="G1255" s="44"/>
    </row>
    <row r="1256">
      <c r="A1256" s="806">
        <v>45758.0</v>
      </c>
      <c r="B1256" s="44"/>
      <c r="C1256" s="94" t="s">
        <v>21959</v>
      </c>
      <c r="D1256" s="94" t="s">
        <v>21960</v>
      </c>
      <c r="E1256" s="44"/>
      <c r="F1256" s="38" t="s">
        <v>21961</v>
      </c>
      <c r="G1256" s="94" t="s">
        <v>18557</v>
      </c>
    </row>
    <row r="1257">
      <c r="A1257" s="806">
        <v>45758.0</v>
      </c>
      <c r="B1257" s="44"/>
      <c r="C1257" s="94" t="s">
        <v>21962</v>
      </c>
      <c r="D1257" s="94" t="s">
        <v>21963</v>
      </c>
      <c r="E1257" s="44"/>
      <c r="F1257" s="38" t="s">
        <v>3643</v>
      </c>
      <c r="G1257" s="94" t="s">
        <v>21964</v>
      </c>
      <c r="H1257" s="38" t="s">
        <v>21965</v>
      </c>
      <c r="I1257" s="75" t="s">
        <v>21966</v>
      </c>
    </row>
    <row r="1258">
      <c r="A1258" s="806">
        <v>45758.0</v>
      </c>
      <c r="B1258" s="44"/>
      <c r="C1258" s="38" t="s">
        <v>20808</v>
      </c>
      <c r="D1258" s="38" t="s">
        <v>20809</v>
      </c>
      <c r="E1258" s="44"/>
      <c r="F1258" s="38" t="s">
        <v>21967</v>
      </c>
      <c r="G1258" s="38" t="s">
        <v>19818</v>
      </c>
    </row>
    <row r="1259">
      <c r="A1259" s="806">
        <v>45758.0</v>
      </c>
      <c r="B1259" s="44"/>
      <c r="C1259" s="38" t="s">
        <v>3177</v>
      </c>
      <c r="D1259" s="94" t="s">
        <v>21968</v>
      </c>
      <c r="E1259" s="44">
        <f>SUM(50+30)</f>
        <v>80</v>
      </c>
      <c r="F1259" s="38" t="s">
        <v>20367</v>
      </c>
      <c r="G1259" s="94" t="s">
        <v>21969</v>
      </c>
    </row>
    <row r="1260">
      <c r="A1260" s="806">
        <v>45758.0</v>
      </c>
      <c r="B1260" s="44"/>
      <c r="C1260" s="38" t="s">
        <v>19772</v>
      </c>
      <c r="D1260" s="94" t="s">
        <v>18307</v>
      </c>
      <c r="E1260" s="44"/>
      <c r="F1260" s="38" t="s">
        <v>21663</v>
      </c>
      <c r="G1260" s="94" t="s">
        <v>21970</v>
      </c>
    </row>
    <row r="1261">
      <c r="A1261" s="806">
        <v>45758.0</v>
      </c>
      <c r="B1261" s="44"/>
      <c r="C1261" s="38" t="s">
        <v>20394</v>
      </c>
      <c r="D1261" s="94" t="s">
        <v>2857</v>
      </c>
      <c r="E1261" s="44">
        <f>SUM(50+30)</f>
        <v>80</v>
      </c>
      <c r="F1261" s="38" t="s">
        <v>20241</v>
      </c>
      <c r="G1261" s="94" t="s">
        <v>2861</v>
      </c>
    </row>
    <row r="1262">
      <c r="A1262" s="806">
        <v>45758.0</v>
      </c>
      <c r="B1262" s="44"/>
      <c r="C1262" s="38" t="s">
        <v>19556</v>
      </c>
      <c r="D1262" s="94" t="s">
        <v>18525</v>
      </c>
      <c r="E1262" s="38">
        <v>90.0</v>
      </c>
      <c r="F1262" s="38" t="s">
        <v>21663</v>
      </c>
      <c r="G1262" s="94" t="s">
        <v>20320</v>
      </c>
      <c r="H1262" s="33" t="s">
        <v>21971</v>
      </c>
      <c r="I1262" s="84"/>
      <c r="J1262" s="84"/>
    </row>
    <row r="1263">
      <c r="A1263" s="808">
        <v>45788.0</v>
      </c>
      <c r="B1263" s="44"/>
      <c r="C1263" s="38" t="s">
        <v>19909</v>
      </c>
      <c r="D1263" s="38" t="s">
        <v>21972</v>
      </c>
      <c r="E1263" s="44"/>
      <c r="F1263" s="38" t="s">
        <v>5885</v>
      </c>
      <c r="G1263" s="38" t="s">
        <v>21314</v>
      </c>
    </row>
    <row r="1264">
      <c r="A1264" s="808">
        <v>45788.0</v>
      </c>
      <c r="B1264" s="44"/>
      <c r="C1264" s="38" t="s">
        <v>21973</v>
      </c>
      <c r="D1264" s="38" t="s">
        <v>18680</v>
      </c>
      <c r="E1264" s="44"/>
      <c r="F1264" s="38" t="s">
        <v>20367</v>
      </c>
      <c r="G1264" s="38" t="s">
        <v>18681</v>
      </c>
    </row>
    <row r="1265">
      <c r="A1265" s="808">
        <v>45788.0</v>
      </c>
      <c r="B1265" s="44"/>
      <c r="C1265" s="38" t="s">
        <v>18766</v>
      </c>
      <c r="D1265" s="38" t="s">
        <v>20440</v>
      </c>
      <c r="E1265" s="44"/>
      <c r="F1265" s="38" t="s">
        <v>20241</v>
      </c>
      <c r="G1265" s="94" t="s">
        <v>20441</v>
      </c>
    </row>
    <row r="1266">
      <c r="A1266" s="808">
        <v>45788.0</v>
      </c>
      <c r="B1266" s="44"/>
      <c r="C1266" s="38" t="s">
        <v>19912</v>
      </c>
      <c r="D1266" s="38" t="s">
        <v>20622</v>
      </c>
      <c r="E1266" s="44"/>
      <c r="F1266" s="38" t="s">
        <v>20319</v>
      </c>
      <c r="G1266" s="777" t="s">
        <v>18537</v>
      </c>
    </row>
    <row r="1267">
      <c r="A1267" s="808">
        <v>45788.0</v>
      </c>
      <c r="B1267" s="44"/>
      <c r="C1267" s="38" t="s">
        <v>19873</v>
      </c>
      <c r="D1267" s="38" t="s">
        <v>19372</v>
      </c>
      <c r="E1267" s="38">
        <v>80.0</v>
      </c>
      <c r="F1267" s="38" t="s">
        <v>20367</v>
      </c>
      <c r="G1267" s="94" t="s">
        <v>13531</v>
      </c>
    </row>
    <row r="1268">
      <c r="A1268" s="808">
        <v>45788.0</v>
      </c>
      <c r="B1268" s="44"/>
      <c r="C1268" s="38" t="s">
        <v>17856</v>
      </c>
      <c r="D1268" s="38" t="s">
        <v>18540</v>
      </c>
      <c r="E1268" s="44"/>
      <c r="F1268" s="38" t="s">
        <v>21974</v>
      </c>
      <c r="G1268" s="38" t="s">
        <v>10219</v>
      </c>
    </row>
    <row r="1269">
      <c r="A1269" s="808">
        <v>45788.0</v>
      </c>
      <c r="B1269" s="44"/>
      <c r="C1269" s="94" t="s">
        <v>18543</v>
      </c>
      <c r="D1269" s="94" t="s">
        <v>21975</v>
      </c>
      <c r="E1269" s="44"/>
      <c r="F1269" s="38" t="s">
        <v>21659</v>
      </c>
      <c r="G1269" s="94" t="s">
        <v>21935</v>
      </c>
    </row>
    <row r="1270">
      <c r="A1270" s="808">
        <v>45788.0</v>
      </c>
      <c r="B1270" s="44"/>
      <c r="C1270" s="38" t="s">
        <v>4169</v>
      </c>
      <c r="D1270" s="94" t="s">
        <v>19626</v>
      </c>
      <c r="E1270" s="38">
        <v>50.0</v>
      </c>
      <c r="F1270" s="38" t="s">
        <v>13622</v>
      </c>
      <c r="G1270" s="94" t="s">
        <v>10229</v>
      </c>
    </row>
    <row r="1271">
      <c r="A1271" s="808">
        <v>45788.0</v>
      </c>
      <c r="B1271" s="44"/>
      <c r="C1271" s="94" t="s">
        <v>21976</v>
      </c>
      <c r="D1271" s="94" t="s">
        <v>21977</v>
      </c>
      <c r="E1271" s="44"/>
      <c r="F1271" s="38" t="s">
        <v>21978</v>
      </c>
      <c r="G1271" s="94" t="s">
        <v>21979</v>
      </c>
    </row>
    <row r="1272">
      <c r="A1272" s="808">
        <v>45788.0</v>
      </c>
      <c r="B1272" s="44"/>
      <c r="C1272" s="44"/>
      <c r="D1272" s="44"/>
      <c r="E1272" s="38">
        <v>190.0</v>
      </c>
      <c r="F1272" s="44"/>
      <c r="G1272" s="94" t="s">
        <v>10229</v>
      </c>
    </row>
    <row r="1273">
      <c r="A1273" s="808">
        <v>45788.0</v>
      </c>
      <c r="B1273" s="44"/>
      <c r="C1273" s="94" t="s">
        <v>20918</v>
      </c>
      <c r="D1273" s="94" t="s">
        <v>21980</v>
      </c>
      <c r="E1273" s="44"/>
      <c r="F1273" s="38" t="s">
        <v>20336</v>
      </c>
      <c r="G1273" s="94" t="s">
        <v>541</v>
      </c>
    </row>
    <row r="1274">
      <c r="A1274" s="808">
        <v>45788.0</v>
      </c>
      <c r="B1274" s="44"/>
      <c r="C1274" s="94" t="s">
        <v>20792</v>
      </c>
      <c r="D1274" s="94" t="s">
        <v>18931</v>
      </c>
      <c r="E1274" s="44">
        <f>SUM(50+40+30)</f>
        <v>120</v>
      </c>
      <c r="F1274" s="38" t="s">
        <v>21981</v>
      </c>
      <c r="G1274" s="94" t="s">
        <v>20100</v>
      </c>
    </row>
    <row r="1275">
      <c r="A1275" s="840">
        <v>45788.0</v>
      </c>
      <c r="C1275" s="5" t="s">
        <v>20928</v>
      </c>
      <c r="D1275" s="196" t="s">
        <v>21982</v>
      </c>
      <c r="E1275" s="8"/>
      <c r="F1275" s="5" t="s">
        <v>20330</v>
      </c>
      <c r="G1275" s="196" t="s">
        <v>3914</v>
      </c>
    </row>
    <row r="1276">
      <c r="A1276" s="808">
        <v>45788.0</v>
      </c>
      <c r="B1276" s="44"/>
      <c r="C1276" s="38" t="s">
        <v>21175</v>
      </c>
      <c r="D1276" s="94" t="s">
        <v>20126</v>
      </c>
      <c r="E1276" s="44"/>
      <c r="F1276" s="38" t="s">
        <v>21983</v>
      </c>
      <c r="G1276" s="94" t="s">
        <v>20129</v>
      </c>
    </row>
    <row r="1277">
      <c r="A1277" s="840">
        <v>45788.0</v>
      </c>
      <c r="C1277" s="196" t="s">
        <v>21984</v>
      </c>
      <c r="D1277" s="196" t="s">
        <v>20512</v>
      </c>
      <c r="E1277" s="5">
        <v>30.0</v>
      </c>
      <c r="F1277" s="5" t="s">
        <v>20745</v>
      </c>
      <c r="G1277" s="196" t="s">
        <v>21985</v>
      </c>
    </row>
    <row r="1278">
      <c r="A1278" s="840">
        <v>45788.0</v>
      </c>
      <c r="C1278" s="196" t="s">
        <v>21986</v>
      </c>
      <c r="D1278" s="196" t="s">
        <v>20544</v>
      </c>
      <c r="E1278" s="5">
        <v>45.0</v>
      </c>
      <c r="F1278" s="5" t="s">
        <v>16741</v>
      </c>
      <c r="G1278" s="196" t="s">
        <v>21987</v>
      </c>
      <c r="H1278" s="33" t="s">
        <v>21988</v>
      </c>
      <c r="I1278" s="84"/>
    </row>
    <row r="1279">
      <c r="A1279" s="808">
        <v>45788.0</v>
      </c>
      <c r="B1279" s="44"/>
      <c r="C1279" s="94" t="s">
        <v>19870</v>
      </c>
      <c r="D1279" s="94" t="s">
        <v>21989</v>
      </c>
      <c r="E1279" s="44"/>
      <c r="F1279" s="38" t="s">
        <v>21990</v>
      </c>
      <c r="G1279" s="94" t="s">
        <v>21991</v>
      </c>
    </row>
    <row r="1280">
      <c r="A1280" s="808">
        <v>45788.0</v>
      </c>
      <c r="B1280" s="44"/>
      <c r="C1280" s="38" t="s">
        <v>19873</v>
      </c>
      <c r="D1280" s="94" t="s">
        <v>21992</v>
      </c>
      <c r="E1280" s="38">
        <v>55.0</v>
      </c>
      <c r="F1280" s="38" t="s">
        <v>21818</v>
      </c>
      <c r="G1280" s="94" t="s">
        <v>21575</v>
      </c>
    </row>
    <row r="1281">
      <c r="A1281" s="808">
        <v>45788.0</v>
      </c>
      <c r="B1281" s="44"/>
      <c r="C1281" s="38" t="s">
        <v>21750</v>
      </c>
      <c r="D1281" s="94" t="s">
        <v>18902</v>
      </c>
      <c r="E1281" s="44"/>
      <c r="F1281" s="38" t="s">
        <v>21993</v>
      </c>
      <c r="G1281" s="94" t="s">
        <v>21196</v>
      </c>
    </row>
    <row r="1282">
      <c r="A1282" s="808">
        <v>45788.0</v>
      </c>
      <c r="B1282" s="44"/>
      <c r="C1282" s="38" t="s">
        <v>20392</v>
      </c>
      <c r="D1282" s="94" t="s">
        <v>21994</v>
      </c>
      <c r="E1282" s="44">
        <f>SUM(148*4+60)</f>
        <v>652</v>
      </c>
      <c r="F1282" s="38" t="s">
        <v>21995</v>
      </c>
      <c r="G1282" s="94" t="s">
        <v>21996</v>
      </c>
    </row>
    <row r="1283">
      <c r="A1283" s="808">
        <v>45788.0</v>
      </c>
      <c r="B1283" s="759">
        <v>0.7569444444444444</v>
      </c>
      <c r="C1283" s="44"/>
      <c r="D1283" s="44"/>
      <c r="E1283" s="38">
        <v>-1400.0</v>
      </c>
      <c r="F1283" s="38" t="s">
        <v>21997</v>
      </c>
      <c r="G1283" s="44"/>
    </row>
    <row r="1284">
      <c r="A1284" s="806">
        <v>45819.0</v>
      </c>
      <c r="B1284" s="44"/>
      <c r="C1284" s="94" t="s">
        <v>21998</v>
      </c>
      <c r="D1284" s="38" t="s">
        <v>19196</v>
      </c>
      <c r="E1284" s="44"/>
      <c r="F1284" s="38" t="s">
        <v>20336</v>
      </c>
      <c r="G1284" s="94" t="s">
        <v>20337</v>
      </c>
    </row>
    <row r="1285">
      <c r="A1285" s="806">
        <v>45819.0</v>
      </c>
      <c r="B1285" s="44"/>
      <c r="C1285" s="94" t="s">
        <v>17698</v>
      </c>
      <c r="D1285" s="94" t="s">
        <v>21999</v>
      </c>
      <c r="E1285" s="38">
        <v>40.0</v>
      </c>
      <c r="F1285" s="38" t="s">
        <v>20330</v>
      </c>
      <c r="G1285" s="94" t="s">
        <v>22000</v>
      </c>
    </row>
    <row r="1286">
      <c r="A1286" s="806">
        <v>45819.0</v>
      </c>
      <c r="B1286" s="44"/>
      <c r="C1286" s="38" t="s">
        <v>19912</v>
      </c>
      <c r="D1286" s="94" t="s">
        <v>18937</v>
      </c>
      <c r="E1286" s="44"/>
      <c r="F1286" s="38" t="s">
        <v>20336</v>
      </c>
      <c r="G1286" s="94" t="s">
        <v>22001</v>
      </c>
    </row>
    <row r="1287">
      <c r="A1287" s="806">
        <v>45819.0</v>
      </c>
      <c r="B1287" s="44"/>
      <c r="C1287" s="94" t="s">
        <v>19651</v>
      </c>
      <c r="D1287" s="94" t="s">
        <v>22002</v>
      </c>
      <c r="E1287" s="38" t="s">
        <v>19309</v>
      </c>
      <c r="F1287" s="38" t="s">
        <v>20241</v>
      </c>
      <c r="G1287" s="94" t="s">
        <v>22003</v>
      </c>
    </row>
    <row r="1288">
      <c r="A1288" s="806">
        <v>45819.0</v>
      </c>
      <c r="B1288" s="44"/>
      <c r="C1288" s="38" t="s">
        <v>20213</v>
      </c>
      <c r="D1288" s="38" t="s">
        <v>20400</v>
      </c>
      <c r="E1288" s="44"/>
      <c r="F1288" s="38" t="s">
        <v>22004</v>
      </c>
      <c r="G1288" s="94" t="s">
        <v>19081</v>
      </c>
    </row>
    <row r="1289">
      <c r="A1289" s="806">
        <v>45819.0</v>
      </c>
      <c r="B1289" s="44"/>
      <c r="C1289" s="94" t="s">
        <v>17698</v>
      </c>
      <c r="D1289" s="94" t="s">
        <v>22005</v>
      </c>
      <c r="E1289" s="44"/>
      <c r="F1289" s="38" t="s">
        <v>22006</v>
      </c>
      <c r="G1289" s="94" t="s">
        <v>20339</v>
      </c>
    </row>
    <row r="1290">
      <c r="A1290" s="806">
        <v>45819.0</v>
      </c>
      <c r="B1290" s="44"/>
      <c r="C1290" s="94" t="s">
        <v>22007</v>
      </c>
      <c r="D1290" s="94" t="s">
        <v>20523</v>
      </c>
      <c r="E1290" s="44"/>
      <c r="F1290" s="38" t="s">
        <v>20336</v>
      </c>
      <c r="G1290" s="94" t="s">
        <v>20462</v>
      </c>
    </row>
    <row r="1291">
      <c r="A1291" s="806">
        <v>45819.0</v>
      </c>
      <c r="B1291" s="44"/>
      <c r="C1291" s="94" t="s">
        <v>22008</v>
      </c>
      <c r="D1291" s="38" t="s">
        <v>19024</v>
      </c>
      <c r="E1291" s="44"/>
      <c r="F1291" s="38" t="s">
        <v>22009</v>
      </c>
      <c r="G1291" s="94" t="s">
        <v>22010</v>
      </c>
    </row>
    <row r="1292">
      <c r="A1292" s="806">
        <v>45819.0</v>
      </c>
      <c r="B1292" s="44"/>
      <c r="C1292" s="38" t="s">
        <v>18445</v>
      </c>
      <c r="D1292" s="94" t="s">
        <v>22011</v>
      </c>
      <c r="E1292" s="38">
        <v>430.0</v>
      </c>
      <c r="F1292" s="38" t="s">
        <v>22012</v>
      </c>
      <c r="G1292" s="94" t="s">
        <v>22013</v>
      </c>
    </row>
    <row r="1293">
      <c r="A1293" s="806">
        <v>45819.0</v>
      </c>
      <c r="B1293" s="44"/>
      <c r="C1293" s="94" t="s">
        <v>22014</v>
      </c>
      <c r="D1293" s="94" t="s">
        <v>19295</v>
      </c>
      <c r="E1293" s="44"/>
      <c r="F1293" s="38" t="s">
        <v>22015</v>
      </c>
      <c r="G1293" s="94" t="s">
        <v>22016</v>
      </c>
    </row>
    <row r="1294">
      <c r="A1294" s="806">
        <v>45819.0</v>
      </c>
      <c r="B1294" s="44"/>
      <c r="C1294" s="94" t="s">
        <v>22017</v>
      </c>
      <c r="D1294" s="94" t="s">
        <v>18854</v>
      </c>
      <c r="E1294" s="38">
        <v>90.0</v>
      </c>
      <c r="F1294" s="38" t="s">
        <v>20324</v>
      </c>
      <c r="G1294" s="94" t="s">
        <v>18855</v>
      </c>
    </row>
    <row r="1295">
      <c r="A1295" s="830">
        <v>45819.0</v>
      </c>
      <c r="C1295" s="5" t="s">
        <v>22018</v>
      </c>
      <c r="D1295" s="196" t="s">
        <v>22019</v>
      </c>
      <c r="E1295" s="8"/>
      <c r="F1295" s="5" t="s">
        <v>3913</v>
      </c>
      <c r="G1295" s="196" t="s">
        <v>3914</v>
      </c>
    </row>
    <row r="1296">
      <c r="A1296" s="806">
        <v>45819.0</v>
      </c>
      <c r="B1296" s="44"/>
      <c r="C1296" s="44"/>
      <c r="D1296" s="44"/>
      <c r="E1296" s="38">
        <v>50.0</v>
      </c>
      <c r="F1296" s="38" t="s">
        <v>22020</v>
      </c>
      <c r="G1296" s="44"/>
    </row>
    <row r="1297">
      <c r="A1297" s="806">
        <v>45819.0</v>
      </c>
      <c r="B1297" s="44"/>
      <c r="C1297" s="38" t="s">
        <v>18766</v>
      </c>
      <c r="D1297" s="94" t="s">
        <v>18835</v>
      </c>
      <c r="E1297" s="44"/>
      <c r="F1297" s="38" t="s">
        <v>20241</v>
      </c>
      <c r="G1297" s="94" t="s">
        <v>18836</v>
      </c>
    </row>
    <row r="1298">
      <c r="A1298" s="806">
        <v>45819.0</v>
      </c>
      <c r="B1298" s="44"/>
      <c r="C1298" s="38" t="s">
        <v>22021</v>
      </c>
      <c r="D1298" s="38" t="s">
        <v>19971</v>
      </c>
      <c r="E1298" s="44"/>
      <c r="F1298" s="38" t="s">
        <v>20319</v>
      </c>
      <c r="G1298" s="94" t="s">
        <v>20339</v>
      </c>
    </row>
    <row r="1299">
      <c r="A1299" s="806">
        <v>45819.0</v>
      </c>
      <c r="B1299" s="44"/>
      <c r="C1299" s="38" t="s">
        <v>17891</v>
      </c>
      <c r="D1299" s="94" t="s">
        <v>19292</v>
      </c>
      <c r="E1299" s="44"/>
      <c r="F1299" s="38" t="s">
        <v>20324</v>
      </c>
      <c r="G1299" s="94" t="s">
        <v>12425</v>
      </c>
    </row>
    <row r="1300">
      <c r="A1300" s="806">
        <v>45819.0</v>
      </c>
      <c r="B1300" s="44"/>
      <c r="C1300" s="94" t="s">
        <v>19096</v>
      </c>
      <c r="D1300" s="94" t="s">
        <v>22022</v>
      </c>
      <c r="E1300" s="38">
        <v>30.0</v>
      </c>
      <c r="F1300" s="38" t="s">
        <v>22023</v>
      </c>
      <c r="G1300" s="94" t="s">
        <v>20199</v>
      </c>
    </row>
    <row r="1301">
      <c r="A1301" s="806">
        <v>45819.0</v>
      </c>
      <c r="B1301" s="44"/>
      <c r="C1301" s="94" t="s">
        <v>22024</v>
      </c>
      <c r="D1301" s="94" t="s">
        <v>22025</v>
      </c>
      <c r="E1301" s="38">
        <v>35.0</v>
      </c>
      <c r="F1301" s="38" t="s">
        <v>20093</v>
      </c>
      <c r="G1301" s="94" t="s">
        <v>20223</v>
      </c>
    </row>
    <row r="1302">
      <c r="A1302" s="806">
        <v>45819.0</v>
      </c>
      <c r="B1302" s="44"/>
      <c r="C1302" s="94" t="s">
        <v>19208</v>
      </c>
      <c r="D1302" s="94" t="s">
        <v>22026</v>
      </c>
      <c r="E1302" s="38" t="s">
        <v>19309</v>
      </c>
      <c r="F1302" s="38" t="s">
        <v>20336</v>
      </c>
      <c r="G1302" s="94" t="s">
        <v>22027</v>
      </c>
    </row>
    <row r="1303">
      <c r="A1303" s="806">
        <v>45819.0</v>
      </c>
      <c r="B1303" s="44"/>
      <c r="C1303" s="38" t="s">
        <v>19704</v>
      </c>
      <c r="D1303" s="94" t="s">
        <v>20436</v>
      </c>
      <c r="E1303" s="38" t="s">
        <v>22028</v>
      </c>
      <c r="F1303" s="38" t="s">
        <v>21818</v>
      </c>
      <c r="G1303" s="94" t="s">
        <v>20437</v>
      </c>
    </row>
    <row r="1304">
      <c r="A1304" s="808">
        <v>45849.0</v>
      </c>
      <c r="B1304" s="44"/>
      <c r="C1304" s="94" t="s">
        <v>21389</v>
      </c>
      <c r="D1304" s="94" t="s">
        <v>22029</v>
      </c>
      <c r="E1304" s="38">
        <v>715.0</v>
      </c>
      <c r="F1304" s="38" t="s">
        <v>22030</v>
      </c>
      <c r="G1304" s="94" t="s">
        <v>22031</v>
      </c>
    </row>
    <row r="1305">
      <c r="A1305" s="808">
        <v>45849.0</v>
      </c>
      <c r="B1305" s="44"/>
      <c r="C1305" s="47" t="s">
        <v>18429</v>
      </c>
      <c r="D1305" s="775" t="s">
        <v>18430</v>
      </c>
      <c r="E1305" s="44"/>
      <c r="F1305" s="38" t="s">
        <v>22032</v>
      </c>
      <c r="G1305" s="777" t="s">
        <v>21403</v>
      </c>
    </row>
    <row r="1306">
      <c r="A1306" s="808">
        <v>45849.0</v>
      </c>
      <c r="B1306" s="44"/>
      <c r="C1306" s="94" t="s">
        <v>20354</v>
      </c>
      <c r="D1306" s="94" t="s">
        <v>19046</v>
      </c>
      <c r="E1306" s="44"/>
      <c r="F1306" s="38" t="s">
        <v>20241</v>
      </c>
      <c r="G1306" s="94" t="s">
        <v>20356</v>
      </c>
    </row>
    <row r="1307">
      <c r="A1307" s="808">
        <v>45849.0</v>
      </c>
      <c r="B1307" s="44"/>
      <c r="C1307" s="38" t="s">
        <v>19661</v>
      </c>
      <c r="D1307" s="94" t="s">
        <v>22033</v>
      </c>
      <c r="E1307" s="44"/>
      <c r="F1307" s="38" t="s">
        <v>22034</v>
      </c>
      <c r="G1307" s="94" t="s">
        <v>22035</v>
      </c>
    </row>
    <row r="1308">
      <c r="A1308" s="808">
        <v>45849.0</v>
      </c>
      <c r="B1308" s="44"/>
      <c r="C1308" s="94" t="s">
        <v>20349</v>
      </c>
      <c r="D1308" s="94" t="s">
        <v>20726</v>
      </c>
      <c r="E1308" s="38">
        <v>-10.0</v>
      </c>
      <c r="F1308" s="38" t="s">
        <v>13622</v>
      </c>
      <c r="G1308" s="94" t="s">
        <v>20727</v>
      </c>
    </row>
    <row r="1309">
      <c r="A1309" s="808">
        <v>45849.0</v>
      </c>
      <c r="B1309" s="44"/>
      <c r="C1309" s="94" t="s">
        <v>18369</v>
      </c>
      <c r="D1309" s="94" t="s">
        <v>18555</v>
      </c>
      <c r="E1309" s="44"/>
      <c r="F1309" s="38" t="s">
        <v>22036</v>
      </c>
      <c r="G1309" s="94" t="s">
        <v>18557</v>
      </c>
    </row>
    <row r="1310">
      <c r="A1310" s="840">
        <v>45849.0</v>
      </c>
      <c r="C1310" s="5" t="s">
        <v>22037</v>
      </c>
      <c r="D1310" s="196" t="s">
        <v>20303</v>
      </c>
      <c r="E1310" s="5">
        <v>200.0</v>
      </c>
      <c r="F1310" s="5" t="s">
        <v>3913</v>
      </c>
      <c r="G1310" s="196" t="s">
        <v>22038</v>
      </c>
    </row>
    <row r="1311">
      <c r="A1311" s="840">
        <v>45849.0</v>
      </c>
      <c r="C1311" s="5" t="s">
        <v>17753</v>
      </c>
      <c r="D1311" s="196" t="s">
        <v>22039</v>
      </c>
      <c r="E1311" s="5">
        <v>50.0</v>
      </c>
      <c r="F1311" s="5" t="s">
        <v>21644</v>
      </c>
      <c r="G1311" s="196" t="s">
        <v>22040</v>
      </c>
    </row>
    <row r="1312">
      <c r="A1312" s="808">
        <v>45849.0</v>
      </c>
      <c r="B1312" s="44"/>
      <c r="C1312" s="94" t="s">
        <v>22041</v>
      </c>
      <c r="D1312" s="94" t="s">
        <v>18934</v>
      </c>
      <c r="E1312" s="38">
        <v>85.0</v>
      </c>
      <c r="F1312" s="38" t="s">
        <v>20319</v>
      </c>
      <c r="G1312" s="94" t="s">
        <v>19601</v>
      </c>
    </row>
    <row r="1313">
      <c r="A1313" s="808">
        <v>45849.0</v>
      </c>
      <c r="B1313" s="44"/>
      <c r="C1313" s="38" t="s">
        <v>20003</v>
      </c>
      <c r="D1313" s="94" t="s">
        <v>18845</v>
      </c>
      <c r="E1313" s="44"/>
      <c r="F1313" s="38" t="s">
        <v>22042</v>
      </c>
      <c r="G1313" s="94" t="s">
        <v>18836</v>
      </c>
    </row>
    <row r="1314">
      <c r="A1314" s="808">
        <v>45849.0</v>
      </c>
      <c r="B1314" s="44"/>
      <c r="C1314" s="94" t="s">
        <v>22043</v>
      </c>
      <c r="D1314" s="94" t="s">
        <v>22044</v>
      </c>
      <c r="E1314" s="44"/>
      <c r="F1314" s="38" t="s">
        <v>22045</v>
      </c>
      <c r="G1314" s="94" t="s">
        <v>22046</v>
      </c>
    </row>
    <row r="1315">
      <c r="A1315" s="808">
        <v>45849.0</v>
      </c>
      <c r="B1315" s="44"/>
      <c r="C1315" s="38" t="s">
        <v>17713</v>
      </c>
      <c r="D1315" s="94" t="s">
        <v>4332</v>
      </c>
      <c r="E1315" s="44"/>
      <c r="F1315" s="38" t="s">
        <v>22047</v>
      </c>
      <c r="G1315" s="94" t="s">
        <v>22048</v>
      </c>
    </row>
    <row r="1316">
      <c r="A1316" s="808">
        <v>45849.0</v>
      </c>
      <c r="B1316" s="44"/>
      <c r="C1316" s="94" t="s">
        <v>17938</v>
      </c>
      <c r="D1316" s="94" t="s">
        <v>22049</v>
      </c>
      <c r="E1316" s="44"/>
      <c r="F1316" s="38" t="s">
        <v>22050</v>
      </c>
      <c r="G1316" s="94" t="s">
        <v>22051</v>
      </c>
    </row>
    <row r="1317">
      <c r="A1317" s="808">
        <v>45849.0</v>
      </c>
      <c r="B1317" s="44"/>
      <c r="C1317" s="38" t="s">
        <v>19556</v>
      </c>
      <c r="D1317" s="94" t="s">
        <v>20161</v>
      </c>
      <c r="E1317" s="44"/>
      <c r="F1317" s="38" t="s">
        <v>22052</v>
      </c>
      <c r="G1317" s="94" t="s">
        <v>22053</v>
      </c>
    </row>
    <row r="1318">
      <c r="A1318" s="808">
        <v>45849.0</v>
      </c>
      <c r="B1318" s="44"/>
      <c r="C1318" s="94" t="s">
        <v>22054</v>
      </c>
      <c r="D1318" s="94" t="s">
        <v>22055</v>
      </c>
      <c r="E1318" s="44"/>
      <c r="F1318" s="38" t="s">
        <v>22056</v>
      </c>
      <c r="G1318" s="94" t="s">
        <v>22051</v>
      </c>
    </row>
    <row r="1319">
      <c r="A1319" s="808">
        <v>45849.0</v>
      </c>
      <c r="B1319" s="44"/>
      <c r="C1319" s="94" t="s">
        <v>22057</v>
      </c>
      <c r="D1319" s="94" t="s">
        <v>22058</v>
      </c>
      <c r="E1319" s="44"/>
      <c r="F1319" s="38" t="s">
        <v>20367</v>
      </c>
      <c r="G1319" s="94" t="s">
        <v>22059</v>
      </c>
    </row>
    <row r="1320">
      <c r="A1320" s="808">
        <v>45849.0</v>
      </c>
      <c r="B1320" s="44"/>
      <c r="C1320" s="38" t="s">
        <v>7909</v>
      </c>
      <c r="D1320" s="38" t="s">
        <v>22060</v>
      </c>
      <c r="E1320" s="44"/>
      <c r="F1320" s="38" t="s">
        <v>13622</v>
      </c>
      <c r="G1320" s="777" t="s">
        <v>5018</v>
      </c>
    </row>
    <row r="1321">
      <c r="A1321" s="808">
        <v>45849.0</v>
      </c>
      <c r="B1321" s="44"/>
      <c r="C1321" s="94" t="s">
        <v>22061</v>
      </c>
      <c r="D1321" s="94" t="s">
        <v>18817</v>
      </c>
      <c r="E1321" s="44"/>
      <c r="F1321" s="38" t="s">
        <v>20241</v>
      </c>
      <c r="G1321" s="94" t="s">
        <v>20144</v>
      </c>
    </row>
    <row r="1322">
      <c r="A1322" s="808">
        <v>45849.0</v>
      </c>
      <c r="B1322" s="44"/>
      <c r="C1322" s="38" t="s">
        <v>21145</v>
      </c>
      <c r="D1322" s="38" t="s">
        <v>22062</v>
      </c>
      <c r="E1322" s="38">
        <v>50.0</v>
      </c>
      <c r="F1322" s="38" t="s">
        <v>13622</v>
      </c>
      <c r="G1322" s="841">
        <v>3.7069804912E10</v>
      </c>
    </row>
    <row r="1323">
      <c r="A1323" s="806">
        <v>45880.0</v>
      </c>
      <c r="B1323" s="44"/>
      <c r="C1323" s="38" t="s">
        <v>22063</v>
      </c>
      <c r="D1323" s="94" t="s">
        <v>4179</v>
      </c>
      <c r="E1323" s="44"/>
      <c r="F1323" s="38" t="s">
        <v>20367</v>
      </c>
      <c r="G1323" s="94" t="s">
        <v>22064</v>
      </c>
    </row>
    <row r="1324">
      <c r="A1324" s="806">
        <v>45880.0</v>
      </c>
      <c r="B1324" s="44"/>
      <c r="C1324" s="38" t="s">
        <v>19556</v>
      </c>
      <c r="D1324" s="44"/>
      <c r="E1324" s="44"/>
      <c r="F1324" s="38" t="s">
        <v>22065</v>
      </c>
      <c r="G1324" s="777" t="s">
        <v>10412</v>
      </c>
    </row>
    <row r="1325">
      <c r="A1325" s="806">
        <v>45880.0</v>
      </c>
      <c r="B1325" s="44"/>
      <c r="C1325" s="38" t="s">
        <v>19556</v>
      </c>
      <c r="D1325" s="94" t="s">
        <v>19629</v>
      </c>
      <c r="E1325" s="38" t="s">
        <v>19309</v>
      </c>
      <c r="F1325" s="38" t="s">
        <v>13622</v>
      </c>
      <c r="G1325" s="94" t="s">
        <v>19630</v>
      </c>
    </row>
    <row r="1326">
      <c r="A1326" s="806">
        <v>45880.0</v>
      </c>
      <c r="B1326" s="44"/>
      <c r="C1326" s="94" t="s">
        <v>18689</v>
      </c>
      <c r="D1326" s="94" t="s">
        <v>19782</v>
      </c>
      <c r="E1326" s="38" t="s">
        <v>19309</v>
      </c>
      <c r="F1326" s="38" t="s">
        <v>22066</v>
      </c>
      <c r="G1326" s="94" t="s">
        <v>19630</v>
      </c>
    </row>
    <row r="1327">
      <c r="A1327" s="806">
        <v>45880.0</v>
      </c>
      <c r="B1327" s="44"/>
      <c r="C1327" s="94" t="s">
        <v>18966</v>
      </c>
      <c r="D1327" s="94" t="s">
        <v>18967</v>
      </c>
      <c r="E1327" s="44"/>
      <c r="F1327" s="38" t="s">
        <v>22067</v>
      </c>
      <c r="G1327" s="94" t="s">
        <v>18968</v>
      </c>
      <c r="H1327" s="5"/>
    </row>
    <row r="1328">
      <c r="A1328" s="806">
        <v>45880.0</v>
      </c>
      <c r="B1328" s="44"/>
      <c r="C1328" s="38" t="s">
        <v>18979</v>
      </c>
      <c r="D1328" s="94" t="s">
        <v>18978</v>
      </c>
      <c r="E1328" s="44">
        <f>SUM(70+40+5)</f>
        <v>115</v>
      </c>
      <c r="F1328" s="38" t="s">
        <v>22068</v>
      </c>
      <c r="G1328" s="94" t="s">
        <v>20251</v>
      </c>
    </row>
    <row r="1329">
      <c r="A1329" s="806">
        <v>45880.0</v>
      </c>
      <c r="B1329" s="44"/>
      <c r="C1329" s="94" t="s">
        <v>22069</v>
      </c>
      <c r="D1329" s="94" t="s">
        <v>19634</v>
      </c>
      <c r="E1329" s="38">
        <v>100.0</v>
      </c>
      <c r="F1329" s="38" t="s">
        <v>22070</v>
      </c>
      <c r="G1329" s="94" t="s">
        <v>22071</v>
      </c>
    </row>
    <row r="1330">
      <c r="A1330" s="164" t="s">
        <v>22072</v>
      </c>
      <c r="B1330" s="44"/>
      <c r="C1330" s="38" t="s">
        <v>18751</v>
      </c>
      <c r="D1330" s="94" t="s">
        <v>20684</v>
      </c>
      <c r="E1330" s="44"/>
      <c r="F1330" s="38" t="s">
        <v>20367</v>
      </c>
      <c r="G1330" s="94" t="s">
        <v>20686</v>
      </c>
      <c r="K1330" s="8"/>
      <c r="L1330" s="8"/>
      <c r="M1330" s="8"/>
      <c r="N1330" s="8"/>
      <c r="O1330" s="8"/>
      <c r="P1330" s="8"/>
    </row>
    <row r="1331">
      <c r="A1331" s="164" t="s">
        <v>22072</v>
      </c>
      <c r="B1331" s="44"/>
      <c r="C1331" s="44"/>
      <c r="D1331" s="44"/>
      <c r="E1331" s="38">
        <v>100.0</v>
      </c>
      <c r="F1331" s="38" t="s">
        <v>21491</v>
      </c>
      <c r="G1331" s="44"/>
      <c r="P1331" s="22" t="s">
        <v>22073</v>
      </c>
      <c r="Q1331" s="842" t="s">
        <v>22074</v>
      </c>
      <c r="R1331" s="843" t="s">
        <v>22075</v>
      </c>
    </row>
    <row r="1332">
      <c r="A1332" s="164" t="s">
        <v>22072</v>
      </c>
      <c r="B1332" s="44"/>
      <c r="C1332" s="38" t="s">
        <v>22076</v>
      </c>
      <c r="D1332" s="38" t="s">
        <v>22077</v>
      </c>
      <c r="E1332" s="44"/>
      <c r="F1332" s="38" t="s">
        <v>22078</v>
      </c>
      <c r="G1332" s="38" t="s">
        <v>22079</v>
      </c>
      <c r="P1332" s="731" t="s">
        <v>17614</v>
      </c>
      <c r="Q1332" s="22" t="s">
        <v>22080</v>
      </c>
    </row>
    <row r="1333">
      <c r="A1333" s="164" t="s">
        <v>22072</v>
      </c>
      <c r="B1333" s="44"/>
      <c r="C1333" s="38" t="s">
        <v>19704</v>
      </c>
      <c r="D1333" s="94" t="s">
        <v>22081</v>
      </c>
      <c r="E1333" s="44"/>
      <c r="F1333" s="38" t="s">
        <v>20432</v>
      </c>
      <c r="G1333" s="94" t="s">
        <v>20672</v>
      </c>
      <c r="P1333" s="844" t="s">
        <v>2392</v>
      </c>
      <c r="Q1333" s="6">
        <v>1.0</v>
      </c>
      <c r="R1333" s="843" t="s">
        <v>22082</v>
      </c>
    </row>
    <row r="1334">
      <c r="A1334" s="164" t="s">
        <v>22072</v>
      </c>
      <c r="B1334" s="44"/>
      <c r="C1334" s="94" t="s">
        <v>20640</v>
      </c>
      <c r="D1334" s="94" t="s">
        <v>20641</v>
      </c>
      <c r="E1334" s="44"/>
      <c r="F1334" s="38" t="s">
        <v>21758</v>
      </c>
      <c r="G1334" s="94" t="s">
        <v>18641</v>
      </c>
      <c r="P1334" s="844" t="s">
        <v>21437</v>
      </c>
      <c r="Q1334" s="6">
        <v>1.0</v>
      </c>
      <c r="R1334" s="843" t="s">
        <v>22082</v>
      </c>
    </row>
    <row r="1335">
      <c r="A1335" s="197" t="s">
        <v>22072</v>
      </c>
      <c r="C1335" s="5" t="s">
        <v>19781</v>
      </c>
      <c r="D1335" s="196" t="s">
        <v>18267</v>
      </c>
      <c r="E1335" s="8"/>
      <c r="F1335" s="5" t="s">
        <v>22083</v>
      </c>
      <c r="G1335" s="196" t="s">
        <v>21324</v>
      </c>
      <c r="P1335" s="196"/>
      <c r="Q1335" s="845"/>
      <c r="R1335" s="843"/>
    </row>
    <row r="1336">
      <c r="A1336" s="164" t="s">
        <v>22072</v>
      </c>
      <c r="B1336" s="44"/>
      <c r="C1336" s="94" t="s">
        <v>22084</v>
      </c>
      <c r="D1336" s="38" t="s">
        <v>17725</v>
      </c>
      <c r="E1336" s="44"/>
      <c r="F1336" s="38" t="s">
        <v>22085</v>
      </c>
      <c r="G1336" s="94" t="s">
        <v>20442</v>
      </c>
      <c r="P1336" s="196" t="s">
        <v>21451</v>
      </c>
      <c r="Q1336" s="845">
        <v>4.0</v>
      </c>
      <c r="R1336" s="843" t="s">
        <v>22086</v>
      </c>
    </row>
    <row r="1337">
      <c r="A1337" s="197" t="s">
        <v>22072</v>
      </c>
      <c r="C1337" s="5" t="s">
        <v>22087</v>
      </c>
      <c r="D1337" s="196" t="s">
        <v>22088</v>
      </c>
      <c r="E1337" s="5">
        <v>35.0</v>
      </c>
      <c r="F1337" s="5" t="s">
        <v>22089</v>
      </c>
      <c r="G1337" s="196" t="s">
        <v>20223</v>
      </c>
      <c r="P1337" s="196" t="s">
        <v>21494</v>
      </c>
      <c r="Q1337" s="845">
        <v>3.0</v>
      </c>
      <c r="R1337" s="843" t="s">
        <v>22086</v>
      </c>
    </row>
    <row r="1338">
      <c r="A1338" s="164" t="s">
        <v>22072</v>
      </c>
      <c r="B1338" s="44"/>
      <c r="C1338" s="38" t="s">
        <v>19556</v>
      </c>
      <c r="D1338" s="94" t="s">
        <v>22090</v>
      </c>
      <c r="E1338" s="44"/>
      <c r="F1338" s="38" t="s">
        <v>22091</v>
      </c>
      <c r="G1338" s="94" t="s">
        <v>1011</v>
      </c>
      <c r="P1338" s="5" t="s">
        <v>22092</v>
      </c>
      <c r="Q1338" s="845">
        <v>1.0</v>
      </c>
      <c r="R1338" s="843" t="s">
        <v>22086</v>
      </c>
    </row>
    <row r="1339">
      <c r="A1339" s="197" t="s">
        <v>22072</v>
      </c>
      <c r="B1339" s="44"/>
      <c r="C1339" s="38" t="s">
        <v>18015</v>
      </c>
      <c r="D1339" s="94" t="s">
        <v>4346</v>
      </c>
      <c r="E1339" s="44"/>
      <c r="F1339" s="38" t="s">
        <v>20336</v>
      </c>
      <c r="G1339" s="94" t="s">
        <v>22093</v>
      </c>
      <c r="P1339" s="196" t="s">
        <v>21513</v>
      </c>
      <c r="Q1339" s="845">
        <v>1.0</v>
      </c>
      <c r="R1339" s="843" t="s">
        <v>22086</v>
      </c>
    </row>
    <row r="1340">
      <c r="A1340" s="164" t="s">
        <v>22072</v>
      </c>
      <c r="B1340" s="44"/>
      <c r="C1340" s="38" t="s">
        <v>20003</v>
      </c>
      <c r="D1340" s="38" t="s">
        <v>17934</v>
      </c>
      <c r="E1340" s="44"/>
      <c r="F1340" s="38" t="s">
        <v>22094</v>
      </c>
      <c r="G1340" s="38" t="s">
        <v>17648</v>
      </c>
      <c r="P1340" s="196" t="s">
        <v>19628</v>
      </c>
      <c r="Q1340" s="845">
        <v>1.0</v>
      </c>
      <c r="R1340" s="843" t="s">
        <v>22086</v>
      </c>
    </row>
    <row r="1341">
      <c r="A1341" s="164" t="s">
        <v>22072</v>
      </c>
      <c r="B1341" s="44"/>
      <c r="C1341" s="38" t="s">
        <v>19611</v>
      </c>
      <c r="D1341" s="94" t="s">
        <v>19612</v>
      </c>
      <c r="E1341" s="38">
        <v>80.0</v>
      </c>
      <c r="F1341" s="38" t="s">
        <v>20432</v>
      </c>
      <c r="G1341" s="94" t="s">
        <v>18929</v>
      </c>
      <c r="P1341" s="5" t="s">
        <v>20470</v>
      </c>
      <c r="Q1341" s="845">
        <v>2.0</v>
      </c>
      <c r="R1341" s="843" t="s">
        <v>22086</v>
      </c>
    </row>
    <row r="1342">
      <c r="A1342" s="164" t="s">
        <v>22072</v>
      </c>
      <c r="B1342" s="44"/>
      <c r="C1342" s="94" t="s">
        <v>22095</v>
      </c>
      <c r="D1342" s="94" t="s">
        <v>22096</v>
      </c>
      <c r="E1342" s="44"/>
      <c r="F1342" s="38" t="s">
        <v>20330</v>
      </c>
      <c r="G1342" s="94" t="s">
        <v>22097</v>
      </c>
      <c r="P1342" s="196" t="s">
        <v>21574</v>
      </c>
      <c r="Q1342" s="845">
        <v>2.0</v>
      </c>
      <c r="R1342" s="843" t="s">
        <v>22086</v>
      </c>
    </row>
    <row r="1343">
      <c r="A1343" s="164" t="s">
        <v>22072</v>
      </c>
      <c r="B1343" s="44"/>
      <c r="C1343" s="44"/>
      <c r="D1343" s="44"/>
      <c r="E1343" s="38">
        <v>-4652.0</v>
      </c>
      <c r="F1343" s="38" t="s">
        <v>22098</v>
      </c>
      <c r="G1343" s="44"/>
      <c r="P1343" s="5" t="s">
        <v>21570</v>
      </c>
      <c r="Q1343" s="845">
        <v>4.0</v>
      </c>
      <c r="R1343" s="843" t="s">
        <v>22086</v>
      </c>
    </row>
    <row r="1344">
      <c r="A1344" s="164" t="s">
        <v>22072</v>
      </c>
      <c r="B1344" s="44"/>
      <c r="C1344" s="38" t="s">
        <v>20263</v>
      </c>
      <c r="D1344" s="38" t="s">
        <v>19415</v>
      </c>
      <c r="E1344" s="44"/>
      <c r="F1344" s="38" t="s">
        <v>21807</v>
      </c>
      <c r="G1344" s="38" t="s">
        <v>19416</v>
      </c>
      <c r="J1344" s="846"/>
      <c r="P1344" s="196" t="s">
        <v>21574</v>
      </c>
      <c r="Q1344" s="845">
        <v>2.0</v>
      </c>
      <c r="R1344" s="843" t="s">
        <v>22086</v>
      </c>
    </row>
    <row r="1345">
      <c r="A1345" s="164" t="s">
        <v>22072</v>
      </c>
      <c r="B1345" s="44"/>
      <c r="C1345" s="38" t="s">
        <v>19898</v>
      </c>
      <c r="D1345" s="94" t="s">
        <v>22099</v>
      </c>
      <c r="E1345" s="38">
        <v>90.0</v>
      </c>
      <c r="F1345" s="38" t="s">
        <v>20319</v>
      </c>
      <c r="G1345" s="94" t="s">
        <v>22100</v>
      </c>
      <c r="P1345" s="196" t="s">
        <v>21607</v>
      </c>
      <c r="Q1345" s="845">
        <v>2.0</v>
      </c>
      <c r="R1345" s="843" t="s">
        <v>22086</v>
      </c>
    </row>
    <row r="1346">
      <c r="A1346" s="164" t="s">
        <v>22072</v>
      </c>
      <c r="B1346" s="44"/>
      <c r="C1346" s="94" t="s">
        <v>17826</v>
      </c>
      <c r="D1346" s="94" t="s">
        <v>22101</v>
      </c>
      <c r="E1346" s="44"/>
      <c r="F1346" s="38" t="s">
        <v>20367</v>
      </c>
      <c r="G1346" s="94" t="s">
        <v>22102</v>
      </c>
      <c r="P1346" s="196" t="s">
        <v>13717</v>
      </c>
      <c r="Q1346" s="6">
        <v>1.0</v>
      </c>
      <c r="R1346" s="843" t="s">
        <v>22086</v>
      </c>
    </row>
    <row r="1347">
      <c r="A1347" s="164" t="s">
        <v>22072</v>
      </c>
      <c r="B1347" s="44"/>
      <c r="C1347" s="38" t="s">
        <v>22103</v>
      </c>
      <c r="D1347" s="94" t="s">
        <v>22104</v>
      </c>
      <c r="E1347" s="38" t="s">
        <v>21539</v>
      </c>
      <c r="F1347" s="38" t="s">
        <v>20324</v>
      </c>
      <c r="G1347" s="94" t="s">
        <v>22105</v>
      </c>
      <c r="P1347" s="196" t="s">
        <v>21707</v>
      </c>
      <c r="Q1347" s="6">
        <v>1.0</v>
      </c>
      <c r="R1347" s="843" t="s">
        <v>22086</v>
      </c>
    </row>
    <row r="1348">
      <c r="A1348" s="164" t="s">
        <v>22072</v>
      </c>
      <c r="B1348" s="44"/>
      <c r="C1348" s="38" t="s">
        <v>21175</v>
      </c>
      <c r="D1348" s="38" t="s">
        <v>22106</v>
      </c>
      <c r="E1348" s="44"/>
      <c r="F1348" s="38" t="s">
        <v>22107</v>
      </c>
      <c r="G1348" s="38" t="s">
        <v>19416</v>
      </c>
      <c r="P1348" s="196"/>
      <c r="Q1348" s="845"/>
      <c r="R1348" s="843"/>
    </row>
    <row r="1349">
      <c r="A1349" s="164" t="s">
        <v>22072</v>
      </c>
      <c r="B1349" s="44"/>
      <c r="C1349" s="38" t="s">
        <v>17816</v>
      </c>
      <c r="D1349" s="94" t="s">
        <v>22108</v>
      </c>
      <c r="E1349" s="38" t="s">
        <v>19309</v>
      </c>
      <c r="F1349" s="38" t="s">
        <v>21818</v>
      </c>
      <c r="G1349" s="94" t="s">
        <v>22109</v>
      </c>
      <c r="P1349" s="196"/>
      <c r="Q1349" s="6"/>
      <c r="R1349" s="847"/>
    </row>
    <row r="1350">
      <c r="A1350" s="164" t="s">
        <v>22072</v>
      </c>
      <c r="B1350" s="44"/>
      <c r="C1350" s="409" t="s">
        <v>20003</v>
      </c>
      <c r="D1350" s="819" t="s">
        <v>20189</v>
      </c>
      <c r="E1350" s="409">
        <v>80.0</v>
      </c>
      <c r="F1350" s="409" t="s">
        <v>20367</v>
      </c>
      <c r="G1350" s="819" t="s">
        <v>20191</v>
      </c>
      <c r="P1350" s="196" t="s">
        <v>22013</v>
      </c>
      <c r="Q1350" s="6">
        <v>1.0</v>
      </c>
      <c r="R1350" s="843"/>
    </row>
    <row r="1351">
      <c r="A1351" s="848">
        <v>45972.0</v>
      </c>
      <c r="C1351" s="849" t="s">
        <v>3177</v>
      </c>
      <c r="D1351" s="214" t="s">
        <v>18755</v>
      </c>
      <c r="E1351" s="767"/>
      <c r="F1351" s="849" t="s">
        <v>21663</v>
      </c>
      <c r="G1351" s="214" t="s">
        <v>20301</v>
      </c>
      <c r="P1351" s="196"/>
      <c r="Q1351" s="845"/>
      <c r="R1351" s="843"/>
    </row>
    <row r="1352">
      <c r="A1352" s="848">
        <v>45972.0</v>
      </c>
      <c r="C1352" s="850" t="s">
        <v>17861</v>
      </c>
      <c r="D1352" s="850" t="s">
        <v>19352</v>
      </c>
      <c r="E1352" s="767"/>
      <c r="F1352" s="849" t="s">
        <v>21807</v>
      </c>
      <c r="G1352" s="850" t="s">
        <v>1309</v>
      </c>
      <c r="P1352" s="1" t="s">
        <v>22110</v>
      </c>
      <c r="Q1352" s="6" t="s">
        <v>22111</v>
      </c>
    </row>
    <row r="1353">
      <c r="A1353" s="851">
        <v>45972.0</v>
      </c>
      <c r="B1353" s="44"/>
      <c r="C1353" s="819" t="s">
        <v>22112</v>
      </c>
      <c r="D1353" s="819" t="s">
        <v>22113</v>
      </c>
      <c r="E1353" s="409" t="s">
        <v>19309</v>
      </c>
      <c r="F1353" s="409" t="s">
        <v>22114</v>
      </c>
      <c r="G1353" s="819" t="s">
        <v>22115</v>
      </c>
    </row>
    <row r="1354">
      <c r="A1354" s="848">
        <v>45972.0</v>
      </c>
      <c r="C1354" s="214" t="s">
        <v>18566</v>
      </c>
      <c r="D1354" s="214" t="s">
        <v>22116</v>
      </c>
      <c r="E1354" s="767"/>
      <c r="F1354" s="849" t="s">
        <v>20324</v>
      </c>
      <c r="G1354" s="214" t="s">
        <v>22117</v>
      </c>
    </row>
    <row r="1355">
      <c r="A1355" s="851">
        <v>45972.0</v>
      </c>
      <c r="B1355" s="44"/>
      <c r="C1355" s="409" t="s">
        <v>19661</v>
      </c>
      <c r="D1355" s="819" t="s">
        <v>22118</v>
      </c>
      <c r="E1355" s="407"/>
      <c r="F1355" s="409" t="s">
        <v>22119</v>
      </c>
      <c r="G1355" s="819" t="s">
        <v>22120</v>
      </c>
    </row>
    <row r="1356">
      <c r="A1356" s="851">
        <v>45972.0</v>
      </c>
      <c r="B1356" s="44"/>
      <c r="C1356" s="38" t="s">
        <v>22121</v>
      </c>
      <c r="D1356" s="94" t="s">
        <v>20119</v>
      </c>
      <c r="E1356" s="44"/>
      <c r="F1356" s="38" t="s">
        <v>20370</v>
      </c>
      <c r="G1356" s="94" t="s">
        <v>20038</v>
      </c>
    </row>
    <row r="1357">
      <c r="A1357" s="848">
        <v>45972.0</v>
      </c>
      <c r="C1357" s="849" t="s">
        <v>18445</v>
      </c>
      <c r="D1357" s="849" t="s">
        <v>22122</v>
      </c>
      <c r="E1357" s="767"/>
      <c r="F1357" s="849" t="s">
        <v>20330</v>
      </c>
      <c r="G1357" s="719" t="s">
        <v>7330</v>
      </c>
    </row>
    <row r="1358">
      <c r="A1358" s="851">
        <v>45972.0</v>
      </c>
      <c r="B1358" s="44"/>
      <c r="C1358" s="409" t="s">
        <v>19912</v>
      </c>
      <c r="D1358" s="819" t="s">
        <v>22123</v>
      </c>
      <c r="E1358" s="407"/>
      <c r="F1358" s="409" t="s">
        <v>22124</v>
      </c>
      <c r="G1358" s="409" t="s">
        <v>22125</v>
      </c>
    </row>
    <row r="1359">
      <c r="A1359" s="851">
        <v>45972.0</v>
      </c>
      <c r="B1359" s="44"/>
      <c r="C1359" s="409" t="s">
        <v>4184</v>
      </c>
      <c r="D1359" s="819" t="s">
        <v>20075</v>
      </c>
      <c r="E1359" s="409">
        <v>60.0</v>
      </c>
      <c r="F1359" s="409" t="s">
        <v>22126</v>
      </c>
      <c r="G1359" s="819" t="s">
        <v>20078</v>
      </c>
    </row>
    <row r="1360">
      <c r="A1360" s="851">
        <v>45972.0</v>
      </c>
      <c r="B1360" s="44"/>
      <c r="C1360" s="409" t="s">
        <v>19556</v>
      </c>
      <c r="D1360" s="819" t="s">
        <v>17820</v>
      </c>
      <c r="E1360" s="407"/>
      <c r="F1360" s="409" t="s">
        <v>22127</v>
      </c>
      <c r="G1360" s="819" t="s">
        <v>20339</v>
      </c>
    </row>
    <row r="1361">
      <c r="A1361" s="851">
        <v>45972.0</v>
      </c>
      <c r="B1361" s="44"/>
      <c r="C1361" s="819" t="s">
        <v>22128</v>
      </c>
      <c r="D1361" s="409" t="s">
        <v>22129</v>
      </c>
      <c r="E1361" s="409">
        <v>50.0</v>
      </c>
      <c r="F1361" s="409" t="s">
        <v>22130</v>
      </c>
      <c r="G1361" s="819" t="s">
        <v>22131</v>
      </c>
      <c r="H1361" s="217" t="s">
        <v>22132</v>
      </c>
    </row>
    <row r="1362">
      <c r="A1362" s="851">
        <v>45972.0</v>
      </c>
      <c r="B1362" s="44"/>
      <c r="C1362" s="819" t="s">
        <v>19651</v>
      </c>
      <c r="D1362" s="819" t="s">
        <v>20692</v>
      </c>
      <c r="E1362" s="409" t="s">
        <v>22133</v>
      </c>
      <c r="F1362" s="409" t="s">
        <v>20418</v>
      </c>
      <c r="G1362" s="819" t="s">
        <v>20693</v>
      </c>
    </row>
    <row r="1363">
      <c r="A1363" s="851">
        <v>45972.0</v>
      </c>
      <c r="B1363" s="44"/>
      <c r="C1363" s="409" t="s">
        <v>20151</v>
      </c>
      <c r="D1363" s="819" t="s">
        <v>22134</v>
      </c>
      <c r="E1363" s="407"/>
      <c r="F1363" s="409" t="s">
        <v>22135</v>
      </c>
      <c r="G1363" s="819" t="s">
        <v>20038</v>
      </c>
    </row>
    <row r="1364">
      <c r="A1364" s="851">
        <v>45972.0</v>
      </c>
      <c r="B1364" s="44"/>
      <c r="C1364" s="409" t="s">
        <v>19912</v>
      </c>
      <c r="D1364" s="819" t="s">
        <v>22136</v>
      </c>
      <c r="E1364" s="407"/>
      <c r="F1364" s="409" t="s">
        <v>21291</v>
      </c>
      <c r="G1364" s="819" t="s">
        <v>22120</v>
      </c>
    </row>
    <row r="1365">
      <c r="A1365" s="848">
        <v>45972.0</v>
      </c>
      <c r="C1365" s="849" t="s">
        <v>19661</v>
      </c>
      <c r="D1365" s="214" t="s">
        <v>20471</v>
      </c>
      <c r="E1365" s="767"/>
      <c r="F1365" s="849" t="s">
        <v>3643</v>
      </c>
      <c r="G1365" s="214" t="s">
        <v>20645</v>
      </c>
    </row>
    <row r="1366">
      <c r="A1366" s="851">
        <v>45972.0</v>
      </c>
      <c r="B1366" s="44"/>
      <c r="C1366" s="409" t="s">
        <v>22137</v>
      </c>
      <c r="D1366" s="819" t="s">
        <v>4318</v>
      </c>
      <c r="E1366" s="407"/>
      <c r="F1366" s="409" t="s">
        <v>20319</v>
      </c>
      <c r="G1366" s="819" t="s">
        <v>18289</v>
      </c>
    </row>
    <row r="1367">
      <c r="A1367" s="851">
        <v>45972.0</v>
      </c>
      <c r="B1367" s="44"/>
      <c r="C1367" s="409" t="s">
        <v>22138</v>
      </c>
      <c r="D1367" s="409" t="s">
        <v>19908</v>
      </c>
      <c r="E1367" s="407"/>
      <c r="F1367" s="409" t="s">
        <v>22139</v>
      </c>
      <c r="G1367" s="409" t="s">
        <v>22140</v>
      </c>
    </row>
    <row r="1368">
      <c r="A1368" s="848">
        <v>45972.0</v>
      </c>
      <c r="C1368" s="849" t="s">
        <v>19556</v>
      </c>
      <c r="D1368" s="214" t="s">
        <v>19028</v>
      </c>
      <c r="E1368" s="767"/>
      <c r="F1368" s="849" t="s">
        <v>22141</v>
      </c>
      <c r="G1368" s="214" t="s">
        <v>19029</v>
      </c>
    </row>
    <row r="1369">
      <c r="A1369" s="851">
        <v>45972.0</v>
      </c>
      <c r="B1369" s="44"/>
      <c r="C1369" s="409" t="s">
        <v>4178</v>
      </c>
      <c r="D1369" s="409" t="s">
        <v>22142</v>
      </c>
      <c r="E1369" s="407"/>
      <c r="F1369" s="409" t="s">
        <v>22143</v>
      </c>
      <c r="G1369" s="409" t="s">
        <v>22144</v>
      </c>
    </row>
    <row r="1370">
      <c r="A1370" s="852">
        <v>46002.0</v>
      </c>
      <c r="B1370" s="44"/>
      <c r="C1370" s="409" t="s">
        <v>19611</v>
      </c>
      <c r="D1370" s="409" t="s">
        <v>22145</v>
      </c>
      <c r="E1370" s="407"/>
      <c r="F1370" s="409" t="s">
        <v>22146</v>
      </c>
      <c r="G1370" s="409" t="s">
        <v>22147</v>
      </c>
    </row>
    <row r="1371">
      <c r="A1371" s="852">
        <v>46002.0</v>
      </c>
      <c r="B1371" s="44"/>
      <c r="C1371" s="409" t="s">
        <v>19249</v>
      </c>
      <c r="D1371" s="819" t="s">
        <v>19248</v>
      </c>
      <c r="E1371" s="407"/>
      <c r="F1371" s="409" t="s">
        <v>20457</v>
      </c>
      <c r="G1371" s="819" t="s">
        <v>22148</v>
      </c>
    </row>
    <row r="1372">
      <c r="A1372" s="853">
        <v>46002.0</v>
      </c>
      <c r="C1372" s="849" t="s">
        <v>22149</v>
      </c>
      <c r="D1372" s="214" t="s">
        <v>22150</v>
      </c>
      <c r="E1372" s="767"/>
      <c r="F1372" s="849" t="s">
        <v>20319</v>
      </c>
      <c r="G1372" s="214" t="s">
        <v>22151</v>
      </c>
    </row>
    <row r="1373">
      <c r="A1373" s="853">
        <v>46002.0</v>
      </c>
      <c r="C1373" s="849" t="s">
        <v>18061</v>
      </c>
      <c r="D1373" s="767"/>
      <c r="E1373" s="767"/>
      <c r="F1373" s="849" t="s">
        <v>22152</v>
      </c>
      <c r="G1373" s="849" t="s">
        <v>19660</v>
      </c>
    </row>
    <row r="1374">
      <c r="A1374" s="853">
        <v>46002.0</v>
      </c>
      <c r="C1374" s="849" t="s">
        <v>21092</v>
      </c>
      <c r="D1374" s="849" t="s">
        <v>22153</v>
      </c>
      <c r="E1374" s="767"/>
      <c r="F1374" s="849" t="s">
        <v>22154</v>
      </c>
      <c r="G1374" s="214" t="s">
        <v>22151</v>
      </c>
    </row>
    <row r="1375">
      <c r="A1375" s="852">
        <v>46002.0</v>
      </c>
      <c r="B1375" s="44"/>
      <c r="C1375" s="409" t="s">
        <v>19912</v>
      </c>
      <c r="D1375" s="819" t="s">
        <v>22155</v>
      </c>
      <c r="E1375" s="407"/>
      <c r="F1375" s="409" t="s">
        <v>22156</v>
      </c>
      <c r="G1375" s="819" t="s">
        <v>22157</v>
      </c>
    </row>
    <row r="1376">
      <c r="A1376" s="852">
        <v>46002.0</v>
      </c>
      <c r="B1376" s="44"/>
      <c r="C1376" s="409" t="s">
        <v>21011</v>
      </c>
      <c r="D1376" s="819" t="s">
        <v>21012</v>
      </c>
      <c r="E1376" s="407"/>
      <c r="F1376" s="409" t="s">
        <v>20370</v>
      </c>
      <c r="G1376" s="819" t="s">
        <v>22158</v>
      </c>
    </row>
    <row r="1377">
      <c r="A1377" s="852">
        <v>46002.0</v>
      </c>
      <c r="B1377" s="44"/>
      <c r="C1377" s="409" t="s">
        <v>19556</v>
      </c>
      <c r="D1377" s="819" t="s">
        <v>22159</v>
      </c>
      <c r="E1377" s="407"/>
      <c r="F1377" s="409" t="s">
        <v>22160</v>
      </c>
      <c r="G1377" s="819" t="s">
        <v>22161</v>
      </c>
    </row>
    <row r="1378">
      <c r="A1378" s="852">
        <v>46002.0</v>
      </c>
      <c r="B1378" s="44"/>
      <c r="C1378" s="38" t="s">
        <v>4178</v>
      </c>
      <c r="D1378" s="38" t="s">
        <v>18113</v>
      </c>
      <c r="E1378" s="44"/>
      <c r="F1378" s="38" t="s">
        <v>22162</v>
      </c>
      <c r="G1378" s="94" t="s">
        <v>20442</v>
      </c>
      <c r="H1378" s="38" t="s">
        <v>5348</v>
      </c>
    </row>
    <row r="1379">
      <c r="A1379" s="853">
        <v>46002.0</v>
      </c>
      <c r="C1379" s="5" t="s">
        <v>21396</v>
      </c>
      <c r="D1379" s="196" t="s">
        <v>22163</v>
      </c>
      <c r="E1379" s="5">
        <v>60.0</v>
      </c>
      <c r="F1379" s="5" t="s">
        <v>22164</v>
      </c>
      <c r="G1379" s="196" t="s">
        <v>22165</v>
      </c>
    </row>
    <row r="1380">
      <c r="A1380" s="853">
        <v>46002.0</v>
      </c>
      <c r="C1380" s="5" t="s">
        <v>20928</v>
      </c>
      <c r="D1380" s="196" t="s">
        <v>20526</v>
      </c>
      <c r="E1380" s="8"/>
      <c r="F1380" s="5" t="s">
        <v>3913</v>
      </c>
      <c r="G1380" s="196" t="s">
        <v>20528</v>
      </c>
    </row>
    <row r="1381">
      <c r="A1381" s="852">
        <v>46002.0</v>
      </c>
      <c r="B1381" s="44"/>
      <c r="C1381" s="44"/>
      <c r="D1381" s="44"/>
      <c r="E1381" s="38">
        <v>40.0</v>
      </c>
      <c r="F1381" s="38" t="s">
        <v>22166</v>
      </c>
      <c r="G1381" s="44"/>
    </row>
    <row r="1382">
      <c r="A1382" s="852">
        <v>46002.0</v>
      </c>
      <c r="B1382" s="44"/>
      <c r="C1382" s="94" t="s">
        <v>18849</v>
      </c>
      <c r="D1382" s="94" t="s">
        <v>20148</v>
      </c>
      <c r="E1382" s="38">
        <v>50.0</v>
      </c>
      <c r="F1382" s="38" t="s">
        <v>13622</v>
      </c>
      <c r="G1382" s="38" t="s">
        <v>20149</v>
      </c>
    </row>
    <row r="1383">
      <c r="A1383" s="852">
        <v>46002.0</v>
      </c>
      <c r="B1383" s="44"/>
      <c r="C1383" s="38" t="s">
        <v>20151</v>
      </c>
      <c r="D1383" s="94" t="s">
        <v>22167</v>
      </c>
      <c r="E1383" s="44"/>
      <c r="F1383" s="38" t="s">
        <v>22168</v>
      </c>
      <c r="G1383" s="94" t="s">
        <v>22169</v>
      </c>
    </row>
    <row r="1384">
      <c r="A1384" s="852">
        <v>46002.0</v>
      </c>
      <c r="B1384" s="44"/>
      <c r="C1384" s="94" t="s">
        <v>18940</v>
      </c>
      <c r="D1384" s="38" t="s">
        <v>22170</v>
      </c>
      <c r="E1384" s="44"/>
      <c r="F1384" s="38" t="s">
        <v>20457</v>
      </c>
      <c r="G1384" s="94" t="s">
        <v>18942</v>
      </c>
    </row>
    <row r="1385">
      <c r="A1385" s="852">
        <v>46002.0</v>
      </c>
      <c r="B1385" s="44"/>
      <c r="C1385" s="38" t="s">
        <v>19661</v>
      </c>
      <c r="D1385" s="38" t="s">
        <v>22171</v>
      </c>
      <c r="E1385" s="44"/>
      <c r="F1385" s="38" t="s">
        <v>22172</v>
      </c>
      <c r="G1385" s="38" t="s">
        <v>22173</v>
      </c>
    </row>
    <row r="1386">
      <c r="A1386" s="852">
        <v>46002.0</v>
      </c>
      <c r="B1386" s="44"/>
      <c r="C1386" s="94" t="s">
        <v>22174</v>
      </c>
      <c r="D1386" s="94" t="s">
        <v>22175</v>
      </c>
      <c r="E1386" s="38">
        <v>30.0</v>
      </c>
      <c r="F1386" s="38" t="s">
        <v>5885</v>
      </c>
      <c r="G1386" s="94" t="s">
        <v>22176</v>
      </c>
    </row>
    <row r="1387">
      <c r="A1387" s="852">
        <v>46002.0</v>
      </c>
      <c r="B1387" s="44"/>
      <c r="C1387" s="38" t="s">
        <v>19654</v>
      </c>
      <c r="D1387" s="38" t="s">
        <v>20818</v>
      </c>
      <c r="E1387" s="38">
        <v>140.0</v>
      </c>
      <c r="F1387" s="38" t="s">
        <v>20330</v>
      </c>
      <c r="G1387" s="38" t="s">
        <v>22177</v>
      </c>
    </row>
    <row r="1388">
      <c r="A1388" s="852">
        <v>46002.0</v>
      </c>
      <c r="B1388" s="44"/>
      <c r="C1388" s="94" t="s">
        <v>19537</v>
      </c>
      <c r="D1388" s="94" t="s">
        <v>22178</v>
      </c>
      <c r="E1388" s="44"/>
      <c r="F1388" s="38" t="s">
        <v>5348</v>
      </c>
      <c r="G1388" s="94" t="s">
        <v>22179</v>
      </c>
    </row>
    <row r="1389">
      <c r="A1389" s="852">
        <v>46002.0</v>
      </c>
      <c r="B1389" s="44"/>
      <c r="C1389" s="44"/>
      <c r="D1389" s="94" t="s">
        <v>22180</v>
      </c>
      <c r="E1389" s="38">
        <v>-5.0</v>
      </c>
      <c r="F1389" s="44"/>
      <c r="G1389" s="94" t="s">
        <v>22181</v>
      </c>
    </row>
    <row r="1390">
      <c r="A1390" s="852">
        <v>46002.0</v>
      </c>
      <c r="B1390" s="44"/>
      <c r="C1390" s="44"/>
      <c r="D1390" s="44"/>
      <c r="E1390" s="38">
        <v>-400.0</v>
      </c>
      <c r="F1390" s="38" t="s">
        <v>22182</v>
      </c>
      <c r="G1390" s="44"/>
    </row>
    <row r="1391">
      <c r="A1391" s="38" t="s">
        <v>22183</v>
      </c>
      <c r="B1391" s="44"/>
      <c r="C1391" s="38" t="s">
        <v>19556</v>
      </c>
      <c r="D1391" s="44"/>
      <c r="E1391" s="44"/>
      <c r="F1391" s="38" t="s">
        <v>22184</v>
      </c>
      <c r="G1391" s="409" t="s">
        <v>22144</v>
      </c>
    </row>
    <row r="1392">
      <c r="A1392" s="38" t="s">
        <v>22183</v>
      </c>
      <c r="B1392" s="44"/>
      <c r="C1392" s="38" t="s">
        <v>18570</v>
      </c>
      <c r="D1392" s="47" t="s">
        <v>18571</v>
      </c>
      <c r="E1392" s="44"/>
      <c r="F1392" s="38" t="s">
        <v>20457</v>
      </c>
      <c r="G1392" s="47" t="s">
        <v>1309</v>
      </c>
    </row>
    <row r="1393">
      <c r="A1393" s="38" t="s">
        <v>22183</v>
      </c>
      <c r="B1393" s="44"/>
      <c r="C1393" s="38" t="s">
        <v>22185</v>
      </c>
      <c r="D1393" s="94" t="s">
        <v>18728</v>
      </c>
      <c r="E1393" s="44"/>
      <c r="F1393" s="38" t="s">
        <v>22186</v>
      </c>
      <c r="G1393" s="94" t="s">
        <v>22187</v>
      </c>
    </row>
    <row r="1394">
      <c r="A1394" s="38" t="s">
        <v>22183</v>
      </c>
      <c r="B1394" s="44"/>
      <c r="C1394" s="44"/>
      <c r="D1394" s="94" t="s">
        <v>22188</v>
      </c>
      <c r="E1394" s="44"/>
      <c r="F1394" s="38" t="s">
        <v>22189</v>
      </c>
      <c r="G1394" s="94" t="s">
        <v>22190</v>
      </c>
    </row>
    <row r="1395">
      <c r="A1395" s="38" t="s">
        <v>22183</v>
      </c>
      <c r="B1395" s="44"/>
      <c r="C1395" s="38" t="s">
        <v>20911</v>
      </c>
      <c r="D1395" s="94" t="s">
        <v>22191</v>
      </c>
      <c r="E1395" s="44"/>
      <c r="F1395" s="38" t="s">
        <v>21868</v>
      </c>
      <c r="G1395" s="94" t="s">
        <v>22192</v>
      </c>
    </row>
    <row r="1396">
      <c r="A1396" s="38" t="s">
        <v>22183</v>
      </c>
      <c r="B1396" s="44"/>
      <c r="C1396" s="94" t="s">
        <v>21492</v>
      </c>
      <c r="D1396" s="94" t="s">
        <v>22193</v>
      </c>
      <c r="E1396" s="44"/>
      <c r="F1396" s="38" t="s">
        <v>22194</v>
      </c>
      <c r="G1396" s="94" t="s">
        <v>22195</v>
      </c>
    </row>
    <row r="1397">
      <c r="A1397" s="38" t="s">
        <v>22183</v>
      </c>
      <c r="B1397" s="44"/>
      <c r="C1397" s="94" t="s">
        <v>18823</v>
      </c>
      <c r="D1397" s="38" t="s">
        <v>22196</v>
      </c>
      <c r="E1397" s="44"/>
      <c r="F1397" s="38" t="s">
        <v>22197</v>
      </c>
      <c r="G1397" s="94" t="s">
        <v>18825</v>
      </c>
    </row>
    <row r="1398">
      <c r="A1398" s="38" t="s">
        <v>22183</v>
      </c>
      <c r="B1398" s="44"/>
      <c r="C1398" s="94" t="s">
        <v>18849</v>
      </c>
      <c r="D1398" s="94" t="s">
        <v>22198</v>
      </c>
      <c r="E1398" s="44"/>
      <c r="F1398" s="38" t="s">
        <v>22199</v>
      </c>
      <c r="G1398" s="94" t="s">
        <v>22200</v>
      </c>
    </row>
    <row r="1399">
      <c r="A1399" s="38" t="s">
        <v>22183</v>
      </c>
      <c r="B1399" s="44"/>
      <c r="C1399" s="38" t="s">
        <v>19834</v>
      </c>
      <c r="D1399" s="38" t="s">
        <v>19335</v>
      </c>
      <c r="E1399" s="44"/>
      <c r="F1399" s="38" t="s">
        <v>22201</v>
      </c>
      <c r="G1399" s="94" t="s">
        <v>22202</v>
      </c>
    </row>
    <row r="1400">
      <c r="A1400" s="38" t="s">
        <v>22183</v>
      </c>
      <c r="B1400" s="44"/>
      <c r="C1400" s="94" t="s">
        <v>22203</v>
      </c>
      <c r="D1400" s="94" t="s">
        <v>17845</v>
      </c>
      <c r="E1400" s="44"/>
      <c r="F1400" s="44"/>
      <c r="G1400" s="94" t="s">
        <v>20442</v>
      </c>
    </row>
    <row r="1401">
      <c r="A1401" s="38" t="s">
        <v>22183</v>
      </c>
      <c r="B1401" s="44"/>
      <c r="C1401" s="94" t="s">
        <v>22204</v>
      </c>
      <c r="D1401" s="94" t="s">
        <v>22205</v>
      </c>
      <c r="E1401" s="38">
        <v>50.0</v>
      </c>
      <c r="F1401" s="38" t="s">
        <v>22206</v>
      </c>
      <c r="G1401" s="94" t="s">
        <v>22207</v>
      </c>
    </row>
    <row r="1402">
      <c r="A1402" s="38" t="s">
        <v>22183</v>
      </c>
      <c r="B1402" s="44"/>
      <c r="C1402" s="38" t="s">
        <v>22208</v>
      </c>
      <c r="D1402" s="38" t="s">
        <v>22209</v>
      </c>
      <c r="E1402" s="44"/>
      <c r="F1402" s="38" t="s">
        <v>21228</v>
      </c>
      <c r="G1402" s="38" t="s">
        <v>22079</v>
      </c>
    </row>
    <row r="1403">
      <c r="A1403" s="38" t="s">
        <v>22183</v>
      </c>
      <c r="B1403" s="44"/>
      <c r="C1403" s="38" t="s">
        <v>17646</v>
      </c>
      <c r="D1403" s="44"/>
      <c r="E1403" s="44"/>
      <c r="F1403" s="38" t="s">
        <v>22210</v>
      </c>
      <c r="G1403" s="94" t="s">
        <v>22169</v>
      </c>
    </row>
    <row r="1404">
      <c r="A1404" s="38" t="s">
        <v>22183</v>
      </c>
      <c r="B1404" s="44"/>
      <c r="C1404" s="94" t="s">
        <v>22211</v>
      </c>
      <c r="D1404" s="94" t="s">
        <v>22212</v>
      </c>
      <c r="E1404" s="44"/>
      <c r="F1404" s="38" t="s">
        <v>20330</v>
      </c>
      <c r="G1404" s="94" t="s">
        <v>20149</v>
      </c>
    </row>
    <row r="1405">
      <c r="A1405" s="38" t="s">
        <v>22183</v>
      </c>
      <c r="B1405" s="44"/>
      <c r="C1405" s="38" t="s">
        <v>22213</v>
      </c>
      <c r="D1405" s="38" t="s">
        <v>18571</v>
      </c>
      <c r="E1405" s="44"/>
      <c r="F1405" s="38" t="s">
        <v>20264</v>
      </c>
      <c r="G1405" s="47" t="s">
        <v>1309</v>
      </c>
    </row>
    <row r="1406">
      <c r="A1406" s="38" t="s">
        <v>22183</v>
      </c>
      <c r="B1406" s="44"/>
      <c r="C1406" s="94" t="s">
        <v>22214</v>
      </c>
      <c r="D1406" s="44"/>
      <c r="E1406" s="44"/>
      <c r="F1406" s="38" t="s">
        <v>22215</v>
      </c>
      <c r="G1406" s="94" t="s">
        <v>22216</v>
      </c>
    </row>
    <row r="1407">
      <c r="A1407" s="38" t="s">
        <v>22183</v>
      </c>
      <c r="B1407" s="44"/>
      <c r="C1407" s="94" t="s">
        <v>22217</v>
      </c>
      <c r="D1407" s="94" t="s">
        <v>22218</v>
      </c>
      <c r="E1407" s="38">
        <v>30.0</v>
      </c>
      <c r="F1407" s="38" t="s">
        <v>20745</v>
      </c>
      <c r="G1407" s="94" t="s">
        <v>22219</v>
      </c>
    </row>
    <row r="1408">
      <c r="A1408" s="38" t="s">
        <v>22183</v>
      </c>
      <c r="B1408" s="44"/>
      <c r="C1408" s="94" t="s">
        <v>22220</v>
      </c>
      <c r="D1408" s="94" t="s">
        <v>18591</v>
      </c>
      <c r="E1408" s="44"/>
      <c r="F1408" s="38" t="s">
        <v>20457</v>
      </c>
      <c r="G1408" s="94" t="s">
        <v>18592</v>
      </c>
    </row>
    <row r="1409">
      <c r="A1409" s="1" t="s">
        <v>22183</v>
      </c>
      <c r="C1409" s="196" t="s">
        <v>22221</v>
      </c>
      <c r="D1409" s="8"/>
      <c r="E1409" s="5">
        <v>55.0</v>
      </c>
      <c r="F1409" s="5" t="s">
        <v>3913</v>
      </c>
      <c r="G1409" s="196" t="s">
        <v>22222</v>
      </c>
    </row>
    <row r="1410">
      <c r="A1410" s="164" t="s">
        <v>22223</v>
      </c>
      <c r="B1410" s="44"/>
      <c r="C1410" s="38" t="s">
        <v>20003</v>
      </c>
      <c r="D1410" s="94" t="s">
        <v>18859</v>
      </c>
      <c r="E1410" s="44"/>
      <c r="F1410" s="38" t="s">
        <v>22224</v>
      </c>
      <c r="G1410" s="94" t="s">
        <v>20023</v>
      </c>
    </row>
    <row r="1411">
      <c r="A1411" s="164" t="s">
        <v>22223</v>
      </c>
      <c r="B1411" s="44"/>
      <c r="C1411" s="38" t="s">
        <v>19556</v>
      </c>
      <c r="D1411" s="94" t="s">
        <v>22225</v>
      </c>
      <c r="E1411" s="38">
        <v>475.0</v>
      </c>
      <c r="F1411" s="38" t="s">
        <v>22226</v>
      </c>
      <c r="G1411" s="94" t="s">
        <v>22227</v>
      </c>
    </row>
    <row r="1412">
      <c r="A1412" s="164" t="s">
        <v>22223</v>
      </c>
      <c r="B1412" s="44"/>
      <c r="C1412" s="38" t="s">
        <v>19912</v>
      </c>
      <c r="D1412" s="44"/>
      <c r="E1412" s="44"/>
      <c r="F1412" s="38" t="s">
        <v>22228</v>
      </c>
      <c r="G1412" s="38" t="s">
        <v>22229</v>
      </c>
    </row>
    <row r="1413">
      <c r="A1413" s="164" t="s">
        <v>22223</v>
      </c>
      <c r="B1413" s="44"/>
      <c r="C1413" s="38" t="s">
        <v>3177</v>
      </c>
      <c r="D1413" s="38" t="s">
        <v>22230</v>
      </c>
      <c r="E1413" s="44"/>
      <c r="F1413" s="38" t="s">
        <v>22231</v>
      </c>
      <c r="G1413" s="38" t="s">
        <v>20741</v>
      </c>
    </row>
    <row r="1414">
      <c r="A1414" s="164" t="s">
        <v>22223</v>
      </c>
      <c r="B1414" s="44"/>
      <c r="C1414" s="94" t="s">
        <v>22232</v>
      </c>
      <c r="D1414" s="94" t="s">
        <v>20770</v>
      </c>
      <c r="E1414" s="44"/>
      <c r="F1414" s="38" t="s">
        <v>22233</v>
      </c>
      <c r="G1414" s="94" t="s">
        <v>22234</v>
      </c>
    </row>
    <row r="1415">
      <c r="A1415" s="164" t="s">
        <v>22223</v>
      </c>
      <c r="B1415" s="44"/>
      <c r="C1415" s="38" t="s">
        <v>19314</v>
      </c>
      <c r="D1415" s="38" t="s">
        <v>19313</v>
      </c>
      <c r="E1415" s="44"/>
      <c r="F1415" s="38" t="s">
        <v>20457</v>
      </c>
      <c r="G1415" s="94" t="s">
        <v>22202</v>
      </c>
    </row>
    <row r="1416">
      <c r="A1416" s="164" t="s">
        <v>22223</v>
      </c>
      <c r="B1416" s="44"/>
      <c r="C1416" s="38" t="s">
        <v>19556</v>
      </c>
      <c r="D1416" s="94" t="s">
        <v>19435</v>
      </c>
      <c r="E1416" s="44">
        <f>SUM(40+45)</f>
        <v>85</v>
      </c>
      <c r="F1416" s="38" t="s">
        <v>20319</v>
      </c>
      <c r="G1416" s="94" t="s">
        <v>13749</v>
      </c>
    </row>
    <row r="1417">
      <c r="A1417" s="164" t="s">
        <v>22223</v>
      </c>
      <c r="B1417" s="44"/>
      <c r="C1417" s="94" t="s">
        <v>18168</v>
      </c>
      <c r="D1417" s="94" t="s">
        <v>19187</v>
      </c>
      <c r="E1417" s="44"/>
      <c r="F1417" s="38" t="s">
        <v>20241</v>
      </c>
      <c r="G1417" s="94" t="s">
        <v>21704</v>
      </c>
    </row>
    <row r="1418">
      <c r="A1418" s="197" t="s">
        <v>22223</v>
      </c>
      <c r="C1418" s="5" t="s">
        <v>20003</v>
      </c>
      <c r="D1418" s="196" t="s">
        <v>22235</v>
      </c>
      <c r="E1418" s="8"/>
      <c r="F1418" s="5" t="s">
        <v>13622</v>
      </c>
      <c r="G1418" s="196" t="s">
        <v>20004</v>
      </c>
    </row>
    <row r="1419">
      <c r="A1419" s="164" t="s">
        <v>22223</v>
      </c>
      <c r="B1419" s="44"/>
      <c r="C1419" s="38" t="s">
        <v>20003</v>
      </c>
      <c r="D1419" s="94" t="s">
        <v>19301</v>
      </c>
      <c r="E1419" s="44"/>
      <c r="F1419" s="38" t="s">
        <v>20457</v>
      </c>
      <c r="G1419" s="94" t="s">
        <v>18598</v>
      </c>
    </row>
    <row r="1420">
      <c r="A1420" s="164" t="s">
        <v>22223</v>
      </c>
      <c r="B1420" s="44"/>
      <c r="C1420" s="94" t="s">
        <v>21959</v>
      </c>
      <c r="D1420" s="94" t="s">
        <v>21960</v>
      </c>
      <c r="E1420" s="44"/>
      <c r="F1420" s="38" t="s">
        <v>22236</v>
      </c>
      <c r="G1420" s="94" t="s">
        <v>18557</v>
      </c>
    </row>
    <row r="1421">
      <c r="A1421" s="164" t="s">
        <v>22223</v>
      </c>
      <c r="B1421" s="44"/>
      <c r="C1421" s="94" t="s">
        <v>22237</v>
      </c>
      <c r="D1421" s="38" t="s">
        <v>20701</v>
      </c>
      <c r="E1421" s="44">
        <f>SUM(50+5)</f>
        <v>55</v>
      </c>
      <c r="F1421" s="38" t="s">
        <v>22238</v>
      </c>
      <c r="G1421" s="94" t="s">
        <v>20732</v>
      </c>
    </row>
    <row r="1422">
      <c r="A1422" s="164" t="s">
        <v>22223</v>
      </c>
      <c r="B1422" s="44"/>
      <c r="C1422" s="94" t="s">
        <v>22239</v>
      </c>
      <c r="D1422" s="38" t="s">
        <v>22240</v>
      </c>
      <c r="E1422" s="38">
        <v>70.0</v>
      </c>
      <c r="F1422" s="38" t="s">
        <v>22241</v>
      </c>
      <c r="G1422" s="94" t="s">
        <v>20732</v>
      </c>
    </row>
    <row r="1423">
      <c r="A1423" s="164" t="s">
        <v>22223</v>
      </c>
      <c r="B1423" s="44"/>
      <c r="C1423" s="38" t="s">
        <v>19898</v>
      </c>
      <c r="D1423" s="38" t="s">
        <v>22242</v>
      </c>
      <c r="E1423" s="44">
        <f>SUM(40+20)</f>
        <v>60</v>
      </c>
      <c r="F1423" s="38" t="s">
        <v>22243</v>
      </c>
      <c r="G1423" s="777" t="s">
        <v>22244</v>
      </c>
    </row>
    <row r="1424">
      <c r="A1424" s="164" t="s">
        <v>22223</v>
      </c>
      <c r="B1424" s="44"/>
      <c r="C1424" s="44"/>
      <c r="D1424" s="44"/>
      <c r="E1424" s="38">
        <v>-1100.0</v>
      </c>
      <c r="F1424" s="38" t="s">
        <v>22245</v>
      </c>
      <c r="G1424" s="44"/>
    </row>
    <row r="1425">
      <c r="A1425" s="46" t="s">
        <v>22246</v>
      </c>
      <c r="B1425" s="44"/>
      <c r="C1425" s="38" t="s">
        <v>19891</v>
      </c>
      <c r="D1425" s="94" t="s">
        <v>18583</v>
      </c>
      <c r="E1425" s="44"/>
      <c r="F1425" s="38" t="s">
        <v>20367</v>
      </c>
      <c r="G1425" s="94" t="s">
        <v>18584</v>
      </c>
    </row>
    <row r="1426">
      <c r="A1426" s="46" t="s">
        <v>22246</v>
      </c>
      <c r="B1426" s="44"/>
      <c r="C1426" s="38" t="s">
        <v>22247</v>
      </c>
      <c r="D1426" s="44"/>
      <c r="E1426" s="44"/>
      <c r="F1426" s="38" t="s">
        <v>22248</v>
      </c>
      <c r="G1426" s="38" t="s">
        <v>22249</v>
      </c>
    </row>
    <row r="1427">
      <c r="A1427" s="64" t="s">
        <v>22246</v>
      </c>
      <c r="C1427" s="5" t="s">
        <v>19912</v>
      </c>
      <c r="D1427" s="196" t="s">
        <v>20761</v>
      </c>
      <c r="E1427" s="8"/>
      <c r="F1427" s="5" t="s">
        <v>3643</v>
      </c>
      <c r="G1427" s="196" t="s">
        <v>18768</v>
      </c>
    </row>
    <row r="1428">
      <c r="A1428" s="46" t="s">
        <v>22246</v>
      </c>
      <c r="B1428" s="44"/>
      <c r="C1428" s="94" t="s">
        <v>20406</v>
      </c>
      <c r="D1428" s="94" t="s">
        <v>22250</v>
      </c>
      <c r="E1428" s="44"/>
      <c r="F1428" s="38" t="s">
        <v>22251</v>
      </c>
      <c r="G1428" s="94" t="s">
        <v>543</v>
      </c>
      <c r="H1428" s="38" t="s">
        <v>22252</v>
      </c>
    </row>
    <row r="1429">
      <c r="A1429" s="64" t="s">
        <v>22246</v>
      </c>
      <c r="C1429" s="196" t="s">
        <v>22253</v>
      </c>
      <c r="D1429" s="196" t="s">
        <v>22254</v>
      </c>
      <c r="E1429" s="8"/>
      <c r="F1429" s="5" t="s">
        <v>22255</v>
      </c>
      <c r="G1429" s="196" t="s">
        <v>22256</v>
      </c>
    </row>
    <row r="1430">
      <c r="A1430" s="46" t="s">
        <v>22246</v>
      </c>
      <c r="B1430" s="44"/>
      <c r="C1430" s="38" t="s">
        <v>19912</v>
      </c>
      <c r="D1430" s="94" t="s">
        <v>18770</v>
      </c>
      <c r="E1430" s="44"/>
      <c r="F1430" s="38" t="s">
        <v>20241</v>
      </c>
      <c r="G1430" s="94" t="s">
        <v>18768</v>
      </c>
    </row>
    <row r="1431">
      <c r="A1431" s="46" t="s">
        <v>22246</v>
      </c>
      <c r="B1431" s="44"/>
      <c r="C1431" s="38" t="s">
        <v>19944</v>
      </c>
      <c r="D1431" s="38" t="s">
        <v>22257</v>
      </c>
      <c r="E1431" s="44"/>
      <c r="F1431" s="38" t="s">
        <v>22258</v>
      </c>
      <c r="G1431" s="38" t="s">
        <v>20482</v>
      </c>
    </row>
    <row r="1432">
      <c r="A1432" s="64" t="s">
        <v>22246</v>
      </c>
      <c r="C1432" s="5" t="s">
        <v>18445</v>
      </c>
      <c r="D1432" s="5" t="s">
        <v>22259</v>
      </c>
      <c r="E1432" s="5">
        <v>45.0</v>
      </c>
      <c r="F1432" s="5" t="s">
        <v>22260</v>
      </c>
      <c r="G1432" s="196" t="s">
        <v>22261</v>
      </c>
      <c r="H1432" s="75" t="s">
        <v>22262</v>
      </c>
    </row>
    <row r="1433">
      <c r="A1433" s="46" t="s">
        <v>22246</v>
      </c>
      <c r="B1433" s="44"/>
      <c r="C1433" s="38" t="s">
        <v>19661</v>
      </c>
      <c r="D1433" s="38" t="s">
        <v>22263</v>
      </c>
      <c r="E1433" s="38">
        <v>50.0</v>
      </c>
      <c r="F1433" s="38" t="s">
        <v>13622</v>
      </c>
      <c r="G1433" s="94" t="s">
        <v>22264</v>
      </c>
    </row>
    <row r="1434">
      <c r="A1434" s="46" t="s">
        <v>22246</v>
      </c>
      <c r="B1434" s="44"/>
      <c r="C1434" s="38" t="s">
        <v>18001</v>
      </c>
      <c r="D1434" s="38" t="s">
        <v>22265</v>
      </c>
      <c r="E1434" s="44"/>
      <c r="F1434" s="38" t="s">
        <v>13622</v>
      </c>
      <c r="G1434" s="38" t="s">
        <v>22266</v>
      </c>
      <c r="H1434" s="44"/>
    </row>
    <row r="1435">
      <c r="A1435" s="64" t="s">
        <v>22246</v>
      </c>
      <c r="C1435" s="5" t="s">
        <v>22267</v>
      </c>
      <c r="D1435" s="5" t="s">
        <v>20641</v>
      </c>
      <c r="E1435" s="8"/>
      <c r="F1435" s="5" t="s">
        <v>22268</v>
      </c>
      <c r="G1435" s="196" t="s">
        <v>18641</v>
      </c>
    </row>
    <row r="1436">
      <c r="A1436" s="46" t="s">
        <v>22246</v>
      </c>
      <c r="B1436" s="44"/>
      <c r="C1436" s="38" t="s">
        <v>21011</v>
      </c>
      <c r="D1436" s="94" t="s">
        <v>22269</v>
      </c>
      <c r="E1436" s="44"/>
      <c r="F1436" s="38" t="s">
        <v>22210</v>
      </c>
      <c r="G1436" s="94" t="s">
        <v>22169</v>
      </c>
    </row>
    <row r="1437">
      <c r="A1437" s="46" t="s">
        <v>22246</v>
      </c>
      <c r="B1437" s="44"/>
      <c r="C1437" s="94" t="s">
        <v>17806</v>
      </c>
      <c r="D1437" s="44"/>
      <c r="E1437" s="44"/>
      <c r="F1437" s="38" t="s">
        <v>22270</v>
      </c>
      <c r="G1437" s="94" t="s">
        <v>18598</v>
      </c>
    </row>
    <row r="1438">
      <c r="A1438" s="46" t="s">
        <v>22246</v>
      </c>
      <c r="B1438" s="44"/>
      <c r="C1438" s="94" t="s">
        <v>22271</v>
      </c>
      <c r="D1438" s="94" t="s">
        <v>22272</v>
      </c>
      <c r="E1438" s="38" t="s">
        <v>22273</v>
      </c>
      <c r="F1438" s="38" t="s">
        <v>3643</v>
      </c>
      <c r="G1438" s="94" t="s">
        <v>22274</v>
      </c>
    </row>
    <row r="1439">
      <c r="A1439" s="164" t="s">
        <v>22275</v>
      </c>
      <c r="B1439" s="44"/>
      <c r="C1439" s="38" t="s">
        <v>22276</v>
      </c>
      <c r="D1439" s="38" t="s">
        <v>1982</v>
      </c>
      <c r="E1439" s="44"/>
      <c r="F1439" s="38" t="s">
        <v>22277</v>
      </c>
      <c r="G1439" s="94" t="s">
        <v>1985</v>
      </c>
    </row>
    <row r="1440">
      <c r="A1440" s="197" t="s">
        <v>22275</v>
      </c>
      <c r="C1440" s="1" t="s">
        <v>22278</v>
      </c>
      <c r="F1440" s="1" t="s">
        <v>22279</v>
      </c>
      <c r="G1440" s="1" t="s">
        <v>17648</v>
      </c>
    </row>
    <row r="1441">
      <c r="A1441" s="164" t="s">
        <v>22275</v>
      </c>
      <c r="B1441" s="44"/>
      <c r="C1441" s="38" t="s">
        <v>17956</v>
      </c>
      <c r="D1441" s="38" t="s">
        <v>18946</v>
      </c>
      <c r="E1441" s="44"/>
      <c r="F1441" s="38" t="s">
        <v>22280</v>
      </c>
      <c r="G1441" s="38" t="s">
        <v>20638</v>
      </c>
    </row>
    <row r="1442">
      <c r="A1442" s="197" t="s">
        <v>22275</v>
      </c>
      <c r="C1442" s="1" t="s">
        <v>2864</v>
      </c>
      <c r="F1442" s="1" t="s">
        <v>22281</v>
      </c>
      <c r="G1442" s="1" t="s">
        <v>22282</v>
      </c>
    </row>
    <row r="1443">
      <c r="A1443" s="164" t="s">
        <v>22275</v>
      </c>
      <c r="B1443" s="44"/>
      <c r="C1443" s="38" t="s">
        <v>22283</v>
      </c>
      <c r="D1443" s="44"/>
      <c r="E1443" s="38">
        <v>480.0</v>
      </c>
      <c r="F1443" s="38" t="s">
        <v>22284</v>
      </c>
      <c r="G1443" s="38" t="s">
        <v>2822</v>
      </c>
      <c r="H1443" s="44"/>
    </row>
    <row r="1444">
      <c r="A1444" s="164" t="s">
        <v>22275</v>
      </c>
      <c r="B1444" s="44"/>
      <c r="C1444" s="38" t="s">
        <v>22276</v>
      </c>
      <c r="D1444" s="38" t="s">
        <v>1982</v>
      </c>
      <c r="E1444" s="44"/>
      <c r="F1444" s="38" t="s">
        <v>20586</v>
      </c>
      <c r="G1444" s="94" t="s">
        <v>1985</v>
      </c>
    </row>
    <row r="1445">
      <c r="A1445" s="197" t="s">
        <v>22275</v>
      </c>
      <c r="C1445" s="1" t="s">
        <v>20495</v>
      </c>
      <c r="D1445" s="1" t="s">
        <v>22285</v>
      </c>
      <c r="F1445" s="1" t="s">
        <v>3913</v>
      </c>
      <c r="G1445" s="1" t="s">
        <v>22282</v>
      </c>
    </row>
    <row r="1446">
      <c r="A1446" s="164" t="s">
        <v>22275</v>
      </c>
      <c r="B1446" s="44"/>
      <c r="C1446" s="38" t="s">
        <v>19849</v>
      </c>
      <c r="D1446" s="38" t="s">
        <v>22286</v>
      </c>
      <c r="E1446" s="38">
        <v>600.0</v>
      </c>
      <c r="F1446" s="38" t="s">
        <v>22287</v>
      </c>
      <c r="G1446" s="38" t="s">
        <v>20055</v>
      </c>
      <c r="H1446" s="38" t="s">
        <v>22288</v>
      </c>
    </row>
    <row r="1447">
      <c r="A1447" s="164" t="s">
        <v>22275</v>
      </c>
      <c r="B1447" s="44"/>
      <c r="C1447" s="38" t="s">
        <v>22289</v>
      </c>
      <c r="D1447" s="44"/>
      <c r="E1447" s="44"/>
      <c r="F1447" s="38" t="s">
        <v>22290</v>
      </c>
      <c r="G1447" s="38" t="s">
        <v>396</v>
      </c>
    </row>
    <row r="1448">
      <c r="A1448" s="164" t="s">
        <v>22275</v>
      </c>
      <c r="B1448" s="44"/>
      <c r="C1448" s="38" t="s">
        <v>18369</v>
      </c>
      <c r="D1448" s="44"/>
      <c r="E1448" s="38">
        <v>30.0</v>
      </c>
      <c r="F1448" s="38" t="s">
        <v>22291</v>
      </c>
      <c r="G1448" s="38" t="s">
        <v>396</v>
      </c>
    </row>
    <row r="1449">
      <c r="A1449" s="46" t="s">
        <v>2862</v>
      </c>
      <c r="B1449" s="38" t="s">
        <v>2863</v>
      </c>
      <c r="C1449" s="38" t="s">
        <v>2864</v>
      </c>
      <c r="D1449" s="38" t="s">
        <v>2857</v>
      </c>
      <c r="E1449" s="44"/>
      <c r="F1449" s="38" t="s">
        <v>2865</v>
      </c>
      <c r="G1449" s="94" t="s">
        <v>2861</v>
      </c>
    </row>
    <row r="1450">
      <c r="A1450" s="64" t="s">
        <v>2862</v>
      </c>
      <c r="C1450" s="1" t="s">
        <v>18795</v>
      </c>
      <c r="F1450" s="1" t="s">
        <v>22292</v>
      </c>
      <c r="G1450" s="1" t="s">
        <v>9035</v>
      </c>
    </row>
    <row r="1451">
      <c r="A1451" s="64" t="s">
        <v>2862</v>
      </c>
      <c r="C1451" s="196" t="s">
        <v>20349</v>
      </c>
      <c r="D1451" s="196" t="s">
        <v>20350</v>
      </c>
      <c r="E1451" s="5">
        <v>55.0</v>
      </c>
      <c r="F1451" s="5" t="s">
        <v>22293</v>
      </c>
      <c r="G1451" s="196" t="s">
        <v>14988</v>
      </c>
    </row>
    <row r="1452">
      <c r="A1452" s="46" t="s">
        <v>2862</v>
      </c>
      <c r="B1452" s="44"/>
      <c r="C1452" s="94" t="s">
        <v>1889</v>
      </c>
      <c r="D1452" s="94" t="s">
        <v>22294</v>
      </c>
      <c r="E1452" s="44"/>
      <c r="F1452" s="38" t="s">
        <v>22295</v>
      </c>
      <c r="G1452" s="94" t="s">
        <v>21070</v>
      </c>
    </row>
    <row r="1453">
      <c r="A1453" s="64" t="s">
        <v>2862</v>
      </c>
      <c r="C1453" s="1" t="s">
        <v>19891</v>
      </c>
      <c r="D1453" s="1" t="s">
        <v>20111</v>
      </c>
      <c r="F1453" s="5" t="s">
        <v>22296</v>
      </c>
      <c r="G1453" s="1" t="s">
        <v>22297</v>
      </c>
    </row>
    <row r="1454">
      <c r="A1454" s="46" t="s">
        <v>2862</v>
      </c>
      <c r="B1454" s="44"/>
      <c r="C1454" s="44"/>
      <c r="D1454" s="44"/>
      <c r="E1454" s="38">
        <v>-800.0</v>
      </c>
      <c r="F1454" s="38" t="s">
        <v>20413</v>
      </c>
      <c r="G1454" s="44"/>
    </row>
    <row r="1455">
      <c r="A1455" s="164" t="s">
        <v>2855</v>
      </c>
      <c r="B1455" s="38" t="s">
        <v>750</v>
      </c>
      <c r="C1455" s="38" t="s">
        <v>2856</v>
      </c>
      <c r="D1455" s="38" t="s">
        <v>2857</v>
      </c>
      <c r="E1455" s="44"/>
      <c r="F1455" s="38" t="s">
        <v>2858</v>
      </c>
      <c r="G1455" s="94" t="s">
        <v>2861</v>
      </c>
    </row>
    <row r="1456">
      <c r="A1456" s="197" t="s">
        <v>2855</v>
      </c>
      <c r="C1456" s="5" t="s">
        <v>17822</v>
      </c>
      <c r="D1456" s="196" t="s">
        <v>22298</v>
      </c>
      <c r="E1456" s="5">
        <v>70.0</v>
      </c>
      <c r="F1456" s="5" t="s">
        <v>22299</v>
      </c>
      <c r="G1456" s="196" t="s">
        <v>22300</v>
      </c>
    </row>
    <row r="1457">
      <c r="A1457" s="197" t="s">
        <v>2855</v>
      </c>
      <c r="C1457" s="196" t="s">
        <v>20573</v>
      </c>
      <c r="D1457" s="196" t="s">
        <v>20654</v>
      </c>
      <c r="E1457" s="8"/>
      <c r="F1457" s="5" t="s">
        <v>22301</v>
      </c>
      <c r="G1457" s="196" t="s">
        <v>20442</v>
      </c>
    </row>
    <row r="1458">
      <c r="A1458" s="164" t="s">
        <v>2855</v>
      </c>
      <c r="B1458" s="44"/>
      <c r="C1458" s="38" t="s">
        <v>19556</v>
      </c>
      <c r="D1458" s="38" t="s">
        <v>22302</v>
      </c>
      <c r="E1458" s="44"/>
      <c r="F1458" s="38" t="s">
        <v>22303</v>
      </c>
      <c r="G1458" s="38" t="s">
        <v>22304</v>
      </c>
    </row>
    <row r="1459">
      <c r="A1459" s="164" t="s">
        <v>2855</v>
      </c>
      <c r="B1459" s="44"/>
      <c r="C1459" s="38" t="s">
        <v>19978</v>
      </c>
      <c r="D1459" s="38" t="s">
        <v>19977</v>
      </c>
      <c r="E1459" s="44"/>
      <c r="F1459" s="38" t="s">
        <v>22305</v>
      </c>
      <c r="G1459" s="94" t="s">
        <v>19979</v>
      </c>
    </row>
    <row r="1460">
      <c r="A1460" s="164" t="s">
        <v>2855</v>
      </c>
      <c r="B1460" s="44"/>
      <c r="C1460" s="38" t="s">
        <v>20769</v>
      </c>
      <c r="D1460" s="38" t="s">
        <v>22230</v>
      </c>
      <c r="E1460" s="44"/>
      <c r="F1460" s="38" t="s">
        <v>1568</v>
      </c>
      <c r="G1460" s="38" t="s">
        <v>22306</v>
      </c>
    </row>
    <row r="1461">
      <c r="A1461" s="46" t="s">
        <v>22307</v>
      </c>
      <c r="B1461" s="44"/>
      <c r="C1461" s="38" t="s">
        <v>19898</v>
      </c>
      <c r="D1461" s="38" t="s">
        <v>18602</v>
      </c>
      <c r="E1461" s="38">
        <v>100.0</v>
      </c>
      <c r="F1461" s="38" t="s">
        <v>22308</v>
      </c>
      <c r="G1461" s="38" t="s">
        <v>22309</v>
      </c>
    </row>
    <row r="1462">
      <c r="A1462" s="46" t="s">
        <v>22307</v>
      </c>
      <c r="B1462" s="44"/>
      <c r="C1462" s="44"/>
      <c r="D1462" s="44"/>
      <c r="E1462" s="44"/>
      <c r="F1462" s="38" t="s">
        <v>22310</v>
      </c>
      <c r="G1462" s="94" t="s">
        <v>541</v>
      </c>
    </row>
    <row r="1463">
      <c r="A1463" s="164" t="s">
        <v>22311</v>
      </c>
      <c r="B1463" s="44"/>
      <c r="C1463" s="38" t="s">
        <v>22312</v>
      </c>
      <c r="D1463" s="44"/>
      <c r="E1463" s="44"/>
      <c r="F1463" s="38" t="s">
        <v>22313</v>
      </c>
      <c r="G1463" s="38" t="s">
        <v>2026</v>
      </c>
    </row>
    <row r="1464">
      <c r="A1464" s="164" t="s">
        <v>22311</v>
      </c>
      <c r="B1464" s="44"/>
      <c r="C1464" s="44"/>
      <c r="D1464" s="44"/>
      <c r="E1464" s="38">
        <v>50.0</v>
      </c>
      <c r="F1464" s="38" t="s">
        <v>20866</v>
      </c>
      <c r="G1464" s="44"/>
    </row>
    <row r="1465">
      <c r="A1465" s="164" t="s">
        <v>22311</v>
      </c>
      <c r="B1465" s="44"/>
      <c r="C1465" s="38" t="s">
        <v>18315</v>
      </c>
      <c r="D1465" s="38" t="s">
        <v>18671</v>
      </c>
      <c r="E1465" s="44"/>
      <c r="F1465" s="38" t="s">
        <v>22314</v>
      </c>
      <c r="G1465" s="38" t="s">
        <v>22315</v>
      </c>
    </row>
    <row r="1466">
      <c r="A1466" s="197" t="s">
        <v>22311</v>
      </c>
      <c r="C1466" s="1" t="s">
        <v>19873</v>
      </c>
      <c r="D1466" s="190" t="s">
        <v>18767</v>
      </c>
      <c r="F1466" s="1" t="s">
        <v>22316</v>
      </c>
      <c r="G1466" s="196" t="s">
        <v>18768</v>
      </c>
    </row>
    <row r="1467">
      <c r="A1467" s="164" t="s">
        <v>22311</v>
      </c>
      <c r="B1467" s="44"/>
      <c r="C1467" s="38" t="s">
        <v>18492</v>
      </c>
      <c r="D1467" s="44"/>
      <c r="E1467" s="44"/>
      <c r="F1467" s="38" t="s">
        <v>22317</v>
      </c>
      <c r="G1467" s="44"/>
    </row>
    <row r="1468">
      <c r="A1468" s="197" t="s">
        <v>22311</v>
      </c>
      <c r="C1468" s="5" t="s">
        <v>21396</v>
      </c>
      <c r="D1468" s="196" t="s">
        <v>18608</v>
      </c>
      <c r="E1468" s="8"/>
      <c r="F1468" s="5" t="s">
        <v>21228</v>
      </c>
      <c r="G1468" s="196" t="s">
        <v>18439</v>
      </c>
    </row>
    <row r="1469">
      <c r="A1469" s="164" t="s">
        <v>22311</v>
      </c>
      <c r="B1469" s="44"/>
      <c r="C1469" s="38" t="s">
        <v>20495</v>
      </c>
      <c r="D1469" s="38" t="s">
        <v>19908</v>
      </c>
      <c r="E1469" s="44"/>
      <c r="F1469" s="38" t="s">
        <v>22318</v>
      </c>
      <c r="G1469" s="38" t="s">
        <v>22079</v>
      </c>
    </row>
    <row r="1470">
      <c r="A1470" s="164" t="s">
        <v>22311</v>
      </c>
      <c r="B1470" s="44"/>
      <c r="C1470" s="38" t="s">
        <v>22319</v>
      </c>
      <c r="D1470" s="94"/>
      <c r="E1470" s="44"/>
      <c r="F1470" s="38" t="s">
        <v>22320</v>
      </c>
      <c r="G1470" s="94" t="s">
        <v>22304</v>
      </c>
    </row>
    <row r="1471">
      <c r="A1471" s="164" t="s">
        <v>22311</v>
      </c>
      <c r="B1471" s="44"/>
      <c r="C1471" s="38" t="s">
        <v>19611</v>
      </c>
      <c r="D1471" s="38" t="s">
        <v>22321</v>
      </c>
      <c r="E1471" s="44"/>
      <c r="F1471" s="38" t="s">
        <v>22322</v>
      </c>
      <c r="G1471" s="38" t="s">
        <v>22323</v>
      </c>
    </row>
    <row r="1472">
      <c r="A1472" s="164" t="s">
        <v>22311</v>
      </c>
      <c r="B1472" s="44"/>
      <c r="C1472" s="38" t="s">
        <v>19802</v>
      </c>
      <c r="D1472" s="44"/>
      <c r="E1472" s="38">
        <v>50.0</v>
      </c>
      <c r="F1472" s="38" t="s">
        <v>22324</v>
      </c>
      <c r="G1472" s="44"/>
    </row>
    <row r="1473">
      <c r="A1473" s="38" t="s">
        <v>22325</v>
      </c>
      <c r="B1473" s="44"/>
      <c r="C1473" s="38" t="s">
        <v>20213</v>
      </c>
      <c r="D1473" s="44"/>
      <c r="E1473" s="44"/>
      <c r="F1473" s="38" t="s">
        <v>22326</v>
      </c>
      <c r="G1473" s="38" t="s">
        <v>20741</v>
      </c>
    </row>
    <row r="1474">
      <c r="A1474" s="38" t="s">
        <v>22325</v>
      </c>
      <c r="B1474" s="44"/>
      <c r="C1474" s="49" t="s">
        <v>18121</v>
      </c>
      <c r="D1474" s="94" t="s">
        <v>19988</v>
      </c>
      <c r="E1474" s="44"/>
      <c r="F1474" s="38" t="s">
        <v>22327</v>
      </c>
      <c r="G1474" s="94" t="s">
        <v>19989</v>
      </c>
    </row>
    <row r="1475">
      <c r="A1475" s="38" t="s">
        <v>22325</v>
      </c>
      <c r="B1475" s="44"/>
      <c r="C1475" s="38" t="s">
        <v>22328</v>
      </c>
      <c r="D1475" s="38" t="s">
        <v>22329</v>
      </c>
      <c r="E1475" s="38">
        <v>350.0</v>
      </c>
      <c r="F1475" s="38" t="s">
        <v>22330</v>
      </c>
      <c r="G1475" s="38" t="s">
        <v>22331</v>
      </c>
    </row>
    <row r="1476">
      <c r="A1476" s="38" t="s">
        <v>22325</v>
      </c>
      <c r="B1476" s="44"/>
      <c r="C1476" s="38" t="s">
        <v>17685</v>
      </c>
      <c r="D1476" s="44"/>
      <c r="E1476" s="44">
        <f>SUM(42*4+40)</f>
        <v>208</v>
      </c>
      <c r="F1476" s="38" t="s">
        <v>22332</v>
      </c>
      <c r="G1476" s="38" t="s">
        <v>20191</v>
      </c>
    </row>
    <row r="1477">
      <c r="A1477" s="164" t="s">
        <v>22333</v>
      </c>
      <c r="B1477" s="44"/>
      <c r="C1477" s="38" t="s">
        <v>20911</v>
      </c>
      <c r="D1477" s="38" t="s">
        <v>22191</v>
      </c>
      <c r="E1477" s="44"/>
      <c r="F1477" s="38" t="s">
        <v>19824</v>
      </c>
      <c r="G1477" s="94" t="s">
        <v>22192</v>
      </c>
    </row>
    <row r="1478">
      <c r="A1478" s="197" t="s">
        <v>22333</v>
      </c>
      <c r="C1478" s="1" t="s">
        <v>22334</v>
      </c>
      <c r="D1478" s="1" t="s">
        <v>19971</v>
      </c>
      <c r="F1478" s="1" t="s">
        <v>22335</v>
      </c>
      <c r="G1478" s="1" t="s">
        <v>17648</v>
      </c>
    </row>
    <row r="1479">
      <c r="A1479" s="197" t="s">
        <v>22333</v>
      </c>
      <c r="B1479" s="8"/>
      <c r="C1479" s="5" t="s">
        <v>19912</v>
      </c>
      <c r="D1479" s="8"/>
      <c r="E1479" s="8"/>
      <c r="F1479" s="5" t="s">
        <v>22336</v>
      </c>
      <c r="G1479" s="5" t="s">
        <v>17648</v>
      </c>
    </row>
    <row r="1480">
      <c r="A1480" s="164" t="s">
        <v>22333</v>
      </c>
      <c r="B1480" s="44"/>
      <c r="C1480" s="38" t="s">
        <v>22337</v>
      </c>
      <c r="D1480" s="94"/>
      <c r="E1480" s="44"/>
      <c r="F1480" s="38" t="s">
        <v>20418</v>
      </c>
      <c r="G1480" s="94" t="s">
        <v>22338</v>
      </c>
    </row>
    <row r="1481">
      <c r="A1481" s="164" t="s">
        <v>22333</v>
      </c>
      <c r="B1481" s="44"/>
      <c r="C1481" s="38" t="s">
        <v>21103</v>
      </c>
      <c r="D1481" s="44"/>
      <c r="E1481" s="44"/>
      <c r="F1481" s="38" t="s">
        <v>22339</v>
      </c>
      <c r="G1481" s="38" t="s">
        <v>514</v>
      </c>
    </row>
    <row r="1482">
      <c r="A1482" s="46" t="s">
        <v>22340</v>
      </c>
      <c r="B1482" s="44"/>
      <c r="C1482" s="94"/>
      <c r="D1482" s="44"/>
      <c r="E1482" s="38">
        <v>-1310.0</v>
      </c>
      <c r="F1482" s="38" t="s">
        <v>19534</v>
      </c>
      <c r="G1482" s="94"/>
    </row>
    <row r="1483">
      <c r="A1483" s="64" t="s">
        <v>22340</v>
      </c>
      <c r="C1483" s="5" t="s">
        <v>19912</v>
      </c>
      <c r="D1483" s="5" t="s">
        <v>22341</v>
      </c>
      <c r="F1483" s="1" t="s">
        <v>22342</v>
      </c>
      <c r="G1483" s="1" t="s">
        <v>22343</v>
      </c>
    </row>
    <row r="1484">
      <c r="A1484" s="836" t="s">
        <v>22340</v>
      </c>
      <c r="B1484" s="130"/>
      <c r="C1484" s="131" t="s">
        <v>21498</v>
      </c>
      <c r="D1484" s="131" t="s">
        <v>22344</v>
      </c>
      <c r="E1484" s="130">
        <f>SUM(20*4+50)</f>
        <v>130</v>
      </c>
      <c r="F1484" s="131" t="s">
        <v>22345</v>
      </c>
      <c r="G1484" s="130"/>
    </row>
    <row r="1485">
      <c r="A1485" s="46" t="s">
        <v>22340</v>
      </c>
      <c r="B1485" s="44"/>
      <c r="C1485" s="38" t="s">
        <v>18015</v>
      </c>
      <c r="D1485" s="94" t="s">
        <v>19953</v>
      </c>
      <c r="E1485" s="38">
        <v>250.0</v>
      </c>
      <c r="F1485" s="38" t="s">
        <v>22346</v>
      </c>
      <c r="G1485" s="38" t="s">
        <v>22347</v>
      </c>
      <c r="H1485" s="33" t="s">
        <v>22348</v>
      </c>
    </row>
    <row r="1486">
      <c r="A1486" s="46" t="s">
        <v>22340</v>
      </c>
      <c r="B1486" s="44"/>
      <c r="C1486" s="38" t="s">
        <v>3175</v>
      </c>
      <c r="D1486" s="44"/>
      <c r="E1486" s="44">
        <f>SUM(25+15+15+3)</f>
        <v>58</v>
      </c>
      <c r="F1486" s="38" t="s">
        <v>22349</v>
      </c>
      <c r="G1486" s="38" t="s">
        <v>22350</v>
      </c>
    </row>
    <row r="1487">
      <c r="A1487" s="64" t="s">
        <v>22340</v>
      </c>
      <c r="C1487" s="1" t="s">
        <v>22351</v>
      </c>
      <c r="F1487" s="1" t="s">
        <v>22352</v>
      </c>
      <c r="G1487" s="190" t="s">
        <v>22353</v>
      </c>
    </row>
    <row r="1488">
      <c r="A1488" s="46" t="s">
        <v>22340</v>
      </c>
      <c r="B1488" s="44"/>
      <c r="C1488" s="38" t="s">
        <v>19834</v>
      </c>
      <c r="D1488" s="44"/>
      <c r="E1488" s="38">
        <v>-50.0</v>
      </c>
      <c r="F1488" s="44"/>
      <c r="G1488" s="38" t="s">
        <v>2932</v>
      </c>
    </row>
    <row r="1489">
      <c r="A1489" s="46" t="s">
        <v>22340</v>
      </c>
      <c r="B1489" s="44"/>
      <c r="C1489" s="38" t="s">
        <v>21396</v>
      </c>
      <c r="D1489" s="44"/>
      <c r="E1489" s="38">
        <v>10.0</v>
      </c>
      <c r="F1489" s="44"/>
      <c r="G1489" s="44"/>
    </row>
    <row r="1490">
      <c r="A1490" s="46" t="s">
        <v>22340</v>
      </c>
      <c r="B1490" s="44"/>
      <c r="C1490" s="38" t="s">
        <v>20122</v>
      </c>
      <c r="D1490" s="38" t="s">
        <v>19354</v>
      </c>
      <c r="E1490" s="44"/>
      <c r="F1490" s="38" t="s">
        <v>22354</v>
      </c>
      <c r="G1490" s="44"/>
    </row>
    <row r="1491">
      <c r="A1491" s="164" t="s">
        <v>22355</v>
      </c>
      <c r="B1491" s="44"/>
      <c r="C1491" s="38" t="s">
        <v>19704</v>
      </c>
      <c r="D1491" s="44"/>
      <c r="E1491" s="44"/>
      <c r="F1491" s="38" t="s">
        <v>22156</v>
      </c>
      <c r="G1491" s="38" t="s">
        <v>22356</v>
      </c>
    </row>
    <row r="1492">
      <c r="A1492" s="164" t="s">
        <v>22355</v>
      </c>
      <c r="B1492" s="44"/>
      <c r="C1492" s="38" t="s">
        <v>22357</v>
      </c>
      <c r="D1492" s="94" t="s">
        <v>22358</v>
      </c>
      <c r="E1492" s="44"/>
      <c r="F1492" s="38" t="s">
        <v>22359</v>
      </c>
      <c r="G1492" s="94" t="s">
        <v>22360</v>
      </c>
    </row>
    <row r="1493">
      <c r="A1493" s="164" t="s">
        <v>22355</v>
      </c>
      <c r="B1493" s="44"/>
      <c r="C1493" s="44"/>
      <c r="D1493" s="44"/>
      <c r="E1493" s="38">
        <v>40.0</v>
      </c>
      <c r="F1493" s="38" t="s">
        <v>22361</v>
      </c>
      <c r="G1493" s="38">
        <v>3.7067447625E10</v>
      </c>
    </row>
    <row r="1494">
      <c r="A1494" s="854" t="s">
        <v>22362</v>
      </c>
      <c r="B1494" s="855"/>
      <c r="C1494" s="855"/>
      <c r="D1494" s="855"/>
      <c r="E1494" s="855"/>
      <c r="F1494" s="855"/>
      <c r="G1494" s="855"/>
      <c r="H1494" s="855"/>
      <c r="I1494" s="855"/>
      <c r="J1494" s="855"/>
      <c r="K1494" s="855"/>
      <c r="L1494" s="855"/>
      <c r="M1494" s="855"/>
      <c r="N1494" s="855"/>
      <c r="O1494" s="855"/>
      <c r="P1494" s="855"/>
      <c r="Q1494" s="855"/>
      <c r="R1494" s="855"/>
      <c r="S1494" s="855"/>
      <c r="T1494" s="855"/>
      <c r="U1494" s="855"/>
      <c r="V1494" s="855"/>
      <c r="W1494" s="855"/>
      <c r="X1494" s="855"/>
    </row>
    <row r="1495">
      <c r="A1495" s="806">
        <v>45669.0</v>
      </c>
      <c r="B1495" s="44"/>
      <c r="C1495" s="38" t="s">
        <v>4184</v>
      </c>
      <c r="D1495" s="38" t="s">
        <v>22363</v>
      </c>
      <c r="E1495" s="38">
        <v>50.0</v>
      </c>
      <c r="F1495" s="38" t="s">
        <v>22364</v>
      </c>
      <c r="G1495" s="94" t="s">
        <v>22365</v>
      </c>
    </row>
    <row r="1496">
      <c r="A1496" s="806">
        <v>45669.0</v>
      </c>
      <c r="B1496" s="44"/>
      <c r="C1496" s="38" t="s">
        <v>22366</v>
      </c>
      <c r="D1496" s="44"/>
      <c r="E1496" s="44"/>
      <c r="F1496" s="38" t="s">
        <v>21182</v>
      </c>
      <c r="G1496" s="38" t="s">
        <v>22367</v>
      </c>
    </row>
    <row r="1497">
      <c r="A1497" s="806">
        <v>45669.0</v>
      </c>
      <c r="B1497" s="44"/>
      <c r="C1497" s="44"/>
      <c r="D1497" s="44"/>
      <c r="E1497" s="38">
        <v>-400.0</v>
      </c>
      <c r="F1497" s="38" t="s">
        <v>784</v>
      </c>
      <c r="G1497" s="44"/>
    </row>
    <row r="1498">
      <c r="A1498" s="840">
        <v>45700.0</v>
      </c>
      <c r="C1498" s="1" t="s">
        <v>18001</v>
      </c>
      <c r="G1498" s="64" t="s">
        <v>19660</v>
      </c>
      <c r="H1498" s="197" t="s">
        <v>22368</v>
      </c>
      <c r="I1498" s="856" t="s">
        <v>22369</v>
      </c>
    </row>
    <row r="1499">
      <c r="A1499" s="840">
        <v>45700.0</v>
      </c>
      <c r="C1499" s="1" t="s">
        <v>21662</v>
      </c>
      <c r="F1499" s="1" t="s">
        <v>22370</v>
      </c>
      <c r="G1499" s="1" t="s">
        <v>19914</v>
      </c>
      <c r="H1499" s="857"/>
      <c r="I1499" s="856" t="s">
        <v>22371</v>
      </c>
    </row>
    <row r="1500">
      <c r="A1500" s="840">
        <v>45728.0</v>
      </c>
      <c r="C1500" s="196" t="s">
        <v>22372</v>
      </c>
      <c r="D1500" s="5" t="s">
        <v>22373</v>
      </c>
      <c r="E1500" s="8">
        <f>60</f>
        <v>60</v>
      </c>
      <c r="F1500" s="5" t="s">
        <v>22374</v>
      </c>
      <c r="G1500" s="196" t="s">
        <v>22375</v>
      </c>
      <c r="H1500" s="197"/>
      <c r="I1500" s="64" t="s">
        <v>22376</v>
      </c>
    </row>
    <row r="1501">
      <c r="A1501" s="840">
        <v>45728.0</v>
      </c>
      <c r="C1501" s="1" t="s">
        <v>19556</v>
      </c>
      <c r="D1501" s="1" t="s">
        <v>22377</v>
      </c>
      <c r="F1501" s="1" t="s">
        <v>22378</v>
      </c>
      <c r="G1501" s="1" t="s">
        <v>22379</v>
      </c>
      <c r="H1501" s="197"/>
      <c r="I1501" s="856" t="s">
        <v>22380</v>
      </c>
    </row>
    <row r="1502">
      <c r="A1502" s="808">
        <v>45728.0</v>
      </c>
      <c r="B1502" s="44"/>
      <c r="C1502" s="38" t="s">
        <v>22381</v>
      </c>
      <c r="D1502" s="38" t="s">
        <v>1982</v>
      </c>
      <c r="E1502" s="44"/>
      <c r="F1502" s="38" t="s">
        <v>10166</v>
      </c>
      <c r="G1502" s="94" t="s">
        <v>1985</v>
      </c>
      <c r="H1502" s="197"/>
      <c r="I1502" s="856" t="s">
        <v>22382</v>
      </c>
    </row>
    <row r="1503">
      <c r="A1503" s="840">
        <v>45728.0</v>
      </c>
      <c r="C1503" s="1" t="s">
        <v>22383</v>
      </c>
      <c r="F1503" s="1" t="s">
        <v>5885</v>
      </c>
      <c r="G1503" s="1" t="s">
        <v>22384</v>
      </c>
      <c r="H1503" s="197"/>
      <c r="I1503" s="856" t="s">
        <v>22385</v>
      </c>
    </row>
    <row r="1504">
      <c r="A1504" s="808">
        <v>45728.0</v>
      </c>
      <c r="B1504" s="44"/>
      <c r="C1504" s="38" t="s">
        <v>21175</v>
      </c>
      <c r="D1504" s="44"/>
      <c r="E1504" s="38">
        <v>20.0</v>
      </c>
      <c r="F1504" s="38" t="s">
        <v>22386</v>
      </c>
      <c r="G1504" s="94" t="s">
        <v>22387</v>
      </c>
      <c r="H1504" s="197"/>
      <c r="I1504" s="856" t="s">
        <v>22388</v>
      </c>
    </row>
    <row r="1505">
      <c r="A1505" s="806">
        <v>45759.0</v>
      </c>
      <c r="B1505" s="44"/>
      <c r="C1505" s="38" t="s">
        <v>3177</v>
      </c>
      <c r="D1505" s="38" t="s">
        <v>22230</v>
      </c>
      <c r="E1505" s="44"/>
      <c r="F1505" s="38" t="s">
        <v>22389</v>
      </c>
      <c r="G1505" s="38" t="s">
        <v>20741</v>
      </c>
      <c r="H1505" s="197"/>
      <c r="I1505" s="856" t="s">
        <v>22390</v>
      </c>
    </row>
    <row r="1506">
      <c r="A1506" s="806">
        <v>45759.0</v>
      </c>
      <c r="B1506" s="44"/>
      <c r="C1506" s="38" t="s">
        <v>18497</v>
      </c>
      <c r="D1506" s="44"/>
      <c r="E1506" s="38">
        <v>30.0</v>
      </c>
      <c r="F1506" s="38" t="s">
        <v>22391</v>
      </c>
      <c r="G1506" s="38" t="s">
        <v>22392</v>
      </c>
      <c r="H1506" s="197"/>
      <c r="I1506" s="856" t="s">
        <v>22393</v>
      </c>
    </row>
    <row r="1507">
      <c r="A1507" s="806">
        <v>45759.0</v>
      </c>
      <c r="B1507" s="44"/>
      <c r="C1507" s="38" t="s">
        <v>22394</v>
      </c>
      <c r="D1507" s="44"/>
      <c r="E1507" s="44"/>
      <c r="F1507" s="38" t="s">
        <v>22395</v>
      </c>
      <c r="G1507" s="38" t="s">
        <v>7062</v>
      </c>
      <c r="H1507" s="197"/>
      <c r="I1507" s="1" t="s">
        <v>22396</v>
      </c>
    </row>
    <row r="1508">
      <c r="A1508" s="806">
        <v>45759.0</v>
      </c>
      <c r="B1508" s="44"/>
      <c r="C1508" s="44"/>
      <c r="D1508" s="44"/>
      <c r="E1508" s="38">
        <v>40.0</v>
      </c>
      <c r="F1508" s="38" t="s">
        <v>22397</v>
      </c>
      <c r="G1508" s="44"/>
      <c r="H1508" s="197"/>
      <c r="I1508" s="1" t="s">
        <v>22398</v>
      </c>
    </row>
    <row r="1509">
      <c r="A1509" s="830">
        <v>45759.0</v>
      </c>
      <c r="C1509" s="1" t="s">
        <v>18001</v>
      </c>
      <c r="D1509" s="1" t="s">
        <v>21808</v>
      </c>
      <c r="G1509" s="1" t="s">
        <v>19660</v>
      </c>
      <c r="H1509" s="197" t="s">
        <v>22368</v>
      </c>
      <c r="I1509" s="1" t="s">
        <v>22399</v>
      </c>
    </row>
    <row r="1510">
      <c r="A1510" s="30">
        <v>45789.0</v>
      </c>
      <c r="C1510" s="1" t="s">
        <v>18001</v>
      </c>
      <c r="D1510" s="1" t="s">
        <v>21808</v>
      </c>
      <c r="F1510" s="1" t="s">
        <v>22400</v>
      </c>
      <c r="G1510" s="1" t="s">
        <v>19660</v>
      </c>
      <c r="H1510" s="197"/>
      <c r="I1510" s="1" t="s">
        <v>22401</v>
      </c>
    </row>
    <row r="1511">
      <c r="A1511" s="141">
        <v>45789.0</v>
      </c>
      <c r="B1511" s="44"/>
      <c r="C1511" s="44"/>
      <c r="D1511" s="44"/>
      <c r="E1511" s="38">
        <v>-150.0</v>
      </c>
      <c r="F1511" s="38" t="s">
        <v>19729</v>
      </c>
      <c r="G1511" s="44"/>
    </row>
    <row r="1512">
      <c r="A1512" s="30">
        <v>45789.0</v>
      </c>
      <c r="C1512" s="1" t="s">
        <v>22402</v>
      </c>
      <c r="D1512" s="1" t="s">
        <v>22403</v>
      </c>
      <c r="F1512" s="1" t="s">
        <v>22404</v>
      </c>
      <c r="G1512" s="1" t="s">
        <v>22405</v>
      </c>
    </row>
    <row r="1513">
      <c r="A1513" s="141">
        <v>45789.0</v>
      </c>
      <c r="B1513" s="44"/>
      <c r="C1513" s="44"/>
      <c r="D1513" s="44"/>
      <c r="E1513" s="38">
        <v>-34.0</v>
      </c>
      <c r="F1513" s="38" t="s">
        <v>22406</v>
      </c>
      <c r="G1513" s="44"/>
    </row>
    <row r="1514">
      <c r="A1514" s="830">
        <v>45881.0</v>
      </c>
      <c r="C1514" s="1" t="s">
        <v>19792</v>
      </c>
      <c r="D1514" s="196" t="s">
        <v>18583</v>
      </c>
      <c r="F1514" s="1" t="s">
        <v>22152</v>
      </c>
      <c r="G1514" s="5" t="s">
        <v>18584</v>
      </c>
    </row>
    <row r="1515">
      <c r="A1515" s="806">
        <v>45881.0</v>
      </c>
      <c r="B1515" s="44"/>
      <c r="C1515" s="38" t="s">
        <v>20718</v>
      </c>
      <c r="D1515" s="743" t="s">
        <v>19550</v>
      </c>
      <c r="E1515" s="743"/>
      <c r="F1515" s="744" t="s">
        <v>22407</v>
      </c>
      <c r="G1515" s="743" t="s">
        <v>1985</v>
      </c>
    </row>
    <row r="1516">
      <c r="A1516" s="806">
        <v>45881.0</v>
      </c>
      <c r="B1516" s="44"/>
      <c r="C1516" s="44"/>
      <c r="D1516" s="44"/>
      <c r="E1516" s="38">
        <v>40.0</v>
      </c>
      <c r="F1516" s="38" t="s">
        <v>22408</v>
      </c>
      <c r="G1516" s="44"/>
    </row>
    <row r="1517">
      <c r="A1517" s="806">
        <v>45881.0</v>
      </c>
      <c r="B1517" s="44"/>
      <c r="C1517" s="44"/>
      <c r="D1517" s="44"/>
      <c r="E1517" s="38">
        <v>176.0</v>
      </c>
      <c r="F1517" s="38" t="s">
        <v>22409</v>
      </c>
      <c r="G1517" s="38" t="s">
        <v>3009</v>
      </c>
    </row>
    <row r="1518">
      <c r="A1518" s="806">
        <v>45881.0</v>
      </c>
      <c r="B1518" s="44"/>
      <c r="C1518" s="38" t="s">
        <v>19912</v>
      </c>
      <c r="D1518" s="38" t="s">
        <v>20466</v>
      </c>
      <c r="E1518" s="44"/>
      <c r="F1518" s="38" t="s">
        <v>22410</v>
      </c>
      <c r="G1518" s="38" t="s">
        <v>20741</v>
      </c>
    </row>
    <row r="1519">
      <c r="A1519" s="141">
        <v>45912.0</v>
      </c>
      <c r="B1519" s="44"/>
      <c r="C1519" s="44"/>
      <c r="D1519" s="44"/>
      <c r="E1519" s="38">
        <v>-36.2</v>
      </c>
      <c r="F1519" s="38" t="s">
        <v>22411</v>
      </c>
      <c r="G1519" s="44"/>
    </row>
    <row r="1520">
      <c r="A1520" s="141">
        <v>45912.0</v>
      </c>
      <c r="B1520" s="44"/>
      <c r="C1520" s="38" t="s">
        <v>18001</v>
      </c>
      <c r="D1520" s="38" t="s">
        <v>17960</v>
      </c>
      <c r="E1520" s="44"/>
      <c r="F1520" s="38" t="s">
        <v>22412</v>
      </c>
      <c r="G1520" s="94" t="s">
        <v>20442</v>
      </c>
    </row>
    <row r="1521">
      <c r="A1521" s="141">
        <v>45912.0</v>
      </c>
      <c r="B1521" s="44"/>
      <c r="C1521" s="94" t="s">
        <v>22413</v>
      </c>
      <c r="D1521" s="94" t="s">
        <v>19511</v>
      </c>
      <c r="E1521" s="44"/>
      <c r="F1521" s="38" t="s">
        <v>22414</v>
      </c>
      <c r="G1521" s="94" t="s">
        <v>20442</v>
      </c>
    </row>
    <row r="1522">
      <c r="A1522" s="848">
        <v>45942.0</v>
      </c>
      <c r="C1522" s="1" t="s">
        <v>18720</v>
      </c>
      <c r="D1522" s="1" t="s">
        <v>11885</v>
      </c>
      <c r="F1522" s="1" t="s">
        <v>20367</v>
      </c>
      <c r="G1522" s="1" t="s">
        <v>371</v>
      </c>
    </row>
    <row r="1523">
      <c r="A1523" s="851">
        <v>45942.0</v>
      </c>
      <c r="B1523" s="44"/>
      <c r="C1523" s="38" t="s">
        <v>22415</v>
      </c>
      <c r="D1523" s="38" t="s">
        <v>22416</v>
      </c>
      <c r="E1523" s="44"/>
      <c r="F1523" s="38" t="s">
        <v>372</v>
      </c>
      <c r="G1523" s="38" t="s">
        <v>22417</v>
      </c>
    </row>
    <row r="1524">
      <c r="A1524" s="851">
        <v>45942.0</v>
      </c>
      <c r="B1524" s="44"/>
      <c r="C1524" s="94" t="s">
        <v>22418</v>
      </c>
      <c r="D1524" s="94" t="s">
        <v>22419</v>
      </c>
      <c r="E1524" s="44"/>
      <c r="F1524" s="38" t="s">
        <v>22420</v>
      </c>
      <c r="G1524" s="94" t="s">
        <v>22421</v>
      </c>
    </row>
    <row r="1525">
      <c r="A1525" s="851">
        <v>45942.0</v>
      </c>
      <c r="B1525" s="44"/>
      <c r="C1525" s="44"/>
      <c r="D1525" s="44"/>
      <c r="E1525" s="38">
        <v>320.0</v>
      </c>
      <c r="F1525" s="44"/>
      <c r="G1525" s="38" t="s">
        <v>22422</v>
      </c>
    </row>
    <row r="1526">
      <c r="A1526" s="848">
        <v>45942.0</v>
      </c>
      <c r="E1526" s="1">
        <v>410.0</v>
      </c>
      <c r="F1526" s="1" t="s">
        <v>22423</v>
      </c>
    </row>
    <row r="1527">
      <c r="A1527" s="853">
        <v>45973.0</v>
      </c>
      <c r="C1527" s="1" t="s">
        <v>22424</v>
      </c>
      <c r="D1527" s="1" t="s">
        <v>22425</v>
      </c>
      <c r="F1527" s="1" t="s">
        <v>22426</v>
      </c>
      <c r="G1527" s="1" t="s">
        <v>22427</v>
      </c>
    </row>
    <row r="1528">
      <c r="A1528" s="851">
        <v>46003.0</v>
      </c>
      <c r="B1528" s="44"/>
      <c r="C1528" s="38" t="s">
        <v>18001</v>
      </c>
      <c r="D1528" s="38" t="s">
        <v>19051</v>
      </c>
      <c r="E1528" s="38">
        <v>155.0</v>
      </c>
      <c r="F1528" s="38" t="s">
        <v>3036</v>
      </c>
      <c r="G1528" s="38" t="s">
        <v>19052</v>
      </c>
    </row>
    <row r="1529">
      <c r="A1529" s="851">
        <v>46003.0</v>
      </c>
      <c r="B1529" s="44"/>
      <c r="C1529" s="44"/>
      <c r="D1529" s="44"/>
      <c r="E1529" s="38">
        <v>-50.0</v>
      </c>
      <c r="F1529" s="38" t="s">
        <v>22428</v>
      </c>
      <c r="G1529" s="44"/>
    </row>
    <row r="1530">
      <c r="A1530" s="164" t="s">
        <v>22429</v>
      </c>
      <c r="B1530" s="44"/>
      <c r="C1530" s="38" t="s">
        <v>4178</v>
      </c>
      <c r="D1530" s="38" t="s">
        <v>18984</v>
      </c>
      <c r="E1530" s="44"/>
      <c r="F1530" s="38" t="s">
        <v>22430</v>
      </c>
      <c r="G1530" s="38" t="s">
        <v>21122</v>
      </c>
    </row>
    <row r="1531">
      <c r="A1531" s="197" t="s">
        <v>22429</v>
      </c>
      <c r="B1531" s="858">
        <v>0.4375</v>
      </c>
      <c r="C1531" s="1" t="s">
        <v>3175</v>
      </c>
      <c r="F1531" s="1" t="s">
        <v>20586</v>
      </c>
      <c r="G1531" s="1" t="s">
        <v>22343</v>
      </c>
    </row>
    <row r="1532">
      <c r="A1532" s="197" t="s">
        <v>22429</v>
      </c>
      <c r="E1532" s="1">
        <v>-30.0</v>
      </c>
      <c r="F1532" s="1" t="s">
        <v>22431</v>
      </c>
    </row>
    <row r="1533">
      <c r="A1533" s="38" t="s">
        <v>22432</v>
      </c>
      <c r="B1533" s="44"/>
      <c r="C1533" s="44"/>
      <c r="D1533" s="44"/>
      <c r="E1533" s="38">
        <v>40.0</v>
      </c>
      <c r="F1533" s="38" t="s">
        <v>22433</v>
      </c>
      <c r="G1533" s="44"/>
    </row>
    <row r="1534">
      <c r="A1534" s="164" t="s">
        <v>22434</v>
      </c>
      <c r="B1534" s="44"/>
      <c r="C1534" s="38" t="s">
        <v>22435</v>
      </c>
      <c r="D1534" s="38" t="s">
        <v>18410</v>
      </c>
      <c r="E1534" s="44"/>
      <c r="F1534" s="38" t="s">
        <v>20586</v>
      </c>
      <c r="G1534" s="38" t="s">
        <v>21314</v>
      </c>
    </row>
    <row r="1535">
      <c r="A1535" s="197" t="s">
        <v>22434</v>
      </c>
      <c r="C1535" s="1" t="s">
        <v>20875</v>
      </c>
      <c r="D1535" s="1" t="s">
        <v>21048</v>
      </c>
      <c r="F1535" s="1" t="s">
        <v>22436</v>
      </c>
      <c r="G1535" s="1" t="s">
        <v>22384</v>
      </c>
    </row>
    <row r="1536">
      <c r="A1536" s="164" t="s">
        <v>22434</v>
      </c>
      <c r="B1536" s="44"/>
      <c r="C1536" s="38" t="s">
        <v>20476</v>
      </c>
      <c r="D1536" s="38" t="s">
        <v>18812</v>
      </c>
      <c r="E1536" s="44"/>
      <c r="F1536" s="38" t="s">
        <v>20586</v>
      </c>
      <c r="G1536" s="38" t="s">
        <v>21314</v>
      </c>
    </row>
    <row r="1537">
      <c r="A1537" s="197" t="s">
        <v>22434</v>
      </c>
      <c r="E1537" s="1">
        <v>-50.0</v>
      </c>
      <c r="F1537" s="1" t="s">
        <v>22431</v>
      </c>
    </row>
    <row r="1538">
      <c r="A1538" s="38" t="s">
        <v>22437</v>
      </c>
      <c r="B1538" s="44"/>
      <c r="C1538" s="38" t="s">
        <v>1657</v>
      </c>
      <c r="D1538" s="38" t="s">
        <v>22193</v>
      </c>
      <c r="E1538" s="44"/>
      <c r="F1538" s="38" t="s">
        <v>22438</v>
      </c>
      <c r="G1538" s="94" t="s">
        <v>22195</v>
      </c>
    </row>
    <row r="1539">
      <c r="A1539" s="38" t="s">
        <v>22437</v>
      </c>
      <c r="B1539" s="44"/>
      <c r="C1539" s="38" t="s">
        <v>19909</v>
      </c>
      <c r="D1539" s="38" t="s">
        <v>18812</v>
      </c>
      <c r="E1539" s="44"/>
      <c r="F1539" s="38" t="s">
        <v>22439</v>
      </c>
      <c r="G1539" s="38" t="s">
        <v>21314</v>
      </c>
    </row>
    <row r="1540">
      <c r="A1540" s="1" t="s">
        <v>22437</v>
      </c>
      <c r="C1540" s="1" t="s">
        <v>20875</v>
      </c>
      <c r="D1540" s="1" t="s">
        <v>21048</v>
      </c>
      <c r="F1540" s="1" t="s">
        <v>22440</v>
      </c>
      <c r="G1540" s="1" t="s">
        <v>22384</v>
      </c>
    </row>
    <row r="1541">
      <c r="A1541" s="197" t="s">
        <v>22441</v>
      </c>
      <c r="C1541" s="1" t="s">
        <v>22442</v>
      </c>
      <c r="D1541" s="1" t="s">
        <v>22443</v>
      </c>
      <c r="F1541" s="1" t="s">
        <v>22444</v>
      </c>
      <c r="G1541" s="1">
        <v>3.7068690099E10</v>
      </c>
    </row>
    <row r="1542">
      <c r="A1542" s="164" t="s">
        <v>22441</v>
      </c>
      <c r="B1542" s="44"/>
      <c r="C1542" s="44"/>
      <c r="D1542" s="44"/>
      <c r="E1542" s="38">
        <v>150.0</v>
      </c>
      <c r="F1542" s="38" t="s">
        <v>22445</v>
      </c>
      <c r="G1542" s="38" t="s">
        <v>22446</v>
      </c>
    </row>
    <row r="1543">
      <c r="A1543" s="197" t="s">
        <v>22441</v>
      </c>
      <c r="C1543" s="1" t="s">
        <v>22447</v>
      </c>
      <c r="D1543" s="1" t="s">
        <v>21423</v>
      </c>
      <c r="F1543" s="1" t="s">
        <v>22448</v>
      </c>
      <c r="G1543" s="196" t="s">
        <v>21424</v>
      </c>
      <c r="H1543" s="859" t="s">
        <v>21425</v>
      </c>
    </row>
    <row r="1544">
      <c r="A1544" s="164" t="s">
        <v>22441</v>
      </c>
      <c r="B1544" s="44"/>
      <c r="C1544" s="44"/>
      <c r="D1544" s="44"/>
      <c r="E1544" s="38">
        <v>-150.0</v>
      </c>
      <c r="F1544" s="38" t="s">
        <v>22449</v>
      </c>
      <c r="G1544" s="44"/>
    </row>
    <row r="1545">
      <c r="A1545" s="164" t="s">
        <v>22441</v>
      </c>
      <c r="B1545" s="44"/>
      <c r="C1545" s="44"/>
      <c r="D1545" s="44"/>
      <c r="E1545" s="44"/>
      <c r="F1545" s="38" t="s">
        <v>22450</v>
      </c>
      <c r="G1545" s="44"/>
      <c r="H1545" s="38" t="s">
        <v>22451</v>
      </c>
    </row>
    <row r="1546">
      <c r="A1546" s="164" t="s">
        <v>22441</v>
      </c>
      <c r="B1546" s="44"/>
      <c r="C1546" s="38" t="s">
        <v>20476</v>
      </c>
      <c r="D1546" s="38" t="s">
        <v>18812</v>
      </c>
      <c r="E1546" s="44"/>
      <c r="F1546" s="38" t="s">
        <v>22452</v>
      </c>
      <c r="G1546" s="38" t="s">
        <v>21314</v>
      </c>
    </row>
    <row r="1547">
      <c r="A1547" s="164" t="s">
        <v>22441</v>
      </c>
      <c r="B1547" s="44"/>
      <c r="C1547" s="44"/>
      <c r="D1547" s="44"/>
      <c r="E1547" s="38">
        <v>-1131.8</v>
      </c>
      <c r="F1547" s="38" t="s">
        <v>22453</v>
      </c>
      <c r="G1547" s="44"/>
    </row>
    <row r="1548">
      <c r="A1548" s="860" t="s">
        <v>22454</v>
      </c>
      <c r="B1548" s="861"/>
      <c r="C1548" s="861"/>
      <c r="D1548" s="861"/>
      <c r="E1548" s="861"/>
      <c r="F1548" s="861"/>
      <c r="G1548" s="861"/>
      <c r="H1548" s="861"/>
      <c r="I1548" s="861"/>
      <c r="J1548" s="861"/>
      <c r="K1548" s="861"/>
      <c r="L1548" s="861"/>
      <c r="M1548" s="861"/>
      <c r="N1548" s="861"/>
      <c r="O1548" s="861"/>
      <c r="P1548" s="861"/>
      <c r="Q1548" s="861"/>
      <c r="R1548" s="861"/>
      <c r="S1548" s="861"/>
      <c r="T1548" s="861"/>
      <c r="U1548" s="861"/>
      <c r="V1548" s="861"/>
      <c r="W1548" s="861"/>
      <c r="X1548" s="861"/>
      <c r="Y1548" s="861"/>
    </row>
    <row r="1549">
      <c r="A1549" s="830">
        <v>46174.0</v>
      </c>
      <c r="C1549" s="1" t="s">
        <v>19792</v>
      </c>
      <c r="D1549" s="862" t="s">
        <v>18583</v>
      </c>
      <c r="F1549" s="1" t="s">
        <v>20745</v>
      </c>
      <c r="G1549" s="488" t="s">
        <v>18584</v>
      </c>
    </row>
    <row r="1550">
      <c r="A1550" s="806">
        <v>46174.0</v>
      </c>
      <c r="B1550" s="44"/>
      <c r="C1550" s="38" t="s">
        <v>20003</v>
      </c>
      <c r="D1550" s="38" t="s">
        <v>22455</v>
      </c>
      <c r="E1550" s="38">
        <v>240.0</v>
      </c>
      <c r="F1550" s="38" t="s">
        <v>22456</v>
      </c>
      <c r="G1550" s="38" t="s">
        <v>22457</v>
      </c>
    </row>
    <row r="1551">
      <c r="A1551" s="830">
        <v>46174.0</v>
      </c>
      <c r="C1551" s="1" t="s">
        <v>4331</v>
      </c>
      <c r="D1551" s="1" t="s">
        <v>22458</v>
      </c>
      <c r="F1551" s="1" t="s">
        <v>22459</v>
      </c>
      <c r="G1551" s="1" t="s">
        <v>22460</v>
      </c>
    </row>
    <row r="1552">
      <c r="A1552" s="806">
        <v>46174.0</v>
      </c>
      <c r="B1552" s="44"/>
      <c r="C1552" s="38" t="s">
        <v>22461</v>
      </c>
      <c r="D1552" s="38" t="s">
        <v>22462</v>
      </c>
      <c r="E1552" s="44"/>
      <c r="F1552" s="38" t="s">
        <v>22463</v>
      </c>
      <c r="G1552" s="38" t="s">
        <v>22464</v>
      </c>
    </row>
    <row r="1553">
      <c r="A1553" s="840">
        <v>46204.0</v>
      </c>
      <c r="C1553" s="1" t="s">
        <v>20229</v>
      </c>
      <c r="D1553" s="1" t="s">
        <v>21150</v>
      </c>
      <c r="F1553" s="1" t="s">
        <v>22465</v>
      </c>
      <c r="G1553" s="1">
        <v>3.7061414726E10</v>
      </c>
    </row>
    <row r="1554">
      <c r="A1554" s="808">
        <v>46204.0</v>
      </c>
      <c r="B1554" s="44"/>
      <c r="C1554" s="38" t="s">
        <v>4328</v>
      </c>
      <c r="D1554" s="94" t="s">
        <v>22466</v>
      </c>
      <c r="E1554" s="44"/>
      <c r="F1554" s="38" t="s">
        <v>22467</v>
      </c>
      <c r="G1554" s="38" t="s">
        <v>19914</v>
      </c>
    </row>
    <row r="1555">
      <c r="A1555" s="808">
        <v>46204.0</v>
      </c>
      <c r="B1555" s="44"/>
      <c r="C1555" s="38" t="s">
        <v>21145</v>
      </c>
      <c r="D1555" s="38" t="s">
        <v>22468</v>
      </c>
      <c r="E1555" s="38">
        <v>620.0</v>
      </c>
      <c r="F1555" s="38" t="s">
        <v>22469</v>
      </c>
      <c r="G1555" s="38" t="s">
        <v>22470</v>
      </c>
    </row>
    <row r="1556">
      <c r="A1556" s="806">
        <v>46235.0</v>
      </c>
      <c r="B1556" s="44"/>
      <c r="C1556" s="38" t="s">
        <v>17816</v>
      </c>
      <c r="D1556" s="44"/>
      <c r="E1556" s="44"/>
      <c r="F1556" s="38" t="s">
        <v>22471</v>
      </c>
      <c r="G1556" s="38" t="s">
        <v>22472</v>
      </c>
    </row>
    <row r="1557">
      <c r="A1557" s="806">
        <v>46235.0</v>
      </c>
      <c r="B1557" s="44"/>
      <c r="C1557" s="38" t="s">
        <v>17933</v>
      </c>
      <c r="D1557" s="94" t="s">
        <v>21806</v>
      </c>
      <c r="E1557" s="44"/>
      <c r="F1557" s="38" t="s">
        <v>4299</v>
      </c>
      <c r="G1557" s="38" t="s">
        <v>22473</v>
      </c>
    </row>
    <row r="1558">
      <c r="A1558" s="806">
        <v>46235.0</v>
      </c>
      <c r="B1558" s="44"/>
      <c r="C1558" s="38" t="s">
        <v>22084</v>
      </c>
      <c r="D1558" s="44"/>
      <c r="E1558" s="44"/>
      <c r="F1558" s="38" t="s">
        <v>22474</v>
      </c>
      <c r="G1558" s="38" t="s">
        <v>18452</v>
      </c>
    </row>
    <row r="1559">
      <c r="A1559" s="30">
        <v>46357.0</v>
      </c>
      <c r="C1559" s="1" t="s">
        <v>22475</v>
      </c>
      <c r="D1559" s="1" t="s">
        <v>22476</v>
      </c>
      <c r="F1559" s="1" t="s">
        <v>22477</v>
      </c>
      <c r="G1559" s="1" t="s">
        <v>22478</v>
      </c>
    </row>
    <row r="1560">
      <c r="A1560" s="141">
        <v>46357.0</v>
      </c>
      <c r="B1560" s="44"/>
      <c r="C1560" s="38" t="s">
        <v>17816</v>
      </c>
      <c r="D1560" s="38" t="s">
        <v>18613</v>
      </c>
      <c r="E1560" s="44"/>
      <c r="F1560" s="38" t="s">
        <v>22479</v>
      </c>
      <c r="G1560" s="38" t="s">
        <v>22472</v>
      </c>
    </row>
    <row r="1561">
      <c r="A1561" s="141">
        <v>46357.0</v>
      </c>
      <c r="B1561" s="44"/>
      <c r="C1561" s="38" t="s">
        <v>19912</v>
      </c>
      <c r="D1561" s="38" t="s">
        <v>20466</v>
      </c>
      <c r="E1561" s="44"/>
      <c r="F1561" s="38" t="s">
        <v>22480</v>
      </c>
      <c r="G1561" s="38" t="s">
        <v>20741</v>
      </c>
    </row>
    <row r="1562">
      <c r="A1562" s="141">
        <v>46357.0</v>
      </c>
      <c r="B1562" s="44"/>
      <c r="C1562" s="38" t="s">
        <v>19944</v>
      </c>
      <c r="D1562" s="38" t="s">
        <v>21150</v>
      </c>
      <c r="E1562" s="38">
        <v>220.0</v>
      </c>
      <c r="F1562" s="38" t="s">
        <v>22481</v>
      </c>
      <c r="G1562" s="38" t="s">
        <v>22482</v>
      </c>
    </row>
    <row r="1563">
      <c r="A1563" s="38" t="s">
        <v>22483</v>
      </c>
      <c r="B1563" s="44"/>
      <c r="C1563" s="38" t="s">
        <v>3175</v>
      </c>
      <c r="D1563" s="44"/>
      <c r="E1563" s="44"/>
      <c r="F1563" s="38" t="s">
        <v>3174</v>
      </c>
      <c r="G1563" s="38" t="s">
        <v>22484</v>
      </c>
    </row>
    <row r="1564">
      <c r="A1564" s="38" t="s">
        <v>22483</v>
      </c>
      <c r="B1564" s="44"/>
      <c r="C1564" s="38" t="s">
        <v>3177</v>
      </c>
      <c r="D1564" s="38" t="s">
        <v>20504</v>
      </c>
      <c r="E1564" s="44"/>
      <c r="F1564" s="38" t="s">
        <v>3176</v>
      </c>
      <c r="G1564" s="38" t="s">
        <v>22484</v>
      </c>
    </row>
    <row r="1565">
      <c r="A1565" s="38" t="s">
        <v>22483</v>
      </c>
      <c r="B1565" s="44"/>
      <c r="C1565" s="38" t="s">
        <v>19912</v>
      </c>
      <c r="D1565" s="38" t="s">
        <v>20466</v>
      </c>
      <c r="E1565" s="44"/>
      <c r="F1565" s="38" t="s">
        <v>22485</v>
      </c>
      <c r="G1565" s="38" t="s">
        <v>20741</v>
      </c>
    </row>
    <row r="1566">
      <c r="A1566" s="38"/>
      <c r="B1566" s="44"/>
      <c r="C1566" s="38"/>
      <c r="D1566" s="38"/>
      <c r="E1566" s="44"/>
      <c r="F1566" s="38" t="s">
        <v>3291</v>
      </c>
      <c r="G1566" s="38" t="s">
        <v>20741</v>
      </c>
    </row>
    <row r="1567">
      <c r="A1567" s="1" t="s">
        <v>22483</v>
      </c>
      <c r="E1567" s="1">
        <v>-150.0</v>
      </c>
      <c r="F1567" s="1" t="s">
        <v>22486</v>
      </c>
    </row>
    <row r="1568">
      <c r="A1568" s="197" t="s">
        <v>22487</v>
      </c>
      <c r="C1568" s="1" t="s">
        <v>1889</v>
      </c>
      <c r="D1568" s="1" t="s">
        <v>22159</v>
      </c>
      <c r="F1568" s="1" t="s">
        <v>22488</v>
      </c>
      <c r="G1568" s="214" t="s">
        <v>22161</v>
      </c>
    </row>
    <row r="1569">
      <c r="A1569" s="46" t="s">
        <v>22489</v>
      </c>
      <c r="B1569" s="44"/>
      <c r="C1569" s="44"/>
      <c r="D1569" s="44"/>
      <c r="E1569" s="38">
        <v>-800.0</v>
      </c>
      <c r="F1569" s="38" t="s">
        <v>22098</v>
      </c>
      <c r="G1569" s="44"/>
    </row>
    <row r="1570">
      <c r="A1570" s="46" t="s">
        <v>22489</v>
      </c>
      <c r="B1570" s="44"/>
      <c r="C1570" s="38" t="s">
        <v>21011</v>
      </c>
      <c r="D1570" s="38" t="s">
        <v>22490</v>
      </c>
      <c r="E1570" s="44"/>
      <c r="F1570" s="38" t="s">
        <v>22491</v>
      </c>
      <c r="G1570" s="38" t="s">
        <v>22492</v>
      </c>
    </row>
    <row r="1571">
      <c r="A1571" s="46" t="s">
        <v>22489</v>
      </c>
      <c r="B1571" s="44"/>
      <c r="C1571" s="38" t="s">
        <v>19556</v>
      </c>
      <c r="D1571" s="38" t="s">
        <v>19028</v>
      </c>
      <c r="E1571" s="44"/>
      <c r="F1571" s="38" t="s">
        <v>22493</v>
      </c>
      <c r="G1571" s="94" t="s">
        <v>19029</v>
      </c>
    </row>
    <row r="1572">
      <c r="A1572" s="164" t="s">
        <v>22494</v>
      </c>
      <c r="B1572" s="44"/>
      <c r="C1572" s="38" t="s">
        <v>3177</v>
      </c>
      <c r="D1572" s="38" t="s">
        <v>20504</v>
      </c>
      <c r="E1572" s="44"/>
      <c r="F1572" s="38" t="s">
        <v>3174</v>
      </c>
      <c r="G1572" s="38" t="s">
        <v>22495</v>
      </c>
    </row>
    <row r="1573">
      <c r="A1573" s="164" t="s">
        <v>22494</v>
      </c>
      <c r="B1573" s="44"/>
      <c r="C1573" s="38" t="s">
        <v>22496</v>
      </c>
      <c r="D1573" s="38" t="s">
        <v>22425</v>
      </c>
      <c r="E1573" s="44"/>
      <c r="F1573" s="38" t="s">
        <v>5885</v>
      </c>
      <c r="G1573" s="38" t="s">
        <v>22427</v>
      </c>
    </row>
    <row r="1574">
      <c r="A1574" s="164" t="s">
        <v>22494</v>
      </c>
      <c r="B1574" s="44"/>
      <c r="C1574" s="38" t="s">
        <v>20706</v>
      </c>
      <c r="D1574" s="44"/>
      <c r="E1574" s="44"/>
      <c r="F1574" s="38" t="s">
        <v>22497</v>
      </c>
      <c r="G1574" s="38" t="s">
        <v>22484</v>
      </c>
    </row>
    <row r="1575">
      <c r="A1575" s="164" t="s">
        <v>22494</v>
      </c>
      <c r="B1575" s="44"/>
      <c r="C1575" s="38" t="s">
        <v>18001</v>
      </c>
      <c r="D1575" s="38" t="s">
        <v>22498</v>
      </c>
      <c r="E1575" s="38">
        <v>30.0</v>
      </c>
      <c r="F1575" s="38" t="s">
        <v>5885</v>
      </c>
      <c r="G1575" s="38" t="s">
        <v>22499</v>
      </c>
    </row>
    <row r="1576">
      <c r="A1576" s="1" t="s">
        <v>22500</v>
      </c>
      <c r="C1576" s="5" t="s">
        <v>22501</v>
      </c>
      <c r="D1576" s="1" t="s">
        <v>22502</v>
      </c>
      <c r="F1576" s="1" t="s">
        <v>22503</v>
      </c>
      <c r="G1576" s="1" t="s">
        <v>1734</v>
      </c>
    </row>
    <row r="1577">
      <c r="A1577" s="1" t="s">
        <v>22500</v>
      </c>
      <c r="C1577" s="1" t="s">
        <v>21498</v>
      </c>
      <c r="D1577" s="1" t="s">
        <v>20818</v>
      </c>
      <c r="F1577" s="1" t="s">
        <v>22504</v>
      </c>
      <c r="G1577" s="5" t="s">
        <v>22505</v>
      </c>
    </row>
    <row r="1578">
      <c r="A1578" s="164" t="s">
        <v>22506</v>
      </c>
      <c r="B1578" s="44"/>
      <c r="C1578" s="38" t="s">
        <v>21334</v>
      </c>
      <c r="D1578" s="38" t="s">
        <v>21861</v>
      </c>
      <c r="E1578" s="44"/>
      <c r="F1578" s="38" t="s">
        <v>22507</v>
      </c>
      <c r="G1578" s="38" t="s">
        <v>22508</v>
      </c>
    </row>
    <row r="1579">
      <c r="A1579" s="164" t="s">
        <v>22506</v>
      </c>
      <c r="B1579" s="44"/>
      <c r="C1579" s="38" t="s">
        <v>22509</v>
      </c>
      <c r="D1579" s="44"/>
      <c r="E1579" s="44"/>
      <c r="F1579" s="38" t="s">
        <v>4299</v>
      </c>
      <c r="G1579" s="38" t="s">
        <v>20652</v>
      </c>
    </row>
    <row r="1580">
      <c r="A1580" s="164" t="s">
        <v>22506</v>
      </c>
      <c r="B1580" s="44"/>
      <c r="C1580" s="44"/>
      <c r="D1580" s="44"/>
      <c r="E1580" s="44"/>
      <c r="F1580" s="38" t="s">
        <v>22510</v>
      </c>
      <c r="G1580" s="38" t="s">
        <v>22511</v>
      </c>
    </row>
    <row r="1581">
      <c r="A1581" s="197" t="s">
        <v>22506</v>
      </c>
      <c r="C1581" s="1" t="s">
        <v>22512</v>
      </c>
      <c r="D1581" s="1" t="s">
        <v>22502</v>
      </c>
      <c r="F1581" s="1" t="s">
        <v>22513</v>
      </c>
      <c r="G1581" s="1" t="s">
        <v>1734</v>
      </c>
    </row>
    <row r="1582">
      <c r="A1582" s="38" t="s">
        <v>22514</v>
      </c>
      <c r="B1582" s="44"/>
      <c r="C1582" s="38" t="s">
        <v>20263</v>
      </c>
      <c r="D1582" s="44"/>
      <c r="E1582" s="44"/>
      <c r="F1582" s="38" t="s">
        <v>22515</v>
      </c>
      <c r="G1582" s="38" t="s">
        <v>22516</v>
      </c>
    </row>
    <row r="1583">
      <c r="A1583" s="38" t="s">
        <v>22514</v>
      </c>
      <c r="B1583" s="44"/>
      <c r="C1583" s="38" t="s">
        <v>22517</v>
      </c>
      <c r="D1583" s="38" t="s">
        <v>22099</v>
      </c>
      <c r="E1583" s="38">
        <v>120.0</v>
      </c>
      <c r="F1583" s="38" t="s">
        <v>22518</v>
      </c>
      <c r="G1583" s="38" t="s">
        <v>22519</v>
      </c>
    </row>
    <row r="1584">
      <c r="A1584" s="38" t="s">
        <v>22514</v>
      </c>
      <c r="B1584" s="44"/>
      <c r="C1584" s="38" t="s">
        <v>3177</v>
      </c>
      <c r="D1584" s="38" t="s">
        <v>22230</v>
      </c>
      <c r="E1584" s="44"/>
      <c r="F1584" s="38" t="s">
        <v>3300</v>
      </c>
      <c r="G1584" s="38" t="s">
        <v>22306</v>
      </c>
    </row>
    <row r="1585">
      <c r="A1585" s="164" t="s">
        <v>22520</v>
      </c>
      <c r="B1585" s="44"/>
      <c r="C1585" s="38" t="s">
        <v>22217</v>
      </c>
      <c r="D1585" s="44"/>
      <c r="E1585" s="44"/>
      <c r="F1585" s="38" t="s">
        <v>22521</v>
      </c>
      <c r="G1585" s="38" t="s">
        <v>22522</v>
      </c>
    </row>
    <row r="1586">
      <c r="A1586" s="197" t="s">
        <v>22520</v>
      </c>
      <c r="C1586" s="1" t="s">
        <v>20488</v>
      </c>
      <c r="F1586" s="1" t="s">
        <v>22523</v>
      </c>
      <c r="G1586" s="1" t="s">
        <v>22524</v>
      </c>
    </row>
    <row r="1587">
      <c r="A1587" s="164" t="s">
        <v>22520</v>
      </c>
      <c r="B1587" s="44"/>
      <c r="C1587" s="38" t="s">
        <v>20286</v>
      </c>
      <c r="D1587" s="38" t="s">
        <v>22525</v>
      </c>
      <c r="E1587" s="44"/>
      <c r="F1587" s="38" t="s">
        <v>3286</v>
      </c>
      <c r="G1587" s="38" t="s">
        <v>22306</v>
      </c>
    </row>
    <row r="1588">
      <c r="A1588" s="38" t="s">
        <v>22526</v>
      </c>
      <c r="B1588" s="44"/>
      <c r="C1588" s="38" t="s">
        <v>18001</v>
      </c>
      <c r="D1588" s="44"/>
      <c r="E1588" s="44"/>
      <c r="F1588" s="38" t="s">
        <v>22527</v>
      </c>
      <c r="G1588" s="38" t="s">
        <v>20536</v>
      </c>
    </row>
    <row r="1589">
      <c r="A1589" s="1" t="s">
        <v>22526</v>
      </c>
      <c r="C1589" s="1" t="s">
        <v>19411</v>
      </c>
      <c r="F1589" s="1" t="s">
        <v>22528</v>
      </c>
      <c r="G1589" s="1" t="s">
        <v>22529</v>
      </c>
    </row>
    <row r="1590">
      <c r="A1590" s="164" t="s">
        <v>22530</v>
      </c>
      <c r="B1590" s="44"/>
      <c r="C1590" s="38" t="s">
        <v>18001</v>
      </c>
      <c r="D1590" s="44"/>
      <c r="E1590" s="44"/>
      <c r="F1590" s="38" t="s">
        <v>22531</v>
      </c>
      <c r="G1590" s="38" t="s">
        <v>20536</v>
      </c>
    </row>
    <row r="1591">
      <c r="A1591" s="38" t="s">
        <v>22532</v>
      </c>
      <c r="B1591" s="44"/>
      <c r="C1591" s="38" t="s">
        <v>22533</v>
      </c>
      <c r="D1591" s="94" t="s">
        <v>22534</v>
      </c>
      <c r="E1591" s="44"/>
      <c r="F1591" s="38" t="s">
        <v>3643</v>
      </c>
      <c r="G1591" s="94" t="s">
        <v>22535</v>
      </c>
    </row>
    <row r="1592">
      <c r="A1592" s="38" t="s">
        <v>22532</v>
      </c>
      <c r="B1592" s="44"/>
      <c r="C1592" s="38" t="s">
        <v>22536</v>
      </c>
      <c r="D1592" s="38" t="s">
        <v>18995</v>
      </c>
      <c r="E1592" s="44"/>
      <c r="F1592" s="38" t="s">
        <v>22537</v>
      </c>
      <c r="G1592" s="38" t="s">
        <v>11290</v>
      </c>
    </row>
    <row r="1593">
      <c r="A1593" s="38" t="s">
        <v>22532</v>
      </c>
      <c r="B1593" s="44"/>
      <c r="C1593" s="38" t="s">
        <v>20706</v>
      </c>
      <c r="D1593" s="44"/>
      <c r="E1593" s="44"/>
      <c r="F1593" s="38" t="s">
        <v>5936</v>
      </c>
      <c r="G1593" s="38" t="s">
        <v>22484</v>
      </c>
    </row>
    <row r="1594">
      <c r="A1594" s="1" t="s">
        <v>22532</v>
      </c>
      <c r="C1594" s="1" t="s">
        <v>20664</v>
      </c>
      <c r="F1594" s="1" t="s">
        <v>22538</v>
      </c>
      <c r="G1594" s="1" t="s">
        <v>8651</v>
      </c>
    </row>
    <row r="1595">
      <c r="A1595" s="164" t="s">
        <v>22539</v>
      </c>
      <c r="B1595" s="44"/>
      <c r="C1595" s="38" t="s">
        <v>22540</v>
      </c>
      <c r="D1595" s="38" t="s">
        <v>19412</v>
      </c>
      <c r="E1595" s="44"/>
      <c r="F1595" s="38" t="s">
        <v>22497</v>
      </c>
      <c r="G1595" s="94" t="s">
        <v>21787</v>
      </c>
    </row>
    <row r="1596">
      <c r="A1596" s="863" t="s">
        <v>22541</v>
      </c>
      <c r="B1596" s="864"/>
      <c r="C1596" s="864"/>
      <c r="D1596" s="864"/>
      <c r="E1596" s="864"/>
      <c r="F1596" s="864"/>
      <c r="G1596" s="864"/>
      <c r="H1596" s="864"/>
      <c r="I1596" s="864"/>
      <c r="J1596" s="864"/>
      <c r="K1596" s="864"/>
      <c r="L1596" s="864"/>
      <c r="M1596" s="864"/>
      <c r="N1596" s="864"/>
      <c r="O1596" s="864"/>
      <c r="P1596" s="864"/>
      <c r="Q1596" s="864"/>
      <c r="R1596" s="864"/>
      <c r="S1596" s="864"/>
      <c r="T1596" s="864"/>
      <c r="U1596" s="864"/>
    </row>
    <row r="1597">
      <c r="A1597" s="806">
        <v>46055.0</v>
      </c>
      <c r="B1597" s="44"/>
      <c r="C1597" s="38" t="s">
        <v>22542</v>
      </c>
      <c r="D1597" s="38" t="s">
        <v>19782</v>
      </c>
      <c r="E1597" s="44"/>
      <c r="F1597" s="38" t="s">
        <v>22543</v>
      </c>
      <c r="G1597" s="38" t="s">
        <v>19785</v>
      </c>
    </row>
    <row r="1598">
      <c r="A1598" s="806">
        <v>46055.0</v>
      </c>
      <c r="B1598" s="44"/>
      <c r="C1598" s="38" t="s">
        <v>20918</v>
      </c>
      <c r="D1598" s="38" t="s">
        <v>18926</v>
      </c>
      <c r="E1598" s="44"/>
      <c r="F1598" s="38" t="s">
        <v>22544</v>
      </c>
      <c r="G1598" s="38" t="s">
        <v>22545</v>
      </c>
    </row>
    <row r="1599">
      <c r="A1599" s="141">
        <v>46083.0</v>
      </c>
      <c r="B1599" s="44"/>
      <c r="C1599" s="38" t="s">
        <v>21288</v>
      </c>
      <c r="D1599" s="44"/>
      <c r="E1599" s="44"/>
      <c r="F1599" s="38" t="s">
        <v>22546</v>
      </c>
      <c r="G1599" s="38" t="s">
        <v>20536</v>
      </c>
    </row>
    <row r="1600">
      <c r="A1600" s="141">
        <v>46083.0</v>
      </c>
      <c r="B1600" s="44"/>
      <c r="C1600" s="38" t="s">
        <v>21015</v>
      </c>
      <c r="D1600" s="44"/>
      <c r="E1600" s="38">
        <v>20.0</v>
      </c>
      <c r="F1600" s="38" t="s">
        <v>11558</v>
      </c>
      <c r="G1600" s="38">
        <v>3.7067912401E10</v>
      </c>
    </row>
    <row r="1601">
      <c r="A1601" s="806">
        <v>46114.0</v>
      </c>
      <c r="B1601" s="44"/>
      <c r="C1601" s="38" t="s">
        <v>22542</v>
      </c>
      <c r="D1601" s="38" t="s">
        <v>19782</v>
      </c>
      <c r="E1601" s="44"/>
      <c r="F1601" s="38" t="s">
        <v>22547</v>
      </c>
      <c r="G1601" s="38" t="s">
        <v>19785</v>
      </c>
    </row>
    <row r="1602">
      <c r="A1602" s="806">
        <v>46114.0</v>
      </c>
      <c r="B1602" s="44"/>
      <c r="C1602" s="44"/>
      <c r="D1602" s="44"/>
      <c r="E1602" s="38">
        <v>120.0</v>
      </c>
      <c r="F1602" s="38" t="s">
        <v>22548</v>
      </c>
      <c r="G1602" s="38" t="s">
        <v>3347</v>
      </c>
    </row>
    <row r="1603">
      <c r="A1603" s="141">
        <v>46144.0</v>
      </c>
      <c r="B1603" s="44"/>
      <c r="C1603" s="38" t="s">
        <v>7909</v>
      </c>
      <c r="D1603" s="44"/>
      <c r="E1603" s="38">
        <v>50.0</v>
      </c>
      <c r="F1603" s="38" t="s">
        <v>22549</v>
      </c>
      <c r="G1603" s="44"/>
    </row>
    <row r="1604">
      <c r="A1604" s="30">
        <v>46144.0</v>
      </c>
      <c r="F1604" s="1" t="s">
        <v>22550</v>
      </c>
      <c r="G1604" s="1" t="s">
        <v>20711</v>
      </c>
    </row>
    <row r="1605">
      <c r="A1605" s="830">
        <v>46267.0</v>
      </c>
      <c r="C1605" s="1" t="s">
        <v>18766</v>
      </c>
      <c r="F1605" s="1" t="s">
        <v>22551</v>
      </c>
      <c r="G1605" s="5" t="s">
        <v>974</v>
      </c>
    </row>
    <row r="1606">
      <c r="A1606" s="806">
        <v>46267.0</v>
      </c>
      <c r="B1606" s="44"/>
      <c r="C1606" s="38" t="s">
        <v>22552</v>
      </c>
      <c r="D1606" s="38" t="s">
        <v>19838</v>
      </c>
      <c r="E1606" s="44"/>
      <c r="F1606" s="38" t="s">
        <v>22553</v>
      </c>
      <c r="G1606" s="38" t="s">
        <v>11622</v>
      </c>
    </row>
    <row r="1607">
      <c r="A1607" s="141">
        <v>46297.0</v>
      </c>
      <c r="B1607" s="44"/>
      <c r="C1607" s="38" t="s">
        <v>22552</v>
      </c>
      <c r="D1607" s="38" t="s">
        <v>19838</v>
      </c>
      <c r="E1607" s="44"/>
      <c r="F1607" s="38" t="s">
        <v>22554</v>
      </c>
      <c r="G1607" s="38" t="s">
        <v>11622</v>
      </c>
    </row>
    <row r="1608">
      <c r="A1608" s="806">
        <v>46328.0</v>
      </c>
      <c r="B1608" s="44"/>
      <c r="C1608" s="38" t="s">
        <v>22552</v>
      </c>
      <c r="D1608" s="38" t="s">
        <v>19838</v>
      </c>
      <c r="E1608" s="44"/>
      <c r="F1608" s="38" t="s">
        <v>22555</v>
      </c>
      <c r="G1608" s="38" t="s">
        <v>11622</v>
      </c>
    </row>
    <row r="1609">
      <c r="A1609" s="806">
        <v>46328.0</v>
      </c>
      <c r="B1609" s="44"/>
      <c r="C1609" s="38" t="s">
        <v>19912</v>
      </c>
      <c r="D1609" s="38" t="s">
        <v>22556</v>
      </c>
      <c r="E1609" s="44"/>
      <c r="F1609" s="38" t="s">
        <v>22557</v>
      </c>
      <c r="G1609" s="94" t="s">
        <v>21851</v>
      </c>
    </row>
    <row r="1610">
      <c r="A1610" s="806">
        <v>46328.0</v>
      </c>
      <c r="B1610" s="44"/>
      <c r="C1610" s="38" t="s">
        <v>20028</v>
      </c>
      <c r="D1610" s="38" t="s">
        <v>12218</v>
      </c>
      <c r="E1610" s="44"/>
      <c r="F1610" s="38" t="s">
        <v>22558</v>
      </c>
      <c r="G1610" s="94" t="s">
        <v>20166</v>
      </c>
    </row>
    <row r="1611">
      <c r="A1611" s="141">
        <v>46358.0</v>
      </c>
      <c r="B1611" s="44"/>
      <c r="C1611" s="38" t="s">
        <v>22559</v>
      </c>
      <c r="D1611" s="38" t="s">
        <v>22556</v>
      </c>
      <c r="E1611" s="44"/>
      <c r="F1611" s="38" t="s">
        <v>22560</v>
      </c>
      <c r="G1611" s="94" t="s">
        <v>21851</v>
      </c>
    </row>
    <row r="1612">
      <c r="A1612" s="141">
        <v>46358.0</v>
      </c>
      <c r="B1612" s="44"/>
      <c r="C1612" s="38" t="s">
        <v>22561</v>
      </c>
      <c r="D1612" s="94" t="s">
        <v>18685</v>
      </c>
      <c r="E1612" s="44"/>
      <c r="F1612" s="38" t="s">
        <v>22562</v>
      </c>
      <c r="G1612" s="38" t="s">
        <v>22563</v>
      </c>
    </row>
    <row r="1613">
      <c r="A1613" s="141">
        <v>46358.0</v>
      </c>
      <c r="B1613" s="44"/>
      <c r="C1613" s="38" t="s">
        <v>21334</v>
      </c>
      <c r="D1613" s="38" t="s">
        <v>18630</v>
      </c>
      <c r="E1613" s="44"/>
      <c r="F1613" s="38" t="s">
        <v>22564</v>
      </c>
      <c r="G1613" s="44"/>
    </row>
    <row r="1614">
      <c r="A1614" s="30">
        <v>46358.0</v>
      </c>
      <c r="E1614" s="1">
        <v>-470.0</v>
      </c>
      <c r="F1614" s="1" t="s">
        <v>22565</v>
      </c>
    </row>
    <row r="1615">
      <c r="A1615" s="38" t="s">
        <v>4168</v>
      </c>
      <c r="B1615" s="44"/>
      <c r="C1615" s="38" t="s">
        <v>4169</v>
      </c>
      <c r="D1615" s="38" t="s">
        <v>4170</v>
      </c>
      <c r="E1615" s="44"/>
      <c r="F1615" s="38" t="s">
        <v>4171</v>
      </c>
      <c r="G1615" s="38" t="s">
        <v>7437</v>
      </c>
    </row>
    <row r="1616">
      <c r="A1616" s="38" t="s">
        <v>4168</v>
      </c>
      <c r="B1616" s="44"/>
      <c r="C1616" s="38" t="s">
        <v>19799</v>
      </c>
      <c r="D1616" s="38" t="s">
        <v>19775</v>
      </c>
      <c r="E1616" s="44"/>
      <c r="F1616" s="38" t="s">
        <v>5885</v>
      </c>
      <c r="G1616" s="94" t="s">
        <v>20676</v>
      </c>
    </row>
    <row r="1617">
      <c r="A1617" s="1" t="s">
        <v>4168</v>
      </c>
      <c r="E1617" s="1">
        <v>30.0</v>
      </c>
      <c r="F1617" s="1" t="s">
        <v>22566</v>
      </c>
    </row>
    <row r="1618">
      <c r="A1618" s="164" t="s">
        <v>22567</v>
      </c>
      <c r="B1618" s="44"/>
      <c r="C1618" s="38" t="s">
        <v>22568</v>
      </c>
      <c r="D1618" s="38" t="s">
        <v>19051</v>
      </c>
      <c r="E1618" s="44"/>
      <c r="F1618" s="38" t="s">
        <v>22569</v>
      </c>
      <c r="G1618" s="38" t="s">
        <v>20536</v>
      </c>
    </row>
    <row r="1619">
      <c r="A1619" s="164" t="s">
        <v>22567</v>
      </c>
      <c r="B1619" s="44"/>
      <c r="C1619" s="38" t="s">
        <v>22559</v>
      </c>
      <c r="D1619" s="44"/>
      <c r="E1619" s="44"/>
      <c r="F1619" s="38" t="s">
        <v>22570</v>
      </c>
      <c r="G1619" s="94" t="s">
        <v>21851</v>
      </c>
    </row>
    <row r="1620">
      <c r="A1620" s="64" t="s">
        <v>22571</v>
      </c>
      <c r="C1620" s="1" t="s">
        <v>18445</v>
      </c>
      <c r="E1620">
        <f>SUM(60*2+30+30)</f>
        <v>180</v>
      </c>
      <c r="F1620" s="1" t="s">
        <v>22572</v>
      </c>
      <c r="G1620" s="1" t="s">
        <v>22573</v>
      </c>
    </row>
    <row r="1621">
      <c r="A1621" s="46" t="s">
        <v>22571</v>
      </c>
      <c r="B1621" s="44"/>
      <c r="C1621" s="38" t="s">
        <v>22559</v>
      </c>
      <c r="D1621" s="44"/>
      <c r="E1621" s="44"/>
      <c r="F1621" s="38" t="s">
        <v>22574</v>
      </c>
      <c r="G1621" s="94" t="s">
        <v>21851</v>
      </c>
    </row>
    <row r="1622">
      <c r="A1622" s="46" t="s">
        <v>22571</v>
      </c>
      <c r="B1622" s="44"/>
      <c r="C1622" s="38" t="s">
        <v>20003</v>
      </c>
      <c r="D1622" s="38" t="s">
        <v>18859</v>
      </c>
      <c r="E1622" s="44"/>
      <c r="F1622" s="38" t="s">
        <v>22575</v>
      </c>
      <c r="G1622" s="94" t="s">
        <v>20023</v>
      </c>
    </row>
    <row r="1623">
      <c r="A1623" s="64" t="s">
        <v>22571</v>
      </c>
      <c r="C1623" s="1" t="s">
        <v>20151</v>
      </c>
      <c r="E1623" s="1">
        <v>90.0</v>
      </c>
      <c r="F1623" s="1" t="s">
        <v>22576</v>
      </c>
      <c r="G1623" s="1" t="s">
        <v>22577</v>
      </c>
      <c r="H1623" s="1" t="s">
        <v>22578</v>
      </c>
    </row>
    <row r="1624">
      <c r="A1624" s="197" t="s">
        <v>22579</v>
      </c>
      <c r="C1624" s="1" t="s">
        <v>22580</v>
      </c>
      <c r="D1624" s="1" t="s">
        <v>22581</v>
      </c>
      <c r="E1624" s="1">
        <v>40.0</v>
      </c>
      <c r="F1624" s="1" t="s">
        <v>22582</v>
      </c>
      <c r="G1624" s="1">
        <v>3.7062020202E10</v>
      </c>
    </row>
    <row r="1625">
      <c r="A1625" s="164" t="s">
        <v>22579</v>
      </c>
      <c r="B1625" s="44"/>
      <c r="C1625" s="38" t="s">
        <v>22583</v>
      </c>
      <c r="D1625" s="44"/>
      <c r="E1625" s="44"/>
      <c r="F1625" s="38" t="s">
        <v>22584</v>
      </c>
      <c r="G1625" s="38" t="s">
        <v>22585</v>
      </c>
    </row>
    <row r="1626">
      <c r="A1626" s="38" t="s">
        <v>22586</v>
      </c>
      <c r="B1626" s="44"/>
      <c r="C1626" s="38" t="s">
        <v>22587</v>
      </c>
      <c r="D1626" s="38" t="s">
        <v>19789</v>
      </c>
      <c r="E1626" s="44"/>
      <c r="F1626" s="38" t="s">
        <v>22588</v>
      </c>
      <c r="G1626" s="38" t="s">
        <v>20741</v>
      </c>
    </row>
    <row r="1627">
      <c r="A1627" s="38" t="s">
        <v>22586</v>
      </c>
      <c r="B1627" s="44"/>
      <c r="C1627" s="38" t="s">
        <v>17822</v>
      </c>
      <c r="D1627" s="44"/>
      <c r="E1627" s="38">
        <v>50.0</v>
      </c>
      <c r="F1627" s="38" t="s">
        <v>22589</v>
      </c>
      <c r="G1627" s="44"/>
    </row>
    <row r="1628">
      <c r="A1628" s="164" t="s">
        <v>22590</v>
      </c>
      <c r="B1628" s="44"/>
      <c r="C1628" s="38" t="s">
        <v>19754</v>
      </c>
      <c r="D1628" s="38" t="s">
        <v>22591</v>
      </c>
      <c r="E1628" s="44"/>
      <c r="F1628" s="38" t="s">
        <v>22592</v>
      </c>
      <c r="G1628" s="38" t="s">
        <v>22593</v>
      </c>
    </row>
    <row r="1629">
      <c r="A1629" s="164" t="s">
        <v>22590</v>
      </c>
      <c r="B1629" s="44"/>
      <c r="C1629" s="38" t="s">
        <v>22542</v>
      </c>
      <c r="D1629" s="38" t="s">
        <v>19782</v>
      </c>
      <c r="E1629" s="44"/>
      <c r="F1629" s="38" t="s">
        <v>22594</v>
      </c>
      <c r="G1629" s="38" t="s">
        <v>19785</v>
      </c>
    </row>
    <row r="1630">
      <c r="A1630" s="865" t="s">
        <v>22595</v>
      </c>
      <c r="B1630" s="864"/>
      <c r="C1630" s="864"/>
      <c r="D1630" s="864"/>
      <c r="E1630" s="864"/>
      <c r="F1630" s="864"/>
      <c r="G1630" s="864"/>
      <c r="H1630" s="864"/>
      <c r="I1630" s="864"/>
      <c r="J1630" s="864"/>
      <c r="K1630" s="864"/>
      <c r="L1630" s="864"/>
      <c r="M1630" s="864"/>
      <c r="N1630" s="864"/>
      <c r="O1630" s="864"/>
      <c r="P1630" s="864"/>
      <c r="Q1630" s="864"/>
      <c r="R1630" s="864"/>
      <c r="S1630" s="864"/>
      <c r="T1630" s="864"/>
      <c r="U1630" s="864"/>
    </row>
    <row r="1631">
      <c r="A1631" s="806">
        <v>46056.0</v>
      </c>
      <c r="B1631" s="44"/>
      <c r="C1631" s="38" t="s">
        <v>22596</v>
      </c>
      <c r="D1631" s="38" t="s">
        <v>19789</v>
      </c>
      <c r="E1631" s="44"/>
      <c r="F1631" s="38" t="s">
        <v>22597</v>
      </c>
      <c r="G1631" s="38" t="s">
        <v>20741</v>
      </c>
    </row>
    <row r="1632">
      <c r="A1632" s="806">
        <v>46056.0</v>
      </c>
      <c r="B1632" s="44"/>
      <c r="C1632" s="38" t="s">
        <v>22542</v>
      </c>
      <c r="D1632" s="38" t="s">
        <v>19782</v>
      </c>
      <c r="E1632" s="44"/>
      <c r="F1632" s="38" t="s">
        <v>22598</v>
      </c>
      <c r="G1632" s="38" t="s">
        <v>19785</v>
      </c>
    </row>
    <row r="1633">
      <c r="A1633" s="141">
        <v>46084.0</v>
      </c>
      <c r="B1633" s="44"/>
      <c r="C1633" s="38" t="s">
        <v>22542</v>
      </c>
      <c r="D1633" s="38" t="s">
        <v>19782</v>
      </c>
      <c r="E1633" s="44"/>
      <c r="F1633" s="38" t="s">
        <v>22599</v>
      </c>
      <c r="G1633" s="38" t="s">
        <v>19785</v>
      </c>
    </row>
    <row r="1634">
      <c r="A1634" s="806">
        <v>46115.0</v>
      </c>
      <c r="B1634" s="44"/>
      <c r="C1634" s="38" t="s">
        <v>22542</v>
      </c>
      <c r="D1634" s="38" t="s">
        <v>19782</v>
      </c>
      <c r="E1634" s="44"/>
      <c r="F1634" s="38" t="s">
        <v>22600</v>
      </c>
      <c r="G1634" s="38" t="s">
        <v>19785</v>
      </c>
    </row>
    <row r="1635">
      <c r="A1635" s="806">
        <v>46115.0</v>
      </c>
      <c r="B1635" s="44"/>
      <c r="C1635" s="38" t="s">
        <v>22601</v>
      </c>
      <c r="D1635" s="38" t="s">
        <v>22602</v>
      </c>
      <c r="E1635" s="38">
        <v>40.0</v>
      </c>
      <c r="F1635" s="38" t="s">
        <v>21868</v>
      </c>
      <c r="G1635" s="94" t="s">
        <v>22603</v>
      </c>
    </row>
    <row r="1636">
      <c r="A1636" s="806">
        <v>46115.0</v>
      </c>
      <c r="B1636" s="44"/>
      <c r="C1636" s="44"/>
      <c r="D1636" s="44"/>
      <c r="E1636" s="38">
        <v>5.0</v>
      </c>
      <c r="F1636" s="38" t="s">
        <v>22604</v>
      </c>
      <c r="G1636" s="38" t="s">
        <v>22605</v>
      </c>
    </row>
    <row r="1637">
      <c r="A1637" s="141">
        <v>46145.0</v>
      </c>
      <c r="B1637" s="44"/>
      <c r="C1637" s="38" t="s">
        <v>18189</v>
      </c>
      <c r="D1637" s="38" t="s">
        <v>21560</v>
      </c>
      <c r="E1637" s="44"/>
      <c r="F1637" s="38" t="s">
        <v>4299</v>
      </c>
      <c r="G1637" s="94" t="s">
        <v>20050</v>
      </c>
    </row>
    <row r="1638">
      <c r="A1638" s="141">
        <v>46145.0</v>
      </c>
      <c r="B1638" s="44"/>
      <c r="C1638" s="38" t="s">
        <v>22542</v>
      </c>
      <c r="D1638" s="38" t="s">
        <v>19782</v>
      </c>
      <c r="E1638" s="44"/>
      <c r="F1638" s="38" t="s">
        <v>22606</v>
      </c>
      <c r="G1638" s="38" t="s">
        <v>19785</v>
      </c>
    </row>
    <row r="1639">
      <c r="A1639" s="141">
        <v>46145.0</v>
      </c>
      <c r="B1639" s="44"/>
      <c r="C1639" s="38" t="s">
        <v>22607</v>
      </c>
      <c r="D1639" s="44"/>
      <c r="E1639" s="44"/>
      <c r="F1639" s="38" t="s">
        <v>22608</v>
      </c>
      <c r="G1639" s="38" t="s">
        <v>22609</v>
      </c>
    </row>
    <row r="1640">
      <c r="A1640" s="806">
        <v>46176.0</v>
      </c>
      <c r="B1640" s="44"/>
      <c r="C1640" s="44"/>
      <c r="D1640" s="44"/>
      <c r="E1640" s="38">
        <v>-35.2</v>
      </c>
      <c r="F1640" s="38" t="s">
        <v>22610</v>
      </c>
      <c r="G1640" s="44"/>
    </row>
    <row r="1641">
      <c r="A1641" s="806">
        <v>46176.0</v>
      </c>
      <c r="B1641" s="44"/>
      <c r="C1641" s="38" t="s">
        <v>22542</v>
      </c>
      <c r="D1641" s="38" t="s">
        <v>19782</v>
      </c>
      <c r="E1641" s="44"/>
      <c r="F1641" s="38" t="s">
        <v>22611</v>
      </c>
      <c r="G1641" s="38" t="s">
        <v>19785</v>
      </c>
    </row>
    <row r="1642">
      <c r="A1642" s="806">
        <v>46176.0</v>
      </c>
      <c r="B1642" s="44"/>
      <c r="C1642" s="38" t="s">
        <v>22612</v>
      </c>
      <c r="D1642" s="44"/>
      <c r="E1642" s="44"/>
      <c r="F1642" s="38" t="s">
        <v>22613</v>
      </c>
      <c r="G1642" s="38" t="s">
        <v>1015</v>
      </c>
    </row>
    <row r="1643">
      <c r="A1643" s="30">
        <v>46268.0</v>
      </c>
      <c r="C1643" s="1" t="s">
        <v>22614</v>
      </c>
      <c r="D1643" s="1" t="s">
        <v>22615</v>
      </c>
      <c r="E1643" s="1">
        <v>150.0</v>
      </c>
      <c r="F1643" s="1" t="s">
        <v>22616</v>
      </c>
      <c r="G1643" s="1" t="s">
        <v>1170</v>
      </c>
    </row>
    <row r="1644">
      <c r="A1644" s="141">
        <v>46268.0</v>
      </c>
      <c r="B1644" s="44"/>
      <c r="C1644" s="44"/>
      <c r="D1644" s="44"/>
      <c r="E1644" s="44"/>
      <c r="F1644" s="38" t="s">
        <v>22617</v>
      </c>
      <c r="G1644" s="38" t="s">
        <v>22605</v>
      </c>
    </row>
    <row r="1645">
      <c r="A1645" s="30">
        <v>46268.0</v>
      </c>
      <c r="E1645" s="1">
        <v>200.0</v>
      </c>
      <c r="F1645" s="1" t="s">
        <v>22618</v>
      </c>
    </row>
    <row r="1646">
      <c r="A1646" s="30">
        <v>46268.0</v>
      </c>
      <c r="E1646" s="1">
        <v>-400.0</v>
      </c>
      <c r="F1646" s="1" t="s">
        <v>22619</v>
      </c>
    </row>
    <row r="1647">
      <c r="A1647" s="141">
        <v>46268.0</v>
      </c>
      <c r="B1647" s="44"/>
      <c r="C1647" s="44"/>
      <c r="D1647" s="44"/>
      <c r="E1647" s="38">
        <v>10.0</v>
      </c>
      <c r="F1647" s="38" t="s">
        <v>22620</v>
      </c>
      <c r="G1647" s="38" t="s">
        <v>22621</v>
      </c>
    </row>
    <row r="1648">
      <c r="A1648" s="806">
        <v>46298.0</v>
      </c>
      <c r="B1648" s="44"/>
      <c r="C1648" s="38" t="s">
        <v>19556</v>
      </c>
      <c r="D1648" s="38" t="s">
        <v>22622</v>
      </c>
      <c r="E1648" s="38">
        <v>30.0</v>
      </c>
      <c r="F1648" s="38" t="s">
        <v>22623</v>
      </c>
      <c r="G1648" s="38" t="s">
        <v>20127</v>
      </c>
    </row>
    <row r="1649">
      <c r="A1649" s="141">
        <v>46359.0</v>
      </c>
      <c r="B1649" s="44"/>
      <c r="C1649" s="44"/>
      <c r="D1649" s="44"/>
      <c r="E1649" s="44"/>
      <c r="F1649" s="38" t="s">
        <v>22624</v>
      </c>
      <c r="G1649" s="38" t="s">
        <v>22625</v>
      </c>
      <c r="Q1649" s="866" t="s">
        <v>21074</v>
      </c>
      <c r="S1649" s="867" t="s">
        <v>22626</v>
      </c>
    </row>
    <row r="1650">
      <c r="A1650" s="141">
        <v>46359.0</v>
      </c>
      <c r="B1650" s="44"/>
      <c r="C1650" s="44"/>
      <c r="D1650" s="44"/>
      <c r="E1650" s="38">
        <v>20.0</v>
      </c>
      <c r="F1650" s="38" t="s">
        <v>22627</v>
      </c>
      <c r="G1650" s="38" t="s">
        <v>22621</v>
      </c>
      <c r="P1650" s="868" t="s">
        <v>22628</v>
      </c>
      <c r="Q1650" s="869" t="s">
        <v>17612</v>
      </c>
      <c r="R1650" s="869" t="s">
        <v>22629</v>
      </c>
      <c r="S1650" s="870" t="s">
        <v>22630</v>
      </c>
      <c r="T1650" s="869" t="s">
        <v>22631</v>
      </c>
      <c r="U1650" s="870" t="s">
        <v>22632</v>
      </c>
      <c r="V1650" s="870" t="s">
        <v>22633</v>
      </c>
    </row>
    <row r="1651">
      <c r="A1651" s="38" t="s">
        <v>22634</v>
      </c>
      <c r="B1651" s="44"/>
      <c r="C1651" s="38" t="s">
        <v>19909</v>
      </c>
      <c r="D1651" s="44"/>
      <c r="E1651" s="44"/>
      <c r="F1651" s="38" t="s">
        <v>22635</v>
      </c>
      <c r="G1651" s="38" t="s">
        <v>19818</v>
      </c>
      <c r="P1651" s="871">
        <v>46002.0</v>
      </c>
      <c r="Q1651" s="849" t="s">
        <v>18061</v>
      </c>
      <c r="R1651" s="198" t="s">
        <v>22636</v>
      </c>
      <c r="S1651" s="872">
        <v>53.51</v>
      </c>
      <c r="T1651" s="849" t="s">
        <v>22152</v>
      </c>
      <c r="U1651" s="1">
        <v>10.0</v>
      </c>
      <c r="V1651" s="849"/>
    </row>
    <row r="1652">
      <c r="A1652" s="38" t="s">
        <v>22634</v>
      </c>
      <c r="B1652" s="44"/>
      <c r="C1652" s="38" t="s">
        <v>19870</v>
      </c>
      <c r="D1652" s="38" t="s">
        <v>22637</v>
      </c>
      <c r="E1652" s="44"/>
      <c r="F1652" s="38" t="s">
        <v>22638</v>
      </c>
      <c r="G1652" s="44"/>
      <c r="H1652" s="44"/>
      <c r="P1652" s="840">
        <v>45700.0</v>
      </c>
      <c r="Q1652" s="1" t="s">
        <v>18001</v>
      </c>
      <c r="R1652" s="873" t="s">
        <v>22639</v>
      </c>
      <c r="S1652" s="872">
        <v>8.06</v>
      </c>
      <c r="T1652" s="856" t="s">
        <v>22369</v>
      </c>
      <c r="U1652" s="1">
        <v>65.0</v>
      </c>
      <c r="V1652" s="64"/>
    </row>
    <row r="1653">
      <c r="A1653" s="38" t="s">
        <v>22634</v>
      </c>
      <c r="B1653" s="44"/>
      <c r="C1653" s="94" t="s">
        <v>20089</v>
      </c>
      <c r="D1653" s="44"/>
      <c r="E1653" s="44"/>
      <c r="F1653" s="38" t="s">
        <v>22640</v>
      </c>
      <c r="G1653" s="94" t="s">
        <v>18908</v>
      </c>
      <c r="P1653" s="840">
        <v>46093.0</v>
      </c>
      <c r="Q1653" s="1" t="s">
        <v>18001</v>
      </c>
      <c r="R1653" s="207" t="s">
        <v>22641</v>
      </c>
      <c r="S1653" s="872">
        <v>8.06</v>
      </c>
      <c r="T1653" s="856" t="s">
        <v>22371</v>
      </c>
      <c r="U1653" s="1">
        <v>30.0</v>
      </c>
    </row>
    <row r="1654">
      <c r="A1654" s="38" t="s">
        <v>22634</v>
      </c>
      <c r="B1654" s="44"/>
      <c r="C1654" s="38" t="s">
        <v>22642</v>
      </c>
      <c r="D1654" s="38" t="s">
        <v>22643</v>
      </c>
      <c r="E1654" s="44"/>
      <c r="F1654" s="38" t="s">
        <v>22644</v>
      </c>
      <c r="G1654" s="38" t="s">
        <v>1141</v>
      </c>
      <c r="P1654" s="840">
        <v>46093.0</v>
      </c>
      <c r="Q1654" s="1" t="s">
        <v>18001</v>
      </c>
      <c r="R1654" s="874" t="s">
        <v>22645</v>
      </c>
      <c r="S1654" s="872">
        <v>7.99</v>
      </c>
      <c r="T1654" s="856" t="s">
        <v>22393</v>
      </c>
      <c r="U1654" s="1">
        <v>30.0</v>
      </c>
    </row>
    <row r="1655">
      <c r="A1655" s="38" t="s">
        <v>22634</v>
      </c>
      <c r="B1655" s="44"/>
      <c r="C1655" s="44"/>
      <c r="D1655" s="44"/>
      <c r="E1655" s="44"/>
      <c r="F1655" s="38" t="s">
        <v>22646</v>
      </c>
      <c r="G1655" s="38" t="s">
        <v>22647</v>
      </c>
      <c r="P1655" s="840">
        <v>46093.0</v>
      </c>
      <c r="Q1655" s="1" t="s">
        <v>18001</v>
      </c>
      <c r="R1655" s="158" t="s">
        <v>22648</v>
      </c>
      <c r="S1655" s="872">
        <v>4.56</v>
      </c>
      <c r="T1655" s="64" t="s">
        <v>22649</v>
      </c>
      <c r="U1655" s="1">
        <v>70.0</v>
      </c>
    </row>
    <row r="1656">
      <c r="A1656" s="38" t="s">
        <v>22634</v>
      </c>
      <c r="B1656" s="44"/>
      <c r="C1656" s="38" t="s">
        <v>22650</v>
      </c>
      <c r="D1656" s="38" t="s">
        <v>20570</v>
      </c>
      <c r="E1656" s="44"/>
      <c r="F1656" s="38" t="s">
        <v>22651</v>
      </c>
      <c r="G1656" s="38" t="s">
        <v>6938</v>
      </c>
      <c r="P1656" s="840">
        <v>46093.0</v>
      </c>
      <c r="Q1656" s="1" t="s">
        <v>18001</v>
      </c>
      <c r="R1656" s="158" t="s">
        <v>22652</v>
      </c>
      <c r="S1656" s="872">
        <v>14.27</v>
      </c>
      <c r="T1656" s="856" t="s">
        <v>22380</v>
      </c>
      <c r="U1656" s="1">
        <v>45.0</v>
      </c>
    </row>
    <row r="1657">
      <c r="A1657" s="197" t="s">
        <v>22653</v>
      </c>
      <c r="C1657" s="5" t="s">
        <v>20120</v>
      </c>
      <c r="D1657" s="5" t="s">
        <v>20119</v>
      </c>
      <c r="E1657" s="5"/>
      <c r="F1657" s="5" t="s">
        <v>22654</v>
      </c>
      <c r="G1657" s="196" t="s">
        <v>20038</v>
      </c>
      <c r="P1657" s="840">
        <v>46093.0</v>
      </c>
      <c r="Q1657" s="1" t="s">
        <v>18001</v>
      </c>
      <c r="R1657" s="163" t="s">
        <v>22655</v>
      </c>
      <c r="S1657" s="872">
        <v>7.52</v>
      </c>
      <c r="T1657" s="856" t="s">
        <v>22382</v>
      </c>
      <c r="U1657" s="1">
        <v>35.0</v>
      </c>
    </row>
    <row r="1658">
      <c r="A1658" s="197" t="s">
        <v>22653</v>
      </c>
      <c r="C1658" s="1" t="s">
        <v>22656</v>
      </c>
      <c r="D1658" s="196" t="s">
        <v>22657</v>
      </c>
      <c r="F1658" s="1" t="s">
        <v>22658</v>
      </c>
      <c r="G1658" s="196" t="s">
        <v>20038</v>
      </c>
      <c r="P1658" s="840">
        <v>46093.0</v>
      </c>
      <c r="Q1658" s="1" t="s">
        <v>18001</v>
      </c>
      <c r="R1658" s="158" t="s">
        <v>22659</v>
      </c>
      <c r="S1658" s="872">
        <v>9.3</v>
      </c>
      <c r="T1658" s="856" t="s">
        <v>22385</v>
      </c>
      <c r="U1658" s="1">
        <v>30.0</v>
      </c>
    </row>
    <row r="1659">
      <c r="A1659" s="164" t="s">
        <v>22653</v>
      </c>
      <c r="B1659" s="44"/>
      <c r="C1659" s="44"/>
      <c r="D1659" s="44"/>
      <c r="E1659" s="44"/>
      <c r="F1659" s="38" t="s">
        <v>22660</v>
      </c>
      <c r="G1659" s="38" t="s">
        <v>21440</v>
      </c>
      <c r="P1659" s="840">
        <v>46093.0</v>
      </c>
      <c r="Q1659" s="1" t="s">
        <v>18001</v>
      </c>
      <c r="R1659" s="163" t="s">
        <v>22661</v>
      </c>
      <c r="S1659" s="872">
        <v>10.21</v>
      </c>
      <c r="T1659" s="856" t="s">
        <v>22388</v>
      </c>
      <c r="U1659" s="1">
        <v>65.0</v>
      </c>
    </row>
    <row r="1660">
      <c r="A1660" s="38" t="s">
        <v>22662</v>
      </c>
      <c r="B1660" s="44"/>
      <c r="C1660" s="44"/>
      <c r="D1660" s="44"/>
      <c r="E1660" s="44"/>
      <c r="F1660" s="38" t="s">
        <v>22663</v>
      </c>
      <c r="G1660" s="38" t="s">
        <v>21440</v>
      </c>
      <c r="P1660" s="840">
        <v>46093.0</v>
      </c>
      <c r="Q1660" s="1" t="s">
        <v>18001</v>
      </c>
      <c r="R1660" s="875" t="s">
        <v>22664</v>
      </c>
      <c r="S1660" s="872">
        <v>12.61</v>
      </c>
      <c r="T1660" s="856" t="s">
        <v>22390</v>
      </c>
      <c r="U1660" s="1">
        <v>10.0</v>
      </c>
    </row>
    <row r="1661">
      <c r="A1661" s="38" t="s">
        <v>22662</v>
      </c>
      <c r="B1661" s="44"/>
      <c r="C1661" s="38" t="s">
        <v>19885</v>
      </c>
      <c r="D1661" s="38" t="s">
        <v>18960</v>
      </c>
      <c r="E1661" s="44"/>
      <c r="F1661" s="38" t="s">
        <v>22665</v>
      </c>
      <c r="G1661" s="38" t="s">
        <v>22666</v>
      </c>
      <c r="P1661" s="840">
        <v>46093.0</v>
      </c>
      <c r="Q1661" s="1" t="s">
        <v>18001</v>
      </c>
      <c r="R1661" s="876" t="s">
        <v>22664</v>
      </c>
      <c r="S1661" s="872">
        <v>12.61</v>
      </c>
      <c r="T1661" s="1" t="s">
        <v>22667</v>
      </c>
      <c r="U1661" s="1">
        <v>100.0</v>
      </c>
      <c r="V1661" s="1" t="s">
        <v>22668</v>
      </c>
    </row>
    <row r="1662">
      <c r="A1662" s="38" t="s">
        <v>22662</v>
      </c>
      <c r="B1662" s="44"/>
      <c r="C1662" s="44"/>
      <c r="D1662" s="44"/>
      <c r="E1662" s="38">
        <v>80.0</v>
      </c>
      <c r="F1662" s="38" t="s">
        <v>20866</v>
      </c>
      <c r="G1662" s="44"/>
      <c r="P1662" s="840">
        <v>45759.0</v>
      </c>
      <c r="Q1662" s="1" t="s">
        <v>18001</v>
      </c>
      <c r="R1662" s="155" t="s">
        <v>22669</v>
      </c>
      <c r="S1662" s="872">
        <v>36.36</v>
      </c>
      <c r="T1662" s="1" t="s">
        <v>22398</v>
      </c>
      <c r="U1662" s="1">
        <v>30.0</v>
      </c>
    </row>
    <row r="1663">
      <c r="A1663" s="164" t="s">
        <v>22670</v>
      </c>
      <c r="B1663" s="44"/>
      <c r="C1663" s="44"/>
      <c r="D1663" s="44"/>
      <c r="E1663" s="44"/>
      <c r="F1663" s="38" t="s">
        <v>22671</v>
      </c>
      <c r="G1663" s="38" t="s">
        <v>22672</v>
      </c>
      <c r="P1663" s="840">
        <v>45759.0</v>
      </c>
      <c r="Q1663" s="1" t="s">
        <v>18001</v>
      </c>
      <c r="R1663" s="5" t="s">
        <v>22673</v>
      </c>
      <c r="S1663" s="24"/>
      <c r="T1663" s="1" t="s">
        <v>22399</v>
      </c>
      <c r="U1663" s="1">
        <v>30.0</v>
      </c>
    </row>
    <row r="1664">
      <c r="A1664" s="164" t="s">
        <v>22670</v>
      </c>
      <c r="B1664" s="44"/>
      <c r="C1664" s="38" t="s">
        <v>22674</v>
      </c>
      <c r="D1664" s="49" t="s">
        <v>18118</v>
      </c>
      <c r="E1664" s="44"/>
      <c r="F1664" s="38" t="s">
        <v>22675</v>
      </c>
      <c r="G1664" s="38" t="s">
        <v>17648</v>
      </c>
      <c r="P1664" s="840">
        <v>45759.0</v>
      </c>
      <c r="Q1664" s="1" t="s">
        <v>18001</v>
      </c>
      <c r="R1664" s="1" t="s">
        <v>22676</v>
      </c>
      <c r="S1664" s="1">
        <v>8.0</v>
      </c>
      <c r="T1664" s="1" t="s">
        <v>22677</v>
      </c>
      <c r="U1664" s="1">
        <v>10.0</v>
      </c>
    </row>
    <row r="1665">
      <c r="A1665" s="38" t="s">
        <v>19932</v>
      </c>
      <c r="B1665" s="44"/>
      <c r="C1665" s="38" t="s">
        <v>20151</v>
      </c>
      <c r="D1665" s="38" t="s">
        <v>21841</v>
      </c>
      <c r="E1665" s="44"/>
      <c r="F1665" s="38" t="s">
        <v>3643</v>
      </c>
      <c r="G1665" s="94" t="s">
        <v>19934</v>
      </c>
      <c r="P1665" s="840">
        <v>45728.0</v>
      </c>
      <c r="Q1665" s="1" t="s">
        <v>22383</v>
      </c>
      <c r="R1665" s="1" t="s">
        <v>22676</v>
      </c>
      <c r="S1665" s="1">
        <v>8.0</v>
      </c>
      <c r="T1665" s="1" t="s">
        <v>5885</v>
      </c>
      <c r="U1665" s="1">
        <v>30.0</v>
      </c>
    </row>
    <row r="1666">
      <c r="A1666" s="38" t="s">
        <v>19932</v>
      </c>
      <c r="B1666" s="44"/>
      <c r="C1666" s="38" t="s">
        <v>18001</v>
      </c>
      <c r="D1666" s="38" t="s">
        <v>19051</v>
      </c>
      <c r="E1666" s="44"/>
      <c r="F1666" s="38" t="s">
        <v>22678</v>
      </c>
      <c r="G1666" s="38" t="s">
        <v>22679</v>
      </c>
      <c r="P1666" s="840">
        <v>45789.0</v>
      </c>
      <c r="Q1666" s="1" t="s">
        <v>18001</v>
      </c>
      <c r="R1666" s="1" t="s">
        <v>22680</v>
      </c>
      <c r="S1666" s="1">
        <v>27.0</v>
      </c>
      <c r="T1666" s="1" t="s">
        <v>22440</v>
      </c>
      <c r="U1666" s="1">
        <v>100.0</v>
      </c>
      <c r="V1666" s="1" t="s">
        <v>22681</v>
      </c>
    </row>
    <row r="1667">
      <c r="A1667" s="1" t="s">
        <v>19932</v>
      </c>
      <c r="C1667" s="1" t="s">
        <v>19823</v>
      </c>
      <c r="F1667" s="1" t="s">
        <v>4299</v>
      </c>
      <c r="G1667" s="5" t="s">
        <v>22682</v>
      </c>
      <c r="P1667" s="197" t="s">
        <v>22434</v>
      </c>
      <c r="Q1667" s="1" t="s">
        <v>20875</v>
      </c>
      <c r="R1667" s="1" t="s">
        <v>22680</v>
      </c>
      <c r="S1667" s="1">
        <v>27.0</v>
      </c>
      <c r="T1667" s="1" t="s">
        <v>20789</v>
      </c>
      <c r="U1667" s="1">
        <v>60.0</v>
      </c>
    </row>
    <row r="1668">
      <c r="A1668" s="164" t="s">
        <v>19937</v>
      </c>
      <c r="B1668" s="44"/>
      <c r="C1668" s="38" t="s">
        <v>20476</v>
      </c>
      <c r="D1668" s="38" t="s">
        <v>20641</v>
      </c>
      <c r="E1668" s="44"/>
      <c r="F1668" s="38" t="s">
        <v>21228</v>
      </c>
      <c r="G1668" s="94" t="s">
        <v>18641</v>
      </c>
      <c r="P1668" s="197" t="s">
        <v>22437</v>
      </c>
      <c r="Q1668" s="1" t="s">
        <v>20875</v>
      </c>
      <c r="R1668" s="1" t="s">
        <v>2985</v>
      </c>
      <c r="S1668" s="1">
        <v>75.0</v>
      </c>
      <c r="T1668" s="1" t="s">
        <v>896</v>
      </c>
      <c r="U1668" s="1">
        <v>45.0</v>
      </c>
    </row>
    <row r="1669">
      <c r="A1669" s="197" t="s">
        <v>19937</v>
      </c>
      <c r="C1669" s="1" t="s">
        <v>19904</v>
      </c>
      <c r="D1669" s="1" t="s">
        <v>19815</v>
      </c>
      <c r="F1669" s="1" t="s">
        <v>22683</v>
      </c>
      <c r="G1669" s="5" t="s">
        <v>22684</v>
      </c>
      <c r="P1669" s="197" t="s">
        <v>22500</v>
      </c>
      <c r="Q1669" s="5" t="s">
        <v>22501</v>
      </c>
      <c r="R1669" s="1" t="s">
        <v>2898</v>
      </c>
      <c r="T1669" s="1" t="s">
        <v>22685</v>
      </c>
      <c r="U1669" s="1">
        <v>20.0</v>
      </c>
    </row>
    <row r="1670">
      <c r="A1670" s="164" t="s">
        <v>19937</v>
      </c>
      <c r="B1670" s="44"/>
      <c r="C1670" s="38" t="s">
        <v>18378</v>
      </c>
      <c r="D1670" s="38" t="s">
        <v>18647</v>
      </c>
      <c r="E1670" s="44"/>
      <c r="F1670" s="38" t="s">
        <v>20367</v>
      </c>
      <c r="G1670" s="94" t="s">
        <v>20365</v>
      </c>
      <c r="P1670" s="197" t="s">
        <v>22500</v>
      </c>
      <c r="Q1670" s="5" t="s">
        <v>22501</v>
      </c>
      <c r="R1670" s="1" t="s">
        <v>2897</v>
      </c>
      <c r="T1670" s="1" t="s">
        <v>22686</v>
      </c>
      <c r="U1670" s="1">
        <v>40.0</v>
      </c>
    </row>
    <row r="1671">
      <c r="A1671" s="164" t="s">
        <v>19937</v>
      </c>
      <c r="B1671" s="44"/>
      <c r="C1671" s="44"/>
      <c r="D1671" s="44"/>
      <c r="E1671" s="38">
        <v>10.0</v>
      </c>
      <c r="F1671" s="38" t="s">
        <v>22687</v>
      </c>
      <c r="G1671" s="44"/>
      <c r="P1671" s="197" t="s">
        <v>22500</v>
      </c>
      <c r="Q1671" s="5" t="s">
        <v>22501</v>
      </c>
      <c r="R1671" s="1" t="s">
        <v>22688</v>
      </c>
      <c r="S1671" s="1">
        <v>40.5</v>
      </c>
      <c r="T1671" s="1" t="s">
        <v>22689</v>
      </c>
      <c r="U1671" s="1">
        <v>4.0</v>
      </c>
    </row>
    <row r="1672">
      <c r="A1672" s="164" t="s">
        <v>19937</v>
      </c>
      <c r="B1672" s="44"/>
      <c r="C1672" s="38" t="s">
        <v>22690</v>
      </c>
      <c r="D1672" s="38" t="s">
        <v>18995</v>
      </c>
      <c r="E1672" s="44"/>
      <c r="F1672" s="38" t="s">
        <v>6549</v>
      </c>
      <c r="G1672" s="94" t="s">
        <v>21947</v>
      </c>
      <c r="P1672" s="197" t="s">
        <v>22500</v>
      </c>
      <c r="Q1672" s="5" t="s">
        <v>22501</v>
      </c>
      <c r="R1672" s="207" t="s">
        <v>22691</v>
      </c>
      <c r="S1672" s="872">
        <v>19.16</v>
      </c>
      <c r="T1672" s="1" t="s">
        <v>22692</v>
      </c>
      <c r="U1672" s="1">
        <v>10.0</v>
      </c>
    </row>
    <row r="1673">
      <c r="A1673" s="164" t="s">
        <v>19937</v>
      </c>
      <c r="B1673" s="44"/>
      <c r="C1673" s="44"/>
      <c r="D1673" s="44"/>
      <c r="E1673" s="38">
        <v>-28.65</v>
      </c>
      <c r="F1673" s="38" t="s">
        <v>22693</v>
      </c>
      <c r="G1673" s="44"/>
      <c r="P1673" s="197" t="s">
        <v>22500</v>
      </c>
      <c r="Q1673" s="5" t="s">
        <v>22501</v>
      </c>
      <c r="R1673" s="207" t="s">
        <v>22694</v>
      </c>
      <c r="S1673" s="872">
        <v>19.16</v>
      </c>
      <c r="T1673" s="1" t="s">
        <v>22695</v>
      </c>
      <c r="U1673" s="1">
        <v>50.0</v>
      </c>
    </row>
    <row r="1674">
      <c r="A1674" s="164" t="s">
        <v>19937</v>
      </c>
      <c r="B1674" s="44"/>
      <c r="C1674" s="44"/>
      <c r="D1674" s="44"/>
      <c r="E1674" s="38">
        <v>-55.0</v>
      </c>
      <c r="F1674" s="744" t="s">
        <v>22696</v>
      </c>
      <c r="G1674" s="44"/>
      <c r="P1674" s="197" t="s">
        <v>22500</v>
      </c>
      <c r="Q1674" s="5" t="s">
        <v>22501</v>
      </c>
      <c r="R1674" s="873" t="s">
        <v>22697</v>
      </c>
      <c r="S1674" s="872">
        <v>26.23</v>
      </c>
      <c r="T1674" s="1" t="s">
        <v>22698</v>
      </c>
      <c r="U1674" s="1">
        <v>35.0</v>
      </c>
    </row>
    <row r="1675">
      <c r="A1675" s="38" t="s">
        <v>22699</v>
      </c>
      <c r="B1675" s="44"/>
      <c r="C1675" s="38" t="s">
        <v>4169</v>
      </c>
      <c r="D1675" s="38" t="s">
        <v>4176</v>
      </c>
      <c r="E1675" s="44"/>
      <c r="F1675" s="38" t="s">
        <v>22700</v>
      </c>
      <c r="G1675" s="94" t="s">
        <v>19599</v>
      </c>
      <c r="P1675" s="197" t="s">
        <v>22506</v>
      </c>
      <c r="Q1675" s="5" t="s">
        <v>22501</v>
      </c>
      <c r="R1675" s="207" t="s">
        <v>22701</v>
      </c>
      <c r="S1675" s="872">
        <v>7.61</v>
      </c>
      <c r="T1675" s="1" t="s">
        <v>22702</v>
      </c>
      <c r="U1675" s="1">
        <v>50.0</v>
      </c>
    </row>
    <row r="1676">
      <c r="A1676" s="38" t="s">
        <v>22699</v>
      </c>
      <c r="B1676" s="44"/>
      <c r="C1676" s="38" t="s">
        <v>22703</v>
      </c>
      <c r="D1676" s="38" t="s">
        <v>22159</v>
      </c>
      <c r="E1676" s="44"/>
      <c r="F1676" s="38" t="s">
        <v>22704</v>
      </c>
      <c r="G1676" s="94" t="s">
        <v>22353</v>
      </c>
      <c r="P1676" s="197" t="s">
        <v>22506</v>
      </c>
      <c r="Q1676" s="5" t="s">
        <v>22501</v>
      </c>
      <c r="R1676" s="207" t="s">
        <v>22705</v>
      </c>
      <c r="S1676" s="872">
        <v>7.61</v>
      </c>
      <c r="T1676" s="1" t="s">
        <v>22706</v>
      </c>
      <c r="U1676" s="1">
        <v>10.0</v>
      </c>
    </row>
    <row r="1677">
      <c r="A1677" s="38" t="s">
        <v>22699</v>
      </c>
      <c r="B1677" s="44"/>
      <c r="C1677" s="38" t="s">
        <v>19661</v>
      </c>
      <c r="D1677" s="94" t="s">
        <v>21496</v>
      </c>
      <c r="E1677" s="44"/>
      <c r="F1677" s="38" t="s">
        <v>20324</v>
      </c>
      <c r="G1677" s="94" t="s">
        <v>21497</v>
      </c>
      <c r="H1677" s="8"/>
      <c r="P1677" s="197" t="s">
        <v>22506</v>
      </c>
      <c r="Q1677" s="5" t="s">
        <v>22501</v>
      </c>
      <c r="R1677" s="877" t="s">
        <v>22707</v>
      </c>
      <c r="S1677" s="878">
        <v>59.14</v>
      </c>
      <c r="T1677" s="22" t="s">
        <v>22708</v>
      </c>
      <c r="U1677" s="22">
        <v>50.0</v>
      </c>
    </row>
    <row r="1678">
      <c r="A1678" s="38" t="s">
        <v>22699</v>
      </c>
      <c r="B1678" s="44"/>
      <c r="C1678" s="44"/>
      <c r="D1678" s="44"/>
      <c r="E1678" s="38">
        <v>-100.0</v>
      </c>
      <c r="F1678" s="38" t="s">
        <v>22709</v>
      </c>
      <c r="G1678" s="44"/>
      <c r="H1678" s="8"/>
      <c r="P1678" s="197" t="s">
        <v>22506</v>
      </c>
      <c r="Q1678" s="5" t="s">
        <v>22501</v>
      </c>
      <c r="R1678" s="873" t="s">
        <v>22710</v>
      </c>
      <c r="S1678" s="872">
        <v>26.23</v>
      </c>
      <c r="T1678" s="1" t="s">
        <v>22711</v>
      </c>
      <c r="U1678" s="1">
        <v>80.0</v>
      </c>
    </row>
    <row r="1679">
      <c r="A1679" s="38" t="s">
        <v>22699</v>
      </c>
      <c r="B1679" s="44"/>
      <c r="C1679" s="94" t="s">
        <v>3731</v>
      </c>
      <c r="D1679" s="94" t="s">
        <v>3732</v>
      </c>
      <c r="E1679" s="44"/>
      <c r="F1679" s="38" t="s">
        <v>3733</v>
      </c>
      <c r="G1679" s="94" t="s">
        <v>3734</v>
      </c>
      <c r="H1679" s="8"/>
      <c r="P1679" s="197"/>
      <c r="R1679" s="873" t="s">
        <v>22712</v>
      </c>
      <c r="S1679" s="872">
        <v>3.68</v>
      </c>
    </row>
    <row r="1680">
      <c r="A1680" s="38" t="s">
        <v>22699</v>
      </c>
      <c r="B1680" s="44"/>
      <c r="C1680" s="94" t="s">
        <v>3736</v>
      </c>
      <c r="D1680" s="44"/>
      <c r="E1680" s="44"/>
      <c r="F1680" s="38" t="s">
        <v>3737</v>
      </c>
      <c r="G1680" s="94" t="s">
        <v>3734</v>
      </c>
      <c r="H1680" s="8"/>
      <c r="R1680" s="873" t="s">
        <v>22713</v>
      </c>
      <c r="S1680" s="872">
        <v>52.38</v>
      </c>
    </row>
    <row r="1681">
      <c r="A1681" s="38" t="s">
        <v>22699</v>
      </c>
      <c r="B1681" s="44"/>
      <c r="C1681" s="44"/>
      <c r="D1681" s="44"/>
      <c r="E1681" s="44"/>
      <c r="F1681" s="38" t="s">
        <v>22714</v>
      </c>
      <c r="G1681" s="38" t="s">
        <v>22715</v>
      </c>
      <c r="H1681" s="8"/>
      <c r="J1681" s="1"/>
      <c r="K1681" s="216"/>
      <c r="R1681" s="876" t="s">
        <v>22716</v>
      </c>
      <c r="S1681" s="872">
        <v>8.23</v>
      </c>
    </row>
    <row r="1682">
      <c r="A1682" s="197" t="s">
        <v>19963</v>
      </c>
      <c r="E1682" s="1">
        <v>215.0</v>
      </c>
      <c r="F1682" s="1" t="s">
        <v>21028</v>
      </c>
      <c r="H1682" s="8"/>
      <c r="R1682" s="216" t="s">
        <v>22717</v>
      </c>
      <c r="S1682" s="1">
        <v>61.0</v>
      </c>
    </row>
    <row r="1683">
      <c r="A1683" s="164" t="s">
        <v>19963</v>
      </c>
      <c r="B1683" s="44"/>
      <c r="C1683" s="38" t="s">
        <v>19556</v>
      </c>
      <c r="D1683" s="94" t="s">
        <v>21882</v>
      </c>
      <c r="E1683" s="44"/>
      <c r="F1683" s="38" t="s">
        <v>20367</v>
      </c>
      <c r="G1683" s="38" t="s">
        <v>17648</v>
      </c>
      <c r="H1683" s="879"/>
      <c r="I1683" s="872"/>
      <c r="R1683" s="1" t="s">
        <v>22688</v>
      </c>
      <c r="S1683" s="1">
        <v>40.5</v>
      </c>
    </row>
    <row r="1684">
      <c r="A1684" s="164" t="s">
        <v>19963</v>
      </c>
      <c r="B1684" s="44"/>
      <c r="C1684" s="94" t="s">
        <v>22718</v>
      </c>
      <c r="D1684" s="94" t="s">
        <v>17738</v>
      </c>
      <c r="E1684" s="44"/>
      <c r="F1684" s="38" t="s">
        <v>21327</v>
      </c>
      <c r="G1684" s="38" t="s">
        <v>17648</v>
      </c>
      <c r="H1684" s="879"/>
      <c r="I1684" s="872"/>
      <c r="R1684" s="873" t="s">
        <v>22713</v>
      </c>
      <c r="S1684" s="872">
        <v>52.38</v>
      </c>
    </row>
    <row r="1685">
      <c r="A1685" s="164" t="s">
        <v>19963</v>
      </c>
      <c r="B1685" s="44"/>
      <c r="C1685" s="38" t="s">
        <v>19912</v>
      </c>
      <c r="D1685" s="94" t="s">
        <v>17743</v>
      </c>
      <c r="E1685" s="44"/>
      <c r="F1685" s="38" t="s">
        <v>22719</v>
      </c>
      <c r="G1685" s="38" t="s">
        <v>17648</v>
      </c>
      <c r="H1685" s="879"/>
      <c r="I1685" s="872"/>
      <c r="R1685" s="873" t="s">
        <v>22712</v>
      </c>
      <c r="S1685" s="872">
        <v>3.68</v>
      </c>
    </row>
    <row r="1686">
      <c r="A1686" s="164" t="s">
        <v>19963</v>
      </c>
      <c r="B1686" s="44"/>
      <c r="C1686" s="38" t="s">
        <v>21719</v>
      </c>
      <c r="D1686" s="38" t="s">
        <v>18671</v>
      </c>
      <c r="E1686" s="44"/>
      <c r="F1686" s="38" t="s">
        <v>22720</v>
      </c>
      <c r="G1686" s="775" t="s">
        <v>22721</v>
      </c>
      <c r="H1686" s="200"/>
      <c r="I1686" s="872"/>
      <c r="R1686" s="1" t="s">
        <v>3236</v>
      </c>
      <c r="S1686" s="872">
        <v>4.49</v>
      </c>
    </row>
    <row r="1687">
      <c r="A1687" s="164" t="s">
        <v>19963</v>
      </c>
      <c r="B1687" s="44"/>
      <c r="C1687" s="44"/>
      <c r="D1687" s="44"/>
      <c r="E1687" s="38">
        <v>-100.0</v>
      </c>
      <c r="F1687" s="38" t="s">
        <v>22453</v>
      </c>
      <c r="G1687" s="44"/>
      <c r="H1687" s="163"/>
      <c r="I1687" s="872"/>
      <c r="R1687" s="216" t="s">
        <v>22722</v>
      </c>
      <c r="S1687" s="872">
        <v>11.58</v>
      </c>
    </row>
    <row r="1688">
      <c r="A1688" s="164" t="s">
        <v>19963</v>
      </c>
      <c r="B1688" s="44"/>
      <c r="C1688" s="38" t="s">
        <v>18445</v>
      </c>
      <c r="D1688" s="94" t="s">
        <v>20047</v>
      </c>
      <c r="E1688" s="44"/>
      <c r="F1688" s="38" t="s">
        <v>20336</v>
      </c>
      <c r="G1688" s="38" t="s">
        <v>17648</v>
      </c>
      <c r="H1688" s="163"/>
      <c r="I1688" s="872"/>
      <c r="R1688" s="215" t="s">
        <v>22723</v>
      </c>
      <c r="S1688" s="872">
        <v>7.04</v>
      </c>
    </row>
    <row r="1689">
      <c r="A1689" s="164" t="s">
        <v>19963</v>
      </c>
      <c r="B1689" s="44"/>
      <c r="C1689" s="38" t="s">
        <v>22724</v>
      </c>
      <c r="D1689" s="94" t="s">
        <v>21012</v>
      </c>
      <c r="E1689" s="44"/>
      <c r="F1689" s="38" t="s">
        <v>19826</v>
      </c>
      <c r="G1689" s="94" t="s">
        <v>22169</v>
      </c>
      <c r="H1689" s="163"/>
      <c r="I1689" s="872"/>
      <c r="R1689" s="215" t="s">
        <v>22725</v>
      </c>
      <c r="S1689" s="872">
        <v>4.41</v>
      </c>
    </row>
    <row r="1690">
      <c r="A1690" s="164" t="s">
        <v>19963</v>
      </c>
      <c r="B1690" s="44"/>
      <c r="C1690" s="94" t="s">
        <v>22726</v>
      </c>
      <c r="D1690" s="94" t="s">
        <v>21430</v>
      </c>
      <c r="E1690" s="44"/>
      <c r="F1690" s="38" t="s">
        <v>22727</v>
      </c>
      <c r="G1690" s="38" t="s">
        <v>17648</v>
      </c>
      <c r="H1690" s="163"/>
      <c r="I1690" s="872"/>
      <c r="R1690" s="216" t="s">
        <v>22728</v>
      </c>
      <c r="S1690" s="872">
        <v>6.99</v>
      </c>
    </row>
    <row r="1691">
      <c r="A1691" s="164" t="s">
        <v>19963</v>
      </c>
      <c r="B1691" s="44"/>
      <c r="C1691" s="38" t="s">
        <v>17646</v>
      </c>
      <c r="D1691" s="94" t="s">
        <v>22729</v>
      </c>
      <c r="E1691" s="44"/>
      <c r="F1691" s="38" t="s">
        <v>20370</v>
      </c>
      <c r="G1691" s="94" t="s">
        <v>22169</v>
      </c>
      <c r="H1691" s="163"/>
      <c r="I1691" s="872"/>
      <c r="R1691" s="880" t="s">
        <v>22730</v>
      </c>
      <c r="S1691" s="881">
        <f>SUM(S1651:S1690)</f>
        <v>792.06</v>
      </c>
      <c r="T1691" s="882" t="s">
        <v>22730</v>
      </c>
      <c r="U1691" s="881">
        <f>SUM(U1651:U1690)</f>
        <v>1144</v>
      </c>
    </row>
    <row r="1692">
      <c r="A1692" s="164" t="s">
        <v>19963</v>
      </c>
      <c r="B1692" s="44"/>
      <c r="C1692" s="44"/>
      <c r="D1692" s="44"/>
      <c r="E1692" s="44"/>
      <c r="F1692" s="38" t="s">
        <v>22731</v>
      </c>
      <c r="G1692" s="38" t="s">
        <v>20023</v>
      </c>
      <c r="H1692" s="879"/>
      <c r="I1692" s="872"/>
    </row>
    <row r="1693">
      <c r="A1693" s="38" t="s">
        <v>19974</v>
      </c>
      <c r="B1693" s="44"/>
      <c r="C1693" s="38" t="s">
        <v>22732</v>
      </c>
      <c r="D1693" s="38" t="s">
        <v>22733</v>
      </c>
      <c r="E1693" s="38">
        <v>45.0</v>
      </c>
      <c r="F1693" s="38" t="s">
        <v>22734</v>
      </c>
      <c r="G1693" s="786" t="s">
        <v>22715</v>
      </c>
      <c r="H1693" s="879"/>
      <c r="I1693" s="872"/>
      <c r="R1693" s="1" t="s">
        <v>22735</v>
      </c>
      <c r="S1693" s="1">
        <v>18.0</v>
      </c>
    </row>
    <row r="1694">
      <c r="A1694" s="38" t="s">
        <v>19974</v>
      </c>
      <c r="B1694" s="44"/>
      <c r="C1694" s="94" t="s">
        <v>22736</v>
      </c>
      <c r="D1694" s="94" t="s">
        <v>22737</v>
      </c>
      <c r="E1694" s="38">
        <v>50.0</v>
      </c>
      <c r="F1694" s="38" t="s">
        <v>13622</v>
      </c>
      <c r="G1694" s="94" t="s">
        <v>20081</v>
      </c>
      <c r="H1694" s="551"/>
      <c r="I1694" s="872"/>
      <c r="P1694" s="1" t="s">
        <v>22738</v>
      </c>
      <c r="Q1694" s="1" t="s">
        <v>22739</v>
      </c>
      <c r="R1694" s="1" t="s">
        <v>22740</v>
      </c>
      <c r="S1694" s="1">
        <v>75.0</v>
      </c>
    </row>
    <row r="1695">
      <c r="A1695" s="38" t="s">
        <v>19974</v>
      </c>
      <c r="B1695" s="44"/>
      <c r="C1695" s="38" t="s">
        <v>20934</v>
      </c>
      <c r="D1695" s="94" t="s">
        <v>22741</v>
      </c>
      <c r="E1695" s="44"/>
      <c r="F1695" s="38" t="s">
        <v>20336</v>
      </c>
      <c r="G1695" s="38" t="s">
        <v>17648</v>
      </c>
      <c r="H1695" s="5"/>
    </row>
    <row r="1696">
      <c r="A1696" s="38" t="s">
        <v>19974</v>
      </c>
      <c r="B1696" s="44"/>
      <c r="C1696" s="38" t="s">
        <v>17753</v>
      </c>
      <c r="D1696" s="38" t="s">
        <v>17754</v>
      </c>
      <c r="E1696" s="44"/>
      <c r="F1696" s="38" t="s">
        <v>17755</v>
      </c>
      <c r="G1696" s="38" t="s">
        <v>17648</v>
      </c>
      <c r="H1696" s="8"/>
    </row>
    <row r="1697">
      <c r="A1697" s="1" t="s">
        <v>19974</v>
      </c>
      <c r="C1697" s="5" t="s">
        <v>22442</v>
      </c>
      <c r="D1697" s="5" t="s">
        <v>22443</v>
      </c>
      <c r="E1697" s="8"/>
      <c r="F1697" s="5" t="s">
        <v>22742</v>
      </c>
      <c r="G1697" s="5" t="s">
        <v>22743</v>
      </c>
      <c r="H1697" s="8"/>
    </row>
    <row r="1698">
      <c r="A1698" s="38" t="s">
        <v>19974</v>
      </c>
      <c r="B1698" s="44"/>
      <c r="C1698" s="94" t="s">
        <v>22744</v>
      </c>
      <c r="D1698" s="94" t="s">
        <v>18680</v>
      </c>
      <c r="E1698" s="44"/>
      <c r="F1698" s="38" t="s">
        <v>20367</v>
      </c>
      <c r="G1698" s="94" t="s">
        <v>22745</v>
      </c>
      <c r="H1698" s="8"/>
    </row>
    <row r="1699">
      <c r="A1699" s="38" t="s">
        <v>19974</v>
      </c>
      <c r="B1699" s="44"/>
      <c r="C1699" s="38" t="s">
        <v>22746</v>
      </c>
      <c r="D1699" s="38" t="s">
        <v>18392</v>
      </c>
      <c r="E1699" s="44"/>
      <c r="F1699" s="38" t="s">
        <v>21228</v>
      </c>
      <c r="G1699" s="47" t="s">
        <v>18592</v>
      </c>
      <c r="H1699" s="8"/>
    </row>
    <row r="1700">
      <c r="A1700" s="38" t="s">
        <v>19974</v>
      </c>
      <c r="B1700" s="44"/>
      <c r="C1700" s="38" t="s">
        <v>22747</v>
      </c>
      <c r="D1700" s="94" t="s">
        <v>22748</v>
      </c>
      <c r="E1700" s="44"/>
      <c r="F1700" s="38" t="s">
        <v>13622</v>
      </c>
      <c r="G1700" s="94" t="s">
        <v>22749</v>
      </c>
      <c r="H1700" s="8"/>
    </row>
    <row r="1701">
      <c r="A1701" s="164" t="s">
        <v>19985</v>
      </c>
      <c r="B1701" s="44"/>
      <c r="C1701" s="94" t="s">
        <v>22750</v>
      </c>
      <c r="D1701" s="94" t="s">
        <v>21162</v>
      </c>
      <c r="E1701" s="44"/>
      <c r="F1701" s="38" t="s">
        <v>20367</v>
      </c>
      <c r="G1701" s="38" t="s">
        <v>17648</v>
      </c>
      <c r="H1701" s="8"/>
    </row>
    <row r="1702">
      <c r="A1702" s="164" t="s">
        <v>19985</v>
      </c>
      <c r="B1702" s="44"/>
      <c r="C1702" s="49" t="s">
        <v>18121</v>
      </c>
      <c r="D1702" s="94" t="s">
        <v>19988</v>
      </c>
      <c r="E1702" s="44"/>
      <c r="F1702" s="38" t="s">
        <v>22327</v>
      </c>
      <c r="G1702" s="94" t="s">
        <v>19989</v>
      </c>
      <c r="H1702" s="8"/>
    </row>
    <row r="1703">
      <c r="A1703" s="164" t="s">
        <v>19985</v>
      </c>
      <c r="B1703" s="44"/>
      <c r="C1703" s="38" t="s">
        <v>21577</v>
      </c>
      <c r="D1703" s="94" t="s">
        <v>18690</v>
      </c>
      <c r="E1703" s="44"/>
      <c r="F1703" s="38" t="s">
        <v>20336</v>
      </c>
      <c r="G1703" s="94" t="s">
        <v>21574</v>
      </c>
      <c r="H1703" s="8"/>
    </row>
    <row r="1704">
      <c r="A1704" s="164" t="s">
        <v>19985</v>
      </c>
      <c r="B1704" s="44"/>
      <c r="C1704" s="38" t="s">
        <v>17891</v>
      </c>
      <c r="D1704" s="94" t="s">
        <v>22751</v>
      </c>
      <c r="E1704" s="44"/>
      <c r="F1704" s="38" t="s">
        <v>20367</v>
      </c>
      <c r="G1704" s="47" t="s">
        <v>18696</v>
      </c>
      <c r="H1704" s="879"/>
      <c r="I1704" s="872"/>
    </row>
    <row r="1705">
      <c r="A1705" s="164" t="s">
        <v>19985</v>
      </c>
      <c r="B1705" s="44"/>
      <c r="C1705" s="38" t="s">
        <v>18699</v>
      </c>
      <c r="D1705" s="94" t="s">
        <v>18698</v>
      </c>
      <c r="E1705" s="44"/>
      <c r="F1705" s="38" t="s">
        <v>20319</v>
      </c>
      <c r="G1705" s="94" t="s">
        <v>21574</v>
      </c>
      <c r="H1705" s="879"/>
      <c r="I1705" s="872"/>
    </row>
    <row r="1706">
      <c r="A1706" s="164" t="s">
        <v>19985</v>
      </c>
      <c r="B1706" s="44"/>
      <c r="C1706" s="38" t="s">
        <v>21011</v>
      </c>
      <c r="D1706" s="94" t="s">
        <v>22269</v>
      </c>
      <c r="E1706" s="44"/>
      <c r="F1706" s="38" t="s">
        <v>175</v>
      </c>
      <c r="G1706" s="94" t="s">
        <v>22169</v>
      </c>
      <c r="H1706" s="879"/>
      <c r="I1706" s="872"/>
    </row>
    <row r="1707">
      <c r="A1707" s="164" t="s">
        <v>19985</v>
      </c>
      <c r="B1707" s="44"/>
      <c r="C1707" s="44"/>
      <c r="D1707" s="44"/>
      <c r="E1707" s="38">
        <v>-19.4</v>
      </c>
      <c r="F1707" s="38" t="s">
        <v>22752</v>
      </c>
      <c r="G1707" s="44"/>
      <c r="H1707" s="879"/>
      <c r="I1707" s="872"/>
    </row>
    <row r="1708">
      <c r="A1708" s="164" t="s">
        <v>19985</v>
      </c>
      <c r="B1708" s="44"/>
      <c r="C1708" s="44"/>
      <c r="D1708" s="44"/>
      <c r="E1708" s="38">
        <v>85.0</v>
      </c>
      <c r="F1708" s="38" t="s">
        <v>21491</v>
      </c>
      <c r="G1708" s="44"/>
      <c r="H1708" s="879"/>
      <c r="I1708" s="872"/>
    </row>
    <row r="1709">
      <c r="A1709" s="164" t="s">
        <v>19985</v>
      </c>
      <c r="B1709" s="44"/>
      <c r="C1709" s="38" t="s">
        <v>22607</v>
      </c>
      <c r="D1709" s="38" t="s">
        <v>18636</v>
      </c>
      <c r="E1709" s="44"/>
      <c r="F1709" s="38" t="s">
        <v>22753</v>
      </c>
      <c r="G1709" s="38" t="s">
        <v>22609</v>
      </c>
      <c r="H1709" s="879"/>
      <c r="I1709" s="872"/>
    </row>
    <row r="1710">
      <c r="A1710" s="38" t="s">
        <v>20001</v>
      </c>
      <c r="B1710" s="44"/>
      <c r="C1710" s="38" t="s">
        <v>22754</v>
      </c>
      <c r="D1710" s="38" t="s">
        <v>18685</v>
      </c>
      <c r="E1710" s="44"/>
      <c r="F1710" s="38" t="s">
        <v>22755</v>
      </c>
      <c r="G1710" s="47" t="s">
        <v>18686</v>
      </c>
      <c r="H1710" s="879"/>
      <c r="I1710" s="872"/>
    </row>
    <row r="1711">
      <c r="A1711" s="38" t="s">
        <v>20001</v>
      </c>
      <c r="B1711" s="44"/>
      <c r="C1711" s="38" t="s">
        <v>19880</v>
      </c>
      <c r="D1711" s="94" t="s">
        <v>20432</v>
      </c>
      <c r="E1711" s="38">
        <v>80.0</v>
      </c>
      <c r="F1711" s="38" t="s">
        <v>22756</v>
      </c>
      <c r="G1711" s="94" t="s">
        <v>22757</v>
      </c>
      <c r="H1711" s="879"/>
      <c r="I1711" s="872"/>
    </row>
    <row r="1712">
      <c r="A1712" s="38" t="s">
        <v>20001</v>
      </c>
      <c r="B1712" s="44"/>
      <c r="C1712" s="38" t="s">
        <v>19411</v>
      </c>
      <c r="D1712" s="44"/>
      <c r="E1712" s="44"/>
      <c r="F1712" s="38" t="s">
        <v>22152</v>
      </c>
      <c r="G1712" s="38" t="s">
        <v>22758</v>
      </c>
      <c r="H1712" s="879"/>
      <c r="I1712" s="872"/>
    </row>
    <row r="1713">
      <c r="A1713" s="38" t="s">
        <v>20001</v>
      </c>
      <c r="B1713" s="44"/>
      <c r="C1713" s="38" t="s">
        <v>17839</v>
      </c>
      <c r="D1713" s="44"/>
      <c r="E1713" s="44"/>
      <c r="F1713" s="38" t="s">
        <v>22759</v>
      </c>
      <c r="G1713" s="38" t="s">
        <v>22760</v>
      </c>
      <c r="H1713" s="879"/>
      <c r="I1713" s="872"/>
    </row>
    <row r="1714">
      <c r="A1714" s="38" t="s">
        <v>20001</v>
      </c>
      <c r="B1714" s="44"/>
      <c r="C1714" s="38" t="s">
        <v>18708</v>
      </c>
      <c r="D1714" s="38" t="s">
        <v>18709</v>
      </c>
      <c r="E1714" s="44"/>
      <c r="F1714" s="38" t="s">
        <v>22761</v>
      </c>
      <c r="G1714" s="38" t="s">
        <v>21721</v>
      </c>
      <c r="H1714" s="216"/>
    </row>
    <row r="1715">
      <c r="A1715" s="38" t="s">
        <v>20001</v>
      </c>
      <c r="B1715" s="44"/>
      <c r="C1715" s="38" t="s">
        <v>19912</v>
      </c>
      <c r="D1715" s="94" t="s">
        <v>18127</v>
      </c>
      <c r="E1715" s="44"/>
      <c r="F1715" s="38" t="s">
        <v>20319</v>
      </c>
      <c r="G1715" s="94" t="s">
        <v>22762</v>
      </c>
      <c r="H1715" s="8"/>
    </row>
    <row r="1716">
      <c r="A1716" s="38" t="s">
        <v>20001</v>
      </c>
      <c r="B1716" s="44"/>
      <c r="C1716" s="94" t="s">
        <v>21590</v>
      </c>
      <c r="D1716" s="38" t="s">
        <v>20080</v>
      </c>
      <c r="E1716" s="38">
        <v>45.0</v>
      </c>
      <c r="F1716" s="38" t="s">
        <v>3643</v>
      </c>
      <c r="G1716" s="94" t="s">
        <v>20081</v>
      </c>
      <c r="H1716" s="879"/>
      <c r="I1716" s="872"/>
    </row>
    <row r="1717">
      <c r="A1717" s="164" t="s">
        <v>22763</v>
      </c>
      <c r="B1717" s="44"/>
      <c r="C1717" s="38" t="s">
        <v>19661</v>
      </c>
      <c r="D1717" s="94" t="s">
        <v>22764</v>
      </c>
      <c r="E1717" s="44"/>
      <c r="F1717" s="38" t="s">
        <v>20367</v>
      </c>
      <c r="G1717" s="94" t="s">
        <v>19599</v>
      </c>
      <c r="H1717" s="879"/>
      <c r="I1717" s="872"/>
    </row>
    <row r="1718">
      <c r="A1718" s="834" t="s">
        <v>22763</v>
      </c>
      <c r="B1718" s="130"/>
      <c r="C1718" s="130"/>
      <c r="D1718" s="130"/>
      <c r="E1718" s="131">
        <v>-600.0</v>
      </c>
      <c r="F1718" s="131" t="s">
        <v>20261</v>
      </c>
      <c r="G1718" s="130"/>
      <c r="H1718" s="8"/>
      <c r="I1718" s="872"/>
    </row>
    <row r="1719">
      <c r="A1719" s="164" t="s">
        <v>22763</v>
      </c>
      <c r="B1719" s="44"/>
      <c r="C1719" s="38" t="s">
        <v>18492</v>
      </c>
      <c r="D1719" s="94" t="s">
        <v>21156</v>
      </c>
      <c r="E1719" s="44"/>
      <c r="F1719" s="38" t="s">
        <v>20319</v>
      </c>
      <c r="G1719" s="94" t="s">
        <v>22765</v>
      </c>
      <c r="H1719" s="216"/>
      <c r="I1719" s="872"/>
    </row>
    <row r="1720">
      <c r="A1720" s="164" t="s">
        <v>22763</v>
      </c>
      <c r="B1720" s="44"/>
      <c r="C1720" s="94" t="s">
        <v>21321</v>
      </c>
      <c r="D1720" s="94" t="s">
        <v>17768</v>
      </c>
      <c r="E1720" s="44"/>
      <c r="F1720" s="38" t="s">
        <v>20241</v>
      </c>
      <c r="G1720" s="38" t="s">
        <v>17648</v>
      </c>
      <c r="H1720" s="216"/>
      <c r="I1720" s="872"/>
    </row>
    <row r="1721">
      <c r="A1721" s="197" t="s">
        <v>22763</v>
      </c>
      <c r="C1721" s="5" t="s">
        <v>4184</v>
      </c>
      <c r="D1721" s="8"/>
      <c r="E1721" s="8"/>
      <c r="F1721" s="5" t="s">
        <v>22766</v>
      </c>
      <c r="G1721" s="5" t="s">
        <v>22682</v>
      </c>
      <c r="H1721" s="216"/>
      <c r="I1721" s="872"/>
    </row>
    <row r="1722">
      <c r="A1722" s="164" t="s">
        <v>22763</v>
      </c>
      <c r="B1722" s="44"/>
      <c r="C1722" s="38" t="s">
        <v>19556</v>
      </c>
      <c r="D1722" s="38" t="s">
        <v>17764</v>
      </c>
      <c r="E1722" s="44"/>
      <c r="F1722" s="38" t="s">
        <v>20457</v>
      </c>
      <c r="G1722" s="38" t="s">
        <v>17648</v>
      </c>
      <c r="H1722" s="216"/>
      <c r="I1722" s="872"/>
    </row>
    <row r="1723">
      <c r="A1723" s="164" t="s">
        <v>22763</v>
      </c>
      <c r="B1723" s="44"/>
      <c r="C1723" s="38" t="s">
        <v>21673</v>
      </c>
      <c r="D1723" s="94" t="s">
        <v>21825</v>
      </c>
      <c r="E1723" s="44"/>
      <c r="F1723" s="38" t="s">
        <v>20367</v>
      </c>
      <c r="G1723" s="94" t="s">
        <v>22767</v>
      </c>
      <c r="H1723" s="8"/>
    </row>
    <row r="1724">
      <c r="A1724" s="164" t="s">
        <v>22763</v>
      </c>
      <c r="B1724" s="44"/>
      <c r="C1724" s="38" t="s">
        <v>18321</v>
      </c>
      <c r="D1724" s="38" t="s">
        <v>21464</v>
      </c>
      <c r="E1724" s="44"/>
      <c r="F1724" s="38" t="s">
        <v>20319</v>
      </c>
      <c r="G1724" s="38" t="s">
        <v>17648</v>
      </c>
      <c r="H1724" s="8"/>
    </row>
    <row r="1725">
      <c r="A1725" s="164" t="s">
        <v>22763</v>
      </c>
      <c r="B1725" s="44"/>
      <c r="C1725" s="38" t="s">
        <v>22768</v>
      </c>
      <c r="D1725" s="38" t="s">
        <v>18728</v>
      </c>
      <c r="E1725" s="44"/>
      <c r="F1725" s="38" t="s">
        <v>22769</v>
      </c>
      <c r="G1725" s="38" t="s">
        <v>19759</v>
      </c>
      <c r="H1725" s="8"/>
    </row>
    <row r="1726">
      <c r="A1726" s="164" t="s">
        <v>22763</v>
      </c>
      <c r="B1726" s="44"/>
      <c r="C1726" s="40" t="s">
        <v>17856</v>
      </c>
      <c r="D1726" s="94" t="s">
        <v>19975</v>
      </c>
      <c r="E1726" s="44"/>
      <c r="F1726" s="38" t="s">
        <v>20324</v>
      </c>
      <c r="G1726" s="94" t="s">
        <v>21304</v>
      </c>
      <c r="H1726" s="8"/>
    </row>
    <row r="1727">
      <c r="A1727" s="164" t="s">
        <v>22763</v>
      </c>
      <c r="B1727" s="44"/>
      <c r="C1727" s="38" t="s">
        <v>19904</v>
      </c>
      <c r="D1727" s="38" t="s">
        <v>19815</v>
      </c>
      <c r="E1727" s="44"/>
      <c r="F1727" s="38" t="s">
        <v>20367</v>
      </c>
      <c r="G1727" s="38" t="s">
        <v>22770</v>
      </c>
      <c r="H1727" s="8"/>
    </row>
    <row r="1728">
      <c r="A1728" s="164" t="s">
        <v>22763</v>
      </c>
      <c r="B1728" s="44"/>
      <c r="C1728" s="38" t="s">
        <v>17633</v>
      </c>
      <c r="D1728" s="94" t="s">
        <v>21514</v>
      </c>
      <c r="E1728" s="44"/>
      <c r="F1728" s="38" t="s">
        <v>20336</v>
      </c>
      <c r="G1728" s="94" t="s">
        <v>22771</v>
      </c>
      <c r="H1728" s="8"/>
    </row>
    <row r="1729">
      <c r="A1729" s="164" t="s">
        <v>22763</v>
      </c>
      <c r="B1729" s="44"/>
      <c r="C1729" s="38" t="s">
        <v>22772</v>
      </c>
      <c r="D1729" s="38" t="s">
        <v>17777</v>
      </c>
      <c r="E1729" s="44"/>
      <c r="F1729" s="38" t="s">
        <v>22773</v>
      </c>
      <c r="G1729" s="38" t="s">
        <v>17648</v>
      </c>
      <c r="H1729" s="8"/>
    </row>
    <row r="1730">
      <c r="A1730" s="38" t="s">
        <v>20040</v>
      </c>
      <c r="B1730" s="44"/>
      <c r="C1730" s="94" t="s">
        <v>22774</v>
      </c>
      <c r="D1730" s="94" t="s">
        <v>18733</v>
      </c>
      <c r="E1730" s="38">
        <v>105.0</v>
      </c>
      <c r="F1730" s="38" t="s">
        <v>22775</v>
      </c>
      <c r="G1730" s="94" t="s">
        <v>20796</v>
      </c>
      <c r="H1730" s="8"/>
    </row>
    <row r="1731">
      <c r="A1731" s="38" t="s">
        <v>20040</v>
      </c>
      <c r="B1731" s="44"/>
      <c r="C1731" s="38" t="s">
        <v>17780</v>
      </c>
      <c r="D1731" s="94" t="s">
        <v>17781</v>
      </c>
      <c r="E1731" s="44"/>
      <c r="F1731" s="38" t="s">
        <v>22776</v>
      </c>
      <c r="G1731" s="38" t="s">
        <v>17648</v>
      </c>
    </row>
    <row r="1732">
      <c r="A1732" s="38" t="s">
        <v>20040</v>
      </c>
      <c r="B1732" s="44"/>
      <c r="C1732" s="94" t="s">
        <v>21559</v>
      </c>
      <c r="D1732" s="94" t="s">
        <v>20048</v>
      </c>
      <c r="E1732" s="38">
        <v>30.0</v>
      </c>
      <c r="F1732" s="38" t="s">
        <v>5885</v>
      </c>
      <c r="G1732" s="94" t="s">
        <v>20050</v>
      </c>
      <c r="H1732" s="8"/>
    </row>
    <row r="1733">
      <c r="A1733" s="38" t="s">
        <v>20040</v>
      </c>
      <c r="B1733" s="44"/>
      <c r="C1733" s="44"/>
      <c r="D1733" s="44"/>
      <c r="E1733" s="38">
        <v>30.0</v>
      </c>
      <c r="F1733" s="38" t="s">
        <v>22777</v>
      </c>
      <c r="G1733" s="38" t="s">
        <v>22778</v>
      </c>
      <c r="H1733" s="8"/>
    </row>
    <row r="1734">
      <c r="A1734" s="38" t="s">
        <v>20040</v>
      </c>
      <c r="B1734" s="44"/>
      <c r="C1734" s="94" t="s">
        <v>19645</v>
      </c>
      <c r="D1734" s="94" t="s">
        <v>21780</v>
      </c>
      <c r="E1734" s="44"/>
      <c r="F1734" s="38" t="s">
        <v>20319</v>
      </c>
      <c r="G1734" s="94" t="s">
        <v>21781</v>
      </c>
      <c r="H1734" s="8"/>
    </row>
    <row r="1735">
      <c r="A1735" s="38" t="s">
        <v>20040</v>
      </c>
      <c r="B1735" s="44"/>
      <c r="C1735" s="94" t="s">
        <v>21959</v>
      </c>
      <c r="D1735" s="94" t="s">
        <v>21960</v>
      </c>
      <c r="E1735" s="44"/>
      <c r="F1735" s="38" t="s">
        <v>20457</v>
      </c>
      <c r="G1735" s="94" t="s">
        <v>18557</v>
      </c>
      <c r="H1735" s="8"/>
    </row>
    <row r="1736">
      <c r="A1736" s="38" t="s">
        <v>20040</v>
      </c>
      <c r="B1736" s="44"/>
      <c r="C1736" s="38" t="s">
        <v>21381</v>
      </c>
      <c r="D1736" s="94" t="s">
        <v>17104</v>
      </c>
      <c r="E1736" s="44"/>
      <c r="F1736" s="38" t="s">
        <v>21955</v>
      </c>
      <c r="G1736" s="94" t="s">
        <v>22779</v>
      </c>
      <c r="H1736" s="8"/>
    </row>
    <row r="1737">
      <c r="A1737" s="38" t="s">
        <v>20040</v>
      </c>
      <c r="B1737" s="44"/>
      <c r="C1737" s="94" t="s">
        <v>22780</v>
      </c>
      <c r="D1737" s="94" t="s">
        <v>21760</v>
      </c>
      <c r="E1737" s="38">
        <v>30.0</v>
      </c>
      <c r="F1737" s="38" t="s">
        <v>5885</v>
      </c>
      <c r="G1737" s="94" t="s">
        <v>22781</v>
      </c>
      <c r="H1737" s="38" t="s">
        <v>22782</v>
      </c>
    </row>
    <row r="1738">
      <c r="A1738" s="38" t="s">
        <v>20040</v>
      </c>
      <c r="B1738" s="44"/>
      <c r="C1738" s="94" t="s">
        <v>21630</v>
      </c>
      <c r="D1738" s="94" t="s">
        <v>21631</v>
      </c>
      <c r="E1738" s="44"/>
      <c r="F1738" s="38" t="s">
        <v>17755</v>
      </c>
      <c r="G1738" s="94" t="s">
        <v>19934</v>
      </c>
      <c r="H1738" s="38"/>
      <c r="I1738" s="8"/>
    </row>
    <row r="1739">
      <c r="A1739" s="38" t="s">
        <v>20040</v>
      </c>
      <c r="B1739" s="44"/>
      <c r="C1739" s="38" t="s">
        <v>22783</v>
      </c>
      <c r="D1739" s="38" t="s">
        <v>17786</v>
      </c>
      <c r="E1739" s="44"/>
      <c r="F1739" s="38" t="s">
        <v>20367</v>
      </c>
      <c r="G1739" s="38" t="s">
        <v>17648</v>
      </c>
      <c r="H1739" s="44"/>
      <c r="I1739" s="8"/>
    </row>
    <row r="1740">
      <c r="A1740" s="38" t="s">
        <v>20040</v>
      </c>
      <c r="B1740" s="44"/>
      <c r="C1740" s="49" t="s">
        <v>4345</v>
      </c>
      <c r="D1740" s="94" t="s">
        <v>4346</v>
      </c>
      <c r="E1740" s="44"/>
      <c r="F1740" s="38" t="s">
        <v>20336</v>
      </c>
      <c r="G1740" s="94" t="s">
        <v>22093</v>
      </c>
      <c r="H1740" s="8"/>
      <c r="I1740" s="8"/>
    </row>
    <row r="1741">
      <c r="A1741" s="38" t="s">
        <v>20040</v>
      </c>
      <c r="B1741" s="44"/>
      <c r="C1741" s="94" t="s">
        <v>21559</v>
      </c>
      <c r="D1741" s="38" t="s">
        <v>3382</v>
      </c>
      <c r="E1741" s="44"/>
      <c r="F1741" s="38" t="s">
        <v>13622</v>
      </c>
      <c r="G1741" s="94" t="s">
        <v>21582</v>
      </c>
      <c r="H1741" s="8"/>
      <c r="I1741" s="8"/>
    </row>
    <row r="1742">
      <c r="A1742" s="38" t="s">
        <v>20040</v>
      </c>
      <c r="B1742" s="44"/>
      <c r="C1742" s="38" t="s">
        <v>3175</v>
      </c>
      <c r="D1742" s="94" t="s">
        <v>18747</v>
      </c>
      <c r="E1742" s="44"/>
      <c r="F1742" s="38" t="s">
        <v>20367</v>
      </c>
      <c r="G1742" s="94" t="s">
        <v>20686</v>
      </c>
      <c r="H1742" s="8"/>
      <c r="I1742" s="8"/>
    </row>
    <row r="1743">
      <c r="A1743" s="38" t="s">
        <v>20040</v>
      </c>
      <c r="B1743" s="44"/>
      <c r="C1743" s="94" t="s">
        <v>19870</v>
      </c>
      <c r="D1743" s="94" t="s">
        <v>21989</v>
      </c>
      <c r="E1743" s="44"/>
      <c r="F1743" s="38" t="s">
        <v>22784</v>
      </c>
      <c r="G1743" s="94" t="s">
        <v>21991</v>
      </c>
      <c r="H1743" s="8"/>
      <c r="I1743" s="8"/>
    </row>
    <row r="1744">
      <c r="A1744" s="38" t="s">
        <v>20040</v>
      </c>
      <c r="B1744" s="44"/>
      <c r="C1744" s="38" t="s">
        <v>18751</v>
      </c>
      <c r="D1744" s="94" t="s">
        <v>18752</v>
      </c>
      <c r="E1744" s="44"/>
      <c r="F1744" s="38" t="s">
        <v>20367</v>
      </c>
      <c r="G1744" s="94" t="s">
        <v>20686</v>
      </c>
      <c r="H1744" s="8"/>
      <c r="I1744" s="8"/>
    </row>
    <row r="1745">
      <c r="A1745" s="38" t="s">
        <v>20040</v>
      </c>
      <c r="B1745" s="44"/>
      <c r="C1745" s="38" t="s">
        <v>15832</v>
      </c>
      <c r="D1745" s="94" t="s">
        <v>18755</v>
      </c>
      <c r="E1745" s="44"/>
      <c r="F1745" s="94" t="s">
        <v>21663</v>
      </c>
      <c r="G1745" s="94" t="s">
        <v>22785</v>
      </c>
      <c r="H1745" s="8"/>
      <c r="I1745" s="8"/>
    </row>
    <row r="1746">
      <c r="A1746" s="883" t="s">
        <v>22786</v>
      </c>
      <c r="B1746" s="855"/>
      <c r="C1746" s="855"/>
      <c r="D1746" s="855"/>
      <c r="E1746" s="855"/>
      <c r="F1746" s="855"/>
      <c r="G1746" s="855"/>
      <c r="H1746" s="855"/>
      <c r="I1746" s="855"/>
      <c r="J1746" s="855"/>
      <c r="K1746" s="855"/>
      <c r="L1746" s="855"/>
      <c r="M1746" s="855"/>
      <c r="N1746" s="855"/>
      <c r="O1746" s="855"/>
      <c r="P1746" s="855"/>
      <c r="Q1746" s="855"/>
      <c r="R1746" s="855"/>
      <c r="S1746" s="855"/>
      <c r="T1746" s="855"/>
      <c r="U1746" s="855"/>
      <c r="V1746" s="855"/>
    </row>
    <row r="1747">
      <c r="A1747" s="141">
        <v>46026.0</v>
      </c>
      <c r="B1747" s="44"/>
      <c r="C1747" s="38" t="s">
        <v>19891</v>
      </c>
      <c r="D1747" s="94" t="s">
        <v>22787</v>
      </c>
      <c r="E1747" s="44"/>
      <c r="F1747" s="38" t="s">
        <v>5885</v>
      </c>
      <c r="G1747" s="94" t="s">
        <v>20118</v>
      </c>
      <c r="H1747" s="8"/>
      <c r="I1747" s="8"/>
    </row>
    <row r="1748">
      <c r="A1748" s="141">
        <v>46026.0</v>
      </c>
      <c r="B1748" s="44"/>
      <c r="C1748" s="38" t="s">
        <v>19873</v>
      </c>
      <c r="D1748" s="94" t="s">
        <v>18767</v>
      </c>
      <c r="E1748" s="44"/>
      <c r="F1748" s="38" t="s">
        <v>20457</v>
      </c>
      <c r="G1748" s="94" t="s">
        <v>18768</v>
      </c>
      <c r="H1748" s="8"/>
    </row>
    <row r="1749">
      <c r="A1749" s="141">
        <v>46026.0</v>
      </c>
      <c r="B1749" s="44"/>
      <c r="C1749" s="38" t="s">
        <v>22788</v>
      </c>
      <c r="D1749" s="38" t="s">
        <v>17793</v>
      </c>
      <c r="E1749" s="44"/>
      <c r="F1749" s="38" t="s">
        <v>20336</v>
      </c>
      <c r="G1749" s="38" t="s">
        <v>17648</v>
      </c>
      <c r="H1749" s="8"/>
    </row>
    <row r="1750">
      <c r="A1750" s="141">
        <v>46026.0</v>
      </c>
      <c r="B1750" s="44"/>
      <c r="C1750" s="38" t="s">
        <v>19912</v>
      </c>
      <c r="D1750" s="94" t="s">
        <v>20761</v>
      </c>
      <c r="E1750" s="44"/>
      <c r="F1750" s="38" t="s">
        <v>20330</v>
      </c>
      <c r="G1750" s="94" t="s">
        <v>18768</v>
      </c>
      <c r="H1750" s="8"/>
    </row>
    <row r="1751">
      <c r="A1751" s="141">
        <v>46026.0</v>
      </c>
      <c r="B1751" s="44"/>
      <c r="C1751" s="38" t="s">
        <v>22789</v>
      </c>
      <c r="D1751" s="38" t="s">
        <v>22790</v>
      </c>
      <c r="E1751" s="44"/>
      <c r="F1751" s="38" t="s">
        <v>22791</v>
      </c>
      <c r="G1751" s="38" t="s">
        <v>20055</v>
      </c>
      <c r="H1751" s="8"/>
    </row>
    <row r="1752">
      <c r="A1752" s="141">
        <v>46026.0</v>
      </c>
      <c r="B1752" s="44"/>
      <c r="C1752" s="38" t="s">
        <v>19802</v>
      </c>
      <c r="D1752" s="38" t="s">
        <v>4314</v>
      </c>
      <c r="E1752" s="44"/>
      <c r="F1752" s="38" t="s">
        <v>5885</v>
      </c>
      <c r="G1752" s="38" t="s">
        <v>17648</v>
      </c>
    </row>
    <row r="1753">
      <c r="A1753" s="141">
        <v>46026.0</v>
      </c>
      <c r="B1753" s="44"/>
      <c r="C1753" s="38" t="s">
        <v>3641</v>
      </c>
      <c r="D1753" s="44"/>
      <c r="E1753" s="44"/>
      <c r="F1753" s="38" t="s">
        <v>3642</v>
      </c>
      <c r="G1753" s="38" t="s">
        <v>22792</v>
      </c>
    </row>
    <row r="1754">
      <c r="A1754" s="141">
        <v>46026.0</v>
      </c>
      <c r="B1754" s="44"/>
      <c r="C1754" s="44"/>
      <c r="D1754" s="44"/>
      <c r="E1754" s="44"/>
      <c r="F1754" s="38" t="s">
        <v>3643</v>
      </c>
      <c r="G1754" s="38" t="s">
        <v>22792</v>
      </c>
    </row>
    <row r="1755">
      <c r="A1755" s="141">
        <v>46026.0</v>
      </c>
      <c r="B1755" s="44"/>
      <c r="C1755" s="38" t="s">
        <v>22793</v>
      </c>
      <c r="D1755" s="94" t="s">
        <v>22794</v>
      </c>
      <c r="E1755" s="44"/>
      <c r="F1755" s="38" t="s">
        <v>22795</v>
      </c>
      <c r="G1755" s="94" t="s">
        <v>18768</v>
      </c>
    </row>
    <row r="1756">
      <c r="A1756" s="141">
        <v>46026.0</v>
      </c>
      <c r="B1756" s="44"/>
      <c r="C1756" s="38" t="s">
        <v>17713</v>
      </c>
      <c r="D1756" s="94" t="s">
        <v>18764</v>
      </c>
      <c r="E1756" s="44"/>
      <c r="F1756" s="38" t="s">
        <v>20319</v>
      </c>
      <c r="G1756" s="94" t="s">
        <v>21575</v>
      </c>
    </row>
    <row r="1757">
      <c r="A1757" s="141">
        <v>46026.0</v>
      </c>
      <c r="B1757" s="44"/>
      <c r="C1757" s="38" t="s">
        <v>19912</v>
      </c>
      <c r="D1757" s="94" t="s">
        <v>18770</v>
      </c>
      <c r="E1757" s="44"/>
      <c r="F1757" s="38" t="s">
        <v>3643</v>
      </c>
      <c r="G1757" s="94" t="s">
        <v>18768</v>
      </c>
    </row>
    <row r="1758">
      <c r="A1758" s="141">
        <v>46026.0</v>
      </c>
      <c r="B1758" s="44"/>
      <c r="C1758" s="38" t="s">
        <v>19912</v>
      </c>
      <c r="D1758" s="38" t="s">
        <v>21136</v>
      </c>
      <c r="E1758" s="44"/>
      <c r="F1758" s="38" t="s">
        <v>21912</v>
      </c>
      <c r="G1758" s="38" t="s">
        <v>17648</v>
      </c>
    </row>
    <row r="1759">
      <c r="A1759" s="141">
        <v>46026.0</v>
      </c>
      <c r="B1759" s="44"/>
      <c r="C1759" s="38" t="s">
        <v>22796</v>
      </c>
      <c r="D1759" s="94" t="s">
        <v>20763</v>
      </c>
      <c r="E1759" s="44"/>
      <c r="F1759" s="38" t="s">
        <v>20367</v>
      </c>
      <c r="G1759" s="94" t="s">
        <v>21845</v>
      </c>
    </row>
    <row r="1760">
      <c r="A1760" s="141">
        <v>46026.0</v>
      </c>
      <c r="B1760" s="44"/>
      <c r="C1760" s="94" t="s">
        <v>19733</v>
      </c>
      <c r="D1760" s="94" t="s">
        <v>20712</v>
      </c>
      <c r="E1760" s="44"/>
      <c r="F1760" s="38" t="s">
        <v>22168</v>
      </c>
      <c r="G1760" s="94" t="s">
        <v>18768</v>
      </c>
    </row>
    <row r="1761">
      <c r="A1761" s="141">
        <v>46026.0</v>
      </c>
      <c r="B1761" s="44"/>
      <c r="C1761" s="38" t="s">
        <v>22797</v>
      </c>
      <c r="D1761" s="38" t="s">
        <v>18786</v>
      </c>
      <c r="E1761" s="44"/>
      <c r="F1761" s="38" t="s">
        <v>20457</v>
      </c>
      <c r="G1761" s="38" t="s">
        <v>22798</v>
      </c>
    </row>
    <row r="1762">
      <c r="A1762" s="141">
        <v>46026.0</v>
      </c>
      <c r="B1762" s="44"/>
      <c r="C1762" s="94" t="s">
        <v>20769</v>
      </c>
      <c r="D1762" s="94" t="s">
        <v>18791</v>
      </c>
      <c r="E1762" s="44"/>
      <c r="F1762" s="38" t="s">
        <v>20319</v>
      </c>
      <c r="G1762" s="94" t="s">
        <v>22799</v>
      </c>
      <c r="H1762" s="8"/>
    </row>
    <row r="1763">
      <c r="A1763" s="141">
        <v>46026.0</v>
      </c>
      <c r="B1763" s="44"/>
      <c r="C1763" s="38" t="s">
        <v>21121</v>
      </c>
      <c r="D1763" s="94" t="s">
        <v>22800</v>
      </c>
      <c r="E1763" s="44"/>
      <c r="F1763" s="38" t="s">
        <v>22801</v>
      </c>
      <c r="G1763" s="94" t="s">
        <v>22169</v>
      </c>
      <c r="H1763" s="8"/>
    </row>
    <row r="1764">
      <c r="A1764" s="141">
        <v>46026.0</v>
      </c>
      <c r="B1764" s="44"/>
      <c r="C1764" s="38" t="s">
        <v>17713</v>
      </c>
      <c r="D1764" s="38" t="s">
        <v>18760</v>
      </c>
      <c r="E1764" s="44"/>
      <c r="F1764" s="38" t="s">
        <v>20367</v>
      </c>
      <c r="G1764" s="38" t="s">
        <v>22802</v>
      </c>
      <c r="H1764" s="8"/>
    </row>
    <row r="1765">
      <c r="A1765" s="141">
        <v>46026.0</v>
      </c>
      <c r="B1765" s="44"/>
      <c r="C1765" s="94" t="s">
        <v>22803</v>
      </c>
      <c r="D1765" s="94" t="s">
        <v>18801</v>
      </c>
      <c r="E1765" s="44"/>
      <c r="F1765" s="38" t="s">
        <v>20367</v>
      </c>
      <c r="G1765" s="94" t="s">
        <v>21475</v>
      </c>
      <c r="H1765" s="8"/>
    </row>
    <row r="1766">
      <c r="A1766" s="141">
        <v>46026.0</v>
      </c>
      <c r="B1766" s="44"/>
      <c r="C1766" s="94" t="s">
        <v>22804</v>
      </c>
      <c r="D1766" s="94" t="s">
        <v>21648</v>
      </c>
      <c r="E1766" s="44"/>
      <c r="F1766" s="44"/>
      <c r="G1766" s="94" t="s">
        <v>20381</v>
      </c>
      <c r="H1766" s="8"/>
    </row>
    <row r="1767">
      <c r="A1767" s="141">
        <v>46026.0</v>
      </c>
      <c r="B1767" s="44"/>
      <c r="C1767" s="38" t="s">
        <v>18781</v>
      </c>
      <c r="D1767" s="38" t="s">
        <v>22209</v>
      </c>
      <c r="E1767" s="44"/>
      <c r="F1767" s="38" t="s">
        <v>22805</v>
      </c>
      <c r="G1767" s="38" t="s">
        <v>18619</v>
      </c>
      <c r="H1767" s="8"/>
    </row>
    <row r="1768">
      <c r="A1768" s="806">
        <v>46057.0</v>
      </c>
      <c r="B1768" s="44"/>
      <c r="C1768" s="38" t="s">
        <v>18795</v>
      </c>
      <c r="D1768" s="94" t="s">
        <v>18796</v>
      </c>
      <c r="E1768" s="44"/>
      <c r="F1768" s="38" t="s">
        <v>22806</v>
      </c>
      <c r="G1768" s="94" t="s">
        <v>18797</v>
      </c>
      <c r="H1768" s="8"/>
    </row>
    <row r="1769">
      <c r="A1769" s="806">
        <v>46057.0</v>
      </c>
      <c r="B1769" s="44"/>
      <c r="C1769" s="38" t="s">
        <v>18823</v>
      </c>
      <c r="D1769" s="38" t="s">
        <v>18824</v>
      </c>
      <c r="E1769" s="44"/>
      <c r="F1769" s="38" t="s">
        <v>22807</v>
      </c>
      <c r="G1769" s="38" t="s">
        <v>22770</v>
      </c>
      <c r="H1769" s="8"/>
    </row>
    <row r="1770">
      <c r="A1770" s="806">
        <v>46057.0</v>
      </c>
      <c r="B1770" s="44"/>
      <c r="C1770" s="38" t="s">
        <v>17780</v>
      </c>
      <c r="D1770" s="38" t="s">
        <v>21318</v>
      </c>
      <c r="E1770" s="44"/>
      <c r="F1770" s="38" t="s">
        <v>20432</v>
      </c>
      <c r="G1770" s="38" t="s">
        <v>17648</v>
      </c>
      <c r="H1770" s="8"/>
    </row>
    <row r="1771">
      <c r="A1771" s="806">
        <v>46057.0</v>
      </c>
      <c r="B1771" s="44"/>
      <c r="C1771" s="38" t="s">
        <v>17780</v>
      </c>
      <c r="D1771" s="38" t="s">
        <v>21454</v>
      </c>
      <c r="E1771" s="44"/>
      <c r="F1771" s="38" t="s">
        <v>22808</v>
      </c>
      <c r="G1771" s="38" t="s">
        <v>17648</v>
      </c>
      <c r="H1771" s="8"/>
    </row>
    <row r="1772">
      <c r="A1772" s="806">
        <v>46057.0</v>
      </c>
      <c r="B1772" s="44"/>
      <c r="C1772" s="94" t="s">
        <v>3492</v>
      </c>
      <c r="D1772" s="94" t="s">
        <v>3493</v>
      </c>
      <c r="E1772" s="44"/>
      <c r="F1772" s="38" t="s">
        <v>21912</v>
      </c>
      <c r="G1772" s="94" t="s">
        <v>21811</v>
      </c>
      <c r="H1772" s="38" t="s">
        <v>4624</v>
      </c>
    </row>
    <row r="1773">
      <c r="A1773" s="884">
        <v>46057.0</v>
      </c>
      <c r="B1773" s="130"/>
      <c r="C1773" s="131" t="s">
        <v>18445</v>
      </c>
      <c r="D1773" s="835" t="s">
        <v>17802</v>
      </c>
      <c r="E1773" s="130"/>
      <c r="F1773" s="131" t="s">
        <v>20367</v>
      </c>
      <c r="G1773" s="131" t="s">
        <v>17648</v>
      </c>
      <c r="H1773" s="8"/>
    </row>
    <row r="1774">
      <c r="A1774" s="806">
        <v>46057.0</v>
      </c>
      <c r="B1774" s="44"/>
      <c r="C1774" s="94" t="s">
        <v>20182</v>
      </c>
      <c r="D1774" s="38" t="s">
        <v>21165</v>
      </c>
      <c r="E1774" s="44"/>
      <c r="F1774" s="38" t="s">
        <v>22809</v>
      </c>
      <c r="G1774" s="94" t="s">
        <v>21167</v>
      </c>
    </row>
    <row r="1775">
      <c r="A1775" s="806">
        <v>46057.0</v>
      </c>
      <c r="B1775" s="44"/>
      <c r="C1775" s="38" t="s">
        <v>17753</v>
      </c>
      <c r="D1775" s="777" t="s">
        <v>22810</v>
      </c>
      <c r="E1775" s="44"/>
      <c r="F1775" s="38" t="s">
        <v>20367</v>
      </c>
      <c r="G1775" s="38" t="s">
        <v>17648</v>
      </c>
    </row>
    <row r="1776">
      <c r="A1776" s="806">
        <v>46057.0</v>
      </c>
      <c r="B1776" s="44"/>
      <c r="C1776" s="94" t="s">
        <v>3812</v>
      </c>
      <c r="D1776" s="94" t="s">
        <v>3813</v>
      </c>
      <c r="E1776" s="44"/>
      <c r="F1776" s="38" t="s">
        <v>22811</v>
      </c>
      <c r="G1776" s="94" t="s">
        <v>541</v>
      </c>
    </row>
    <row r="1777">
      <c r="A1777" s="806">
        <v>46057.0</v>
      </c>
      <c r="B1777" s="44"/>
      <c r="C1777" s="44"/>
      <c r="D1777" s="44"/>
      <c r="E1777" s="44"/>
      <c r="F1777" s="38" t="s">
        <v>22812</v>
      </c>
      <c r="G1777" s="94" t="s">
        <v>541</v>
      </c>
    </row>
    <row r="1778">
      <c r="A1778" s="806">
        <v>46057.0</v>
      </c>
      <c r="B1778" s="44"/>
      <c r="C1778" s="38" t="s">
        <v>18015</v>
      </c>
      <c r="D1778" s="38" t="s">
        <v>17804</v>
      </c>
      <c r="E1778" s="44"/>
      <c r="F1778" s="38" t="s">
        <v>20241</v>
      </c>
      <c r="G1778" s="38" t="s">
        <v>17648</v>
      </c>
    </row>
    <row r="1779">
      <c r="A1779" s="806">
        <v>46057.0</v>
      </c>
      <c r="B1779" s="44"/>
      <c r="C1779" s="38" t="s">
        <v>22813</v>
      </c>
      <c r="D1779" s="94" t="s">
        <v>18831</v>
      </c>
      <c r="E1779" s="44"/>
      <c r="F1779" s="38" t="s">
        <v>21228</v>
      </c>
      <c r="G1779" s="94" t="s">
        <v>18832</v>
      </c>
    </row>
    <row r="1780">
      <c r="A1780" s="806">
        <v>46057.0</v>
      </c>
      <c r="B1780" s="44"/>
      <c r="C1780" s="94" t="s">
        <v>21203</v>
      </c>
      <c r="D1780" s="94" t="s">
        <v>21204</v>
      </c>
      <c r="E1780" s="44"/>
      <c r="F1780" s="38" t="s">
        <v>20319</v>
      </c>
      <c r="G1780" s="94" t="s">
        <v>22814</v>
      </c>
    </row>
    <row r="1781">
      <c r="A1781" s="806">
        <v>46057.0</v>
      </c>
      <c r="B1781" s="44"/>
      <c r="C1781" s="38" t="s">
        <v>21662</v>
      </c>
      <c r="D1781" s="94" t="s">
        <v>21902</v>
      </c>
      <c r="E1781" s="44"/>
      <c r="F1781" s="38" t="s">
        <v>22815</v>
      </c>
      <c r="G1781" s="94" t="s">
        <v>21903</v>
      </c>
    </row>
    <row r="1782">
      <c r="A1782" s="806">
        <v>46057.0</v>
      </c>
      <c r="B1782" s="44"/>
      <c r="C1782" s="44"/>
      <c r="D1782" s="44"/>
      <c r="E1782" s="44"/>
      <c r="F1782" s="38" t="s">
        <v>22816</v>
      </c>
      <c r="G1782" s="38" t="s">
        <v>22792</v>
      </c>
    </row>
    <row r="1783">
      <c r="A1783" s="806">
        <v>46057.0</v>
      </c>
      <c r="B1783" s="44"/>
      <c r="C1783" s="38" t="s">
        <v>18232</v>
      </c>
      <c r="D1783" s="94" t="s">
        <v>18835</v>
      </c>
      <c r="E1783" s="44"/>
      <c r="F1783" s="44"/>
      <c r="G1783" s="94" t="s">
        <v>18836</v>
      </c>
    </row>
    <row r="1784">
      <c r="A1784" s="806">
        <v>46057.0</v>
      </c>
      <c r="B1784" s="44"/>
      <c r="C1784" s="94" t="s">
        <v>17698</v>
      </c>
      <c r="D1784" s="94" t="s">
        <v>18163</v>
      </c>
      <c r="E1784" s="44"/>
      <c r="F1784" s="38" t="s">
        <v>22817</v>
      </c>
      <c r="G1784" s="94" t="s">
        <v>20288</v>
      </c>
    </row>
    <row r="1785">
      <c r="A1785" s="806">
        <v>46057.0</v>
      </c>
      <c r="B1785" s="44"/>
      <c r="C1785" s="38" t="s">
        <v>17753</v>
      </c>
      <c r="D1785" s="94" t="s">
        <v>22818</v>
      </c>
      <c r="E1785" s="44"/>
      <c r="F1785" s="38" t="s">
        <v>22168</v>
      </c>
      <c r="G1785" s="94" t="s">
        <v>22749</v>
      </c>
      <c r="H1785" s="1" t="s">
        <v>22819</v>
      </c>
    </row>
    <row r="1786">
      <c r="A1786" s="806">
        <v>46057.0</v>
      </c>
      <c r="B1786" s="44"/>
      <c r="C1786" s="94" t="s">
        <v>22820</v>
      </c>
      <c r="D1786" s="94" t="s">
        <v>21848</v>
      </c>
      <c r="E1786" s="44"/>
      <c r="F1786" s="38" t="s">
        <v>3913</v>
      </c>
      <c r="G1786" s="94" t="s">
        <v>21849</v>
      </c>
      <c r="H1786" s="38"/>
    </row>
    <row r="1787">
      <c r="A1787" s="806">
        <v>46057.0</v>
      </c>
      <c r="B1787" s="44"/>
      <c r="C1787" s="38" t="s">
        <v>20476</v>
      </c>
      <c r="D1787" s="94" t="s">
        <v>18812</v>
      </c>
      <c r="E1787" s="44"/>
      <c r="F1787" s="38" t="s">
        <v>20629</v>
      </c>
      <c r="G1787" s="94" t="s">
        <v>22821</v>
      </c>
      <c r="H1787" s="8"/>
    </row>
    <row r="1788">
      <c r="A1788" s="141">
        <v>46085.0</v>
      </c>
      <c r="B1788" s="44"/>
      <c r="C1788" s="38" t="s">
        <v>20220</v>
      </c>
      <c r="D1788" s="94" t="s">
        <v>18817</v>
      </c>
      <c r="E1788" s="38"/>
      <c r="F1788" s="44"/>
      <c r="G1788" s="94" t="s">
        <v>20144</v>
      </c>
      <c r="H1788" s="8"/>
    </row>
    <row r="1789">
      <c r="A1789" s="141">
        <v>46085.0</v>
      </c>
      <c r="B1789" s="44"/>
      <c r="C1789" s="38" t="s">
        <v>22822</v>
      </c>
      <c r="D1789" s="44"/>
      <c r="E1789" s="44"/>
      <c r="F1789" s="38" t="s">
        <v>5885</v>
      </c>
      <c r="G1789" s="777" t="s">
        <v>22823</v>
      </c>
      <c r="H1789" s="8"/>
    </row>
    <row r="1790">
      <c r="A1790" s="141">
        <v>46085.0</v>
      </c>
      <c r="B1790" s="44"/>
      <c r="C1790" s="94" t="s">
        <v>21389</v>
      </c>
      <c r="D1790" s="94" t="s">
        <v>22029</v>
      </c>
      <c r="E1790" s="38">
        <v>45.0</v>
      </c>
      <c r="F1790" s="38" t="s">
        <v>3643</v>
      </c>
      <c r="G1790" s="94" t="s">
        <v>22031</v>
      </c>
      <c r="H1790" s="8"/>
    </row>
    <row r="1791">
      <c r="A1791" s="141">
        <v>46085.0</v>
      </c>
      <c r="B1791" s="44"/>
      <c r="C1791" s="38" t="s">
        <v>17822</v>
      </c>
      <c r="D1791" s="777" t="s">
        <v>22824</v>
      </c>
      <c r="E1791" s="44"/>
      <c r="F1791" s="38" t="s">
        <v>20629</v>
      </c>
      <c r="G1791" s="38" t="s">
        <v>17648</v>
      </c>
      <c r="H1791" s="8"/>
    </row>
    <row r="1792">
      <c r="A1792" s="141">
        <v>46085.0</v>
      </c>
      <c r="B1792" s="44"/>
      <c r="C1792" s="409" t="s">
        <v>22149</v>
      </c>
      <c r="D1792" s="94" t="s">
        <v>22150</v>
      </c>
      <c r="E1792" s="44"/>
      <c r="F1792" s="38" t="s">
        <v>20319</v>
      </c>
      <c r="G1792" s="94" t="s">
        <v>18842</v>
      </c>
      <c r="H1792" s="8"/>
    </row>
    <row r="1793">
      <c r="A1793" s="141">
        <v>46085.0</v>
      </c>
      <c r="B1793" s="44"/>
      <c r="C1793" s="38" t="s">
        <v>17810</v>
      </c>
      <c r="D1793" s="38" t="s">
        <v>17811</v>
      </c>
      <c r="E1793" s="44"/>
      <c r="F1793" s="38" t="s">
        <v>20324</v>
      </c>
      <c r="G1793" s="38" t="s">
        <v>17648</v>
      </c>
    </row>
    <row r="1794">
      <c r="A1794" s="141">
        <v>46085.0</v>
      </c>
      <c r="B1794" s="44"/>
      <c r="C1794" s="94" t="s">
        <v>22825</v>
      </c>
      <c r="D1794" s="94" t="s">
        <v>18166</v>
      </c>
      <c r="E1794" s="44"/>
      <c r="F1794" s="38" t="s">
        <v>20367</v>
      </c>
      <c r="G1794" s="94" t="s">
        <v>14932</v>
      </c>
      <c r="H1794" s="8"/>
    </row>
    <row r="1795">
      <c r="A1795" s="141">
        <v>46085.0</v>
      </c>
      <c r="B1795" s="44"/>
      <c r="C1795" s="38" t="s">
        <v>3175</v>
      </c>
      <c r="D1795" s="38" t="s">
        <v>22826</v>
      </c>
      <c r="E1795" s="44"/>
      <c r="F1795" s="38" t="s">
        <v>22827</v>
      </c>
      <c r="G1795" s="94" t="s">
        <v>21645</v>
      </c>
      <c r="H1795" s="8"/>
    </row>
    <row r="1796">
      <c r="A1796" s="141">
        <v>46085.0</v>
      </c>
      <c r="B1796" s="44"/>
      <c r="C1796" s="38" t="s">
        <v>20003</v>
      </c>
      <c r="D1796" s="94" t="s">
        <v>18845</v>
      </c>
      <c r="E1796" s="44"/>
      <c r="F1796" s="38" t="s">
        <v>20367</v>
      </c>
      <c r="G1796" s="94" t="s">
        <v>18836</v>
      </c>
      <c r="H1796" s="8"/>
    </row>
    <row r="1797">
      <c r="A1797" s="141">
        <v>46085.0</v>
      </c>
      <c r="B1797" s="44"/>
      <c r="C1797" s="38" t="s">
        <v>21226</v>
      </c>
      <c r="D1797" s="38" t="s">
        <v>21227</v>
      </c>
      <c r="E1797" s="44"/>
      <c r="F1797" s="38" t="s">
        <v>21228</v>
      </c>
      <c r="G1797" s="38" t="s">
        <v>17648</v>
      </c>
      <c r="H1797" s="8"/>
    </row>
    <row r="1798">
      <c r="A1798" s="141">
        <v>46085.0</v>
      </c>
      <c r="B1798" s="44"/>
      <c r="C1798" s="94" t="s">
        <v>20410</v>
      </c>
      <c r="D1798" s="94" t="s">
        <v>20570</v>
      </c>
      <c r="E1798" s="44"/>
      <c r="F1798" s="38" t="s">
        <v>22828</v>
      </c>
      <c r="G1798" s="94" t="s">
        <v>20572</v>
      </c>
      <c r="H1798" s="8"/>
    </row>
    <row r="1799">
      <c r="A1799" s="141">
        <v>46085.0</v>
      </c>
      <c r="B1799" s="44"/>
      <c r="C1799" s="580" t="s">
        <v>18849</v>
      </c>
      <c r="D1799" s="94" t="s">
        <v>18850</v>
      </c>
      <c r="E1799" s="44"/>
      <c r="F1799" s="38" t="s">
        <v>20367</v>
      </c>
      <c r="G1799" s="94" t="s">
        <v>18797</v>
      </c>
      <c r="H1799" s="8"/>
    </row>
    <row r="1800">
      <c r="A1800" s="141">
        <v>46085.0</v>
      </c>
      <c r="B1800" s="44"/>
      <c r="C1800" s="44"/>
      <c r="D1800" s="44"/>
      <c r="E1800" s="38">
        <v>-50.0</v>
      </c>
      <c r="F1800" s="38" t="s">
        <v>22709</v>
      </c>
      <c r="G1800" s="44"/>
    </row>
    <row r="1801">
      <c r="A1801" s="141">
        <v>46085.0</v>
      </c>
      <c r="B1801" s="44"/>
      <c r="C1801" s="94" t="s">
        <v>22024</v>
      </c>
      <c r="D1801" s="94" t="s">
        <v>20221</v>
      </c>
      <c r="E1801" s="38">
        <v>35.0</v>
      </c>
      <c r="F1801" s="38" t="s">
        <v>22829</v>
      </c>
      <c r="G1801" s="94" t="s">
        <v>20223</v>
      </c>
    </row>
    <row r="1802">
      <c r="A1802" s="141">
        <v>46085.0</v>
      </c>
      <c r="B1802" s="44"/>
      <c r="C1802" s="44"/>
      <c r="D1802" s="44"/>
      <c r="E1802" s="38">
        <v>-310.0</v>
      </c>
      <c r="F1802" s="38" t="s">
        <v>22453</v>
      </c>
      <c r="G1802" s="44"/>
    </row>
    <row r="1803">
      <c r="A1803" s="30">
        <v>46085.0</v>
      </c>
      <c r="C1803" s="196" t="s">
        <v>21708</v>
      </c>
      <c r="D1803" s="196" t="s">
        <v>20116</v>
      </c>
      <c r="E1803" s="8"/>
      <c r="F1803" s="5" t="s">
        <v>22830</v>
      </c>
      <c r="G1803" s="196" t="s">
        <v>20118</v>
      </c>
      <c r="H1803" s="1" t="s">
        <v>22831</v>
      </c>
    </row>
    <row r="1804">
      <c r="A1804" s="141">
        <v>46085.0</v>
      </c>
      <c r="B1804" s="44"/>
      <c r="C1804" s="94" t="s">
        <v>22017</v>
      </c>
      <c r="D1804" s="94" t="s">
        <v>18854</v>
      </c>
      <c r="E1804" s="44"/>
      <c r="F1804" s="38" t="s">
        <v>21663</v>
      </c>
      <c r="G1804" s="94" t="s">
        <v>22832</v>
      </c>
    </row>
    <row r="1805">
      <c r="A1805" s="141">
        <v>46085.0</v>
      </c>
      <c r="B1805" s="44"/>
      <c r="C1805" s="38" t="s">
        <v>18766</v>
      </c>
      <c r="D1805" s="94" t="s">
        <v>18859</v>
      </c>
      <c r="E1805" s="44"/>
      <c r="F1805" s="38" t="s">
        <v>22833</v>
      </c>
      <c r="G1805" s="94" t="s">
        <v>22834</v>
      </c>
    </row>
    <row r="1806">
      <c r="A1806" s="141">
        <v>46085.0</v>
      </c>
      <c r="B1806" s="44"/>
      <c r="C1806" s="38" t="s">
        <v>19538</v>
      </c>
      <c r="D1806" s="38" t="s">
        <v>19908</v>
      </c>
      <c r="E1806" s="44"/>
      <c r="F1806" s="38" t="s">
        <v>20629</v>
      </c>
      <c r="G1806" s="47" t="s">
        <v>18619</v>
      </c>
    </row>
    <row r="1807">
      <c r="A1807" s="141">
        <v>46085.0</v>
      </c>
      <c r="B1807" s="44"/>
      <c r="C1807" s="94" t="s">
        <v>22835</v>
      </c>
      <c r="D1807" s="94" t="s">
        <v>22836</v>
      </c>
      <c r="E1807" s="38">
        <v>30.0</v>
      </c>
      <c r="F1807" s="38" t="s">
        <v>22837</v>
      </c>
      <c r="G1807" s="94" t="s">
        <v>20223</v>
      </c>
    </row>
    <row r="1808">
      <c r="A1808" s="141">
        <v>46085.0</v>
      </c>
      <c r="B1808" s="44"/>
      <c r="C1808" s="38" t="s">
        <v>21944</v>
      </c>
      <c r="D1808" s="94" t="s">
        <v>20132</v>
      </c>
      <c r="E1808" s="38">
        <v>75.0</v>
      </c>
      <c r="F1808" s="38" t="s">
        <v>22838</v>
      </c>
      <c r="G1808" s="94" t="s">
        <v>21930</v>
      </c>
    </row>
    <row r="1809">
      <c r="A1809" s="806">
        <v>46116.0</v>
      </c>
      <c r="B1809" s="44"/>
      <c r="C1809" s="94" t="s">
        <v>21538</v>
      </c>
      <c r="D1809" s="94" t="s">
        <v>19562</v>
      </c>
      <c r="E1809" s="38">
        <v>55.0</v>
      </c>
      <c r="F1809" s="38" t="s">
        <v>21818</v>
      </c>
      <c r="G1809" s="94" t="s">
        <v>19563</v>
      </c>
    </row>
    <row r="1810">
      <c r="A1810" s="806">
        <v>46116.0</v>
      </c>
      <c r="B1810" s="44"/>
      <c r="C1810" s="94" t="s">
        <v>22839</v>
      </c>
      <c r="D1810" s="94" t="s">
        <v>22840</v>
      </c>
      <c r="E1810" s="38">
        <v>40.0</v>
      </c>
      <c r="F1810" s="38" t="s">
        <v>22841</v>
      </c>
      <c r="G1810" s="94" t="s">
        <v>22842</v>
      </c>
    </row>
    <row r="1811">
      <c r="A1811" s="806">
        <v>46116.0</v>
      </c>
      <c r="B1811" s="44"/>
      <c r="C1811" s="38" t="s">
        <v>20928</v>
      </c>
      <c r="D1811" s="94" t="s">
        <v>12375</v>
      </c>
      <c r="E1811" s="44"/>
      <c r="F1811" s="38" t="s">
        <v>21644</v>
      </c>
      <c r="G1811" s="94" t="s">
        <v>21645</v>
      </c>
    </row>
    <row r="1812">
      <c r="A1812" s="806">
        <v>46116.0</v>
      </c>
      <c r="B1812" s="44"/>
      <c r="C1812" s="38" t="s">
        <v>22843</v>
      </c>
      <c r="D1812" s="94" t="s">
        <v>22844</v>
      </c>
      <c r="E1812" s="38">
        <v>1515.0</v>
      </c>
      <c r="F1812" s="38" t="s">
        <v>22845</v>
      </c>
      <c r="G1812" s="94" t="s">
        <v>22846</v>
      </c>
    </row>
    <row r="1813">
      <c r="A1813" s="806">
        <v>46116.0</v>
      </c>
      <c r="B1813" s="44"/>
      <c r="C1813" s="94" t="s">
        <v>19990</v>
      </c>
      <c r="D1813" s="94" t="s">
        <v>22847</v>
      </c>
      <c r="E1813" s="38">
        <v>45.0</v>
      </c>
      <c r="F1813" s="38" t="s">
        <v>21832</v>
      </c>
      <c r="G1813" s="94" t="s">
        <v>22848</v>
      </c>
    </row>
    <row r="1814">
      <c r="A1814" s="806">
        <v>46116.0</v>
      </c>
      <c r="B1814" s="44"/>
      <c r="C1814" s="94" t="s">
        <v>22849</v>
      </c>
      <c r="D1814" s="44"/>
      <c r="E1814" s="38">
        <v>35.0</v>
      </c>
      <c r="F1814" s="44"/>
      <c r="G1814" s="94" t="s">
        <v>22850</v>
      </c>
    </row>
    <row r="1815">
      <c r="A1815" s="806">
        <v>46116.0</v>
      </c>
      <c r="B1815" s="44"/>
      <c r="C1815" s="44"/>
      <c r="D1815" s="44"/>
      <c r="E1815" s="38">
        <v>90.0</v>
      </c>
      <c r="F1815" s="38" t="s">
        <v>21491</v>
      </c>
      <c r="G1815" s="44"/>
    </row>
    <row r="1816">
      <c r="A1816" s="141">
        <v>46207.0</v>
      </c>
      <c r="B1816" s="44"/>
      <c r="C1816" s="94" t="s">
        <v>21658</v>
      </c>
      <c r="D1816" s="94" t="s">
        <v>18861</v>
      </c>
      <c r="E1816" s="44"/>
      <c r="F1816" s="38" t="s">
        <v>22851</v>
      </c>
      <c r="G1816" s="94" t="s">
        <v>21563</v>
      </c>
    </row>
    <row r="1817">
      <c r="A1817" s="141">
        <v>46207.0</v>
      </c>
      <c r="B1817" s="44"/>
      <c r="C1817" s="38" t="s">
        <v>20014</v>
      </c>
      <c r="D1817" s="94" t="s">
        <v>22790</v>
      </c>
      <c r="E1817" s="44"/>
      <c r="F1817" s="38" t="s">
        <v>22852</v>
      </c>
      <c r="G1817" s="44"/>
      <c r="H1817" s="38" t="s">
        <v>15072</v>
      </c>
    </row>
    <row r="1818">
      <c r="A1818" s="141">
        <v>46207.0</v>
      </c>
      <c r="B1818" s="44"/>
      <c r="C1818" s="94" t="s">
        <v>22853</v>
      </c>
      <c r="D1818" s="94" t="s">
        <v>18865</v>
      </c>
      <c r="E1818" s="38">
        <v>80.0</v>
      </c>
      <c r="F1818" s="38" t="s">
        <v>22854</v>
      </c>
      <c r="G1818" s="94" t="s">
        <v>21139</v>
      </c>
    </row>
    <row r="1819">
      <c r="A1819" s="141">
        <v>46207.0</v>
      </c>
      <c r="B1819" s="44"/>
      <c r="C1819" s="38" t="s">
        <v>17816</v>
      </c>
      <c r="D1819" s="38" t="s">
        <v>17817</v>
      </c>
      <c r="E1819" s="44"/>
      <c r="F1819" s="38" t="s">
        <v>20241</v>
      </c>
      <c r="G1819" s="38" t="s">
        <v>17648</v>
      </c>
    </row>
    <row r="1820">
      <c r="A1820" s="141">
        <v>46207.0</v>
      </c>
      <c r="B1820" s="44"/>
      <c r="C1820" s="38" t="s">
        <v>18168</v>
      </c>
      <c r="D1820" s="94" t="s">
        <v>18169</v>
      </c>
      <c r="E1820" s="44"/>
      <c r="F1820" s="38" t="s">
        <v>22855</v>
      </c>
      <c r="G1820" s="38" t="s">
        <v>18168</v>
      </c>
    </row>
    <row r="1821">
      <c r="A1821" s="141">
        <v>46207.0</v>
      </c>
      <c r="B1821" s="44"/>
      <c r="C1821" s="38" t="s">
        <v>22856</v>
      </c>
      <c r="D1821" s="38" t="s">
        <v>18174</v>
      </c>
      <c r="E1821" s="44"/>
      <c r="F1821" s="38" t="s">
        <v>20241</v>
      </c>
      <c r="G1821" s="38" t="s">
        <v>17648</v>
      </c>
    </row>
    <row r="1822">
      <c r="A1822" s="141">
        <v>46207.0</v>
      </c>
      <c r="B1822" s="44"/>
      <c r="C1822" s="38" t="s">
        <v>18867</v>
      </c>
      <c r="D1822" s="94" t="s">
        <v>21561</v>
      </c>
      <c r="E1822" s="44"/>
      <c r="F1822" s="38" t="s">
        <v>22857</v>
      </c>
      <c r="G1822" s="94" t="s">
        <v>21563</v>
      </c>
    </row>
    <row r="1823">
      <c r="A1823" s="141">
        <v>46207.0</v>
      </c>
      <c r="B1823" s="44"/>
      <c r="C1823" s="38" t="s">
        <v>17822</v>
      </c>
      <c r="D1823" s="38" t="s">
        <v>17823</v>
      </c>
      <c r="E1823" s="44"/>
      <c r="F1823" s="38" t="s">
        <v>22858</v>
      </c>
      <c r="G1823" s="38" t="s">
        <v>17648</v>
      </c>
    </row>
    <row r="1824">
      <c r="A1824" s="141">
        <v>46207.0</v>
      </c>
      <c r="B1824" s="44"/>
      <c r="C1824" s="94" t="s">
        <v>22859</v>
      </c>
      <c r="D1824" s="94" t="s">
        <v>18872</v>
      </c>
      <c r="E1824" s="44"/>
      <c r="F1824" s="38" t="s">
        <v>20432</v>
      </c>
      <c r="G1824" s="94" t="s">
        <v>22860</v>
      </c>
    </row>
    <row r="1825">
      <c r="A1825" s="141">
        <v>46207.0</v>
      </c>
      <c r="B1825" s="44"/>
      <c r="C1825" s="47" t="s">
        <v>17819</v>
      </c>
      <c r="D1825" s="38" t="s">
        <v>17820</v>
      </c>
      <c r="E1825" s="44"/>
      <c r="F1825" s="38" t="s">
        <v>20336</v>
      </c>
      <c r="G1825" s="38" t="s">
        <v>17648</v>
      </c>
    </row>
    <row r="1826">
      <c r="A1826" s="141">
        <v>46207.0</v>
      </c>
      <c r="B1826" s="44"/>
      <c r="C1826" s="38" t="s">
        <v>22856</v>
      </c>
      <c r="D1826" s="38" t="s">
        <v>20512</v>
      </c>
      <c r="E1826" s="38">
        <v>30.0</v>
      </c>
      <c r="F1826" s="38" t="s">
        <v>22861</v>
      </c>
      <c r="G1826" s="38" t="s">
        <v>22862</v>
      </c>
    </row>
    <row r="1827">
      <c r="A1827" s="141">
        <v>46207.0</v>
      </c>
      <c r="B1827" s="44"/>
      <c r="C1827" s="94" t="s">
        <v>4331</v>
      </c>
      <c r="D1827" s="94" t="s">
        <v>22863</v>
      </c>
      <c r="E1827" s="44"/>
      <c r="F1827" s="38" t="s">
        <v>20324</v>
      </c>
      <c r="G1827" s="94" t="s">
        <v>22864</v>
      </c>
    </row>
    <row r="1828">
      <c r="A1828" s="141">
        <v>46207.0</v>
      </c>
      <c r="B1828" s="44"/>
      <c r="C1828" s="38" t="s">
        <v>22865</v>
      </c>
      <c r="D1828" s="38" t="s">
        <v>17831</v>
      </c>
      <c r="E1828" s="44"/>
      <c r="F1828" s="38" t="s">
        <v>20336</v>
      </c>
      <c r="G1828" s="38" t="s">
        <v>17648</v>
      </c>
    </row>
    <row r="1829">
      <c r="A1829" s="141">
        <v>46207.0</v>
      </c>
      <c r="B1829" s="44"/>
      <c r="C1829" s="38" t="s">
        <v>2864</v>
      </c>
      <c r="D1829" s="38" t="s">
        <v>21236</v>
      </c>
      <c r="E1829" s="44"/>
      <c r="F1829" s="38" t="s">
        <v>20241</v>
      </c>
      <c r="G1829" s="38" t="s">
        <v>17648</v>
      </c>
    </row>
    <row r="1830">
      <c r="A1830" s="141">
        <v>46207.0</v>
      </c>
      <c r="B1830" s="44"/>
      <c r="C1830" s="38" t="s">
        <v>19912</v>
      </c>
      <c r="D1830" s="94" t="s">
        <v>18181</v>
      </c>
      <c r="E1830" s="44"/>
      <c r="F1830" s="38" t="s">
        <v>20457</v>
      </c>
      <c r="G1830" s="94" t="s">
        <v>21920</v>
      </c>
    </row>
    <row r="1831">
      <c r="A1831" s="141">
        <v>46207.0</v>
      </c>
      <c r="B1831" s="44"/>
      <c r="C1831" s="38" t="s">
        <v>20928</v>
      </c>
      <c r="D1831" s="94" t="s">
        <v>20194</v>
      </c>
      <c r="E1831" s="38">
        <v>85.0</v>
      </c>
      <c r="F1831" s="38" t="s">
        <v>21659</v>
      </c>
      <c r="G1831" s="94" t="s">
        <v>20195</v>
      </c>
    </row>
    <row r="1832">
      <c r="A1832" s="141">
        <v>46207.0</v>
      </c>
      <c r="B1832" s="44"/>
      <c r="C1832" s="94" t="s">
        <v>20138</v>
      </c>
      <c r="D1832" s="94" t="s">
        <v>20139</v>
      </c>
      <c r="E1832" s="44"/>
      <c r="F1832" s="38" t="s">
        <v>20330</v>
      </c>
      <c r="G1832" s="94" t="s">
        <v>20140</v>
      </c>
      <c r="H1832" s="38"/>
    </row>
    <row r="1833">
      <c r="A1833" s="141">
        <v>46207.0</v>
      </c>
      <c r="B1833" s="44"/>
      <c r="C1833" s="38" t="s">
        <v>19802</v>
      </c>
      <c r="D1833" s="94" t="s">
        <v>21829</v>
      </c>
      <c r="E1833" s="38">
        <v>50.0</v>
      </c>
      <c r="F1833" s="38" t="s">
        <v>13622</v>
      </c>
      <c r="G1833" s="94" t="s">
        <v>22053</v>
      </c>
    </row>
    <row r="1834">
      <c r="A1834" s="141">
        <v>46207.0</v>
      </c>
      <c r="B1834" s="44"/>
      <c r="C1834" s="38" t="s">
        <v>20617</v>
      </c>
      <c r="D1834" s="94" t="s">
        <v>21614</v>
      </c>
      <c r="E1834" s="44"/>
      <c r="F1834" s="38" t="s">
        <v>20745</v>
      </c>
      <c r="G1834" s="94" t="s">
        <v>20381</v>
      </c>
    </row>
    <row r="1835">
      <c r="A1835" s="141">
        <v>46207.0</v>
      </c>
      <c r="B1835" s="44"/>
      <c r="C1835" s="94" t="s">
        <v>18884</v>
      </c>
      <c r="D1835" s="94" t="s">
        <v>18885</v>
      </c>
      <c r="E1835" s="44"/>
      <c r="F1835" s="38" t="s">
        <v>22866</v>
      </c>
      <c r="G1835" s="94" t="s">
        <v>21834</v>
      </c>
    </row>
    <row r="1836">
      <c r="A1836" s="806">
        <v>46238.0</v>
      </c>
      <c r="B1836" s="44"/>
      <c r="C1836" s="94" t="s">
        <v>20461</v>
      </c>
      <c r="D1836" s="94" t="s">
        <v>18889</v>
      </c>
      <c r="E1836" s="44"/>
      <c r="F1836" s="38" t="s">
        <v>20241</v>
      </c>
      <c r="G1836" s="94" t="s">
        <v>18890</v>
      </c>
    </row>
    <row r="1837">
      <c r="A1837" s="806">
        <v>46238.0</v>
      </c>
      <c r="B1837" s="44"/>
      <c r="C1837" s="44"/>
      <c r="D1837" s="44"/>
      <c r="E1837" s="38">
        <v>-2160.0</v>
      </c>
      <c r="F1837" s="38" t="s">
        <v>22182</v>
      </c>
      <c r="G1837" s="44"/>
    </row>
    <row r="1838">
      <c r="A1838" s="806">
        <v>46238.0</v>
      </c>
      <c r="B1838" s="44"/>
      <c r="C1838" s="44"/>
      <c r="D1838" s="44"/>
      <c r="E1838" s="38">
        <v>130.0</v>
      </c>
      <c r="F1838" s="38" t="s">
        <v>22867</v>
      </c>
      <c r="G1838" s="44"/>
    </row>
    <row r="1839">
      <c r="A1839" s="806">
        <v>46238.0</v>
      </c>
      <c r="B1839" s="44"/>
      <c r="C1839" s="94" t="s">
        <v>21899</v>
      </c>
      <c r="D1839" s="94" t="s">
        <v>18896</v>
      </c>
      <c r="E1839" s="44"/>
      <c r="F1839" s="38" t="s">
        <v>20457</v>
      </c>
      <c r="G1839" s="94" t="s">
        <v>22868</v>
      </c>
    </row>
    <row r="1840">
      <c r="A1840" s="806">
        <v>46238.0</v>
      </c>
      <c r="B1840" s="44"/>
      <c r="C1840" s="38" t="s">
        <v>20369</v>
      </c>
      <c r="D1840" s="94" t="s">
        <v>18902</v>
      </c>
      <c r="E1840" s="44"/>
      <c r="F1840" s="38" t="s">
        <v>22869</v>
      </c>
      <c r="G1840" s="94" t="s">
        <v>22771</v>
      </c>
    </row>
    <row r="1841">
      <c r="A1841" s="806">
        <v>46238.0</v>
      </c>
      <c r="B1841" s="44"/>
      <c r="C1841" s="38" t="s">
        <v>21662</v>
      </c>
      <c r="D1841" s="38" t="s">
        <v>21076</v>
      </c>
      <c r="E1841" s="44"/>
      <c r="F1841" s="38" t="s">
        <v>20324</v>
      </c>
      <c r="G1841" s="38" t="s">
        <v>17648</v>
      </c>
    </row>
    <row r="1842">
      <c r="A1842" s="806">
        <v>46238.0</v>
      </c>
      <c r="B1842" s="44"/>
      <c r="C1842" s="38" t="s">
        <v>22870</v>
      </c>
      <c r="D1842" s="38" t="s">
        <v>17845</v>
      </c>
      <c r="E1842" s="44"/>
      <c r="F1842" s="38" t="s">
        <v>20367</v>
      </c>
      <c r="G1842" s="38" t="s">
        <v>17648</v>
      </c>
    </row>
    <row r="1843">
      <c r="A1843" s="884">
        <v>46238.0</v>
      </c>
      <c r="B1843" s="130"/>
      <c r="C1843" s="783" t="s">
        <v>21518</v>
      </c>
      <c r="D1843" s="783" t="s">
        <v>21519</v>
      </c>
      <c r="E1843" s="131">
        <v>-15.0</v>
      </c>
      <c r="F1843" s="131" t="s">
        <v>20367</v>
      </c>
      <c r="G1843" s="783" t="s">
        <v>22871</v>
      </c>
    </row>
    <row r="1844">
      <c r="A1844" s="806">
        <v>46238.0</v>
      </c>
      <c r="B1844" s="44"/>
      <c r="C1844" s="38" t="s">
        <v>20003</v>
      </c>
      <c r="D1844" s="38" t="s">
        <v>17835</v>
      </c>
      <c r="E1844" s="44"/>
      <c r="F1844" s="38" t="s">
        <v>22872</v>
      </c>
      <c r="G1844" s="44"/>
    </row>
    <row r="1845">
      <c r="A1845" s="806">
        <v>46238.0</v>
      </c>
      <c r="B1845" s="44"/>
      <c r="C1845" s="44"/>
      <c r="D1845" s="94" t="s">
        <v>22019</v>
      </c>
      <c r="E1845" s="44"/>
      <c r="F1845" s="38" t="s">
        <v>3913</v>
      </c>
      <c r="G1845" s="94" t="s">
        <v>3914</v>
      </c>
    </row>
    <row r="1846">
      <c r="A1846" s="806">
        <v>46238.0</v>
      </c>
      <c r="B1846" s="44"/>
      <c r="C1846" s="38" t="s">
        <v>20271</v>
      </c>
      <c r="D1846" s="94" t="s">
        <v>21476</v>
      </c>
      <c r="E1846" s="44"/>
      <c r="F1846" s="38" t="s">
        <v>22873</v>
      </c>
      <c r="G1846" s="38" t="s">
        <v>6781</v>
      </c>
    </row>
    <row r="1847">
      <c r="A1847" s="806">
        <v>46238.0</v>
      </c>
      <c r="B1847" s="44"/>
      <c r="C1847" s="38" t="s">
        <v>22874</v>
      </c>
      <c r="D1847" s="38" t="s">
        <v>17659</v>
      </c>
      <c r="E1847" s="44"/>
      <c r="F1847" s="38" t="s">
        <v>21228</v>
      </c>
      <c r="G1847" s="38" t="s">
        <v>17648</v>
      </c>
    </row>
    <row r="1848">
      <c r="A1848" s="806">
        <v>46238.0</v>
      </c>
      <c r="B1848" s="44"/>
      <c r="C1848" s="94" t="s">
        <v>20511</v>
      </c>
      <c r="D1848" s="94" t="s">
        <v>22062</v>
      </c>
      <c r="E1848" s="38">
        <v>50.0</v>
      </c>
      <c r="F1848" s="38" t="s">
        <v>13622</v>
      </c>
      <c r="G1848" s="94" t="s">
        <v>22875</v>
      </c>
    </row>
    <row r="1849">
      <c r="A1849" s="806">
        <v>46238.0</v>
      </c>
      <c r="B1849" s="44"/>
      <c r="C1849" s="94" t="s">
        <v>19110</v>
      </c>
      <c r="D1849" s="94" t="s">
        <v>17851</v>
      </c>
      <c r="E1849" s="44"/>
      <c r="F1849" s="38" t="s">
        <v>20336</v>
      </c>
      <c r="G1849" s="38" t="s">
        <v>17648</v>
      </c>
    </row>
    <row r="1850">
      <c r="A1850" s="806">
        <v>46238.0</v>
      </c>
      <c r="B1850" s="44"/>
      <c r="C1850" s="38" t="s">
        <v>3916</v>
      </c>
      <c r="D1850" s="94" t="s">
        <v>21982</v>
      </c>
      <c r="E1850" s="44"/>
      <c r="F1850" s="38" t="s">
        <v>3643</v>
      </c>
      <c r="G1850" s="94" t="s">
        <v>3914</v>
      </c>
    </row>
    <row r="1851">
      <c r="A1851" s="806">
        <v>46238.0</v>
      </c>
      <c r="B1851" s="44"/>
      <c r="C1851" s="38" t="s">
        <v>4331</v>
      </c>
      <c r="D1851" s="94" t="s">
        <v>21754</v>
      </c>
      <c r="E1851" s="44"/>
      <c r="F1851" s="38" t="s">
        <v>20319</v>
      </c>
      <c r="G1851" s="94" t="s">
        <v>22876</v>
      </c>
    </row>
    <row r="1852">
      <c r="A1852" s="806">
        <v>46238.0</v>
      </c>
      <c r="B1852" s="44"/>
      <c r="C1852" s="38" t="s">
        <v>20392</v>
      </c>
      <c r="D1852" s="38" t="s">
        <v>22877</v>
      </c>
      <c r="E1852" s="44"/>
      <c r="F1852" s="38" t="s">
        <v>22878</v>
      </c>
      <c r="G1852" s="777" t="s">
        <v>22879</v>
      </c>
    </row>
    <row r="1853">
      <c r="A1853" s="806">
        <v>46238.0</v>
      </c>
      <c r="B1853" s="44"/>
      <c r="C1853" s="94" t="s">
        <v>20388</v>
      </c>
      <c r="D1853" s="94" t="s">
        <v>18184</v>
      </c>
      <c r="E1853" s="44"/>
      <c r="F1853" s="38" t="s">
        <v>20319</v>
      </c>
      <c r="G1853" s="94" t="s">
        <v>22880</v>
      </c>
    </row>
    <row r="1854">
      <c r="A1854" s="806">
        <v>46238.0</v>
      </c>
      <c r="B1854" s="44"/>
      <c r="C1854" s="94" t="s">
        <v>20573</v>
      </c>
      <c r="D1854" s="94" t="s">
        <v>18915</v>
      </c>
      <c r="E1854" s="38">
        <v>110.0</v>
      </c>
      <c r="F1854" s="38" t="s">
        <v>20324</v>
      </c>
      <c r="G1854" s="94" t="s">
        <v>19478</v>
      </c>
    </row>
    <row r="1855">
      <c r="A1855" s="806">
        <v>46238.0</v>
      </c>
      <c r="B1855" s="44"/>
      <c r="C1855" s="94" t="s">
        <v>19247</v>
      </c>
      <c r="D1855" s="94" t="s">
        <v>20255</v>
      </c>
      <c r="E1855" s="38">
        <v>30.0</v>
      </c>
      <c r="F1855" s="38" t="s">
        <v>22881</v>
      </c>
      <c r="G1855" s="94" t="s">
        <v>20256</v>
      </c>
    </row>
    <row r="1856">
      <c r="A1856" s="806">
        <v>46238.0</v>
      </c>
      <c r="B1856" s="44"/>
      <c r="C1856" s="38" t="s">
        <v>18015</v>
      </c>
      <c r="D1856" s="94" t="s">
        <v>21682</v>
      </c>
      <c r="E1856" s="44"/>
      <c r="F1856" s="38" t="s">
        <v>21818</v>
      </c>
      <c r="G1856" s="94" t="s">
        <v>21700</v>
      </c>
      <c r="H1856" s="38" t="s">
        <v>10485</v>
      </c>
    </row>
    <row r="1857">
      <c r="A1857" s="141">
        <v>46269.0</v>
      </c>
      <c r="B1857" s="44"/>
      <c r="C1857" s="38" t="s">
        <v>18922</v>
      </c>
      <c r="D1857" s="94" t="s">
        <v>21387</v>
      </c>
      <c r="E1857" s="44"/>
      <c r="F1857" s="38" t="s">
        <v>20629</v>
      </c>
      <c r="G1857" s="94" t="s">
        <v>19491</v>
      </c>
    </row>
    <row r="1858">
      <c r="A1858" s="141">
        <v>46269.0</v>
      </c>
      <c r="B1858" s="44"/>
      <c r="C1858" s="94" t="s">
        <v>20918</v>
      </c>
      <c r="D1858" s="94" t="s">
        <v>21980</v>
      </c>
      <c r="E1858" s="44"/>
      <c r="F1858" s="38" t="s">
        <v>21703</v>
      </c>
      <c r="G1858" s="94" t="s">
        <v>541</v>
      </c>
    </row>
    <row r="1859">
      <c r="A1859" s="141">
        <v>46269.0</v>
      </c>
      <c r="B1859" s="44"/>
      <c r="C1859" s="94" t="s">
        <v>21655</v>
      </c>
      <c r="D1859" s="94" t="s">
        <v>21656</v>
      </c>
      <c r="E1859" s="44"/>
      <c r="F1859" s="38" t="s">
        <v>22882</v>
      </c>
      <c r="G1859" s="94" t="s">
        <v>21657</v>
      </c>
    </row>
    <row r="1860">
      <c r="A1860" s="141">
        <v>46269.0</v>
      </c>
      <c r="B1860" s="44"/>
      <c r="C1860" s="38" t="s">
        <v>17675</v>
      </c>
      <c r="D1860" s="38" t="s">
        <v>21147</v>
      </c>
      <c r="E1860" s="44"/>
      <c r="F1860" s="38" t="s">
        <v>20319</v>
      </c>
      <c r="G1860" s="38" t="s">
        <v>17648</v>
      </c>
    </row>
    <row r="1861">
      <c r="A1861" s="141">
        <v>46269.0</v>
      </c>
      <c r="B1861" s="44"/>
      <c r="C1861" s="38" t="s">
        <v>18928</v>
      </c>
      <c r="D1861" s="94" t="s">
        <v>19612</v>
      </c>
      <c r="E1861" s="44"/>
      <c r="F1861" s="38" t="s">
        <v>20432</v>
      </c>
      <c r="G1861" s="94" t="s">
        <v>18929</v>
      </c>
    </row>
    <row r="1862">
      <c r="A1862" s="141">
        <v>46269.0</v>
      </c>
      <c r="B1862" s="44"/>
      <c r="C1862" s="38" t="s">
        <v>17856</v>
      </c>
      <c r="D1862" s="38" t="s">
        <v>22883</v>
      </c>
      <c r="E1862" s="44"/>
      <c r="F1862" s="38" t="s">
        <v>22884</v>
      </c>
      <c r="G1862" s="38" t="s">
        <v>17648</v>
      </c>
    </row>
    <row r="1863">
      <c r="A1863" s="141">
        <v>46269.0</v>
      </c>
      <c r="B1863" s="44"/>
      <c r="C1863" s="94" t="s">
        <v>20099</v>
      </c>
      <c r="D1863" s="94" t="s">
        <v>20098</v>
      </c>
      <c r="E1863" s="38">
        <v>185.0</v>
      </c>
      <c r="F1863" s="38" t="s">
        <v>22885</v>
      </c>
      <c r="G1863" s="94" t="s">
        <v>20100</v>
      </c>
    </row>
    <row r="1864">
      <c r="A1864" s="141">
        <v>46269.0</v>
      </c>
      <c r="B1864" s="44"/>
      <c r="C1864" s="38" t="s">
        <v>17865</v>
      </c>
      <c r="D1864" s="38" t="s">
        <v>17866</v>
      </c>
      <c r="E1864" s="44"/>
      <c r="F1864" s="38" t="s">
        <v>20629</v>
      </c>
      <c r="G1864" s="38" t="s">
        <v>17648</v>
      </c>
    </row>
    <row r="1865">
      <c r="A1865" s="141">
        <v>46269.0</v>
      </c>
      <c r="B1865" s="44"/>
      <c r="C1865" s="94" t="s">
        <v>22041</v>
      </c>
      <c r="D1865" s="94" t="s">
        <v>18934</v>
      </c>
      <c r="E1865" s="38">
        <v>85.0</v>
      </c>
      <c r="F1865" s="38" t="s">
        <v>20319</v>
      </c>
      <c r="G1865" s="94" t="s">
        <v>19601</v>
      </c>
    </row>
    <row r="1866">
      <c r="A1866" s="141">
        <v>46269.0</v>
      </c>
      <c r="B1866" s="44"/>
      <c r="C1866" s="38" t="s">
        <v>22328</v>
      </c>
      <c r="D1866" s="38" t="s">
        <v>17871</v>
      </c>
      <c r="E1866" s="44"/>
      <c r="F1866" s="38" t="s">
        <v>20336</v>
      </c>
      <c r="G1866" s="38" t="s">
        <v>17648</v>
      </c>
    </row>
    <row r="1867">
      <c r="A1867" s="141">
        <v>46269.0</v>
      </c>
      <c r="B1867" s="44"/>
      <c r="C1867" s="38" t="s">
        <v>18766</v>
      </c>
      <c r="D1867" s="94" t="s">
        <v>18190</v>
      </c>
      <c r="E1867" s="44"/>
      <c r="F1867" s="38" t="s">
        <v>20457</v>
      </c>
      <c r="G1867" s="94" t="s">
        <v>22048</v>
      </c>
    </row>
    <row r="1868">
      <c r="A1868" s="141">
        <v>46269.0</v>
      </c>
      <c r="B1868" s="44"/>
      <c r="C1868" s="40" t="s">
        <v>18195</v>
      </c>
      <c r="D1868" s="94" t="s">
        <v>18196</v>
      </c>
      <c r="E1868" s="44"/>
      <c r="F1868" s="38" t="s">
        <v>20324</v>
      </c>
      <c r="G1868" s="94" t="s">
        <v>22886</v>
      </c>
    </row>
    <row r="1869">
      <c r="A1869" s="141">
        <v>46269.0</v>
      </c>
      <c r="B1869" s="44"/>
      <c r="C1869" s="38" t="s">
        <v>17675</v>
      </c>
      <c r="D1869" s="38" t="s">
        <v>22887</v>
      </c>
      <c r="E1869" s="44"/>
      <c r="F1869" s="38" t="s">
        <v>20324</v>
      </c>
      <c r="G1869" s="38" t="s">
        <v>17648</v>
      </c>
    </row>
    <row r="1870">
      <c r="A1870" s="141">
        <v>46269.0</v>
      </c>
      <c r="B1870" s="44"/>
      <c r="C1870" s="94" t="s">
        <v>22888</v>
      </c>
      <c r="D1870" s="38" t="s">
        <v>18937</v>
      </c>
      <c r="E1870" s="44"/>
      <c r="F1870" s="38" t="s">
        <v>20336</v>
      </c>
      <c r="G1870" s="94" t="s">
        <v>22001</v>
      </c>
    </row>
    <row r="1871">
      <c r="A1871" s="141">
        <v>46269.0</v>
      </c>
      <c r="B1871" s="44"/>
      <c r="C1871" s="38" t="s">
        <v>18015</v>
      </c>
      <c r="D1871" s="94" t="s">
        <v>20952</v>
      </c>
      <c r="E1871" s="38">
        <v>40.0</v>
      </c>
      <c r="F1871" s="38" t="s">
        <v>20330</v>
      </c>
      <c r="G1871" s="94" t="s">
        <v>22053</v>
      </c>
    </row>
    <row r="1872">
      <c r="A1872" s="141">
        <v>46269.0</v>
      </c>
      <c r="B1872" s="44"/>
      <c r="C1872" s="94" t="s">
        <v>21998</v>
      </c>
      <c r="D1872" s="94" t="s">
        <v>18200</v>
      </c>
      <c r="E1872" s="44"/>
      <c r="F1872" s="38" t="s">
        <v>20336</v>
      </c>
      <c r="G1872" s="94" t="s">
        <v>22889</v>
      </c>
    </row>
    <row r="1873">
      <c r="A1873" s="141">
        <v>46269.0</v>
      </c>
      <c r="B1873" s="44"/>
      <c r="C1873" s="47" t="s">
        <v>18940</v>
      </c>
      <c r="D1873" s="47" t="s">
        <v>18941</v>
      </c>
      <c r="E1873" s="44"/>
      <c r="F1873" s="38" t="s">
        <v>22890</v>
      </c>
      <c r="G1873" s="94" t="s">
        <v>18942</v>
      </c>
    </row>
    <row r="1874">
      <c r="A1874" s="141">
        <v>46269.0</v>
      </c>
      <c r="B1874" s="44"/>
      <c r="C1874" s="38" t="s">
        <v>22891</v>
      </c>
      <c r="D1874" s="94" t="s">
        <v>18950</v>
      </c>
      <c r="E1874" s="44"/>
      <c r="F1874" s="38" t="s">
        <v>22892</v>
      </c>
      <c r="G1874" s="94" t="s">
        <v>22893</v>
      </c>
    </row>
    <row r="1875">
      <c r="A1875" s="141">
        <v>46269.0</v>
      </c>
      <c r="B1875" s="44"/>
      <c r="C1875" s="38" t="s">
        <v>17956</v>
      </c>
      <c r="D1875" s="94" t="s">
        <v>18946</v>
      </c>
      <c r="E1875" s="44"/>
      <c r="F1875" s="38" t="s">
        <v>20457</v>
      </c>
      <c r="G1875" s="94" t="s">
        <v>20638</v>
      </c>
    </row>
    <row r="1876">
      <c r="A1876" s="806">
        <v>46299.0</v>
      </c>
      <c r="B1876" s="44"/>
      <c r="C1876" s="94" t="s">
        <v>22894</v>
      </c>
      <c r="D1876" s="94" t="s">
        <v>22895</v>
      </c>
      <c r="E1876" s="38"/>
      <c r="F1876" s="38" t="s">
        <v>13622</v>
      </c>
      <c r="G1876" s="94" t="s">
        <v>22896</v>
      </c>
      <c r="H1876" s="38" t="s">
        <v>22897</v>
      </c>
      <c r="I1876" s="44"/>
    </row>
    <row r="1877">
      <c r="A1877" s="806">
        <v>46299.0</v>
      </c>
      <c r="B1877" s="44"/>
      <c r="C1877" s="38" t="s">
        <v>20271</v>
      </c>
      <c r="D1877" s="94" t="s">
        <v>22898</v>
      </c>
      <c r="E1877" s="44"/>
      <c r="F1877" s="38" t="s">
        <v>22899</v>
      </c>
      <c r="G1877" s="94" t="s">
        <v>22900</v>
      </c>
    </row>
    <row r="1878">
      <c r="A1878" s="806">
        <v>46299.0</v>
      </c>
      <c r="B1878" s="44"/>
      <c r="C1878" s="38" t="s">
        <v>21367</v>
      </c>
      <c r="D1878" s="94" t="s">
        <v>21368</v>
      </c>
      <c r="E1878" s="44"/>
      <c r="F1878" s="38" t="s">
        <v>22901</v>
      </c>
      <c r="G1878" s="94" t="s">
        <v>21369</v>
      </c>
    </row>
    <row r="1879">
      <c r="A1879" s="806">
        <v>46299.0</v>
      </c>
      <c r="B1879" s="44"/>
      <c r="C1879" s="38" t="s">
        <v>18963</v>
      </c>
      <c r="D1879" s="38" t="s">
        <v>18378</v>
      </c>
      <c r="E1879" s="44"/>
      <c r="F1879" s="38" t="s">
        <v>22902</v>
      </c>
      <c r="G1879" s="38" t="s">
        <v>17648</v>
      </c>
    </row>
    <row r="1880">
      <c r="A1880" s="806">
        <v>46299.0</v>
      </c>
      <c r="B1880" s="44"/>
      <c r="C1880" s="38" t="s">
        <v>18766</v>
      </c>
      <c r="D1880" s="94" t="s">
        <v>21777</v>
      </c>
      <c r="E1880" s="44"/>
      <c r="F1880" s="38" t="s">
        <v>20241</v>
      </c>
      <c r="G1880" s="94" t="s">
        <v>21778</v>
      </c>
    </row>
    <row r="1881">
      <c r="A1881" s="806">
        <v>46299.0</v>
      </c>
      <c r="B1881" s="44"/>
      <c r="C1881" s="38" t="s">
        <v>17713</v>
      </c>
      <c r="D1881" s="38" t="s">
        <v>21363</v>
      </c>
      <c r="E1881" s="44"/>
      <c r="F1881" s="38" t="s">
        <v>20336</v>
      </c>
      <c r="G1881" s="38" t="s">
        <v>17648</v>
      </c>
    </row>
    <row r="1882">
      <c r="A1882" s="806">
        <v>46299.0</v>
      </c>
      <c r="B1882" s="44"/>
      <c r="C1882" s="38" t="s">
        <v>18492</v>
      </c>
      <c r="D1882" s="38" t="s">
        <v>17877</v>
      </c>
      <c r="E1882" s="44"/>
      <c r="F1882" s="38" t="s">
        <v>20367</v>
      </c>
      <c r="G1882" s="38" t="s">
        <v>17648</v>
      </c>
    </row>
    <row r="1883">
      <c r="A1883" s="806">
        <v>46299.0</v>
      </c>
      <c r="B1883" s="44"/>
      <c r="C1883" s="94" t="s">
        <v>20089</v>
      </c>
      <c r="D1883" s="94" t="s">
        <v>18954</v>
      </c>
      <c r="E1883" s="38">
        <v>-20.0</v>
      </c>
      <c r="F1883" s="38" t="s">
        <v>20367</v>
      </c>
      <c r="G1883" s="94" t="s">
        <v>18908</v>
      </c>
    </row>
    <row r="1884">
      <c r="A1884" s="806">
        <v>46299.0</v>
      </c>
      <c r="B1884" s="44"/>
      <c r="C1884" s="38" t="s">
        <v>22903</v>
      </c>
      <c r="D1884" s="47" t="s">
        <v>17880</v>
      </c>
      <c r="E1884" s="44"/>
      <c r="F1884" s="38" t="s">
        <v>20324</v>
      </c>
      <c r="G1884" s="38" t="s">
        <v>17648</v>
      </c>
    </row>
    <row r="1885">
      <c r="A1885" s="806">
        <v>46299.0</v>
      </c>
      <c r="B1885" s="44"/>
      <c r="C1885" s="94" t="s">
        <v>21203</v>
      </c>
      <c r="D1885" s="94" t="s">
        <v>21861</v>
      </c>
      <c r="E1885" s="44"/>
      <c r="F1885" s="38" t="s">
        <v>22904</v>
      </c>
      <c r="G1885" s="94" t="s">
        <v>21863</v>
      </c>
    </row>
    <row r="1886">
      <c r="A1886" s="806">
        <v>46299.0</v>
      </c>
      <c r="B1886" s="44"/>
      <c r="C1886" s="38" t="s">
        <v>20003</v>
      </c>
      <c r="D1886" s="38" t="s">
        <v>17835</v>
      </c>
      <c r="E1886" s="44"/>
      <c r="F1886" s="38" t="s">
        <v>22905</v>
      </c>
      <c r="G1886" s="38" t="s">
        <v>17648</v>
      </c>
    </row>
    <row r="1887">
      <c r="A1887" s="806">
        <v>46299.0</v>
      </c>
      <c r="B1887" s="44"/>
      <c r="C1887" s="38" t="s">
        <v>20271</v>
      </c>
      <c r="D1887" s="38" t="s">
        <v>21550</v>
      </c>
      <c r="E1887" s="44"/>
      <c r="F1887" s="38" t="s">
        <v>20241</v>
      </c>
      <c r="G1887" s="94" t="s">
        <v>21552</v>
      </c>
    </row>
    <row r="1888">
      <c r="A1888" s="806">
        <v>46299.0</v>
      </c>
      <c r="B1888" s="44"/>
      <c r="C1888" s="38" t="s">
        <v>18015</v>
      </c>
      <c r="D1888" s="94" t="s">
        <v>21853</v>
      </c>
      <c r="E1888" s="44"/>
      <c r="F1888" s="38" t="s">
        <v>22906</v>
      </c>
      <c r="G1888" s="94" t="s">
        <v>21854</v>
      </c>
    </row>
    <row r="1889">
      <c r="A1889" s="806">
        <v>46299.0</v>
      </c>
      <c r="B1889" s="44"/>
      <c r="C1889" s="38" t="s">
        <v>17884</v>
      </c>
      <c r="D1889" s="38" t="s">
        <v>17885</v>
      </c>
      <c r="E1889" s="44"/>
      <c r="F1889" s="38" t="s">
        <v>20324</v>
      </c>
      <c r="G1889" s="38" t="s">
        <v>17648</v>
      </c>
    </row>
    <row r="1890">
      <c r="A1890" s="806">
        <v>46299.0</v>
      </c>
      <c r="B1890" s="44"/>
      <c r="C1890" s="38" t="s">
        <v>22907</v>
      </c>
      <c r="D1890" s="94" t="s">
        <v>20449</v>
      </c>
      <c r="E1890" s="44"/>
      <c r="F1890" s="38" t="s">
        <v>22908</v>
      </c>
      <c r="G1890" s="94" t="s">
        <v>22909</v>
      </c>
    </row>
    <row r="1891">
      <c r="A1891" s="806">
        <v>46299.0</v>
      </c>
      <c r="B1891" s="44"/>
      <c r="C1891" s="38" t="s">
        <v>19885</v>
      </c>
      <c r="D1891" s="94" t="s">
        <v>21524</v>
      </c>
      <c r="E1891" s="44"/>
      <c r="F1891" s="38" t="s">
        <v>22910</v>
      </c>
      <c r="G1891" s="94" t="s">
        <v>21526</v>
      </c>
    </row>
    <row r="1892">
      <c r="A1892" s="806">
        <v>46299.0</v>
      </c>
      <c r="B1892" s="44"/>
      <c r="C1892" s="38" t="s">
        <v>22911</v>
      </c>
      <c r="D1892" s="94" t="s">
        <v>18216</v>
      </c>
      <c r="E1892" s="44"/>
      <c r="F1892" s="38" t="s">
        <v>20330</v>
      </c>
      <c r="G1892" s="94" t="s">
        <v>22912</v>
      </c>
    </row>
    <row r="1893">
      <c r="A1893" s="806">
        <v>46299.0</v>
      </c>
      <c r="B1893" s="44"/>
      <c r="C1893" s="38" t="s">
        <v>19704</v>
      </c>
      <c r="D1893" s="94" t="s">
        <v>20436</v>
      </c>
      <c r="E1893" s="44"/>
      <c r="F1893" s="38" t="s">
        <v>22913</v>
      </c>
      <c r="G1893" s="94" t="s">
        <v>22914</v>
      </c>
      <c r="H1893" s="38" t="s">
        <v>19627</v>
      </c>
    </row>
    <row r="1894">
      <c r="A1894" s="806">
        <v>46299.0</v>
      </c>
      <c r="B1894" s="44"/>
      <c r="C1894" s="94" t="s">
        <v>20281</v>
      </c>
      <c r="D1894" s="94" t="s">
        <v>20013</v>
      </c>
      <c r="E1894" s="38">
        <v>40.0</v>
      </c>
      <c r="F1894" s="38" t="s">
        <v>20330</v>
      </c>
      <c r="G1894" s="94" t="s">
        <v>22915</v>
      </c>
    </row>
    <row r="1895">
      <c r="A1895" s="806">
        <v>46299.0</v>
      </c>
      <c r="B1895" s="44"/>
      <c r="C1895" s="94" t="s">
        <v>22916</v>
      </c>
      <c r="D1895" s="94" t="s">
        <v>22917</v>
      </c>
      <c r="E1895" s="44"/>
      <c r="F1895" s="38" t="s">
        <v>22918</v>
      </c>
      <c r="G1895" s="94" t="s">
        <v>22919</v>
      </c>
      <c r="H1895" s="38" t="s">
        <v>22920</v>
      </c>
    </row>
    <row r="1896">
      <c r="A1896" s="141">
        <v>46330.0</v>
      </c>
      <c r="B1896" s="44"/>
      <c r="C1896" s="94" t="s">
        <v>19584</v>
      </c>
      <c r="D1896" s="94" t="s">
        <v>19585</v>
      </c>
      <c r="E1896" s="38">
        <v>45.0</v>
      </c>
      <c r="F1896" s="38" t="s">
        <v>22921</v>
      </c>
      <c r="G1896" s="94" t="s">
        <v>14101</v>
      </c>
    </row>
    <row r="1897">
      <c r="A1897" s="141">
        <v>46330.0</v>
      </c>
      <c r="B1897" s="44"/>
      <c r="C1897" s="38" t="s">
        <v>22796</v>
      </c>
      <c r="D1897" s="38" t="s">
        <v>22922</v>
      </c>
      <c r="E1897" s="44"/>
      <c r="F1897" s="38" t="s">
        <v>21832</v>
      </c>
      <c r="G1897" s="38" t="s">
        <v>21084</v>
      </c>
      <c r="H1897" s="38" t="s">
        <v>22923</v>
      </c>
    </row>
    <row r="1898">
      <c r="A1898" s="141">
        <v>46330.0</v>
      </c>
      <c r="B1898" s="44"/>
      <c r="C1898" s="94" t="s">
        <v>18966</v>
      </c>
      <c r="D1898" s="94" t="s">
        <v>18967</v>
      </c>
      <c r="E1898" s="38">
        <v>125.0</v>
      </c>
      <c r="F1898" s="38" t="s">
        <v>22924</v>
      </c>
      <c r="G1898" s="94" t="s">
        <v>22925</v>
      </c>
    </row>
    <row r="1899">
      <c r="A1899" s="141">
        <v>46330.0</v>
      </c>
      <c r="B1899" s="44"/>
      <c r="C1899" s="94" t="s">
        <v>22069</v>
      </c>
      <c r="D1899" s="94" t="s">
        <v>19634</v>
      </c>
      <c r="E1899" s="38">
        <v>85.0</v>
      </c>
      <c r="F1899" s="38" t="s">
        <v>22926</v>
      </c>
      <c r="G1899" s="94" t="s">
        <v>22927</v>
      </c>
    </row>
    <row r="1900">
      <c r="A1900" s="141">
        <v>46330.0</v>
      </c>
      <c r="B1900" s="44"/>
      <c r="C1900" s="94" t="s">
        <v>18566</v>
      </c>
      <c r="D1900" s="94" t="s">
        <v>18974</v>
      </c>
      <c r="E1900" s="44"/>
      <c r="F1900" s="38" t="s">
        <v>22928</v>
      </c>
      <c r="G1900" s="94" t="s">
        <v>21834</v>
      </c>
    </row>
    <row r="1901">
      <c r="A1901" s="141">
        <v>46330.0</v>
      </c>
      <c r="B1901" s="44"/>
      <c r="C1901" s="38" t="s">
        <v>18979</v>
      </c>
      <c r="D1901" s="94" t="s">
        <v>18978</v>
      </c>
      <c r="E1901" s="38">
        <v>125.0</v>
      </c>
      <c r="F1901" s="38" t="s">
        <v>22929</v>
      </c>
      <c r="G1901" s="94" t="s">
        <v>20251</v>
      </c>
    </row>
    <row r="1902">
      <c r="A1902" s="141">
        <v>46330.0</v>
      </c>
      <c r="B1902" s="44"/>
      <c r="C1902" s="38" t="s">
        <v>20383</v>
      </c>
      <c r="D1902" s="94" t="s">
        <v>22930</v>
      </c>
      <c r="E1902" s="38">
        <v>45.0</v>
      </c>
      <c r="F1902" s="38" t="s">
        <v>22931</v>
      </c>
      <c r="G1902" s="94" t="s">
        <v>19563</v>
      </c>
    </row>
    <row r="1903">
      <c r="A1903" s="141">
        <v>46330.0</v>
      </c>
      <c r="B1903" s="44"/>
      <c r="C1903" s="44"/>
      <c r="D1903" s="44"/>
      <c r="E1903" s="38">
        <v>200.0</v>
      </c>
      <c r="F1903" s="38" t="s">
        <v>21491</v>
      </c>
      <c r="G1903" s="44"/>
    </row>
    <row r="1904">
      <c r="A1904" s="38" t="s">
        <v>22932</v>
      </c>
      <c r="B1904" s="44"/>
      <c r="C1904" s="38" t="s">
        <v>21011</v>
      </c>
      <c r="D1904" s="38" t="s">
        <v>21686</v>
      </c>
      <c r="E1904" s="44"/>
      <c r="F1904" s="38" t="s">
        <v>21566</v>
      </c>
      <c r="G1904" s="38" t="s">
        <v>22933</v>
      </c>
    </row>
    <row r="1905">
      <c r="A1905" s="38" t="s">
        <v>22932</v>
      </c>
      <c r="B1905" s="44"/>
      <c r="C1905" s="38" t="s">
        <v>20911</v>
      </c>
      <c r="D1905" s="38" t="s">
        <v>22934</v>
      </c>
      <c r="E1905" s="44"/>
      <c r="F1905" s="38" t="s">
        <v>20367</v>
      </c>
      <c r="G1905" s="38" t="s">
        <v>22933</v>
      </c>
    </row>
    <row r="1906">
      <c r="A1906" s="38" t="s">
        <v>22932</v>
      </c>
      <c r="B1906" s="44"/>
      <c r="C1906" s="38" t="s">
        <v>20392</v>
      </c>
      <c r="D1906" s="38" t="s">
        <v>18984</v>
      </c>
      <c r="E1906" s="44"/>
      <c r="F1906" s="38" t="s">
        <v>20367</v>
      </c>
      <c r="G1906" s="38" t="s">
        <v>22933</v>
      </c>
    </row>
    <row r="1907">
      <c r="A1907" s="38" t="s">
        <v>22932</v>
      </c>
      <c r="B1907" s="44"/>
      <c r="C1907" s="38" t="s">
        <v>20083</v>
      </c>
      <c r="D1907" s="38" t="s">
        <v>17888</v>
      </c>
      <c r="E1907" s="44"/>
      <c r="F1907" s="38" t="s">
        <v>20319</v>
      </c>
      <c r="G1907" s="38" t="s">
        <v>17648</v>
      </c>
    </row>
    <row r="1908">
      <c r="A1908" s="38" t="s">
        <v>22932</v>
      </c>
      <c r="B1908" s="44"/>
      <c r="C1908" s="38" t="s">
        <v>17753</v>
      </c>
      <c r="D1908" s="94" t="s">
        <v>21414</v>
      </c>
      <c r="E1908" s="44"/>
      <c r="F1908" s="38" t="s">
        <v>21405</v>
      </c>
      <c r="G1908" s="94" t="s">
        <v>21416</v>
      </c>
    </row>
    <row r="1909">
      <c r="A1909" s="38" t="s">
        <v>22932</v>
      </c>
      <c r="B1909" s="44"/>
      <c r="C1909" s="38" t="s">
        <v>17891</v>
      </c>
      <c r="D1909" s="38" t="s">
        <v>17892</v>
      </c>
      <c r="E1909" s="44"/>
      <c r="F1909" s="38" t="s">
        <v>20457</v>
      </c>
      <c r="G1909" s="38" t="s">
        <v>17648</v>
      </c>
    </row>
    <row r="1910">
      <c r="A1910" s="38" t="s">
        <v>22932</v>
      </c>
      <c r="B1910" s="44"/>
      <c r="C1910" s="44"/>
      <c r="D1910" s="44"/>
      <c r="E1910" s="38">
        <v>-10.0</v>
      </c>
      <c r="F1910" s="38" t="s">
        <v>22935</v>
      </c>
      <c r="G1910" s="44"/>
    </row>
    <row r="1911">
      <c r="A1911" s="38" t="s">
        <v>22932</v>
      </c>
      <c r="B1911" s="44"/>
      <c r="C1911" s="38" t="s">
        <v>3177</v>
      </c>
      <c r="D1911" s="94" t="s">
        <v>21688</v>
      </c>
      <c r="E1911" s="44"/>
      <c r="F1911" s="38" t="s">
        <v>3643</v>
      </c>
      <c r="G1911" s="94" t="s">
        <v>22936</v>
      </c>
      <c r="H1911" s="217" t="s">
        <v>22937</v>
      </c>
      <c r="I1911" s="38" t="s">
        <v>22938</v>
      </c>
    </row>
    <row r="1912">
      <c r="A1912" s="38" t="s">
        <v>22932</v>
      </c>
      <c r="B1912" s="44"/>
      <c r="C1912" s="38" t="s">
        <v>20028</v>
      </c>
      <c r="D1912" s="38" t="s">
        <v>17900</v>
      </c>
      <c r="E1912" s="44"/>
      <c r="F1912" s="38" t="s">
        <v>20367</v>
      </c>
      <c r="G1912" s="38" t="s">
        <v>17648</v>
      </c>
    </row>
    <row r="1913">
      <c r="A1913" s="38" t="s">
        <v>22932</v>
      </c>
      <c r="B1913" s="44"/>
      <c r="C1913" s="38" t="s">
        <v>22939</v>
      </c>
      <c r="D1913" s="44"/>
      <c r="E1913" s="44"/>
      <c r="F1913" s="38" t="s">
        <v>22940</v>
      </c>
      <c r="G1913" s="38" t="s">
        <v>22941</v>
      </c>
      <c r="H1913" s="44"/>
    </row>
    <row r="1914">
      <c r="A1914" s="38" t="s">
        <v>22932</v>
      </c>
      <c r="B1914" s="44"/>
      <c r="C1914" s="38" t="s">
        <v>22942</v>
      </c>
      <c r="D1914" s="94" t="s">
        <v>21628</v>
      </c>
      <c r="E1914" s="44"/>
      <c r="F1914" s="38" t="s">
        <v>22882</v>
      </c>
      <c r="G1914" s="94" t="s">
        <v>21629</v>
      </c>
      <c r="H1914" s="44"/>
    </row>
    <row r="1915">
      <c r="A1915" s="38" t="s">
        <v>22932</v>
      </c>
      <c r="B1915" s="44"/>
      <c r="C1915" s="38" t="s">
        <v>18015</v>
      </c>
      <c r="D1915" s="38" t="s">
        <v>17895</v>
      </c>
      <c r="E1915" s="44"/>
      <c r="F1915" s="38" t="s">
        <v>22943</v>
      </c>
      <c r="G1915" s="38" t="s">
        <v>17648</v>
      </c>
    </row>
    <row r="1916">
      <c r="A1916" s="38" t="s">
        <v>22932</v>
      </c>
      <c r="B1916" s="44"/>
      <c r="C1916" s="44"/>
      <c r="D1916" s="44"/>
      <c r="E1916" s="38">
        <v>-120.0</v>
      </c>
      <c r="F1916" s="38" t="s">
        <v>22944</v>
      </c>
      <c r="G1916" s="44"/>
    </row>
    <row r="1917">
      <c r="A1917" s="38" t="s">
        <v>22932</v>
      </c>
      <c r="B1917" s="44"/>
      <c r="C1917" s="44"/>
      <c r="D1917" s="44"/>
      <c r="E1917" s="38">
        <v>-160.0</v>
      </c>
      <c r="F1917" s="38" t="s">
        <v>22945</v>
      </c>
      <c r="G1917" s="44"/>
    </row>
    <row r="1918">
      <c r="A1918" s="38" t="s">
        <v>22932</v>
      </c>
      <c r="B1918" s="44"/>
      <c r="C1918" s="38" t="s">
        <v>20060</v>
      </c>
      <c r="D1918" s="94" t="s">
        <v>20059</v>
      </c>
      <c r="E1918" s="38">
        <v>50.0</v>
      </c>
      <c r="F1918" s="38" t="s">
        <v>13622</v>
      </c>
      <c r="G1918" s="94" t="s">
        <v>20061</v>
      </c>
    </row>
    <row r="1919">
      <c r="A1919" s="38" t="s">
        <v>22932</v>
      </c>
      <c r="B1919" s="44"/>
      <c r="C1919" s="38" t="s">
        <v>19704</v>
      </c>
      <c r="D1919" s="94" t="s">
        <v>21567</v>
      </c>
      <c r="E1919" s="38">
        <v>90.0</v>
      </c>
      <c r="F1919" s="38" t="s">
        <v>20241</v>
      </c>
      <c r="G1919" s="94" t="s">
        <v>20063</v>
      </c>
    </row>
    <row r="1920">
      <c r="A1920" s="38" t="s">
        <v>22932</v>
      </c>
      <c r="B1920" s="44"/>
      <c r="C1920" s="38" t="s">
        <v>18492</v>
      </c>
      <c r="D1920" s="38" t="s">
        <v>20654</v>
      </c>
      <c r="E1920" s="44"/>
      <c r="F1920" s="38" t="s">
        <v>20319</v>
      </c>
      <c r="G1920" s="38" t="s">
        <v>17648</v>
      </c>
    </row>
    <row r="1921">
      <c r="A1921" s="38" t="s">
        <v>22932</v>
      </c>
      <c r="B1921" s="44"/>
      <c r="C1921" s="38" t="s">
        <v>22946</v>
      </c>
      <c r="D1921" s="94" t="s">
        <v>21212</v>
      </c>
      <c r="E1921" s="44"/>
      <c r="F1921" s="38" t="s">
        <v>22947</v>
      </c>
      <c r="G1921" s="94" t="s">
        <v>21214</v>
      </c>
    </row>
    <row r="1922">
      <c r="A1922" s="38" t="s">
        <v>22932</v>
      </c>
      <c r="B1922" s="44"/>
      <c r="C1922" s="38" t="s">
        <v>17822</v>
      </c>
      <c r="D1922" s="94" t="s">
        <v>19003</v>
      </c>
      <c r="E1922" s="38" t="s">
        <v>19309</v>
      </c>
      <c r="F1922" s="38" t="s">
        <v>20367</v>
      </c>
      <c r="G1922" s="94" t="s">
        <v>20168</v>
      </c>
    </row>
    <row r="1923">
      <c r="A1923" s="38" t="s">
        <v>22932</v>
      </c>
      <c r="B1923" s="44"/>
      <c r="C1923" s="94" t="s">
        <v>20414</v>
      </c>
      <c r="D1923" s="94" t="s">
        <v>18229</v>
      </c>
      <c r="E1923" s="44"/>
      <c r="F1923" s="38" t="s">
        <v>20319</v>
      </c>
      <c r="G1923" s="94" t="s">
        <v>21270</v>
      </c>
    </row>
    <row r="1924">
      <c r="A1924" s="38" t="s">
        <v>22932</v>
      </c>
      <c r="B1924" s="44"/>
      <c r="C1924" s="94" t="s">
        <v>22217</v>
      </c>
      <c r="D1924" s="38" t="s">
        <v>22948</v>
      </c>
      <c r="E1924" s="38">
        <v>45.0</v>
      </c>
      <c r="F1924" s="38" t="s">
        <v>22949</v>
      </c>
      <c r="G1924" s="94" t="s">
        <v>22950</v>
      </c>
    </row>
    <row r="1925">
      <c r="A1925" s="131" t="s">
        <v>22932</v>
      </c>
      <c r="B1925" s="130"/>
      <c r="C1925" s="783" t="s">
        <v>22951</v>
      </c>
      <c r="D1925" s="783" t="s">
        <v>22952</v>
      </c>
      <c r="E1925" s="130"/>
      <c r="F1925" s="131" t="s">
        <v>13622</v>
      </c>
      <c r="G1925" s="783" t="s">
        <v>20381</v>
      </c>
    </row>
    <row r="1926">
      <c r="A1926" s="38" t="s">
        <v>22932</v>
      </c>
      <c r="B1926" s="44"/>
      <c r="C1926" s="94" t="s">
        <v>19990</v>
      </c>
      <c r="D1926" s="94" t="s">
        <v>22953</v>
      </c>
      <c r="E1926" s="38">
        <v>45.0</v>
      </c>
      <c r="F1926" s="38" t="s">
        <v>3643</v>
      </c>
      <c r="G1926" s="94" t="s">
        <v>22954</v>
      </c>
    </row>
    <row r="1927">
      <c r="A1927" s="164" t="s">
        <v>20172</v>
      </c>
      <c r="B1927" s="44"/>
      <c r="C1927" s="38" t="s">
        <v>22955</v>
      </c>
      <c r="D1927" s="94" t="s">
        <v>20209</v>
      </c>
      <c r="E1927" s="38">
        <v>45.0</v>
      </c>
      <c r="F1927" s="38" t="s">
        <v>3643</v>
      </c>
      <c r="G1927" s="94" t="s">
        <v>20211</v>
      </c>
    </row>
    <row r="1928">
      <c r="A1928" s="164" t="s">
        <v>20172</v>
      </c>
      <c r="B1928" s="44"/>
      <c r="C1928" s="38" t="s">
        <v>18996</v>
      </c>
      <c r="D1928" s="94" t="s">
        <v>21945</v>
      </c>
      <c r="E1928" s="44"/>
      <c r="F1928" s="38" t="s">
        <v>22956</v>
      </c>
      <c r="G1928" s="94" t="s">
        <v>21947</v>
      </c>
    </row>
    <row r="1929">
      <c r="A1929" s="164" t="s">
        <v>20172</v>
      </c>
      <c r="B1929" s="44"/>
      <c r="C1929" s="94" t="s">
        <v>19690</v>
      </c>
      <c r="D1929" s="94" t="s">
        <v>21224</v>
      </c>
      <c r="E1929" s="44"/>
      <c r="F1929" s="38" t="s">
        <v>20319</v>
      </c>
      <c r="G1929" s="94" t="s">
        <v>5573</v>
      </c>
    </row>
    <row r="1930">
      <c r="A1930" s="164" t="s">
        <v>20172</v>
      </c>
      <c r="B1930" s="44"/>
      <c r="C1930" s="38" t="s">
        <v>21589</v>
      </c>
      <c r="D1930" s="38" t="s">
        <v>17911</v>
      </c>
      <c r="E1930" s="44"/>
      <c r="F1930" s="38" t="s">
        <v>20324</v>
      </c>
      <c r="G1930" s="38" t="s">
        <v>17648</v>
      </c>
    </row>
    <row r="1931">
      <c r="A1931" s="164" t="s">
        <v>20172</v>
      </c>
      <c r="B1931" s="44"/>
      <c r="C1931" s="38" t="s">
        <v>17876</v>
      </c>
      <c r="D1931" s="94" t="s">
        <v>22957</v>
      </c>
      <c r="E1931" s="44"/>
      <c r="F1931" s="38" t="s">
        <v>3643</v>
      </c>
      <c r="G1931" s="94" t="s">
        <v>20129</v>
      </c>
    </row>
    <row r="1932">
      <c r="A1932" s="164" t="s">
        <v>20172</v>
      </c>
      <c r="B1932" s="44"/>
      <c r="C1932" s="38" t="s">
        <v>19661</v>
      </c>
      <c r="D1932" s="38" t="s">
        <v>20445</v>
      </c>
      <c r="E1932" s="44"/>
      <c r="F1932" s="38" t="s">
        <v>22958</v>
      </c>
      <c r="G1932" s="38" t="s">
        <v>17648</v>
      </c>
    </row>
    <row r="1933">
      <c r="A1933" s="164" t="s">
        <v>20172</v>
      </c>
      <c r="B1933" s="44"/>
      <c r="C1933" s="38" t="s">
        <v>22959</v>
      </c>
      <c r="D1933" s="94" t="s">
        <v>19801</v>
      </c>
      <c r="E1933" s="44"/>
      <c r="F1933" s="38" t="s">
        <v>22960</v>
      </c>
      <c r="G1933" s="94" t="s">
        <v>20226</v>
      </c>
    </row>
    <row r="1934">
      <c r="A1934" s="164" t="s">
        <v>20172</v>
      </c>
      <c r="B1934" s="44"/>
      <c r="C1934" s="38" t="s">
        <v>18492</v>
      </c>
      <c r="D1934" s="38" t="s">
        <v>22961</v>
      </c>
      <c r="E1934" s="44"/>
      <c r="F1934" s="38" t="s">
        <v>3643</v>
      </c>
      <c r="G1934" s="38" t="s">
        <v>17648</v>
      </c>
    </row>
    <row r="1935">
      <c r="A1935" s="164" t="s">
        <v>20172</v>
      </c>
      <c r="B1935" s="44"/>
      <c r="C1935" s="94" t="s">
        <v>21655</v>
      </c>
      <c r="D1935" s="94" t="s">
        <v>18236</v>
      </c>
      <c r="E1935" s="44"/>
      <c r="F1935" s="38" t="s">
        <v>20319</v>
      </c>
      <c r="G1935" s="94" t="s">
        <v>21178</v>
      </c>
    </row>
    <row r="1936">
      <c r="A1936" s="164" t="s">
        <v>20172</v>
      </c>
      <c r="B1936" s="44"/>
      <c r="C1936" s="38" t="s">
        <v>4328</v>
      </c>
      <c r="D1936" s="38" t="s">
        <v>17903</v>
      </c>
      <c r="E1936" s="44"/>
      <c r="F1936" s="38" t="s">
        <v>22962</v>
      </c>
      <c r="G1936" s="38" t="s">
        <v>17648</v>
      </c>
    </row>
    <row r="1937">
      <c r="A1937" s="164" t="s">
        <v>20172</v>
      </c>
      <c r="B1937" s="44"/>
      <c r="C1937" s="38" t="s">
        <v>22955</v>
      </c>
      <c r="D1937" s="94" t="s">
        <v>4332</v>
      </c>
      <c r="E1937" s="44"/>
      <c r="F1937" s="38" t="s">
        <v>20319</v>
      </c>
      <c r="G1937" s="94" t="s">
        <v>22048</v>
      </c>
    </row>
    <row r="1938">
      <c r="A1938" s="197" t="s">
        <v>20172</v>
      </c>
      <c r="C1938" s="1" t="s">
        <v>20691</v>
      </c>
      <c r="D1938" s="730" t="s">
        <v>20692</v>
      </c>
      <c r="F1938" s="1" t="s">
        <v>20418</v>
      </c>
      <c r="G1938" s="730" t="s">
        <v>20693</v>
      </c>
    </row>
    <row r="1939">
      <c r="A1939" s="164" t="s">
        <v>20172</v>
      </c>
      <c r="B1939" s="44"/>
      <c r="C1939" s="38" t="s">
        <v>21226</v>
      </c>
      <c r="D1939" s="38" t="s">
        <v>17921</v>
      </c>
      <c r="E1939" s="44"/>
      <c r="F1939" s="38" t="s">
        <v>20457</v>
      </c>
      <c r="G1939" s="38" t="s">
        <v>17648</v>
      </c>
    </row>
    <row r="1940">
      <c r="A1940" s="164" t="s">
        <v>20172</v>
      </c>
      <c r="B1940" s="44"/>
      <c r="C1940" s="38" t="s">
        <v>22963</v>
      </c>
      <c r="D1940" s="38" t="s">
        <v>22964</v>
      </c>
      <c r="E1940" s="44"/>
      <c r="F1940" s="38" t="s">
        <v>22965</v>
      </c>
      <c r="G1940" s="38" t="s">
        <v>22966</v>
      </c>
    </row>
    <row r="1941">
      <c r="A1941" s="164" t="s">
        <v>20172</v>
      </c>
      <c r="B1941" s="44"/>
      <c r="C1941" s="38" t="s">
        <v>18849</v>
      </c>
      <c r="D1941" s="38" t="s">
        <v>20148</v>
      </c>
      <c r="E1941" s="38">
        <v>50.0</v>
      </c>
      <c r="F1941" s="38" t="s">
        <v>13622</v>
      </c>
      <c r="G1941" s="38" t="s">
        <v>20149</v>
      </c>
    </row>
    <row r="1942">
      <c r="A1942" s="164" t="s">
        <v>20172</v>
      </c>
      <c r="B1942" s="44"/>
      <c r="C1942" s="38" t="s">
        <v>4338</v>
      </c>
      <c r="D1942" s="38" t="s">
        <v>21349</v>
      </c>
      <c r="E1942" s="44"/>
      <c r="F1942" s="38" t="s">
        <v>22967</v>
      </c>
      <c r="G1942" s="38" t="s">
        <v>21351</v>
      </c>
    </row>
    <row r="1943">
      <c r="A1943" s="164" t="s">
        <v>20172</v>
      </c>
      <c r="B1943" s="44"/>
      <c r="C1943" s="38" t="s">
        <v>22968</v>
      </c>
      <c r="D1943" s="38" t="s">
        <v>19007</v>
      </c>
      <c r="E1943" s="44"/>
      <c r="F1943" s="38" t="s">
        <v>22969</v>
      </c>
      <c r="G1943" s="38" t="s">
        <v>22970</v>
      </c>
    </row>
    <row r="1944">
      <c r="A1944" s="164" t="s">
        <v>20172</v>
      </c>
      <c r="B1944" s="44"/>
      <c r="C1944" s="38" t="s">
        <v>19012</v>
      </c>
      <c r="D1944" s="38" t="s">
        <v>19013</v>
      </c>
      <c r="E1944" s="38">
        <v>105.0</v>
      </c>
      <c r="F1944" s="38" t="s">
        <v>20457</v>
      </c>
      <c r="G1944" s="38" t="s">
        <v>20275</v>
      </c>
    </row>
    <row r="1945">
      <c r="A1945" s="164" t="s">
        <v>20172</v>
      </c>
      <c r="B1945" s="44"/>
      <c r="C1945" s="38" t="s">
        <v>19733</v>
      </c>
      <c r="D1945" s="38" t="s">
        <v>19024</v>
      </c>
      <c r="E1945" s="44"/>
      <c r="F1945" s="38" t="s">
        <v>22971</v>
      </c>
      <c r="G1945" s="38" t="s">
        <v>22972</v>
      </c>
    </row>
    <row r="1946">
      <c r="A1946" s="46" t="s">
        <v>20188</v>
      </c>
      <c r="B1946" s="44"/>
      <c r="C1946" s="38" t="s">
        <v>18015</v>
      </c>
      <c r="D1946" s="94" t="s">
        <v>19028</v>
      </c>
      <c r="E1946" s="44"/>
      <c r="F1946" s="38" t="s">
        <v>22015</v>
      </c>
      <c r="G1946" s="94" t="s">
        <v>19029</v>
      </c>
    </row>
    <row r="1947">
      <c r="A1947" s="46" t="s">
        <v>20188</v>
      </c>
      <c r="B1947" s="44"/>
      <c r="C1947" s="94" t="s">
        <v>22973</v>
      </c>
      <c r="D1947" s="94" t="s">
        <v>22974</v>
      </c>
      <c r="E1947" s="38">
        <v>40.0</v>
      </c>
      <c r="F1947" s="38" t="s">
        <v>20330</v>
      </c>
      <c r="G1947" s="94" t="s">
        <v>20149</v>
      </c>
    </row>
    <row r="1948">
      <c r="A1948" s="46" t="s">
        <v>20188</v>
      </c>
      <c r="B1948" s="44"/>
      <c r="C1948" s="94" t="s">
        <v>19990</v>
      </c>
      <c r="D1948" s="94" t="s">
        <v>21762</v>
      </c>
      <c r="E1948" s="44"/>
      <c r="F1948" s="38" t="s">
        <v>20367</v>
      </c>
      <c r="G1948" s="94" t="s">
        <v>22975</v>
      </c>
    </row>
    <row r="1949">
      <c r="A1949" s="46" t="s">
        <v>20188</v>
      </c>
      <c r="B1949" s="44"/>
      <c r="C1949" s="38" t="s">
        <v>22976</v>
      </c>
      <c r="D1949" s="38" t="s">
        <v>17925</v>
      </c>
      <c r="E1949" s="44"/>
      <c r="F1949" s="38" t="s">
        <v>22977</v>
      </c>
      <c r="G1949" s="38" t="s">
        <v>17648</v>
      </c>
    </row>
    <row r="1950">
      <c r="A1950" s="46" t="s">
        <v>20188</v>
      </c>
      <c r="B1950" s="44"/>
      <c r="C1950" s="94" t="s">
        <v>17806</v>
      </c>
      <c r="D1950" s="38" t="s">
        <v>22978</v>
      </c>
      <c r="E1950" s="44"/>
      <c r="F1950" s="38" t="s">
        <v>22979</v>
      </c>
      <c r="G1950" s="94" t="s">
        <v>21947</v>
      </c>
    </row>
    <row r="1951">
      <c r="A1951" s="46" t="s">
        <v>20188</v>
      </c>
      <c r="B1951" s="44"/>
      <c r="C1951" s="38" t="s">
        <v>4328</v>
      </c>
      <c r="D1951" s="38" t="s">
        <v>21289</v>
      </c>
      <c r="E1951" s="44"/>
      <c r="F1951" s="38" t="s">
        <v>20319</v>
      </c>
      <c r="G1951" s="38" t="s">
        <v>17648</v>
      </c>
    </row>
    <row r="1952">
      <c r="A1952" s="46" t="s">
        <v>20188</v>
      </c>
      <c r="B1952" s="44"/>
      <c r="C1952" s="94" t="s">
        <v>21131</v>
      </c>
      <c r="D1952" s="94" t="s">
        <v>21132</v>
      </c>
      <c r="E1952" s="44"/>
      <c r="F1952" s="38" t="s">
        <v>20241</v>
      </c>
      <c r="G1952" s="94" t="s">
        <v>21134</v>
      </c>
    </row>
    <row r="1953">
      <c r="A1953" s="46" t="s">
        <v>20188</v>
      </c>
      <c r="B1953" s="44"/>
      <c r="C1953" s="38" t="s">
        <v>21226</v>
      </c>
      <c r="D1953" s="38" t="s">
        <v>17930</v>
      </c>
      <c r="E1953" s="44"/>
      <c r="F1953" s="38" t="s">
        <v>21397</v>
      </c>
      <c r="G1953" s="38" t="s">
        <v>17648</v>
      </c>
    </row>
    <row r="1954">
      <c r="A1954" s="836" t="s">
        <v>20188</v>
      </c>
      <c r="B1954" s="130"/>
      <c r="C1954" s="130"/>
      <c r="D1954" s="130"/>
      <c r="E1954" s="131">
        <v>-300.0</v>
      </c>
      <c r="F1954" s="131" t="s">
        <v>22980</v>
      </c>
      <c r="G1954" s="130"/>
    </row>
    <row r="1955">
      <c r="A1955" s="46" t="s">
        <v>20188</v>
      </c>
      <c r="B1955" s="44"/>
      <c r="C1955" s="94" t="s">
        <v>22981</v>
      </c>
      <c r="D1955" s="94" t="s">
        <v>19036</v>
      </c>
      <c r="E1955" s="38">
        <v>-30.0</v>
      </c>
      <c r="F1955" s="38" t="s">
        <v>20324</v>
      </c>
      <c r="G1955" s="94" t="s">
        <v>19037</v>
      </c>
    </row>
    <row r="1956">
      <c r="A1956" s="46" t="s">
        <v>20188</v>
      </c>
      <c r="B1956" s="44"/>
      <c r="C1956" s="38" t="s">
        <v>21123</v>
      </c>
      <c r="D1956" s="38" t="s">
        <v>18248</v>
      </c>
      <c r="E1956" s="44"/>
      <c r="F1956" s="38" t="s">
        <v>20319</v>
      </c>
      <c r="G1956" s="38" t="s">
        <v>17648</v>
      </c>
    </row>
    <row r="1957">
      <c r="A1957" s="46" t="s">
        <v>20188</v>
      </c>
      <c r="B1957" s="44"/>
      <c r="C1957" s="94" t="s">
        <v>22982</v>
      </c>
      <c r="D1957" s="94" t="s">
        <v>19041</v>
      </c>
      <c r="E1957" s="44"/>
      <c r="F1957" s="38" t="s">
        <v>22983</v>
      </c>
      <c r="G1957" s="94" t="s">
        <v>19042</v>
      </c>
      <c r="H1957" s="90"/>
      <c r="I1957" s="44"/>
      <c r="J1957" s="885"/>
    </row>
    <row r="1958">
      <c r="A1958" s="46" t="s">
        <v>20188</v>
      </c>
      <c r="B1958" s="44"/>
      <c r="C1958" s="38" t="s">
        <v>22984</v>
      </c>
      <c r="D1958" s="94" t="s">
        <v>21745</v>
      </c>
      <c r="E1958" s="44"/>
      <c r="F1958" s="38" t="s">
        <v>20241</v>
      </c>
      <c r="G1958" s="94" t="s">
        <v>21746</v>
      </c>
      <c r="H1958" s="5"/>
    </row>
    <row r="1959">
      <c r="A1959" s="46" t="s">
        <v>20188</v>
      </c>
      <c r="B1959" s="44"/>
      <c r="C1959" s="38" t="s">
        <v>18996</v>
      </c>
      <c r="D1959" s="38" t="s">
        <v>22985</v>
      </c>
      <c r="E1959" s="44"/>
      <c r="F1959" s="38" t="s">
        <v>21228</v>
      </c>
      <c r="G1959" s="38" t="s">
        <v>17648</v>
      </c>
    </row>
    <row r="1960">
      <c r="A1960" s="46" t="s">
        <v>20188</v>
      </c>
      <c r="B1960" s="44"/>
      <c r="C1960" s="94" t="s">
        <v>20354</v>
      </c>
      <c r="D1960" s="94" t="s">
        <v>19046</v>
      </c>
      <c r="E1960" s="44"/>
      <c r="F1960" s="38" t="s">
        <v>20241</v>
      </c>
      <c r="G1960" s="94" t="s">
        <v>20356</v>
      </c>
    </row>
    <row r="1961">
      <c r="A1961" s="46" t="s">
        <v>20188</v>
      </c>
      <c r="B1961" s="44"/>
      <c r="C1961" s="94" t="s">
        <v>22986</v>
      </c>
      <c r="D1961" s="94" t="s">
        <v>22987</v>
      </c>
      <c r="E1961" s="44"/>
      <c r="F1961" s="38" t="s">
        <v>20367</v>
      </c>
      <c r="G1961" s="94" t="s">
        <v>20275</v>
      </c>
    </row>
    <row r="1962">
      <c r="A1962" s="64" t="s">
        <v>20188</v>
      </c>
      <c r="C1962" s="1" t="s">
        <v>17713</v>
      </c>
      <c r="D1962" s="190" t="s">
        <v>22988</v>
      </c>
      <c r="F1962" s="1" t="s">
        <v>20319</v>
      </c>
      <c r="G1962" s="190" t="s">
        <v>22989</v>
      </c>
    </row>
    <row r="1963">
      <c r="A1963" s="46" t="s">
        <v>20188</v>
      </c>
      <c r="B1963" s="44"/>
      <c r="C1963" s="38" t="s">
        <v>19765</v>
      </c>
      <c r="D1963" s="94" t="s">
        <v>19051</v>
      </c>
      <c r="E1963" s="44"/>
      <c r="F1963" s="38" t="s">
        <v>19994</v>
      </c>
      <c r="G1963" s="94" t="s">
        <v>19052</v>
      </c>
    </row>
    <row r="1964">
      <c r="A1964" s="46" t="s">
        <v>20188</v>
      </c>
      <c r="B1964" s="44"/>
      <c r="C1964" s="38" t="s">
        <v>18492</v>
      </c>
      <c r="D1964" s="94" t="s">
        <v>22990</v>
      </c>
      <c r="E1964" s="38">
        <v>40.0</v>
      </c>
      <c r="F1964" s="38" t="s">
        <v>22991</v>
      </c>
      <c r="G1964" s="94" t="s">
        <v>22387</v>
      </c>
    </row>
    <row r="1965">
      <c r="A1965" s="46" t="s">
        <v>20188</v>
      </c>
      <c r="B1965" s="44"/>
      <c r="C1965" s="94" t="s">
        <v>17938</v>
      </c>
      <c r="D1965" s="94" t="s">
        <v>17939</v>
      </c>
      <c r="E1965" s="44"/>
      <c r="F1965" s="38" t="s">
        <v>22992</v>
      </c>
      <c r="G1965" s="38" t="s">
        <v>17648</v>
      </c>
    </row>
    <row r="1966">
      <c r="A1966" s="46" t="s">
        <v>20188</v>
      </c>
      <c r="B1966" s="44"/>
      <c r="C1966" s="44"/>
      <c r="D1966" s="44"/>
      <c r="E1966" s="44"/>
      <c r="F1966" s="38" t="s">
        <v>22993</v>
      </c>
      <c r="G1966" s="38" t="s">
        <v>22994</v>
      </c>
    </row>
    <row r="1967">
      <c r="A1967" s="46" t="s">
        <v>20188</v>
      </c>
      <c r="B1967" s="44"/>
      <c r="C1967" s="44"/>
      <c r="D1967" s="44"/>
      <c r="E1967" s="44"/>
      <c r="F1967" s="38" t="s">
        <v>22995</v>
      </c>
      <c r="G1967" s="38" t="s">
        <v>21478</v>
      </c>
    </row>
    <row r="1968">
      <c r="A1968" s="164" t="s">
        <v>20205</v>
      </c>
      <c r="B1968" s="44"/>
      <c r="C1968" s="44"/>
      <c r="D1968" s="44"/>
      <c r="E1968" s="38">
        <v>9.0</v>
      </c>
      <c r="F1968" s="38" t="s">
        <v>22996</v>
      </c>
      <c r="G1968" s="44"/>
    </row>
    <row r="1969">
      <c r="A1969" s="164" t="s">
        <v>20205</v>
      </c>
      <c r="B1969" s="44"/>
      <c r="C1969" s="38" t="s">
        <v>20392</v>
      </c>
      <c r="D1969" s="94" t="s">
        <v>19089</v>
      </c>
      <c r="E1969" s="44"/>
      <c r="F1969" s="38" t="s">
        <v>22997</v>
      </c>
      <c r="G1969" s="94" t="s">
        <v>20368</v>
      </c>
      <c r="H1969" s="44"/>
    </row>
    <row r="1970">
      <c r="A1970" s="164" t="s">
        <v>20205</v>
      </c>
      <c r="B1970" s="44"/>
      <c r="C1970" s="94" t="s">
        <v>19990</v>
      </c>
      <c r="D1970" s="94" t="s">
        <v>18251</v>
      </c>
      <c r="E1970" s="44"/>
      <c r="F1970" s="38" t="s">
        <v>22998</v>
      </c>
      <c r="G1970" s="94" t="s">
        <v>22999</v>
      </c>
    </row>
    <row r="1971">
      <c r="A1971" s="164" t="s">
        <v>20205</v>
      </c>
      <c r="B1971" s="44"/>
      <c r="C1971" s="38" t="s">
        <v>17956</v>
      </c>
      <c r="D1971" s="38" t="s">
        <v>17957</v>
      </c>
      <c r="E1971" s="44"/>
      <c r="F1971" s="38" t="s">
        <v>20324</v>
      </c>
      <c r="G1971" s="38" t="s">
        <v>17648</v>
      </c>
    </row>
    <row r="1972">
      <c r="A1972" s="197" t="s">
        <v>20205</v>
      </c>
      <c r="C1972" s="5" t="s">
        <v>17933</v>
      </c>
      <c r="D1972" s="4" t="s">
        <v>23000</v>
      </c>
      <c r="E1972" s="886"/>
      <c r="F1972" s="5" t="s">
        <v>2382</v>
      </c>
      <c r="G1972" s="196" t="s">
        <v>23001</v>
      </c>
    </row>
    <row r="1973">
      <c r="A1973" s="164" t="s">
        <v>20205</v>
      </c>
      <c r="B1973" s="44"/>
      <c r="C1973" s="38" t="s">
        <v>21367</v>
      </c>
      <c r="D1973" s="38" t="s">
        <v>21368</v>
      </c>
      <c r="E1973" s="44"/>
      <c r="F1973" s="38" t="s">
        <v>23002</v>
      </c>
      <c r="G1973" s="38" t="s">
        <v>17648</v>
      </c>
    </row>
    <row r="1974">
      <c r="A1974" s="164" t="s">
        <v>20205</v>
      </c>
      <c r="B1974" s="44"/>
      <c r="C1974" s="38" t="s">
        <v>4328</v>
      </c>
      <c r="D1974" s="38" t="s">
        <v>17949</v>
      </c>
      <c r="E1974" s="44"/>
      <c r="F1974" s="38" t="s">
        <v>19994</v>
      </c>
      <c r="G1974" s="38" t="s">
        <v>17648</v>
      </c>
    </row>
    <row r="1975">
      <c r="A1975" s="164" t="s">
        <v>20205</v>
      </c>
      <c r="B1975" s="44"/>
      <c r="C1975" s="38" t="s">
        <v>17713</v>
      </c>
      <c r="D1975" s="94" t="s">
        <v>21335</v>
      </c>
      <c r="E1975" s="44"/>
      <c r="F1975" s="38" t="s">
        <v>20319</v>
      </c>
      <c r="G1975" s="94" t="s">
        <v>21336</v>
      </c>
    </row>
    <row r="1976">
      <c r="A1976" s="164" t="s">
        <v>20205</v>
      </c>
      <c r="B1976" s="44"/>
      <c r="C1976" s="38" t="s">
        <v>19661</v>
      </c>
      <c r="D1976" s="38" t="s">
        <v>19063</v>
      </c>
      <c r="E1976" s="44"/>
      <c r="F1976" s="38" t="s">
        <v>20457</v>
      </c>
      <c r="G1976" s="38" t="s">
        <v>17648</v>
      </c>
    </row>
    <row r="1977">
      <c r="A1977" s="164" t="s">
        <v>20205</v>
      </c>
      <c r="B1977" s="44"/>
      <c r="C1977" s="38" t="s">
        <v>19556</v>
      </c>
      <c r="D1977" s="47" t="s">
        <v>17960</v>
      </c>
      <c r="E1977" s="44"/>
      <c r="F1977" s="38" t="s">
        <v>23003</v>
      </c>
      <c r="G1977" s="38" t="s">
        <v>17648</v>
      </c>
      <c r="H1977" s="44"/>
      <c r="I1977" s="44"/>
    </row>
    <row r="1978">
      <c r="A1978" s="164" t="s">
        <v>20205</v>
      </c>
      <c r="B1978" s="44"/>
      <c r="C1978" s="38" t="s">
        <v>23004</v>
      </c>
      <c r="D1978" s="38" t="s">
        <v>22099</v>
      </c>
      <c r="E1978" s="38">
        <v>85.0</v>
      </c>
      <c r="F1978" s="38" t="s">
        <v>20319</v>
      </c>
      <c r="G1978" s="94" t="s">
        <v>22100</v>
      </c>
    </row>
    <row r="1979">
      <c r="A1979" s="164" t="s">
        <v>20205</v>
      </c>
      <c r="B1979" s="44"/>
      <c r="C1979" s="38" t="s">
        <v>7909</v>
      </c>
      <c r="D1979" s="94" t="s">
        <v>22044</v>
      </c>
      <c r="E1979" s="38">
        <v>50.0</v>
      </c>
      <c r="F1979" s="38" t="s">
        <v>13622</v>
      </c>
      <c r="G1979" s="38" t="s">
        <v>22046</v>
      </c>
    </row>
    <row r="1980">
      <c r="A1980" s="164" t="s">
        <v>20205</v>
      </c>
      <c r="B1980" s="44"/>
      <c r="C1980" s="38" t="s">
        <v>21719</v>
      </c>
      <c r="D1980" s="94" t="s">
        <v>20005</v>
      </c>
      <c r="E1980" s="44"/>
      <c r="F1980" s="38" t="s">
        <v>23005</v>
      </c>
      <c r="G1980" s="94" t="s">
        <v>21721</v>
      </c>
    </row>
    <row r="1981">
      <c r="A1981" s="164" t="s">
        <v>20205</v>
      </c>
      <c r="B1981" s="44"/>
      <c r="C1981" s="38" t="s">
        <v>17952</v>
      </c>
      <c r="D1981" s="38" t="s">
        <v>21419</v>
      </c>
      <c r="E1981" s="44"/>
      <c r="F1981" s="38" t="s">
        <v>20324</v>
      </c>
      <c r="G1981" s="38" t="s">
        <v>17648</v>
      </c>
    </row>
    <row r="1982">
      <c r="A1982" s="164" t="s">
        <v>20205</v>
      </c>
      <c r="B1982" s="44"/>
      <c r="C1982" s="38" t="s">
        <v>17675</v>
      </c>
      <c r="D1982" s="94" t="s">
        <v>18262</v>
      </c>
      <c r="E1982" s="44"/>
      <c r="F1982" s="38" t="s">
        <v>23006</v>
      </c>
      <c r="G1982" s="94" t="s">
        <v>21142</v>
      </c>
    </row>
    <row r="1983">
      <c r="A1983" s="164" t="s">
        <v>20205</v>
      </c>
      <c r="B1983" s="44"/>
      <c r="C1983" s="38" t="s">
        <v>17763</v>
      </c>
      <c r="D1983" s="94" t="s">
        <v>19075</v>
      </c>
      <c r="E1983" s="44"/>
      <c r="F1983" s="38" t="s">
        <v>20457</v>
      </c>
      <c r="G1983" s="94" t="s">
        <v>21672</v>
      </c>
    </row>
    <row r="1984">
      <c r="A1984" s="164" t="s">
        <v>20205</v>
      </c>
      <c r="B1984" s="44"/>
      <c r="C1984" s="38" t="s">
        <v>7909</v>
      </c>
      <c r="D1984" s="94" t="s">
        <v>23007</v>
      </c>
      <c r="E1984" s="38">
        <v>50.0</v>
      </c>
      <c r="F1984" s="38" t="s">
        <v>3643</v>
      </c>
      <c r="G1984" s="94" t="s">
        <v>21746</v>
      </c>
      <c r="H1984" s="1" t="s">
        <v>23008</v>
      </c>
    </row>
    <row r="1985">
      <c r="A1985" s="164" t="s">
        <v>20205</v>
      </c>
      <c r="B1985" s="44"/>
      <c r="C1985" s="38" t="s">
        <v>20213</v>
      </c>
      <c r="D1985" s="94" t="s">
        <v>23009</v>
      </c>
      <c r="E1985" s="44"/>
      <c r="F1985" s="38" t="s">
        <v>20241</v>
      </c>
      <c r="G1985" s="94" t="s">
        <v>23010</v>
      </c>
    </row>
    <row r="1986">
      <c r="A1986" s="164" t="s">
        <v>20205</v>
      </c>
      <c r="B1986" s="44"/>
      <c r="C1986" s="94" t="s">
        <v>23011</v>
      </c>
      <c r="D1986" s="94" t="s">
        <v>19083</v>
      </c>
      <c r="E1986" s="44"/>
      <c r="F1986" s="38" t="s">
        <v>20241</v>
      </c>
      <c r="G1986" s="94" t="s">
        <v>23012</v>
      </c>
    </row>
    <row r="1987">
      <c r="A1987" s="164" t="s">
        <v>20205</v>
      </c>
      <c r="B1987" s="44"/>
      <c r="C1987" s="94" t="s">
        <v>21441</v>
      </c>
      <c r="D1987" s="94" t="s">
        <v>23013</v>
      </c>
      <c r="E1987" s="38"/>
      <c r="F1987" s="38" t="s">
        <v>1112</v>
      </c>
      <c r="G1987" s="94" t="s">
        <v>23014</v>
      </c>
    </row>
    <row r="1988">
      <c r="A1988" s="131" t="s">
        <v>20208</v>
      </c>
      <c r="B1988" s="130"/>
      <c r="C1988" s="131" t="s">
        <v>4169</v>
      </c>
      <c r="D1988" s="783" t="s">
        <v>19626</v>
      </c>
      <c r="E1988" s="131">
        <v>50.0</v>
      </c>
      <c r="F1988" s="131" t="s">
        <v>13622</v>
      </c>
      <c r="G1988" s="783" t="s">
        <v>10229</v>
      </c>
    </row>
    <row r="1989">
      <c r="A1989" s="38" t="s">
        <v>20208</v>
      </c>
      <c r="B1989" s="44"/>
      <c r="C1989" s="94" t="s">
        <v>3492</v>
      </c>
      <c r="D1989" s="94" t="s">
        <v>23015</v>
      </c>
      <c r="E1989" s="44"/>
      <c r="F1989" s="38" t="s">
        <v>21912</v>
      </c>
      <c r="G1989" s="94" t="s">
        <v>22966</v>
      </c>
    </row>
    <row r="1990">
      <c r="A1990" s="38" t="s">
        <v>20208</v>
      </c>
      <c r="B1990" s="44"/>
      <c r="C1990" s="94" t="s">
        <v>20626</v>
      </c>
      <c r="D1990" s="94" t="s">
        <v>21812</v>
      </c>
      <c r="E1990" s="44"/>
      <c r="F1990" s="38" t="s">
        <v>3724</v>
      </c>
      <c r="G1990" s="94" t="s">
        <v>21814</v>
      </c>
    </row>
    <row r="1991">
      <c r="A1991" s="38" t="s">
        <v>20208</v>
      </c>
      <c r="B1991" s="44"/>
      <c r="C1991" s="38" t="s">
        <v>21728</v>
      </c>
      <c r="D1991" s="38" t="s">
        <v>17963</v>
      </c>
      <c r="E1991" s="44"/>
      <c r="F1991" s="38" t="s">
        <v>23016</v>
      </c>
      <c r="G1991" s="38" t="s">
        <v>17648</v>
      </c>
    </row>
    <row r="1992">
      <c r="A1992" s="38" t="s">
        <v>20208</v>
      </c>
      <c r="B1992" s="44"/>
      <c r="C1992" s="38" t="s">
        <v>23017</v>
      </c>
      <c r="D1992" s="94" t="s">
        <v>23018</v>
      </c>
      <c r="E1992" s="38">
        <v>40.0</v>
      </c>
      <c r="F1992" s="38" t="s">
        <v>20330</v>
      </c>
      <c r="G1992" s="94" t="s">
        <v>22046</v>
      </c>
    </row>
    <row r="1993">
      <c r="A1993" s="38" t="s">
        <v>20208</v>
      </c>
      <c r="B1993" s="44"/>
      <c r="C1993" s="38" t="s">
        <v>17967</v>
      </c>
      <c r="D1993" s="38" t="s">
        <v>23019</v>
      </c>
      <c r="E1993" s="44"/>
      <c r="F1993" s="38" t="s">
        <v>20457</v>
      </c>
      <c r="G1993" s="38" t="s">
        <v>17648</v>
      </c>
    </row>
    <row r="1994">
      <c r="A1994" s="38" t="s">
        <v>20208</v>
      </c>
      <c r="B1994" s="44"/>
      <c r="C1994" s="94" t="s">
        <v>23020</v>
      </c>
      <c r="D1994" s="94" t="s">
        <v>19148</v>
      </c>
      <c r="E1994" s="44"/>
      <c r="F1994" s="38" t="s">
        <v>23021</v>
      </c>
      <c r="G1994" s="94" t="s">
        <v>21479</v>
      </c>
    </row>
    <row r="1995">
      <c r="A1995" s="1" t="s">
        <v>20208</v>
      </c>
      <c r="C1995" s="5" t="s">
        <v>20617</v>
      </c>
      <c r="D1995" s="5" t="s">
        <v>17676</v>
      </c>
      <c r="E1995" s="886"/>
      <c r="F1995" s="5" t="s">
        <v>23022</v>
      </c>
      <c r="G1995" s="5" t="s">
        <v>17648</v>
      </c>
    </row>
    <row r="1996">
      <c r="A1996" s="1" t="s">
        <v>20208</v>
      </c>
      <c r="C1996" s="5" t="s">
        <v>23023</v>
      </c>
      <c r="D1996" s="5" t="s">
        <v>23024</v>
      </c>
      <c r="E1996" s="8"/>
      <c r="F1996" s="5" t="s">
        <v>20330</v>
      </c>
      <c r="G1996" s="1" t="s">
        <v>22919</v>
      </c>
      <c r="H1996" s="1" t="s">
        <v>23025</v>
      </c>
    </row>
    <row r="1997">
      <c r="A1997" s="1" t="s">
        <v>20208</v>
      </c>
      <c r="C1997" s="1" t="s">
        <v>23026</v>
      </c>
      <c r="D1997" s="1" t="s">
        <v>17704</v>
      </c>
      <c r="F1997" s="1" t="s">
        <v>20324</v>
      </c>
      <c r="G1997" s="1" t="s">
        <v>17648</v>
      </c>
    </row>
    <row r="1998">
      <c r="A1998" s="1" t="s">
        <v>20208</v>
      </c>
      <c r="C1998" s="8"/>
      <c r="D1998" s="8"/>
      <c r="E1998" s="8"/>
      <c r="F1998" s="5" t="s">
        <v>23027</v>
      </c>
      <c r="G1998" s="5" t="s">
        <v>23028</v>
      </c>
    </row>
    <row r="1999">
      <c r="A1999" s="1" t="s">
        <v>20208</v>
      </c>
      <c r="C1999" s="5" t="s">
        <v>18482</v>
      </c>
      <c r="D1999" s="5" t="s">
        <v>18481</v>
      </c>
      <c r="E1999" s="8"/>
      <c r="F1999" s="5" t="s">
        <v>20241</v>
      </c>
      <c r="G1999" s="196" t="s">
        <v>21672</v>
      </c>
    </row>
    <row r="2000">
      <c r="A2000" s="38" t="s">
        <v>20208</v>
      </c>
      <c r="B2000" s="44"/>
      <c r="C2000" s="94" t="s">
        <v>23029</v>
      </c>
      <c r="D2000" s="94" t="s">
        <v>19727</v>
      </c>
      <c r="E2000" s="38">
        <v>50.0</v>
      </c>
      <c r="F2000" s="38" t="s">
        <v>22233</v>
      </c>
      <c r="G2000" s="94" t="s">
        <v>23030</v>
      </c>
    </row>
    <row r="2001">
      <c r="A2001" s="38" t="s">
        <v>20208</v>
      </c>
      <c r="B2001" s="44"/>
      <c r="C2001" s="44"/>
      <c r="D2001" s="44"/>
      <c r="E2001" s="44"/>
      <c r="F2001" s="38" t="s">
        <v>23031</v>
      </c>
      <c r="G2001" s="38" t="s">
        <v>21478</v>
      </c>
    </row>
    <row r="2002">
      <c r="A2002" s="38" t="s">
        <v>20208</v>
      </c>
      <c r="B2002" s="44"/>
      <c r="C2002" s="38" t="s">
        <v>4328</v>
      </c>
      <c r="D2002" s="94" t="s">
        <v>20781</v>
      </c>
      <c r="E2002" s="38">
        <v>650.0</v>
      </c>
      <c r="F2002" s="38" t="s">
        <v>23032</v>
      </c>
      <c r="G2002" s="94" t="s">
        <v>20237</v>
      </c>
      <c r="H2002" s="5"/>
    </row>
    <row r="2003">
      <c r="A2003" s="1" t="s">
        <v>20208</v>
      </c>
      <c r="C2003" s="8"/>
      <c r="D2003" s="8"/>
      <c r="E2003" s="8"/>
      <c r="F2003" s="5" t="s">
        <v>23033</v>
      </c>
      <c r="G2003" s="5" t="s">
        <v>23034</v>
      </c>
      <c r="H2003" s="1" t="s">
        <v>7976</v>
      </c>
    </row>
    <row r="2004">
      <c r="A2004" s="38" t="s">
        <v>20208</v>
      </c>
      <c r="B2004" s="44"/>
      <c r="C2004" s="94" t="s">
        <v>20200</v>
      </c>
      <c r="D2004" s="94" t="s">
        <v>21695</v>
      </c>
      <c r="E2004" s="44"/>
      <c r="F2004" s="38" t="s">
        <v>20319</v>
      </c>
      <c r="G2004" s="94" t="s">
        <v>21696</v>
      </c>
    </row>
    <row r="2005">
      <c r="A2005" s="38" t="s">
        <v>20208</v>
      </c>
      <c r="B2005" s="44"/>
      <c r="C2005" s="38" t="s">
        <v>19411</v>
      </c>
      <c r="D2005" s="94" t="s">
        <v>23035</v>
      </c>
      <c r="E2005" s="38">
        <v>50.0</v>
      </c>
      <c r="F2005" s="38" t="s">
        <v>13622</v>
      </c>
      <c r="G2005" s="94" t="s">
        <v>20016</v>
      </c>
    </row>
    <row r="2006">
      <c r="A2006" s="38" t="s">
        <v>20208</v>
      </c>
      <c r="B2006" s="44"/>
      <c r="C2006" s="94" t="s">
        <v>19944</v>
      </c>
      <c r="D2006" s="94" t="s">
        <v>21713</v>
      </c>
      <c r="E2006" s="38">
        <v>50.0</v>
      </c>
      <c r="F2006" s="38" t="s">
        <v>13622</v>
      </c>
      <c r="G2006" s="94" t="s">
        <v>23036</v>
      </c>
    </row>
    <row r="2007">
      <c r="A2007" s="38" t="s">
        <v>20208</v>
      </c>
      <c r="B2007" s="44"/>
      <c r="C2007" s="38" t="s">
        <v>20271</v>
      </c>
      <c r="D2007" s="38" t="s">
        <v>19095</v>
      </c>
      <c r="E2007" s="38">
        <v>80.0</v>
      </c>
      <c r="F2007" s="38" t="s">
        <v>20336</v>
      </c>
      <c r="G2007" s="94" t="s">
        <v>23037</v>
      </c>
      <c r="H2007" s="44"/>
    </row>
    <row r="2008">
      <c r="A2008" s="38" t="s">
        <v>20208</v>
      </c>
      <c r="B2008" s="44"/>
      <c r="C2008" s="94" t="s">
        <v>19651</v>
      </c>
      <c r="D2008" s="94" t="s">
        <v>19093</v>
      </c>
      <c r="E2008" s="44"/>
      <c r="F2008" s="38" t="s">
        <v>20457</v>
      </c>
      <c r="G2008" s="94" t="s">
        <v>20166</v>
      </c>
    </row>
    <row r="2009">
      <c r="A2009" s="46" t="s">
        <v>20208</v>
      </c>
      <c r="B2009" s="44"/>
      <c r="C2009" s="44"/>
      <c r="D2009" s="44"/>
      <c r="E2009" s="38">
        <v>-2400.0</v>
      </c>
      <c r="F2009" s="38" t="s">
        <v>784</v>
      </c>
      <c r="G2009" s="44"/>
    </row>
    <row r="2010">
      <c r="A2010" s="197" t="s">
        <v>20101</v>
      </c>
      <c r="C2010" s="1" t="s">
        <v>23038</v>
      </c>
      <c r="D2010" s="1" t="s">
        <v>20815</v>
      </c>
      <c r="F2010" s="1" t="s">
        <v>23039</v>
      </c>
      <c r="G2010" s="1" t="s">
        <v>20652</v>
      </c>
    </row>
    <row r="2011">
      <c r="A2011" s="164" t="s">
        <v>20101</v>
      </c>
      <c r="B2011" s="44"/>
      <c r="C2011" s="38" t="s">
        <v>4328</v>
      </c>
      <c r="D2011" s="94" t="s">
        <v>19102</v>
      </c>
      <c r="E2011" s="44"/>
      <c r="F2011" s="38" t="s">
        <v>20241</v>
      </c>
      <c r="G2011" s="94" t="s">
        <v>23040</v>
      </c>
    </row>
    <row r="2012">
      <c r="A2012" s="197" t="s">
        <v>20101</v>
      </c>
      <c r="C2012" s="1" t="s">
        <v>19909</v>
      </c>
      <c r="D2012" s="1" t="s">
        <v>21339</v>
      </c>
      <c r="F2012" s="1" t="s">
        <v>20367</v>
      </c>
      <c r="G2012" s="1" t="s">
        <v>17648</v>
      </c>
    </row>
    <row r="2013">
      <c r="A2013" s="197" t="s">
        <v>20101</v>
      </c>
      <c r="C2013" s="1" t="s">
        <v>4328</v>
      </c>
      <c r="D2013" s="190" t="s">
        <v>19106</v>
      </c>
      <c r="F2013" s="1" t="s">
        <v>20319</v>
      </c>
      <c r="G2013" s="190" t="s">
        <v>23041</v>
      </c>
    </row>
    <row r="2014">
      <c r="A2014" s="164" t="s">
        <v>20101</v>
      </c>
      <c r="B2014" s="44"/>
      <c r="C2014" s="38" t="s">
        <v>19909</v>
      </c>
      <c r="D2014" s="38" t="s">
        <v>23042</v>
      </c>
      <c r="E2014" s="44"/>
      <c r="F2014" s="38" t="s">
        <v>23043</v>
      </c>
      <c r="G2014" s="38" t="s">
        <v>17648</v>
      </c>
    </row>
    <row r="2015">
      <c r="A2015" s="197" t="s">
        <v>20101</v>
      </c>
      <c r="C2015" s="190" t="s">
        <v>21463</v>
      </c>
      <c r="D2015" s="190" t="s">
        <v>19111</v>
      </c>
      <c r="F2015" s="1" t="s">
        <v>20336</v>
      </c>
      <c r="G2015" s="190" t="s">
        <v>21558</v>
      </c>
    </row>
    <row r="2016">
      <c r="A2016" s="197" t="s">
        <v>20101</v>
      </c>
      <c r="C2016" s="1" t="s">
        <v>23044</v>
      </c>
      <c r="D2016" s="1" t="s">
        <v>23045</v>
      </c>
      <c r="F2016" s="1" t="s">
        <v>20241</v>
      </c>
      <c r="G2016" s="1" t="s">
        <v>17648</v>
      </c>
    </row>
    <row r="2017">
      <c r="A2017" s="164" t="s">
        <v>20101</v>
      </c>
      <c r="B2017" s="44"/>
      <c r="C2017" s="38" t="s">
        <v>19113</v>
      </c>
      <c r="D2017" s="94" t="s">
        <v>19114</v>
      </c>
      <c r="E2017" s="38">
        <v>80.0</v>
      </c>
      <c r="F2017" s="38" t="s">
        <v>20432</v>
      </c>
      <c r="G2017" s="94" t="s">
        <v>21164</v>
      </c>
    </row>
    <row r="2018">
      <c r="A2018" s="197" t="s">
        <v>20101</v>
      </c>
      <c r="C2018" s="1" t="s">
        <v>19802</v>
      </c>
      <c r="D2018" s="1" t="s">
        <v>4314</v>
      </c>
      <c r="F2018" s="1" t="s">
        <v>23046</v>
      </c>
      <c r="G2018" s="1" t="s">
        <v>17648</v>
      </c>
    </row>
    <row r="2019">
      <c r="A2019" s="197" t="s">
        <v>20101</v>
      </c>
      <c r="C2019" s="4" t="s">
        <v>18070</v>
      </c>
      <c r="D2019" s="190" t="s">
        <v>19118</v>
      </c>
      <c r="F2019" s="1" t="s">
        <v>20319</v>
      </c>
      <c r="G2019" s="190" t="s">
        <v>21878</v>
      </c>
    </row>
    <row r="2020">
      <c r="A2020" s="197" t="s">
        <v>20101</v>
      </c>
      <c r="C2020" s="190" t="s">
        <v>23047</v>
      </c>
      <c r="D2020" s="1" t="s">
        <v>19121</v>
      </c>
      <c r="F2020" s="1" t="s">
        <v>20324</v>
      </c>
      <c r="G2020" s="190" t="s">
        <v>21823</v>
      </c>
      <c r="H2020" s="75" t="s">
        <v>23048</v>
      </c>
    </row>
    <row r="2021">
      <c r="A2021" s="197" t="s">
        <v>20101</v>
      </c>
      <c r="C2021" s="1" t="s">
        <v>17819</v>
      </c>
      <c r="D2021" s="1" t="s">
        <v>21740</v>
      </c>
      <c r="F2021" s="1" t="s">
        <v>20336</v>
      </c>
      <c r="G2021" s="1" t="s">
        <v>17648</v>
      </c>
    </row>
    <row r="2022">
      <c r="A2022" s="197" t="s">
        <v>20101</v>
      </c>
      <c r="C2022" s="4" t="s">
        <v>19125</v>
      </c>
      <c r="D2022" s="190" t="s">
        <v>19126</v>
      </c>
      <c r="F2022" s="1" t="s">
        <v>23049</v>
      </c>
      <c r="G2022" s="190" t="s">
        <v>3342</v>
      </c>
    </row>
    <row r="2023">
      <c r="A2023" s="197" t="s">
        <v>20101</v>
      </c>
      <c r="C2023" s="190" t="s">
        <v>19933</v>
      </c>
      <c r="D2023" s="190" t="s">
        <v>23050</v>
      </c>
      <c r="E2023" s="1">
        <v>40.0</v>
      </c>
      <c r="F2023" s="1" t="s">
        <v>20330</v>
      </c>
      <c r="G2023" s="190" t="s">
        <v>20202</v>
      </c>
    </row>
    <row r="2024">
      <c r="A2024" s="164" t="s">
        <v>20101</v>
      </c>
      <c r="B2024" s="44"/>
      <c r="C2024" s="44"/>
      <c r="D2024" s="44"/>
      <c r="E2024" s="38">
        <v>500.0</v>
      </c>
      <c r="F2024" s="38" t="s">
        <v>23051</v>
      </c>
      <c r="G2024" s="38">
        <v>3.7061148125E10</v>
      </c>
    </row>
    <row r="2025">
      <c r="A2025" s="197" t="s">
        <v>20101</v>
      </c>
      <c r="C2025" s="190" t="s">
        <v>17816</v>
      </c>
      <c r="D2025" s="190" t="s">
        <v>18259</v>
      </c>
      <c r="G2025" s="190" t="s">
        <v>23052</v>
      </c>
    </row>
    <row r="2026">
      <c r="A2026" s="164" t="s">
        <v>20101</v>
      </c>
      <c r="B2026" s="44"/>
      <c r="C2026" s="38" t="s">
        <v>17763</v>
      </c>
      <c r="D2026" s="94" t="s">
        <v>23053</v>
      </c>
      <c r="E2026" s="38">
        <v>65.0</v>
      </c>
      <c r="F2026" s="38" t="s">
        <v>23054</v>
      </c>
      <c r="G2026" s="94" t="s">
        <v>23055</v>
      </c>
    </row>
    <row r="2027">
      <c r="A2027" s="197" t="s">
        <v>20101</v>
      </c>
      <c r="C2027" s="1" t="s">
        <v>23056</v>
      </c>
      <c r="D2027" s="190" t="s">
        <v>22002</v>
      </c>
      <c r="F2027" s="1" t="s">
        <v>21237</v>
      </c>
      <c r="G2027" s="190" t="s">
        <v>22003</v>
      </c>
    </row>
    <row r="2028">
      <c r="A2028" s="164" t="s">
        <v>20101</v>
      </c>
      <c r="B2028" s="44"/>
      <c r="C2028" s="94" t="s">
        <v>23057</v>
      </c>
      <c r="D2028" s="94" t="s">
        <v>19954</v>
      </c>
      <c r="E2028" s="38">
        <v>80.0</v>
      </c>
      <c r="F2028" s="38" t="s">
        <v>20336</v>
      </c>
      <c r="G2028" s="94" t="s">
        <v>23058</v>
      </c>
    </row>
    <row r="2029">
      <c r="A2029" s="197" t="s">
        <v>20101</v>
      </c>
      <c r="E2029" s="1">
        <v>100.0</v>
      </c>
      <c r="F2029" s="1" t="s">
        <v>23059</v>
      </c>
    </row>
    <row r="2030">
      <c r="A2030" s="64" t="s">
        <v>23060</v>
      </c>
      <c r="C2030" s="5" t="s">
        <v>20943</v>
      </c>
      <c r="D2030" s="1" t="s">
        <v>20944</v>
      </c>
      <c r="F2030" s="1" t="s">
        <v>20745</v>
      </c>
      <c r="G2030" s="1" t="s">
        <v>23061</v>
      </c>
    </row>
    <row r="2031">
      <c r="A2031" s="46" t="s">
        <v>23060</v>
      </c>
      <c r="B2031" s="44"/>
      <c r="C2031" s="38" t="s">
        <v>19143</v>
      </c>
      <c r="D2031" s="38" t="s">
        <v>20174</v>
      </c>
      <c r="E2031" s="44"/>
      <c r="F2031" s="38" t="s">
        <v>21237</v>
      </c>
      <c r="G2031" s="38" t="s">
        <v>23062</v>
      </c>
    </row>
    <row r="2032">
      <c r="A2032" s="64" t="s">
        <v>23060</v>
      </c>
      <c r="C2032" s="190" t="s">
        <v>20196</v>
      </c>
      <c r="D2032" s="190" t="s">
        <v>18267</v>
      </c>
      <c r="F2032" s="1" t="s">
        <v>20324</v>
      </c>
      <c r="G2032" s="190" t="s">
        <v>21324</v>
      </c>
    </row>
    <row r="2033">
      <c r="A2033" s="46" t="s">
        <v>23060</v>
      </c>
      <c r="B2033" s="44"/>
      <c r="C2033" s="38" t="s">
        <v>18096</v>
      </c>
      <c r="D2033" s="38" t="s">
        <v>23063</v>
      </c>
      <c r="E2033" s="44"/>
      <c r="F2033" s="38" t="s">
        <v>23064</v>
      </c>
      <c r="G2033" s="38" t="s">
        <v>23065</v>
      </c>
    </row>
    <row r="2034">
      <c r="A2034" s="46" t="s">
        <v>23060</v>
      </c>
      <c r="B2034" s="44"/>
      <c r="C2034" s="44"/>
      <c r="D2034" s="44"/>
      <c r="E2034" s="38">
        <v>-800.0</v>
      </c>
      <c r="F2034" s="38" t="s">
        <v>784</v>
      </c>
      <c r="G2034" s="44"/>
    </row>
    <row r="2035">
      <c r="A2035" s="64" t="s">
        <v>23060</v>
      </c>
      <c r="C2035" s="887" t="s">
        <v>21011</v>
      </c>
      <c r="D2035" s="196" t="s">
        <v>20376</v>
      </c>
      <c r="E2035" s="8"/>
      <c r="F2035" s="5" t="s">
        <v>20370</v>
      </c>
      <c r="G2035" s="196" t="s">
        <v>23066</v>
      </c>
    </row>
    <row r="2036">
      <c r="A2036" s="64" t="s">
        <v>23060</v>
      </c>
      <c r="C2036" s="5" t="s">
        <v>23044</v>
      </c>
      <c r="D2036" s="5" t="s">
        <v>23067</v>
      </c>
      <c r="E2036" s="8"/>
      <c r="F2036" s="5" t="s">
        <v>20324</v>
      </c>
      <c r="G2036" s="5" t="s">
        <v>21852</v>
      </c>
    </row>
    <row r="2037">
      <c r="A2037" s="64" t="s">
        <v>23060</v>
      </c>
      <c r="C2037" s="8"/>
      <c r="D2037" s="8"/>
      <c r="E2037" s="5">
        <v>-40.0</v>
      </c>
      <c r="F2037" s="5" t="s">
        <v>23068</v>
      </c>
      <c r="G2037" s="8"/>
    </row>
    <row r="2038">
      <c r="A2038" s="46" t="s">
        <v>23060</v>
      </c>
      <c r="B2038" s="44"/>
      <c r="C2038" s="38" t="s">
        <v>3177</v>
      </c>
      <c r="D2038" s="38" t="s">
        <v>19230</v>
      </c>
      <c r="E2038" s="38">
        <v>80.0</v>
      </c>
      <c r="F2038" s="38" t="s">
        <v>20745</v>
      </c>
      <c r="G2038" s="38" t="s">
        <v>23069</v>
      </c>
    </row>
    <row r="2039">
      <c r="A2039" s="46" t="s">
        <v>23060</v>
      </c>
      <c r="B2039" s="44"/>
      <c r="C2039" s="38" t="s">
        <v>17876</v>
      </c>
      <c r="D2039" s="38" t="s">
        <v>19152</v>
      </c>
      <c r="E2039" s="44"/>
      <c r="F2039" s="38" t="s">
        <v>20319</v>
      </c>
      <c r="G2039" s="38" t="s">
        <v>17648</v>
      </c>
    </row>
    <row r="2040">
      <c r="A2040" s="46" t="s">
        <v>23060</v>
      </c>
      <c r="B2040" s="44"/>
      <c r="C2040" s="94" t="s">
        <v>19645</v>
      </c>
      <c r="D2040" s="94" t="s">
        <v>23070</v>
      </c>
      <c r="E2040" s="44"/>
      <c r="F2040" s="38" t="s">
        <v>21405</v>
      </c>
      <c r="G2040" s="94" t="s">
        <v>23071</v>
      </c>
    </row>
    <row r="2041">
      <c r="A2041" s="46" t="s">
        <v>23060</v>
      </c>
      <c r="B2041" s="44"/>
      <c r="C2041" s="38" t="s">
        <v>18011</v>
      </c>
      <c r="D2041" s="777" t="s">
        <v>23072</v>
      </c>
      <c r="E2041" s="44"/>
      <c r="F2041" s="38" t="s">
        <v>23073</v>
      </c>
      <c r="G2041" s="38" t="s">
        <v>17648</v>
      </c>
    </row>
    <row r="2042">
      <c r="A2042" s="46" t="s">
        <v>23060</v>
      </c>
      <c r="B2042" s="44"/>
      <c r="C2042" s="38" t="s">
        <v>23074</v>
      </c>
      <c r="D2042" s="38" t="s">
        <v>20005</v>
      </c>
      <c r="E2042" s="44"/>
      <c r="F2042" s="38" t="s">
        <v>20457</v>
      </c>
      <c r="G2042" s="38" t="s">
        <v>21721</v>
      </c>
    </row>
    <row r="2043">
      <c r="A2043" s="46" t="s">
        <v>23060</v>
      </c>
      <c r="B2043" s="44"/>
      <c r="C2043" s="94" t="s">
        <v>19990</v>
      </c>
      <c r="D2043" s="94" t="s">
        <v>21608</v>
      </c>
      <c r="E2043" s="44"/>
      <c r="F2043" s="38" t="s">
        <v>3643</v>
      </c>
      <c r="G2043" s="94" t="s">
        <v>21610</v>
      </c>
      <c r="H2043" s="61" t="s">
        <v>23075</v>
      </c>
      <c r="I2043" s="44"/>
    </row>
    <row r="2044">
      <c r="A2044" s="64" t="s">
        <v>23060</v>
      </c>
      <c r="C2044" s="5" t="s">
        <v>17694</v>
      </c>
      <c r="D2044" s="5" t="s">
        <v>21411</v>
      </c>
      <c r="E2044" s="8"/>
      <c r="F2044" s="5" t="s">
        <v>20319</v>
      </c>
      <c r="G2044" s="5" t="s">
        <v>17648</v>
      </c>
    </row>
    <row r="2045">
      <c r="A2045" s="64" t="s">
        <v>23060</v>
      </c>
      <c r="C2045" s="5" t="s">
        <v>21438</v>
      </c>
      <c r="D2045" s="196" t="s">
        <v>18466</v>
      </c>
      <c r="E2045" s="8"/>
      <c r="F2045" s="5" t="s">
        <v>20324</v>
      </c>
      <c r="G2045" s="196" t="s">
        <v>20348</v>
      </c>
    </row>
    <row r="2046">
      <c r="A2046" s="64" t="s">
        <v>23060</v>
      </c>
      <c r="C2046" s="5" t="s">
        <v>23076</v>
      </c>
      <c r="D2046" s="5" t="s">
        <v>19162</v>
      </c>
      <c r="E2046" s="8"/>
      <c r="F2046" s="5" t="s">
        <v>20457</v>
      </c>
      <c r="G2046" s="5" t="s">
        <v>21460</v>
      </c>
    </row>
    <row r="2047">
      <c r="A2047" s="46" t="s">
        <v>23060</v>
      </c>
      <c r="B2047" s="44"/>
      <c r="C2047" s="38" t="s">
        <v>21855</v>
      </c>
      <c r="D2047" s="38" t="s">
        <v>20447</v>
      </c>
      <c r="E2047" s="44"/>
      <c r="F2047" s="38" t="s">
        <v>3643</v>
      </c>
      <c r="G2047" s="38" t="s">
        <v>23077</v>
      </c>
    </row>
    <row r="2048">
      <c r="A2048" s="46" t="s">
        <v>23060</v>
      </c>
      <c r="B2048" s="44"/>
      <c r="C2048" s="38" t="s">
        <v>17952</v>
      </c>
      <c r="D2048" s="38" t="s">
        <v>19233</v>
      </c>
      <c r="E2048" s="38">
        <v>90.0</v>
      </c>
      <c r="F2048" s="38" t="s">
        <v>21237</v>
      </c>
      <c r="G2048" s="94" t="s">
        <v>20272</v>
      </c>
    </row>
    <row r="2049">
      <c r="A2049" s="46" t="s">
        <v>23060</v>
      </c>
      <c r="B2049" s="44"/>
      <c r="C2049" s="38" t="s">
        <v>19211</v>
      </c>
      <c r="D2049" s="94" t="s">
        <v>19212</v>
      </c>
      <c r="E2049" s="38">
        <v>85.0</v>
      </c>
      <c r="F2049" s="38" t="s">
        <v>20319</v>
      </c>
      <c r="G2049" s="94" t="s">
        <v>23078</v>
      </c>
    </row>
    <row r="2050">
      <c r="A2050" s="164" t="s">
        <v>20262</v>
      </c>
      <c r="B2050" s="44"/>
      <c r="C2050" s="94" t="s">
        <v>21583</v>
      </c>
      <c r="D2050" s="94" t="s">
        <v>19236</v>
      </c>
      <c r="E2050" s="38">
        <v>80.0</v>
      </c>
      <c r="F2050" s="38" t="s">
        <v>20319</v>
      </c>
      <c r="G2050" s="94" t="s">
        <v>20193</v>
      </c>
    </row>
    <row r="2051">
      <c r="A2051" s="197" t="s">
        <v>20262</v>
      </c>
      <c r="C2051" s="5" t="s">
        <v>4328</v>
      </c>
      <c r="D2051" s="5" t="s">
        <v>23079</v>
      </c>
      <c r="E2051" s="5">
        <v>45.0</v>
      </c>
      <c r="F2051" s="5" t="s">
        <v>3643</v>
      </c>
      <c r="G2051" s="196" t="s">
        <v>23080</v>
      </c>
    </row>
    <row r="2052">
      <c r="A2052" s="164" t="s">
        <v>20262</v>
      </c>
      <c r="B2052" s="44"/>
      <c r="C2052" s="94" t="s">
        <v>18543</v>
      </c>
      <c r="D2052" s="94" t="s">
        <v>21975</v>
      </c>
      <c r="E2052" s="44"/>
      <c r="F2052" s="38" t="s">
        <v>20336</v>
      </c>
      <c r="G2052" s="94" t="s">
        <v>23040</v>
      </c>
    </row>
    <row r="2053">
      <c r="A2053" s="164" t="s">
        <v>20262</v>
      </c>
      <c r="B2053" s="44"/>
      <c r="C2053" s="94" t="s">
        <v>19208</v>
      </c>
      <c r="D2053" s="38" t="s">
        <v>22026</v>
      </c>
      <c r="E2053" s="44"/>
      <c r="F2053" s="38" t="s">
        <v>23081</v>
      </c>
      <c r="G2053" s="94" t="s">
        <v>23082</v>
      </c>
      <c r="H2053" s="38" t="s">
        <v>2382</v>
      </c>
    </row>
    <row r="2054">
      <c r="A2054" s="164" t="s">
        <v>20262</v>
      </c>
      <c r="B2054" s="44"/>
      <c r="C2054" s="38" t="s">
        <v>19661</v>
      </c>
      <c r="D2054" s="94" t="s">
        <v>23083</v>
      </c>
      <c r="E2054" s="44"/>
      <c r="F2054" s="38" t="s">
        <v>3913</v>
      </c>
      <c r="G2054" s="94" t="s">
        <v>23084</v>
      </c>
    </row>
    <row r="2055">
      <c r="A2055" s="197" t="s">
        <v>20262</v>
      </c>
      <c r="C2055" s="1" t="s">
        <v>21226</v>
      </c>
      <c r="D2055" s="1" t="s">
        <v>21227</v>
      </c>
      <c r="F2055" s="1" t="s">
        <v>23085</v>
      </c>
      <c r="G2055" s="1" t="s">
        <v>17648</v>
      </c>
    </row>
    <row r="2056">
      <c r="A2056" s="164" t="s">
        <v>20262</v>
      </c>
      <c r="B2056" s="44"/>
      <c r="C2056" s="38" t="s">
        <v>22959</v>
      </c>
      <c r="D2056" s="94" t="s">
        <v>17017</v>
      </c>
      <c r="E2056" s="44"/>
      <c r="F2056" s="38" t="s">
        <v>7408</v>
      </c>
      <c r="G2056" s="44"/>
    </row>
    <row r="2057">
      <c r="A2057" s="164" t="s">
        <v>20262</v>
      </c>
      <c r="B2057" s="44"/>
      <c r="C2057" s="38" t="s">
        <v>22796</v>
      </c>
      <c r="D2057" s="94" t="s">
        <v>20763</v>
      </c>
      <c r="E2057" s="44"/>
      <c r="F2057" s="38" t="s">
        <v>23086</v>
      </c>
      <c r="G2057" s="38" t="s">
        <v>21845</v>
      </c>
    </row>
    <row r="2058">
      <c r="A2058" s="164" t="s">
        <v>20262</v>
      </c>
      <c r="B2058" s="44"/>
      <c r="C2058" s="94" t="s">
        <v>19834</v>
      </c>
      <c r="D2058" s="94" t="s">
        <v>19155</v>
      </c>
      <c r="E2058" s="44"/>
      <c r="F2058" s="38" t="s">
        <v>21237</v>
      </c>
      <c r="G2058" s="94" t="s">
        <v>19156</v>
      </c>
    </row>
    <row r="2059">
      <c r="A2059" s="164" t="s">
        <v>20262</v>
      </c>
      <c r="B2059" s="44"/>
      <c r="C2059" s="94" t="s">
        <v>21632</v>
      </c>
      <c r="D2059" s="94" t="s">
        <v>21633</v>
      </c>
      <c r="E2059" s="44"/>
      <c r="F2059" s="38" t="s">
        <v>20241</v>
      </c>
      <c r="G2059" s="94" t="s">
        <v>20339</v>
      </c>
    </row>
    <row r="2060">
      <c r="A2060" s="164" t="s">
        <v>20262</v>
      </c>
      <c r="B2060" s="44"/>
      <c r="C2060" s="94" t="s">
        <v>21998</v>
      </c>
      <c r="D2060" s="94" t="s">
        <v>19196</v>
      </c>
      <c r="E2060" s="44"/>
      <c r="F2060" s="38" t="s">
        <v>20336</v>
      </c>
      <c r="G2060" s="94" t="s">
        <v>20337</v>
      </c>
    </row>
    <row r="2061">
      <c r="A2061" s="164" t="s">
        <v>20262</v>
      </c>
      <c r="B2061" s="44"/>
      <c r="C2061" s="38" t="s">
        <v>19912</v>
      </c>
      <c r="D2061" s="94" t="s">
        <v>21194</v>
      </c>
      <c r="E2061" s="44"/>
      <c r="F2061" s="38" t="s">
        <v>21195</v>
      </c>
      <c r="G2061" s="94" t="s">
        <v>21196</v>
      </c>
    </row>
    <row r="2062">
      <c r="A2062" s="164" t="s">
        <v>20262</v>
      </c>
      <c r="B2062" s="44"/>
      <c r="C2062" s="94" t="s">
        <v>21492</v>
      </c>
      <c r="D2062" s="94" t="s">
        <v>18270</v>
      </c>
      <c r="E2062" s="44"/>
      <c r="F2062" s="38" t="s">
        <v>22015</v>
      </c>
      <c r="G2062" s="94" t="s">
        <v>20660</v>
      </c>
    </row>
    <row r="2063">
      <c r="A2063" s="164" t="s">
        <v>20262</v>
      </c>
      <c r="B2063" s="44"/>
      <c r="C2063" s="94" t="s">
        <v>23087</v>
      </c>
      <c r="D2063" s="94" t="s">
        <v>23088</v>
      </c>
      <c r="E2063" s="44"/>
      <c r="F2063" s="38" t="s">
        <v>23089</v>
      </c>
      <c r="G2063" s="94" t="s">
        <v>23090</v>
      </c>
    </row>
    <row r="2064">
      <c r="A2064" s="164" t="s">
        <v>20262</v>
      </c>
      <c r="B2064" s="44"/>
      <c r="C2064" s="94" t="s">
        <v>23091</v>
      </c>
      <c r="D2064" s="94" t="s">
        <v>23092</v>
      </c>
      <c r="E2064" s="38">
        <v>40.0</v>
      </c>
      <c r="F2064" s="38" t="s">
        <v>21912</v>
      </c>
      <c r="G2064" s="94" t="s">
        <v>23093</v>
      </c>
    </row>
    <row r="2065">
      <c r="A2065" s="164" t="s">
        <v>20262</v>
      </c>
      <c r="B2065" s="44"/>
      <c r="C2065" s="94" t="s">
        <v>20313</v>
      </c>
      <c r="D2065" s="94" t="s">
        <v>19191</v>
      </c>
      <c r="E2065" s="44"/>
      <c r="F2065" s="38" t="s">
        <v>20457</v>
      </c>
      <c r="G2065" s="94" t="s">
        <v>20428</v>
      </c>
    </row>
    <row r="2066">
      <c r="A2066" s="197" t="s">
        <v>20262</v>
      </c>
      <c r="C2066" s="1" t="s">
        <v>3175</v>
      </c>
      <c r="F2066" s="1" t="s">
        <v>20330</v>
      </c>
      <c r="G2066" s="1" t="s">
        <v>23094</v>
      </c>
    </row>
    <row r="2067">
      <c r="A2067" s="164" t="s">
        <v>20262</v>
      </c>
      <c r="B2067" s="44"/>
      <c r="C2067" s="94" t="s">
        <v>23095</v>
      </c>
      <c r="D2067" s="94" t="s">
        <v>19532</v>
      </c>
      <c r="E2067" s="44"/>
      <c r="F2067" s="38" t="s">
        <v>20319</v>
      </c>
      <c r="G2067" s="94" t="s">
        <v>19286</v>
      </c>
    </row>
    <row r="2068">
      <c r="A2068" s="164" t="s">
        <v>20262</v>
      </c>
      <c r="B2068" s="44"/>
      <c r="C2068" s="44"/>
      <c r="D2068" s="44"/>
      <c r="E2068" s="38">
        <v>272.0</v>
      </c>
      <c r="F2068" s="38" t="s">
        <v>3835</v>
      </c>
      <c r="G2068" s="38" t="s">
        <v>514</v>
      </c>
    </row>
    <row r="2069">
      <c r="A2069" s="46" t="s">
        <v>20266</v>
      </c>
      <c r="B2069" s="44"/>
      <c r="C2069" s="94" t="s">
        <v>23096</v>
      </c>
      <c r="D2069" s="94" t="s">
        <v>23097</v>
      </c>
      <c r="E2069" s="44"/>
      <c r="F2069" s="38" t="s">
        <v>20324</v>
      </c>
      <c r="G2069" s="94" t="s">
        <v>18493</v>
      </c>
    </row>
    <row r="2070">
      <c r="A2070" s="46" t="s">
        <v>20266</v>
      </c>
      <c r="B2070" s="44"/>
      <c r="C2070" s="38" t="s">
        <v>23098</v>
      </c>
      <c r="D2070" s="38" t="s">
        <v>21735</v>
      </c>
      <c r="E2070" s="44"/>
      <c r="F2070" s="38" t="s">
        <v>3913</v>
      </c>
      <c r="G2070" s="38" t="s">
        <v>21737</v>
      </c>
      <c r="H2070" s="38" t="s">
        <v>2185</v>
      </c>
      <c r="I2070" s="44"/>
      <c r="J2070" s="44"/>
    </row>
    <row r="2071">
      <c r="A2071" s="46" t="s">
        <v>20266</v>
      </c>
      <c r="B2071" s="44"/>
      <c r="C2071" s="409" t="s">
        <v>21092</v>
      </c>
      <c r="D2071" s="94" t="s">
        <v>19170</v>
      </c>
      <c r="E2071" s="44"/>
      <c r="F2071" s="38" t="s">
        <v>22899</v>
      </c>
      <c r="G2071" s="94" t="s">
        <v>18842</v>
      </c>
      <c r="H2071" s="38" t="s">
        <v>17264</v>
      </c>
    </row>
    <row r="2072">
      <c r="A2072" s="46" t="s">
        <v>20266</v>
      </c>
      <c r="B2072" s="44"/>
      <c r="C2072" s="38" t="s">
        <v>17675</v>
      </c>
      <c r="D2072" s="94" t="s">
        <v>19557</v>
      </c>
      <c r="E2072" s="38">
        <v>50.0</v>
      </c>
      <c r="F2072" s="38" t="s">
        <v>13622</v>
      </c>
      <c r="G2072" s="94" t="s">
        <v>19991</v>
      </c>
    </row>
    <row r="2073">
      <c r="A2073" s="46" t="s">
        <v>20266</v>
      </c>
      <c r="B2073" s="44"/>
      <c r="C2073" s="38" t="s">
        <v>19174</v>
      </c>
      <c r="D2073" s="94" t="s">
        <v>21343</v>
      </c>
      <c r="E2073" s="44"/>
      <c r="F2073" s="38" t="s">
        <v>20367</v>
      </c>
      <c r="G2073" s="94" t="s">
        <v>23099</v>
      </c>
    </row>
    <row r="2074">
      <c r="A2074" s="46" t="s">
        <v>20266</v>
      </c>
      <c r="B2074" s="44"/>
      <c r="C2074" s="94" t="s">
        <v>22750</v>
      </c>
      <c r="D2074" s="94" t="s">
        <v>17981</v>
      </c>
      <c r="E2074" s="44"/>
      <c r="F2074" s="38" t="s">
        <v>20367</v>
      </c>
      <c r="G2074" s="94" t="s">
        <v>20339</v>
      </c>
    </row>
    <row r="2075">
      <c r="A2075" s="46" t="s">
        <v>20266</v>
      </c>
      <c r="B2075" s="44"/>
      <c r="C2075" s="47" t="s">
        <v>17819</v>
      </c>
      <c r="D2075" s="47" t="s">
        <v>17983</v>
      </c>
      <c r="E2075" s="44"/>
      <c r="F2075" s="38" t="s">
        <v>21195</v>
      </c>
      <c r="G2075" s="94" t="s">
        <v>20339</v>
      </c>
    </row>
    <row r="2076">
      <c r="A2076" s="46" t="s">
        <v>20266</v>
      </c>
      <c r="B2076" s="44"/>
      <c r="C2076" s="38" t="s">
        <v>19184</v>
      </c>
      <c r="D2076" s="94" t="s">
        <v>19185</v>
      </c>
      <c r="E2076" s="44"/>
      <c r="F2076" s="38" t="s">
        <v>23100</v>
      </c>
      <c r="G2076" s="94" t="s">
        <v>19186</v>
      </c>
    </row>
    <row r="2077">
      <c r="A2077" s="46" t="s">
        <v>20266</v>
      </c>
      <c r="B2077" s="44"/>
      <c r="C2077" s="38" t="s">
        <v>23101</v>
      </c>
      <c r="D2077" s="38" t="s">
        <v>19187</v>
      </c>
      <c r="E2077" s="44"/>
      <c r="F2077" s="38" t="s">
        <v>20241</v>
      </c>
      <c r="G2077" s="94" t="s">
        <v>21704</v>
      </c>
    </row>
    <row r="2078">
      <c r="A2078" s="46" t="s">
        <v>20266</v>
      </c>
      <c r="B2078" s="44"/>
      <c r="C2078" s="38" t="s">
        <v>17986</v>
      </c>
      <c r="D2078" s="38" t="s">
        <v>17987</v>
      </c>
      <c r="E2078" s="44"/>
      <c r="F2078" s="38" t="s">
        <v>23102</v>
      </c>
      <c r="G2078" s="38" t="s">
        <v>17648</v>
      </c>
    </row>
    <row r="2079">
      <c r="A2079" s="46" t="s">
        <v>20266</v>
      </c>
      <c r="B2079" s="44"/>
      <c r="C2079" s="38" t="s">
        <v>20911</v>
      </c>
      <c r="D2079" s="38" t="s">
        <v>23103</v>
      </c>
      <c r="E2079" s="44"/>
      <c r="F2079" s="38" t="s">
        <v>23104</v>
      </c>
      <c r="G2079" s="38" t="s">
        <v>23105</v>
      </c>
    </row>
    <row r="2080">
      <c r="A2080" s="46" t="s">
        <v>20266</v>
      </c>
      <c r="B2080" s="44"/>
      <c r="C2080" s="94" t="s">
        <v>17698</v>
      </c>
      <c r="D2080" s="94" t="s">
        <v>21999</v>
      </c>
      <c r="E2080" s="38">
        <v>40.0</v>
      </c>
      <c r="F2080" s="38" t="s">
        <v>20330</v>
      </c>
      <c r="G2080" s="94" t="s">
        <v>23106</v>
      </c>
    </row>
    <row r="2081">
      <c r="A2081" s="46" t="s">
        <v>20266</v>
      </c>
      <c r="B2081" s="44"/>
      <c r="C2081" s="38" t="s">
        <v>23107</v>
      </c>
      <c r="D2081" s="94" t="s">
        <v>22265</v>
      </c>
      <c r="E2081" s="44"/>
      <c r="F2081" s="38" t="s">
        <v>23108</v>
      </c>
      <c r="G2081" s="94" t="s">
        <v>23109</v>
      </c>
    </row>
    <row r="2082">
      <c r="A2082" s="46" t="s">
        <v>20266</v>
      </c>
      <c r="B2082" s="44"/>
      <c r="C2082" s="94" t="s">
        <v>23110</v>
      </c>
      <c r="D2082" s="94" t="s">
        <v>22877</v>
      </c>
      <c r="E2082" s="44"/>
      <c r="F2082" s="38" t="s">
        <v>23111</v>
      </c>
      <c r="G2082" s="94" t="s">
        <v>23112</v>
      </c>
    </row>
    <row r="2083">
      <c r="A2083" s="46" t="s">
        <v>20266</v>
      </c>
      <c r="B2083" s="44"/>
      <c r="C2083" s="94" t="s">
        <v>23113</v>
      </c>
      <c r="D2083" s="38" t="s">
        <v>23114</v>
      </c>
      <c r="E2083" s="44"/>
      <c r="F2083" s="38" t="s">
        <v>23115</v>
      </c>
      <c r="G2083" s="94" t="s">
        <v>23112</v>
      </c>
    </row>
    <row r="2084">
      <c r="A2084" s="46" t="s">
        <v>20266</v>
      </c>
      <c r="B2084" s="44"/>
      <c r="C2084" s="94" t="s">
        <v>23116</v>
      </c>
      <c r="D2084" s="94" t="s">
        <v>22205</v>
      </c>
      <c r="E2084" s="44"/>
      <c r="F2084" s="38" t="s">
        <v>23089</v>
      </c>
      <c r="G2084" s="94" t="s">
        <v>22207</v>
      </c>
    </row>
    <row r="2085">
      <c r="A2085" s="46" t="s">
        <v>20266</v>
      </c>
      <c r="B2085" s="44"/>
      <c r="C2085" s="38" t="s">
        <v>20068</v>
      </c>
      <c r="D2085" s="38" t="s">
        <v>21669</v>
      </c>
      <c r="E2085" s="44"/>
      <c r="F2085" s="38" t="s">
        <v>20367</v>
      </c>
      <c r="G2085" s="38" t="s">
        <v>9035</v>
      </c>
    </row>
    <row r="2086">
      <c r="A2086" s="46" t="s">
        <v>20266</v>
      </c>
      <c r="B2086" s="44"/>
      <c r="C2086" s="38" t="s">
        <v>18224</v>
      </c>
      <c r="D2086" s="94" t="s">
        <v>21212</v>
      </c>
      <c r="E2086" s="751"/>
      <c r="F2086" s="38" t="s">
        <v>23117</v>
      </c>
      <c r="G2086" s="94" t="s">
        <v>21214</v>
      </c>
    </row>
    <row r="2087">
      <c r="A2087" s="164" t="s">
        <v>20278</v>
      </c>
      <c r="B2087" s="44"/>
      <c r="C2087" s="94" t="s">
        <v>23118</v>
      </c>
      <c r="D2087" s="94" t="s">
        <v>18006</v>
      </c>
      <c r="E2087" s="44"/>
      <c r="F2087" s="38" t="s">
        <v>21566</v>
      </c>
      <c r="G2087" s="94" t="s">
        <v>20339</v>
      </c>
    </row>
    <row r="2088">
      <c r="A2088" s="164" t="s">
        <v>20278</v>
      </c>
      <c r="B2088" s="44"/>
      <c r="C2088" s="94" t="s">
        <v>20388</v>
      </c>
      <c r="D2088" s="94" t="s">
        <v>23119</v>
      </c>
      <c r="E2088" s="38">
        <v>30.0</v>
      </c>
      <c r="F2088" s="38" t="s">
        <v>23120</v>
      </c>
      <c r="G2088" s="94" t="s">
        <v>23121</v>
      </c>
    </row>
    <row r="2089">
      <c r="A2089" s="164" t="s">
        <v>20278</v>
      </c>
      <c r="B2089" s="44"/>
      <c r="C2089" s="38" t="s">
        <v>4328</v>
      </c>
      <c r="D2089" s="94" t="s">
        <v>21472</v>
      </c>
      <c r="E2089" s="44"/>
      <c r="F2089" s="38" t="s">
        <v>20336</v>
      </c>
      <c r="G2089" s="94" t="s">
        <v>20339</v>
      </c>
    </row>
    <row r="2090">
      <c r="A2090" s="164" t="s">
        <v>20278</v>
      </c>
      <c r="B2090" s="44"/>
      <c r="C2090" s="94" t="s">
        <v>21595</v>
      </c>
      <c r="D2090" s="94" t="s">
        <v>23122</v>
      </c>
      <c r="E2090" s="44"/>
      <c r="F2090" s="38" t="s">
        <v>18920</v>
      </c>
      <c r="G2090" s="38" t="s">
        <v>2641</v>
      </c>
    </row>
    <row r="2091">
      <c r="A2091" s="164" t="s">
        <v>20278</v>
      </c>
      <c r="B2091" s="44"/>
      <c r="C2091" s="94" t="s">
        <v>23123</v>
      </c>
      <c r="D2091" s="94" t="s">
        <v>23124</v>
      </c>
      <c r="E2091" s="44"/>
      <c r="F2091" s="38" t="s">
        <v>20367</v>
      </c>
      <c r="G2091" s="94" t="s">
        <v>23125</v>
      </c>
    </row>
    <row r="2092">
      <c r="A2092" s="197" t="s">
        <v>20278</v>
      </c>
      <c r="F2092" s="1" t="s">
        <v>23126</v>
      </c>
      <c r="G2092" s="1" t="s">
        <v>23127</v>
      </c>
    </row>
    <row r="2093">
      <c r="A2093" s="164" t="s">
        <v>20278</v>
      </c>
      <c r="B2093" s="44"/>
      <c r="C2093" s="44"/>
      <c r="D2093" s="44"/>
      <c r="E2093" s="44"/>
      <c r="F2093" s="38" t="s">
        <v>23128</v>
      </c>
      <c r="G2093" s="38" t="s">
        <v>19395</v>
      </c>
    </row>
    <row r="2094">
      <c r="A2094" s="164" t="s">
        <v>20278</v>
      </c>
      <c r="B2094" s="44"/>
      <c r="C2094" s="94" t="s">
        <v>23129</v>
      </c>
      <c r="D2094" s="94" t="s">
        <v>23130</v>
      </c>
      <c r="E2094" s="38"/>
      <c r="F2094" s="38" t="s">
        <v>20319</v>
      </c>
      <c r="G2094" s="94" t="s">
        <v>21704</v>
      </c>
    </row>
    <row r="2095">
      <c r="A2095" s="164" t="s">
        <v>20278</v>
      </c>
      <c r="B2095" s="44"/>
      <c r="C2095" s="94" t="s">
        <v>21175</v>
      </c>
      <c r="D2095" s="94" t="s">
        <v>21957</v>
      </c>
      <c r="E2095" s="44"/>
      <c r="F2095" s="38" t="s">
        <v>20367</v>
      </c>
      <c r="G2095" s="94" t="s">
        <v>20072</v>
      </c>
    </row>
    <row r="2096">
      <c r="A2096" s="164" t="s">
        <v>20278</v>
      </c>
      <c r="B2096" s="44"/>
      <c r="C2096" s="38" t="s">
        <v>17819</v>
      </c>
      <c r="D2096" s="94" t="s">
        <v>23131</v>
      </c>
      <c r="E2096" s="44"/>
      <c r="F2096" s="38" t="s">
        <v>23132</v>
      </c>
      <c r="G2096" s="94" t="s">
        <v>23133</v>
      </c>
    </row>
    <row r="2097">
      <c r="A2097" s="164" t="s">
        <v>20278</v>
      </c>
      <c r="B2097" s="44"/>
      <c r="C2097" s="38" t="s">
        <v>20434</v>
      </c>
      <c r="D2097" s="94" t="s">
        <v>19224</v>
      </c>
      <c r="E2097" s="44"/>
      <c r="F2097" s="38" t="s">
        <v>23134</v>
      </c>
      <c r="G2097" s="94" t="s">
        <v>19225</v>
      </c>
    </row>
    <row r="2098">
      <c r="A2098" s="164" t="s">
        <v>20278</v>
      </c>
      <c r="B2098" s="44"/>
      <c r="C2098" s="38" t="s">
        <v>23135</v>
      </c>
      <c r="D2098" s="38" t="s">
        <v>21310</v>
      </c>
      <c r="E2098" s="44"/>
      <c r="F2098" s="38" t="s">
        <v>20745</v>
      </c>
      <c r="G2098" s="38" t="s">
        <v>21311</v>
      </c>
    </row>
    <row r="2099">
      <c r="A2099" s="164" t="s">
        <v>20278</v>
      </c>
      <c r="B2099" s="44"/>
      <c r="C2099" s="38" t="s">
        <v>17933</v>
      </c>
      <c r="D2099" s="94" t="s">
        <v>21806</v>
      </c>
      <c r="E2099" s="44"/>
      <c r="F2099" s="38" t="s">
        <v>21228</v>
      </c>
      <c r="G2099" s="94" t="s">
        <v>20072</v>
      </c>
    </row>
    <row r="2100">
      <c r="A2100" s="164" t="s">
        <v>20278</v>
      </c>
      <c r="B2100" s="44"/>
      <c r="C2100" s="94" t="s">
        <v>20108</v>
      </c>
      <c r="D2100" s="94" t="s">
        <v>13716</v>
      </c>
      <c r="E2100" s="38">
        <v>-15.0</v>
      </c>
      <c r="F2100" s="44"/>
      <c r="G2100" s="94" t="s">
        <v>13717</v>
      </c>
    </row>
    <row r="2101">
      <c r="A2101" s="164" t="s">
        <v>20278</v>
      </c>
      <c r="B2101" s="44"/>
      <c r="C2101" s="44"/>
      <c r="D2101" s="44"/>
      <c r="E2101" s="38">
        <v>-800.0</v>
      </c>
      <c r="F2101" s="38" t="s">
        <v>784</v>
      </c>
      <c r="G2101" s="44"/>
    </row>
    <row r="2102">
      <c r="A2102" s="888" t="s">
        <v>20278</v>
      </c>
      <c r="B2102" s="84"/>
      <c r="C2102" s="84"/>
      <c r="D2102" s="84"/>
      <c r="E2102" s="33">
        <v>188.0</v>
      </c>
      <c r="F2102" s="889" t="s">
        <v>23136</v>
      </c>
      <c r="G2102" s="84"/>
    </row>
    <row r="2103">
      <c r="A2103" s="186" t="s">
        <v>20278</v>
      </c>
      <c r="C2103" s="1" t="s">
        <v>23137</v>
      </c>
      <c r="D2103" s="1" t="s">
        <v>23138</v>
      </c>
      <c r="G2103" s="1" t="s">
        <v>23139</v>
      </c>
    </row>
    <row r="2104">
      <c r="A2104" s="46" t="s">
        <v>23140</v>
      </c>
      <c r="B2104" s="44"/>
      <c r="C2104" s="94" t="s">
        <v>23141</v>
      </c>
      <c r="D2104" s="94" t="s">
        <v>14478</v>
      </c>
      <c r="E2104" s="38">
        <v>90.0</v>
      </c>
      <c r="F2104" s="38" t="s">
        <v>20241</v>
      </c>
      <c r="G2104" s="94" t="s">
        <v>21871</v>
      </c>
    </row>
    <row r="2105">
      <c r="A2105" s="46" t="s">
        <v>23140</v>
      </c>
      <c r="B2105" s="44"/>
      <c r="C2105" s="94" t="s">
        <v>21321</v>
      </c>
      <c r="D2105" s="94" t="s">
        <v>21322</v>
      </c>
      <c r="E2105" s="44"/>
      <c r="F2105" s="38" t="s">
        <v>23142</v>
      </c>
      <c r="G2105" s="94" t="s">
        <v>21324</v>
      </c>
    </row>
    <row r="2106">
      <c r="A2106" s="46" t="s">
        <v>23140</v>
      </c>
      <c r="B2106" s="44"/>
      <c r="C2106" s="38" t="s">
        <v>18708</v>
      </c>
      <c r="D2106" s="47" t="s">
        <v>19243</v>
      </c>
      <c r="E2106" s="44"/>
      <c r="F2106" s="38" t="s">
        <v>23143</v>
      </c>
      <c r="G2106" s="94" t="s">
        <v>20316</v>
      </c>
    </row>
    <row r="2107">
      <c r="A2107" s="64" t="s">
        <v>23140</v>
      </c>
      <c r="C2107" s="1" t="s">
        <v>19730</v>
      </c>
      <c r="D2107" s="190" t="s">
        <v>23144</v>
      </c>
      <c r="F2107" s="1" t="s">
        <v>20418</v>
      </c>
      <c r="G2107" s="190" t="s">
        <v>23145</v>
      </c>
    </row>
    <row r="2108">
      <c r="A2108" s="46" t="s">
        <v>23140</v>
      </c>
      <c r="B2108" s="44"/>
      <c r="C2108" s="94" t="s">
        <v>23146</v>
      </c>
      <c r="D2108" s="94" t="s">
        <v>21499</v>
      </c>
      <c r="E2108" s="44"/>
      <c r="F2108" s="38" t="s">
        <v>20336</v>
      </c>
      <c r="G2108" s="94" t="s">
        <v>23147</v>
      </c>
    </row>
    <row r="2109">
      <c r="A2109" s="64" t="s">
        <v>23140</v>
      </c>
      <c r="B2109" s="44"/>
      <c r="C2109" s="38" t="s">
        <v>2856</v>
      </c>
      <c r="D2109" s="94" t="s">
        <v>2857</v>
      </c>
      <c r="E2109" s="38">
        <v>80.0</v>
      </c>
      <c r="F2109" s="38" t="s">
        <v>23148</v>
      </c>
      <c r="G2109" s="94" t="s">
        <v>2861</v>
      </c>
    </row>
    <row r="2110">
      <c r="A2110" s="46" t="s">
        <v>23140</v>
      </c>
      <c r="B2110" s="44"/>
      <c r="C2110" s="94" t="s">
        <v>21203</v>
      </c>
      <c r="D2110" s="94" t="s">
        <v>22556</v>
      </c>
      <c r="E2110" s="44"/>
      <c r="F2110" s="38" t="s">
        <v>20457</v>
      </c>
      <c r="G2110" s="94" t="s">
        <v>21851</v>
      </c>
    </row>
    <row r="2111">
      <c r="A2111" s="46" t="s">
        <v>23140</v>
      </c>
      <c r="B2111" s="44"/>
      <c r="C2111" s="409" t="s">
        <v>19249</v>
      </c>
      <c r="D2111" s="94" t="s">
        <v>23149</v>
      </c>
      <c r="E2111" s="44"/>
      <c r="F2111" s="38" t="s">
        <v>20457</v>
      </c>
      <c r="G2111" s="94" t="s">
        <v>22148</v>
      </c>
    </row>
    <row r="2112">
      <c r="A2112" s="46" t="s">
        <v>23140</v>
      </c>
      <c r="B2112" s="44"/>
      <c r="C2112" s="38" t="s">
        <v>22813</v>
      </c>
      <c r="D2112" s="38" t="s">
        <v>23150</v>
      </c>
      <c r="E2112" s="38">
        <v>30.0</v>
      </c>
      <c r="F2112" s="46" t="s">
        <v>23151</v>
      </c>
      <c r="G2112" s="38">
        <v>3.7061279957E10</v>
      </c>
      <c r="H2112" s="217" t="s">
        <v>23152</v>
      </c>
      <c r="I2112" s="44"/>
    </row>
    <row r="2113">
      <c r="A2113" s="46" t="s">
        <v>23140</v>
      </c>
      <c r="B2113" s="44"/>
      <c r="C2113" s="38" t="s">
        <v>17633</v>
      </c>
      <c r="D2113" s="94" t="s">
        <v>22155</v>
      </c>
      <c r="E2113" s="44"/>
      <c r="F2113" s="46" t="s">
        <v>20319</v>
      </c>
      <c r="G2113" s="94" t="s">
        <v>22157</v>
      </c>
    </row>
    <row r="2114">
      <c r="A2114" s="46" t="s">
        <v>23140</v>
      </c>
      <c r="B2114" s="44"/>
      <c r="C2114" s="40" t="s">
        <v>18277</v>
      </c>
      <c r="D2114" s="94" t="s">
        <v>18278</v>
      </c>
      <c r="E2114" s="44"/>
      <c r="F2114" s="46" t="s">
        <v>20241</v>
      </c>
      <c r="G2114" s="94" t="s">
        <v>23153</v>
      </c>
    </row>
    <row r="2115">
      <c r="A2115" s="46" t="s">
        <v>23140</v>
      </c>
      <c r="B2115" s="44"/>
      <c r="C2115" s="38" t="s">
        <v>23154</v>
      </c>
      <c r="D2115" s="38" t="s">
        <v>23155</v>
      </c>
      <c r="E2115" s="38">
        <v>50.0</v>
      </c>
      <c r="F2115" s="46" t="s">
        <v>23156</v>
      </c>
      <c r="G2115" s="94" t="s">
        <v>23157</v>
      </c>
    </row>
    <row r="2116">
      <c r="A2116" s="46" t="s">
        <v>23140</v>
      </c>
      <c r="B2116" s="44"/>
      <c r="C2116" s="38" t="s">
        <v>20122</v>
      </c>
      <c r="D2116" s="38" t="s">
        <v>20121</v>
      </c>
      <c r="E2116" s="44"/>
      <c r="F2116" s="46" t="s">
        <v>3724</v>
      </c>
      <c r="G2116" s="94" t="s">
        <v>1024</v>
      </c>
    </row>
    <row r="2117">
      <c r="A2117" s="46" t="s">
        <v>23140</v>
      </c>
      <c r="B2117" s="44"/>
      <c r="C2117" s="94" t="s">
        <v>17819</v>
      </c>
      <c r="D2117" s="94" t="s">
        <v>23158</v>
      </c>
      <c r="E2117" s="44"/>
      <c r="F2117" s="46" t="s">
        <v>23159</v>
      </c>
      <c r="G2117" s="94" t="s">
        <v>23160</v>
      </c>
    </row>
    <row r="2118">
      <c r="A2118" s="46" t="s">
        <v>23140</v>
      </c>
      <c r="B2118" s="44"/>
      <c r="C2118" s="38" t="s">
        <v>18996</v>
      </c>
      <c r="D2118" s="94" t="s">
        <v>19260</v>
      </c>
      <c r="E2118" s="38">
        <v>105.0</v>
      </c>
      <c r="F2118" s="46" t="s">
        <v>23161</v>
      </c>
      <c r="G2118" s="94" t="s">
        <v>19555</v>
      </c>
      <c r="H2118" s="1" t="s">
        <v>23162</v>
      </c>
    </row>
    <row r="2119">
      <c r="A2119" s="164" t="s">
        <v>20327</v>
      </c>
      <c r="B2119" s="44"/>
      <c r="C2119" s="94" t="s">
        <v>17698</v>
      </c>
      <c r="D2119" s="94" t="s">
        <v>21128</v>
      </c>
      <c r="E2119" s="44"/>
      <c r="F2119" s="38" t="s">
        <v>20319</v>
      </c>
      <c r="G2119" s="94" t="s">
        <v>21130</v>
      </c>
    </row>
    <row r="2120">
      <c r="A2120" s="164" t="s">
        <v>20327</v>
      </c>
      <c r="B2120" s="44"/>
      <c r="C2120" s="38" t="s">
        <v>18450</v>
      </c>
      <c r="D2120" s="38" t="s">
        <v>19262</v>
      </c>
      <c r="E2120" s="44"/>
      <c r="F2120" s="46" t="s">
        <v>20241</v>
      </c>
      <c r="G2120" s="38" t="s">
        <v>23163</v>
      </c>
    </row>
    <row r="2121">
      <c r="A2121" s="164" t="s">
        <v>20327</v>
      </c>
      <c r="B2121" s="44"/>
      <c r="C2121" s="38" t="s">
        <v>23164</v>
      </c>
      <c r="D2121" s="94" t="s">
        <v>21469</v>
      </c>
      <c r="E2121" s="38">
        <v>100.0</v>
      </c>
      <c r="F2121" s="46" t="s">
        <v>23165</v>
      </c>
      <c r="G2121" s="94" t="s">
        <v>21451</v>
      </c>
      <c r="H2121" s="38" t="s">
        <v>23166</v>
      </c>
    </row>
    <row r="2122">
      <c r="A2122" s="164" t="s">
        <v>20327</v>
      </c>
      <c r="B2122" s="44"/>
      <c r="C2122" s="38" t="s">
        <v>3175</v>
      </c>
      <c r="D2122" s="38" t="s">
        <v>21838</v>
      </c>
      <c r="E2122" s="44"/>
      <c r="F2122" s="46" t="s">
        <v>20241</v>
      </c>
      <c r="G2122" s="38" t="s">
        <v>4077</v>
      </c>
    </row>
    <row r="2123">
      <c r="A2123" s="164" t="s">
        <v>20327</v>
      </c>
      <c r="B2123" s="44"/>
      <c r="C2123" s="38" t="s">
        <v>17826</v>
      </c>
      <c r="D2123" s="38" t="s">
        <v>23167</v>
      </c>
      <c r="E2123" s="38">
        <v>80.0</v>
      </c>
      <c r="F2123" s="46" t="s">
        <v>20367</v>
      </c>
      <c r="G2123" s="47" t="s">
        <v>19280</v>
      </c>
    </row>
    <row r="2124">
      <c r="A2124" s="197" t="s">
        <v>20327</v>
      </c>
      <c r="C2124" s="196" t="s">
        <v>17698</v>
      </c>
      <c r="D2124" s="196" t="s">
        <v>18282</v>
      </c>
      <c r="E2124" s="8"/>
      <c r="F2124" s="5" t="s">
        <v>20319</v>
      </c>
      <c r="G2124" s="196" t="s">
        <v>21384</v>
      </c>
    </row>
    <row r="2125">
      <c r="A2125" s="197" t="s">
        <v>20327</v>
      </c>
      <c r="C2125" s="8"/>
      <c r="D2125" s="8"/>
      <c r="E2125" s="8"/>
      <c r="F2125" s="5" t="s">
        <v>23168</v>
      </c>
      <c r="G2125" s="5" t="s">
        <v>20741</v>
      </c>
    </row>
    <row r="2126">
      <c r="A2126" s="197" t="s">
        <v>20327</v>
      </c>
      <c r="C2126" s="5" t="s">
        <v>3177</v>
      </c>
      <c r="D2126" s="196" t="s">
        <v>18435</v>
      </c>
      <c r="E2126" s="8"/>
      <c r="F2126" s="5" t="s">
        <v>20457</v>
      </c>
      <c r="G2126" s="196" t="s">
        <v>21462</v>
      </c>
    </row>
    <row r="2127">
      <c r="A2127" s="197" t="s">
        <v>20327</v>
      </c>
      <c r="C2127" s="5" t="s">
        <v>20885</v>
      </c>
      <c r="D2127" s="196" t="s">
        <v>18416</v>
      </c>
      <c r="E2127" s="8"/>
      <c r="F2127" s="5" t="s">
        <v>20336</v>
      </c>
      <c r="G2127" s="196" t="s">
        <v>23169</v>
      </c>
    </row>
    <row r="2128">
      <c r="A2128" s="197" t="s">
        <v>20327</v>
      </c>
      <c r="C2128" s="8"/>
      <c r="D2128" s="8"/>
      <c r="E2128" s="5">
        <v>35.0</v>
      </c>
      <c r="F2128" s="5" t="s">
        <v>23170</v>
      </c>
      <c r="G2128" s="196" t="s">
        <v>23171</v>
      </c>
    </row>
    <row r="2129">
      <c r="A2129" s="197" t="s">
        <v>20327</v>
      </c>
      <c r="C2129" s="5" t="s">
        <v>17816</v>
      </c>
      <c r="D2129" s="5" t="s">
        <v>18613</v>
      </c>
      <c r="E2129" s="8"/>
      <c r="F2129" s="5" t="s">
        <v>20319</v>
      </c>
      <c r="G2129" s="5" t="s">
        <v>22472</v>
      </c>
    </row>
    <row r="2130">
      <c r="A2130" s="197" t="s">
        <v>20327</v>
      </c>
      <c r="C2130" s="196" t="s">
        <v>20138</v>
      </c>
      <c r="D2130" s="196" t="s">
        <v>19631</v>
      </c>
      <c r="E2130" s="5">
        <v>45.0</v>
      </c>
      <c r="F2130" s="5" t="s">
        <v>3643</v>
      </c>
      <c r="G2130" s="196" t="s">
        <v>23172</v>
      </c>
    </row>
    <row r="2131">
      <c r="A2131" s="38" t="s">
        <v>20361</v>
      </c>
      <c r="B2131" s="44"/>
      <c r="C2131" s="38" t="s">
        <v>3175</v>
      </c>
      <c r="D2131" s="94" t="s">
        <v>19270</v>
      </c>
      <c r="E2131" s="38">
        <v>95.0</v>
      </c>
      <c r="F2131" s="38" t="s">
        <v>20324</v>
      </c>
      <c r="G2131" s="94" t="s">
        <v>21412</v>
      </c>
    </row>
    <row r="2132">
      <c r="A2132" s="38" t="s">
        <v>20361</v>
      </c>
      <c r="B2132" s="44"/>
      <c r="C2132" s="44"/>
      <c r="D2132" s="44"/>
      <c r="E2132" s="44"/>
      <c r="F2132" s="38" t="s">
        <v>23173</v>
      </c>
      <c r="G2132" s="38" t="s">
        <v>3983</v>
      </c>
    </row>
    <row r="2133">
      <c r="A2133" s="38" t="s">
        <v>20361</v>
      </c>
      <c r="B2133" s="44"/>
      <c r="C2133" s="38" t="s">
        <v>4349</v>
      </c>
      <c r="D2133" s="94" t="s">
        <v>19267</v>
      </c>
      <c r="E2133" s="44"/>
      <c r="F2133" s="38" t="s">
        <v>20241</v>
      </c>
      <c r="G2133" s="94" t="s">
        <v>4077</v>
      </c>
    </row>
    <row r="2134">
      <c r="A2134" s="38" t="s">
        <v>20361</v>
      </c>
      <c r="B2134" s="44"/>
      <c r="C2134" s="44"/>
      <c r="D2134" s="44"/>
      <c r="E2134" s="38">
        <v>25.0</v>
      </c>
      <c r="F2134" s="38" t="s">
        <v>23174</v>
      </c>
      <c r="G2134" s="44"/>
    </row>
    <row r="2135">
      <c r="A2135" s="38" t="s">
        <v>20361</v>
      </c>
      <c r="B2135" s="44"/>
      <c r="C2135" s="94" t="s">
        <v>21976</v>
      </c>
      <c r="D2135" s="94" t="s">
        <v>21977</v>
      </c>
      <c r="E2135" s="44"/>
      <c r="F2135" s="38" t="s">
        <v>23175</v>
      </c>
      <c r="G2135" s="94" t="s">
        <v>23176</v>
      </c>
    </row>
    <row r="2136">
      <c r="A2136" s="1" t="s">
        <v>20361</v>
      </c>
      <c r="C2136" s="15" t="s">
        <v>18070</v>
      </c>
      <c r="D2136" s="196" t="s">
        <v>18513</v>
      </c>
      <c r="E2136" s="8"/>
      <c r="F2136" s="5" t="s">
        <v>20319</v>
      </c>
      <c r="G2136" s="196" t="s">
        <v>20320</v>
      </c>
    </row>
    <row r="2137">
      <c r="A2137" s="1" t="s">
        <v>20361</v>
      </c>
      <c r="C2137" s="45" t="s">
        <v>18077</v>
      </c>
      <c r="D2137" s="196" t="s">
        <v>21421</v>
      </c>
      <c r="E2137" s="8"/>
      <c r="F2137" s="5" t="s">
        <v>20457</v>
      </c>
      <c r="G2137" s="196" t="s">
        <v>21422</v>
      </c>
    </row>
    <row r="2138">
      <c r="A2138" s="1" t="s">
        <v>20361</v>
      </c>
      <c r="C2138" s="5" t="s">
        <v>19661</v>
      </c>
      <c r="D2138" s="196" t="s">
        <v>17987</v>
      </c>
      <c r="E2138" s="8"/>
      <c r="F2138" s="5" t="s">
        <v>23177</v>
      </c>
      <c r="G2138" s="196" t="s">
        <v>20339</v>
      </c>
    </row>
    <row r="2139">
      <c r="A2139" s="1" t="s">
        <v>20361</v>
      </c>
      <c r="C2139" s="15" t="s">
        <v>18378</v>
      </c>
      <c r="D2139" s="196" t="s">
        <v>18597</v>
      </c>
      <c r="E2139" s="8"/>
      <c r="F2139" s="5" t="s">
        <v>23178</v>
      </c>
      <c r="G2139" s="196" t="s">
        <v>18598</v>
      </c>
    </row>
    <row r="2140">
      <c r="A2140" s="38" t="s">
        <v>20361</v>
      </c>
      <c r="B2140" s="44"/>
      <c r="C2140" s="38" t="s">
        <v>17822</v>
      </c>
      <c r="D2140" s="38" t="s">
        <v>23179</v>
      </c>
      <c r="E2140" s="44"/>
      <c r="F2140" s="38" t="s">
        <v>23180</v>
      </c>
      <c r="G2140" s="38" t="s">
        <v>3984</v>
      </c>
    </row>
    <row r="2141">
      <c r="A2141" s="1" t="s">
        <v>20361</v>
      </c>
      <c r="C2141" s="196" t="s">
        <v>19990</v>
      </c>
      <c r="D2141" s="196" t="s">
        <v>21408</v>
      </c>
      <c r="E2141" s="8"/>
      <c r="F2141" s="5" t="s">
        <v>20319</v>
      </c>
      <c r="G2141" s="196" t="s">
        <v>21410</v>
      </c>
    </row>
    <row r="2142">
      <c r="A2142" s="38" t="s">
        <v>20361</v>
      </c>
      <c r="B2142" s="44"/>
      <c r="C2142" s="94" t="s">
        <v>23181</v>
      </c>
      <c r="D2142" s="94" t="s">
        <v>23182</v>
      </c>
      <c r="E2142" s="44"/>
      <c r="F2142" s="94" t="s">
        <v>23183</v>
      </c>
      <c r="G2142" s="94" t="s">
        <v>23184</v>
      </c>
    </row>
    <row r="2143">
      <c r="A2143" s="1" t="s">
        <v>20361</v>
      </c>
      <c r="C2143" s="5" t="s">
        <v>19912</v>
      </c>
      <c r="D2143" s="196" t="s">
        <v>18446</v>
      </c>
      <c r="E2143" s="8"/>
      <c r="F2143" s="5" t="s">
        <v>20319</v>
      </c>
      <c r="G2143" s="196" t="s">
        <v>21513</v>
      </c>
    </row>
    <row r="2144">
      <c r="A2144" s="197" t="s">
        <v>20393</v>
      </c>
      <c r="C2144" s="5" t="s">
        <v>23185</v>
      </c>
      <c r="D2144" s="196" t="s">
        <v>22096</v>
      </c>
      <c r="E2144" s="8"/>
      <c r="F2144" s="5" t="s">
        <v>20330</v>
      </c>
      <c r="G2144" s="196" t="s">
        <v>22097</v>
      </c>
      <c r="H2144" s="1" t="s">
        <v>23186</v>
      </c>
    </row>
    <row r="2145">
      <c r="A2145" s="197" t="s">
        <v>20393</v>
      </c>
      <c r="C2145" s="45" t="s">
        <v>18189</v>
      </c>
      <c r="D2145" s="196" t="s">
        <v>23187</v>
      </c>
      <c r="E2145" s="8"/>
      <c r="F2145" s="5" t="s">
        <v>23188</v>
      </c>
      <c r="G2145" s="196" t="s">
        <v>22048</v>
      </c>
    </row>
    <row r="2146">
      <c r="A2146" s="197" t="s">
        <v>20393</v>
      </c>
      <c r="C2146" s="1" t="s">
        <v>22447</v>
      </c>
      <c r="D2146" s="196" t="s">
        <v>21423</v>
      </c>
      <c r="E2146" s="8"/>
      <c r="F2146" s="5" t="s">
        <v>13622</v>
      </c>
      <c r="G2146" s="196" t="s">
        <v>21424</v>
      </c>
    </row>
    <row r="2147">
      <c r="A2147" s="197" t="s">
        <v>20393</v>
      </c>
      <c r="C2147" s="1" t="s">
        <v>19080</v>
      </c>
      <c r="D2147" s="1" t="s">
        <v>19789</v>
      </c>
      <c r="F2147" s="1" t="s">
        <v>23189</v>
      </c>
      <c r="G2147" s="1" t="s">
        <v>20741</v>
      </c>
      <c r="H2147" s="1" t="s">
        <v>23190</v>
      </c>
    </row>
    <row r="2148">
      <c r="A2148" s="164" t="s">
        <v>20393</v>
      </c>
      <c r="B2148" s="44"/>
      <c r="C2148" s="38" t="s">
        <v>19661</v>
      </c>
      <c r="D2148" s="94" t="s">
        <v>19295</v>
      </c>
      <c r="E2148" s="44"/>
      <c r="F2148" s="38" t="s">
        <v>20241</v>
      </c>
      <c r="G2148" s="94" t="s">
        <v>22016</v>
      </c>
    </row>
    <row r="2149">
      <c r="A2149" s="164" t="s">
        <v>20393</v>
      </c>
      <c r="B2149" s="44"/>
      <c r="C2149" s="94" t="s">
        <v>23191</v>
      </c>
      <c r="D2149" s="94" t="s">
        <v>19292</v>
      </c>
      <c r="E2149" s="44"/>
      <c r="F2149" s="38" t="s">
        <v>20324</v>
      </c>
      <c r="G2149" s="94" t="s">
        <v>12425</v>
      </c>
    </row>
    <row r="2150">
      <c r="A2150" s="197" t="s">
        <v>20393</v>
      </c>
      <c r="C2150" s="1" t="s">
        <v>23192</v>
      </c>
      <c r="F2150" s="1" t="s">
        <v>23193</v>
      </c>
      <c r="G2150" s="1" t="s">
        <v>23194</v>
      </c>
      <c r="H2150" s="75" t="s">
        <v>23195</v>
      </c>
    </row>
    <row r="2151">
      <c r="A2151" s="164" t="s">
        <v>20393</v>
      </c>
      <c r="B2151" s="44"/>
      <c r="C2151" s="94" t="s">
        <v>20373</v>
      </c>
      <c r="D2151" s="94" t="s">
        <v>18583</v>
      </c>
      <c r="E2151" s="44"/>
      <c r="F2151" s="38" t="s">
        <v>23196</v>
      </c>
      <c r="G2151" s="94" t="s">
        <v>18584</v>
      </c>
    </row>
    <row r="2152">
      <c r="A2152" s="164" t="s">
        <v>20393</v>
      </c>
      <c r="B2152" s="44"/>
      <c r="C2152" s="94" t="s">
        <v>23197</v>
      </c>
      <c r="D2152" s="44"/>
      <c r="E2152" s="38">
        <v>50.0</v>
      </c>
      <c r="F2152" s="38" t="s">
        <v>23198</v>
      </c>
      <c r="G2152" s="94" t="s">
        <v>22038</v>
      </c>
    </row>
    <row r="2153">
      <c r="A2153" s="164" t="s">
        <v>20393</v>
      </c>
      <c r="B2153" s="44"/>
      <c r="C2153" s="94" t="s">
        <v>23199</v>
      </c>
      <c r="D2153" s="94" t="s">
        <v>1982</v>
      </c>
      <c r="E2153" s="44"/>
      <c r="F2153" s="38" t="s">
        <v>23200</v>
      </c>
      <c r="G2153" s="94" t="s">
        <v>23201</v>
      </c>
    </row>
    <row r="2154">
      <c r="A2154" s="197" t="s">
        <v>20393</v>
      </c>
      <c r="C2154" s="1" t="s">
        <v>18096</v>
      </c>
      <c r="D2154" s="190" t="s">
        <v>19301</v>
      </c>
      <c r="F2154" s="1" t="s">
        <v>23202</v>
      </c>
      <c r="G2154" s="190" t="s">
        <v>18598</v>
      </c>
    </row>
    <row r="2155">
      <c r="A2155" s="197" t="s">
        <v>20393</v>
      </c>
      <c r="C2155" s="1" t="s">
        <v>20003</v>
      </c>
      <c r="D2155" s="190" t="s">
        <v>23203</v>
      </c>
      <c r="E2155" s="1">
        <v>45.0</v>
      </c>
      <c r="F2155" s="1" t="s">
        <v>3643</v>
      </c>
      <c r="G2155" s="190" t="s">
        <v>23204</v>
      </c>
    </row>
    <row r="2156">
      <c r="A2156" s="164" t="s">
        <v>20393</v>
      </c>
      <c r="B2156" s="44"/>
      <c r="C2156" s="38" t="s">
        <v>19306</v>
      </c>
      <c r="D2156" s="94" t="s">
        <v>19307</v>
      </c>
      <c r="E2156" s="44"/>
      <c r="F2156" s="38" t="s">
        <v>23205</v>
      </c>
      <c r="G2156" s="94" t="s">
        <v>19308</v>
      </c>
    </row>
    <row r="2157">
      <c r="A2157" s="865" t="s">
        <v>23206</v>
      </c>
      <c r="B2157" s="864"/>
      <c r="C2157" s="864"/>
      <c r="D2157" s="864"/>
      <c r="E2157" s="864"/>
      <c r="F2157" s="864"/>
      <c r="G2157" s="864"/>
      <c r="H2157" s="864"/>
      <c r="I2157" s="864"/>
      <c r="J2157" s="864"/>
      <c r="K2157" s="864"/>
      <c r="L2157" s="864"/>
      <c r="M2157" s="864"/>
      <c r="N2157" s="864"/>
      <c r="O2157" s="864"/>
      <c r="P2157" s="864"/>
      <c r="Q2157" s="864"/>
      <c r="R2157" s="864"/>
      <c r="S2157" s="864"/>
    </row>
    <row r="2158">
      <c r="A2158" s="806">
        <v>46117.0</v>
      </c>
      <c r="B2158" s="44"/>
      <c r="C2158" s="94" t="s">
        <v>23207</v>
      </c>
      <c r="D2158" s="94" t="s">
        <v>19321</v>
      </c>
      <c r="E2158" s="44"/>
      <c r="F2158" s="38" t="s">
        <v>20457</v>
      </c>
      <c r="G2158" s="94" t="s">
        <v>23208</v>
      </c>
      <c r="H2158" s="38" t="s">
        <v>23209</v>
      </c>
      <c r="I2158" s="44"/>
    </row>
    <row r="2159">
      <c r="A2159" s="806">
        <v>46117.0</v>
      </c>
      <c r="B2159" s="44"/>
      <c r="C2159" s="94" t="s">
        <v>23210</v>
      </c>
      <c r="D2159" s="94" t="s">
        <v>23211</v>
      </c>
      <c r="E2159" s="38">
        <v>50.0</v>
      </c>
      <c r="F2159" s="38" t="s">
        <v>23212</v>
      </c>
      <c r="G2159" s="94" t="s">
        <v>23213</v>
      </c>
      <c r="H2159" s="44"/>
      <c r="I2159" s="44"/>
    </row>
    <row r="2160">
      <c r="A2160" s="806">
        <v>46117.0</v>
      </c>
      <c r="B2160" s="44"/>
      <c r="C2160" s="94" t="s">
        <v>19912</v>
      </c>
      <c r="D2160" s="38" t="s">
        <v>23214</v>
      </c>
      <c r="E2160" s="44"/>
      <c r="F2160" s="38" t="s">
        <v>23215</v>
      </c>
      <c r="G2160" s="94" t="s">
        <v>19156</v>
      </c>
    </row>
    <row r="2161">
      <c r="A2161" s="806">
        <v>46117.0</v>
      </c>
      <c r="B2161" s="44"/>
      <c r="C2161" s="44"/>
      <c r="D2161" s="44"/>
      <c r="E2161" s="38">
        <v>-20.0</v>
      </c>
      <c r="F2161" s="38" t="s">
        <v>23216</v>
      </c>
      <c r="G2161" s="44"/>
    </row>
    <row r="2162">
      <c r="A2162" s="806">
        <v>46117.0</v>
      </c>
      <c r="B2162" s="44"/>
      <c r="C2162" s="44"/>
      <c r="D2162" s="44"/>
      <c r="E2162" s="38">
        <v>10.0</v>
      </c>
      <c r="F2162" s="38" t="s">
        <v>21491</v>
      </c>
      <c r="G2162" s="44"/>
    </row>
    <row r="2163">
      <c r="A2163" s="806">
        <v>46117.0</v>
      </c>
      <c r="B2163" s="44"/>
      <c r="C2163" s="94" t="s">
        <v>23217</v>
      </c>
      <c r="D2163" s="38" t="s">
        <v>23218</v>
      </c>
      <c r="E2163" s="44"/>
      <c r="F2163" s="38" t="s">
        <v>20457</v>
      </c>
      <c r="G2163" s="94" t="s">
        <v>23219</v>
      </c>
    </row>
    <row r="2164">
      <c r="A2164" s="806">
        <v>46117.0</v>
      </c>
      <c r="B2164" s="44"/>
      <c r="C2164" s="44"/>
      <c r="D2164" s="44"/>
      <c r="E2164" s="38">
        <v>-28.35</v>
      </c>
      <c r="F2164" s="38" t="s">
        <v>23220</v>
      </c>
      <c r="G2164" s="44"/>
    </row>
    <row r="2165">
      <c r="A2165" s="806">
        <v>46117.0</v>
      </c>
      <c r="B2165" s="44"/>
      <c r="C2165" s="38" t="s">
        <v>4328</v>
      </c>
      <c r="D2165" s="277" t="s">
        <v>18284</v>
      </c>
      <c r="E2165" s="44"/>
      <c r="F2165" s="38" t="s">
        <v>23221</v>
      </c>
      <c r="G2165" s="94" t="s">
        <v>23222</v>
      </c>
    </row>
    <row r="2166">
      <c r="A2166" s="830">
        <v>46117.0</v>
      </c>
      <c r="C2166" s="196" t="s">
        <v>21953</v>
      </c>
      <c r="D2166" s="196" t="s">
        <v>20500</v>
      </c>
      <c r="E2166" s="8"/>
      <c r="F2166" s="5" t="s">
        <v>20241</v>
      </c>
      <c r="G2166" s="196" t="s">
        <v>20501</v>
      </c>
      <c r="H2166" s="1" t="s">
        <v>23223</v>
      </c>
    </row>
    <row r="2167">
      <c r="A2167" s="806">
        <v>46117.0</v>
      </c>
      <c r="B2167" s="44"/>
      <c r="C2167" s="94" t="s">
        <v>23224</v>
      </c>
      <c r="D2167" s="38" t="s">
        <v>23225</v>
      </c>
      <c r="E2167" s="44"/>
      <c r="F2167" s="38" t="s">
        <v>23226</v>
      </c>
      <c r="G2167" s="94" t="s">
        <v>23112</v>
      </c>
    </row>
    <row r="2168">
      <c r="A2168" s="806">
        <v>46117.0</v>
      </c>
      <c r="B2168" s="44"/>
      <c r="C2168" s="94" t="s">
        <v>21668</v>
      </c>
      <c r="D2168" s="94" t="s">
        <v>3384</v>
      </c>
      <c r="E2168" s="44"/>
      <c r="F2168" s="38" t="s">
        <v>3913</v>
      </c>
      <c r="G2168" s="94" t="s">
        <v>18631</v>
      </c>
    </row>
    <row r="2169">
      <c r="A2169" s="141">
        <v>46147.0</v>
      </c>
      <c r="B2169" s="44"/>
      <c r="C2169" s="38" t="s">
        <v>20617</v>
      </c>
      <c r="D2169" s="94" t="s">
        <v>19330</v>
      </c>
      <c r="E2169" s="38">
        <v>90.0</v>
      </c>
      <c r="F2169" s="38" t="s">
        <v>20241</v>
      </c>
      <c r="G2169" s="94" t="s">
        <v>21956</v>
      </c>
    </row>
    <row r="2170">
      <c r="A2170" s="30">
        <v>46147.0</v>
      </c>
      <c r="C2170" s="5" t="s">
        <v>19912</v>
      </c>
      <c r="D2170" s="196" t="s">
        <v>20425</v>
      </c>
      <c r="E2170" s="8"/>
      <c r="F2170" s="5" t="s">
        <v>20330</v>
      </c>
      <c r="G2170" s="196" t="s">
        <v>21527</v>
      </c>
    </row>
    <row r="2171">
      <c r="A2171" s="141">
        <v>46147.0</v>
      </c>
      <c r="B2171" s="44"/>
      <c r="C2171" s="38" t="s">
        <v>18996</v>
      </c>
      <c r="D2171" s="94" t="s">
        <v>3386</v>
      </c>
      <c r="E2171" s="44"/>
      <c r="F2171" s="38" t="s">
        <v>23227</v>
      </c>
      <c r="G2171" s="94" t="s">
        <v>18631</v>
      </c>
    </row>
    <row r="2172">
      <c r="A2172" s="141">
        <v>46147.0</v>
      </c>
      <c r="B2172" s="44"/>
      <c r="C2172" s="38" t="s">
        <v>18315</v>
      </c>
      <c r="D2172" s="94" t="s">
        <v>19342</v>
      </c>
      <c r="E2172" s="38">
        <v>95.0</v>
      </c>
      <c r="F2172" s="38" t="s">
        <v>20324</v>
      </c>
      <c r="G2172" s="94" t="s">
        <v>19343</v>
      </c>
    </row>
    <row r="2173">
      <c r="A2173" s="141">
        <v>46147.0</v>
      </c>
      <c r="B2173" s="44"/>
      <c r="C2173" s="38" t="s">
        <v>23228</v>
      </c>
      <c r="D2173" s="38" t="s">
        <v>23229</v>
      </c>
      <c r="E2173" s="38">
        <v>30.0</v>
      </c>
      <c r="F2173" s="38" t="s">
        <v>20745</v>
      </c>
      <c r="G2173" s="38" t="s">
        <v>20127</v>
      </c>
    </row>
    <row r="2174">
      <c r="A2174" s="141">
        <v>46147.0</v>
      </c>
      <c r="B2174" s="44"/>
      <c r="C2174" s="94" t="s">
        <v>20229</v>
      </c>
      <c r="D2174" s="94" t="s">
        <v>21150</v>
      </c>
      <c r="E2174" s="38">
        <v>255.0</v>
      </c>
      <c r="F2174" s="38" t="s">
        <v>23230</v>
      </c>
      <c r="G2174" s="94" t="s">
        <v>23231</v>
      </c>
    </row>
    <row r="2175">
      <c r="A2175" s="141">
        <v>46147.0</v>
      </c>
      <c r="B2175" s="44"/>
      <c r="C2175" s="38" t="s">
        <v>17816</v>
      </c>
      <c r="D2175" s="38" t="s">
        <v>22748</v>
      </c>
      <c r="E2175" s="44"/>
      <c r="F2175" s="38" t="s">
        <v>23232</v>
      </c>
      <c r="G2175" s="94" t="s">
        <v>22749</v>
      </c>
    </row>
    <row r="2176">
      <c r="A2176" s="141">
        <v>46147.0</v>
      </c>
      <c r="B2176" s="44"/>
      <c r="C2176" s="38" t="s">
        <v>19334</v>
      </c>
      <c r="D2176" s="94" t="s">
        <v>19335</v>
      </c>
      <c r="E2176" s="44"/>
      <c r="F2176" s="38" t="s">
        <v>20457</v>
      </c>
      <c r="G2176" s="94" t="s">
        <v>23219</v>
      </c>
    </row>
    <row r="2177">
      <c r="A2177" s="141">
        <v>46147.0</v>
      </c>
      <c r="B2177" s="44"/>
      <c r="C2177" s="94" t="s">
        <v>23096</v>
      </c>
      <c r="D2177" s="94" t="s">
        <v>23233</v>
      </c>
      <c r="E2177" s="44"/>
      <c r="F2177" s="38" t="s">
        <v>23089</v>
      </c>
      <c r="G2177" s="94" t="s">
        <v>23234</v>
      </c>
    </row>
    <row r="2178">
      <c r="A2178" s="141">
        <v>46147.0</v>
      </c>
      <c r="B2178" s="44"/>
      <c r="C2178" s="38" t="s">
        <v>20911</v>
      </c>
      <c r="D2178" s="38" t="s">
        <v>23103</v>
      </c>
      <c r="E2178" s="44"/>
      <c r="F2178" s="38" t="s">
        <v>23235</v>
      </c>
      <c r="G2178" s="38" t="s">
        <v>21641</v>
      </c>
    </row>
    <row r="2179">
      <c r="A2179" s="141">
        <v>46147.0</v>
      </c>
      <c r="B2179" s="44"/>
      <c r="C2179" s="38" t="s">
        <v>23236</v>
      </c>
      <c r="D2179" s="94" t="s">
        <v>18288</v>
      </c>
      <c r="E2179" s="44"/>
      <c r="F2179" s="38" t="s">
        <v>23237</v>
      </c>
      <c r="G2179" s="94" t="s">
        <v>23238</v>
      </c>
    </row>
    <row r="2180">
      <c r="A2180" s="141">
        <v>46147.0</v>
      </c>
      <c r="B2180" s="44"/>
      <c r="C2180" s="94" t="s">
        <v>23239</v>
      </c>
      <c r="D2180" s="94" t="s">
        <v>23240</v>
      </c>
      <c r="E2180" s="38">
        <v>50.0</v>
      </c>
      <c r="F2180" s="38" t="s">
        <v>13622</v>
      </c>
      <c r="G2180" s="38" t="s">
        <v>23213</v>
      </c>
    </row>
    <row r="2181">
      <c r="A2181" s="806">
        <v>46178.0</v>
      </c>
      <c r="B2181" s="44"/>
      <c r="C2181" s="38" t="s">
        <v>20122</v>
      </c>
      <c r="D2181" s="94" t="s">
        <v>23241</v>
      </c>
      <c r="E2181" s="44"/>
      <c r="F2181" s="38" t="s">
        <v>20457</v>
      </c>
      <c r="G2181" s="94" t="s">
        <v>23242</v>
      </c>
    </row>
    <row r="2182">
      <c r="A2182" s="806">
        <v>46178.0</v>
      </c>
      <c r="B2182" s="44"/>
      <c r="C2182" s="38" t="s">
        <v>23243</v>
      </c>
      <c r="D2182" s="94" t="s">
        <v>18583</v>
      </c>
      <c r="E2182" s="44"/>
      <c r="F2182" s="38" t="s">
        <v>23244</v>
      </c>
      <c r="G2182" s="94" t="s">
        <v>18584</v>
      </c>
    </row>
    <row r="2183">
      <c r="A2183" s="806">
        <v>46178.0</v>
      </c>
      <c r="B2183" s="44"/>
      <c r="C2183" s="94" t="s">
        <v>21775</v>
      </c>
      <c r="D2183" s="94" t="s">
        <v>19317</v>
      </c>
      <c r="E2183" s="38">
        <v>80.0</v>
      </c>
      <c r="F2183" s="38" t="s">
        <v>20336</v>
      </c>
      <c r="G2183" s="94" t="s">
        <v>19318</v>
      </c>
    </row>
    <row r="2184">
      <c r="A2184" s="806">
        <v>46178.0</v>
      </c>
      <c r="B2184" s="44"/>
      <c r="C2184" s="44"/>
      <c r="D2184" s="44"/>
      <c r="E2184" s="38">
        <v>-1250.0</v>
      </c>
      <c r="F2184" s="38" t="s">
        <v>19534</v>
      </c>
      <c r="G2184" s="44"/>
    </row>
    <row r="2185">
      <c r="A2185" s="830">
        <v>46178.0</v>
      </c>
      <c r="C2185" s="5" t="s">
        <v>21145</v>
      </c>
      <c r="D2185" s="5" t="s">
        <v>18460</v>
      </c>
      <c r="E2185" s="5">
        <v>50.0</v>
      </c>
      <c r="F2185" s="5" t="s">
        <v>23245</v>
      </c>
      <c r="G2185" s="196" t="s">
        <v>18462</v>
      </c>
    </row>
    <row r="2186">
      <c r="A2186" s="830">
        <v>46178.0</v>
      </c>
      <c r="C2186" s="8"/>
      <c r="D2186" s="8"/>
      <c r="E2186" s="5">
        <v>120.0</v>
      </c>
      <c r="F2186" s="5" t="s">
        <v>23246</v>
      </c>
      <c r="G2186" s="8"/>
    </row>
    <row r="2187">
      <c r="A2187" s="830">
        <v>46178.0</v>
      </c>
      <c r="C2187" s="849" t="s">
        <v>22137</v>
      </c>
      <c r="D2187" s="214" t="s">
        <v>4318</v>
      </c>
      <c r="E2187" s="767"/>
      <c r="F2187" s="849" t="s">
        <v>20319</v>
      </c>
      <c r="G2187" s="196" t="s">
        <v>23247</v>
      </c>
    </row>
    <row r="2188">
      <c r="A2188" s="830">
        <v>46178.0</v>
      </c>
      <c r="C2188" s="5" t="s">
        <v>17719</v>
      </c>
      <c r="D2188" s="5" t="s">
        <v>23248</v>
      </c>
      <c r="E2188" s="5">
        <v>30.0</v>
      </c>
      <c r="F2188" s="5" t="s">
        <v>23249</v>
      </c>
      <c r="G2188" s="196" t="s">
        <v>23250</v>
      </c>
    </row>
    <row r="2189">
      <c r="A2189" s="806">
        <v>46178.0</v>
      </c>
      <c r="B2189" s="44"/>
      <c r="C2189" s="38" t="s">
        <v>20476</v>
      </c>
      <c r="D2189" s="38" t="s">
        <v>21640</v>
      </c>
      <c r="E2189" s="44"/>
      <c r="F2189" s="38" t="s">
        <v>23251</v>
      </c>
      <c r="G2189" s="38" t="s">
        <v>1141</v>
      </c>
    </row>
    <row r="2190">
      <c r="A2190" s="830">
        <v>46178.0</v>
      </c>
      <c r="C2190" s="196" t="s">
        <v>19955</v>
      </c>
      <c r="D2190" s="196" t="s">
        <v>23252</v>
      </c>
      <c r="E2190" s="8"/>
      <c r="F2190" s="5" t="s">
        <v>23253</v>
      </c>
      <c r="G2190" s="196" t="s">
        <v>20339</v>
      </c>
    </row>
    <row r="2191">
      <c r="A2191" s="830">
        <v>46178.0</v>
      </c>
      <c r="C2191" s="15" t="s">
        <v>17861</v>
      </c>
      <c r="D2191" s="5" t="s">
        <v>19352</v>
      </c>
      <c r="E2191" s="8"/>
      <c r="F2191" s="5" t="s">
        <v>21228</v>
      </c>
      <c r="G2191" s="15" t="s">
        <v>1309</v>
      </c>
    </row>
    <row r="2192">
      <c r="A2192" s="830">
        <v>46178.0</v>
      </c>
      <c r="C2192" s="5" t="s">
        <v>23254</v>
      </c>
      <c r="D2192" s="196" t="s">
        <v>19347</v>
      </c>
      <c r="E2192" s="8"/>
      <c r="F2192" s="5" t="s">
        <v>20319</v>
      </c>
      <c r="G2192" s="196" t="s">
        <v>23255</v>
      </c>
    </row>
    <row r="2193">
      <c r="A2193" s="830">
        <v>46178.0</v>
      </c>
      <c r="C2193" s="5" t="s">
        <v>23256</v>
      </c>
      <c r="D2193" s="5" t="s">
        <v>23257</v>
      </c>
      <c r="E2193" s="8"/>
      <c r="F2193" s="5" t="s">
        <v>23258</v>
      </c>
      <c r="G2193" s="5" t="s">
        <v>23259</v>
      </c>
      <c r="H2193" s="75" t="s">
        <v>23260</v>
      </c>
    </row>
    <row r="2194">
      <c r="A2194" s="806">
        <v>46178.0</v>
      </c>
      <c r="B2194" s="44"/>
      <c r="C2194" s="94" t="s">
        <v>23261</v>
      </c>
      <c r="D2194" s="44"/>
      <c r="E2194" s="44"/>
      <c r="F2194" s="38" t="s">
        <v>23262</v>
      </c>
      <c r="G2194" s="94" t="s">
        <v>23263</v>
      </c>
    </row>
    <row r="2195">
      <c r="A2195" s="30">
        <v>46208.0</v>
      </c>
      <c r="C2195" s="5" t="s">
        <v>18277</v>
      </c>
      <c r="D2195" s="196" t="s">
        <v>18427</v>
      </c>
      <c r="E2195" s="5">
        <v>30.0</v>
      </c>
      <c r="F2195" s="5" t="s">
        <v>23264</v>
      </c>
      <c r="G2195" s="196" t="s">
        <v>12380</v>
      </c>
    </row>
    <row r="2196">
      <c r="A2196" s="141">
        <v>46208.0</v>
      </c>
      <c r="B2196" s="44"/>
      <c r="C2196" s="94" t="s">
        <v>17938</v>
      </c>
      <c r="D2196" s="94" t="s">
        <v>23265</v>
      </c>
      <c r="E2196" s="44"/>
      <c r="F2196" s="38" t="s">
        <v>13622</v>
      </c>
      <c r="G2196" s="94" t="s">
        <v>22051</v>
      </c>
      <c r="H2196" s="38" t="s">
        <v>23266</v>
      </c>
    </row>
    <row r="2197">
      <c r="A2197" s="141">
        <v>46208.0</v>
      </c>
      <c r="B2197" s="44"/>
      <c r="C2197" s="94" t="s">
        <v>20392</v>
      </c>
      <c r="D2197" s="94" t="s">
        <v>23267</v>
      </c>
      <c r="E2197" s="44"/>
      <c r="F2197" s="38" t="s">
        <v>13622</v>
      </c>
      <c r="G2197" s="94" t="s">
        <v>22051</v>
      </c>
      <c r="H2197" s="38" t="s">
        <v>23266</v>
      </c>
    </row>
    <row r="2198">
      <c r="A2198" s="30">
        <v>46208.0</v>
      </c>
      <c r="C2198" s="5" t="s">
        <v>23268</v>
      </c>
      <c r="D2198" s="196" t="s">
        <v>23269</v>
      </c>
      <c r="E2198" s="8"/>
      <c r="F2198" s="5" t="s">
        <v>23270</v>
      </c>
      <c r="G2198" s="196" t="s">
        <v>22360</v>
      </c>
    </row>
    <row r="2199">
      <c r="A2199" s="141">
        <v>46208.0</v>
      </c>
      <c r="B2199" s="44"/>
      <c r="C2199" s="94" t="s">
        <v>23271</v>
      </c>
      <c r="D2199" s="38" t="s">
        <v>23272</v>
      </c>
      <c r="E2199" s="44"/>
      <c r="F2199" s="38" t="s">
        <v>3643</v>
      </c>
      <c r="G2199" s="94" t="s">
        <v>23273</v>
      </c>
    </row>
    <row r="2200">
      <c r="A2200" s="141">
        <v>46208.0</v>
      </c>
      <c r="B2200" s="44"/>
      <c r="C2200" s="38" t="s">
        <v>23274</v>
      </c>
      <c r="D2200" s="94" t="s">
        <v>21875</v>
      </c>
      <c r="E2200" s="38">
        <v>140.0</v>
      </c>
      <c r="F2200" s="38" t="s">
        <v>23275</v>
      </c>
      <c r="G2200" s="94" t="s">
        <v>19383</v>
      </c>
    </row>
    <row r="2201">
      <c r="A2201" s="30">
        <v>46208.0</v>
      </c>
      <c r="F2201" s="1" t="s">
        <v>23276</v>
      </c>
      <c r="G2201" s="1" t="s">
        <v>21460</v>
      </c>
    </row>
    <row r="2202">
      <c r="A2202" s="30">
        <v>46208.0</v>
      </c>
      <c r="C2202" s="190" t="s">
        <v>23277</v>
      </c>
      <c r="D2202" s="190" t="s">
        <v>23278</v>
      </c>
      <c r="E2202" s="1">
        <v>30.0</v>
      </c>
      <c r="F2202" s="1" t="s">
        <v>22837</v>
      </c>
      <c r="G2202" s="190" t="s">
        <v>23279</v>
      </c>
    </row>
    <row r="2203">
      <c r="A2203" s="141"/>
      <c r="B2203" s="44"/>
      <c r="C2203" s="44"/>
      <c r="D2203" s="44"/>
      <c r="E2203" s="38">
        <v>-400.0</v>
      </c>
      <c r="F2203" s="38" t="s">
        <v>19534</v>
      </c>
      <c r="G2203" s="44"/>
      <c r="I2203" s="890"/>
    </row>
    <row r="2204">
      <c r="A2204" s="806">
        <v>46239.0</v>
      </c>
      <c r="B2204" s="44"/>
      <c r="C2204" s="94" t="s">
        <v>20030</v>
      </c>
      <c r="D2204" s="38" t="s">
        <v>23280</v>
      </c>
      <c r="E2204" s="44"/>
      <c r="F2204" s="38" t="s">
        <v>20330</v>
      </c>
      <c r="G2204" s="94" t="s">
        <v>23281</v>
      </c>
      <c r="I2204" s="891"/>
      <c r="J2204" s="767"/>
      <c r="K2204" s="892"/>
      <c r="L2204" s="767"/>
      <c r="M2204" s="767"/>
    </row>
    <row r="2205">
      <c r="A2205" s="830">
        <v>46239.0</v>
      </c>
      <c r="C2205" s="5" t="s">
        <v>19247</v>
      </c>
      <c r="D2205" s="196" t="s">
        <v>21642</v>
      </c>
      <c r="E2205" s="5">
        <v>45.0</v>
      </c>
      <c r="F2205" s="5" t="s">
        <v>3643</v>
      </c>
      <c r="G2205" s="196" t="s">
        <v>20632</v>
      </c>
      <c r="I2205" s="893"/>
      <c r="J2205" s="894"/>
      <c r="K2205" s="8"/>
      <c r="L2205" s="894"/>
      <c r="M2205" s="894"/>
    </row>
    <row r="2206">
      <c r="A2206" s="806">
        <v>46239.0</v>
      </c>
      <c r="B2206" s="44"/>
      <c r="C2206" s="94" t="s">
        <v>20357</v>
      </c>
      <c r="D2206" s="94" t="s">
        <v>20358</v>
      </c>
      <c r="E2206" s="44"/>
      <c r="F2206" s="38" t="s">
        <v>3913</v>
      </c>
      <c r="G2206" s="94" t="s">
        <v>19630</v>
      </c>
      <c r="I2206" s="891"/>
      <c r="J2206" s="767"/>
      <c r="K2206" s="895"/>
      <c r="L2206" s="767"/>
      <c r="M2206" s="767"/>
    </row>
    <row r="2207">
      <c r="A2207" s="830">
        <v>46239.0</v>
      </c>
      <c r="E2207" s="1">
        <v>-60.0</v>
      </c>
      <c r="F2207" s="1" t="s">
        <v>23216</v>
      </c>
      <c r="I2207" s="891"/>
      <c r="J2207" s="767"/>
      <c r="K2207" s="767"/>
      <c r="L2207" s="767"/>
      <c r="M2207" s="767"/>
    </row>
    <row r="2208">
      <c r="A2208" s="830">
        <v>46239.0</v>
      </c>
      <c r="C2208" s="51" t="s">
        <v>17707</v>
      </c>
      <c r="D2208" s="190" t="s">
        <v>21690</v>
      </c>
      <c r="F2208" s="1" t="s">
        <v>20432</v>
      </c>
      <c r="G2208" s="1" t="s">
        <v>20575</v>
      </c>
      <c r="I2208" s="891"/>
      <c r="J2208" s="767"/>
      <c r="K2208" s="767"/>
      <c r="L2208" s="767"/>
      <c r="M2208" s="767"/>
    </row>
    <row r="2209">
      <c r="A2209" s="806">
        <v>46239.0</v>
      </c>
      <c r="B2209" s="44"/>
      <c r="C2209" s="94" t="s">
        <v>23282</v>
      </c>
      <c r="D2209" s="94" t="s">
        <v>23283</v>
      </c>
      <c r="E2209" s="44"/>
      <c r="F2209" s="38" t="s">
        <v>21805</v>
      </c>
      <c r="G2209" s="94" t="s">
        <v>23284</v>
      </c>
      <c r="I2209" s="891"/>
      <c r="J2209" s="767"/>
      <c r="K2209" s="767"/>
      <c r="L2209" s="767"/>
      <c r="M2209" s="767"/>
    </row>
    <row r="2210">
      <c r="A2210" s="806">
        <v>46239.0</v>
      </c>
      <c r="B2210" s="44"/>
      <c r="C2210" s="38" t="s">
        <v>23285</v>
      </c>
      <c r="D2210" s="94" t="s">
        <v>23286</v>
      </c>
      <c r="E2210" s="38">
        <v>297.0</v>
      </c>
      <c r="F2210" s="38" t="s">
        <v>23287</v>
      </c>
      <c r="G2210" s="94" t="s">
        <v>23250</v>
      </c>
      <c r="I2210" s="893"/>
      <c r="J2210" s="8"/>
      <c r="K2210" s="8"/>
      <c r="L2210" s="8"/>
      <c r="M2210" s="8"/>
    </row>
    <row r="2211">
      <c r="A2211" s="806">
        <v>46239.0</v>
      </c>
      <c r="B2211" s="44"/>
      <c r="C2211" s="38" t="s">
        <v>22103</v>
      </c>
      <c r="D2211" s="94" t="s">
        <v>22104</v>
      </c>
      <c r="E2211" s="44"/>
      <c r="F2211" s="38" t="s">
        <v>23288</v>
      </c>
      <c r="G2211" s="94" t="s">
        <v>22105</v>
      </c>
      <c r="I2211" s="893"/>
      <c r="J2211" s="8"/>
      <c r="K2211" s="8"/>
      <c r="L2211" s="8"/>
      <c r="M2211" s="8"/>
    </row>
    <row r="2212">
      <c r="A2212" s="806">
        <v>46239.0</v>
      </c>
      <c r="B2212" s="44"/>
      <c r="C2212" s="38" t="s">
        <v>23289</v>
      </c>
      <c r="D2212" s="38" t="s">
        <v>23290</v>
      </c>
      <c r="E2212" s="44"/>
      <c r="F2212" s="38" t="s">
        <v>23291</v>
      </c>
      <c r="G2212" s="44"/>
    </row>
    <row r="2213">
      <c r="A2213" s="141">
        <v>46331.0</v>
      </c>
      <c r="B2213" s="44"/>
      <c r="C2213" s="94" t="s">
        <v>18461</v>
      </c>
      <c r="D2213" s="38" t="s">
        <v>23292</v>
      </c>
      <c r="E2213" s="44"/>
      <c r="F2213" s="38" t="s">
        <v>21593</v>
      </c>
      <c r="G2213" s="94" t="s">
        <v>21300</v>
      </c>
    </row>
    <row r="2214">
      <c r="A2214" s="141">
        <v>46331.0</v>
      </c>
      <c r="B2214" s="44"/>
      <c r="C2214" s="38" t="s">
        <v>19704</v>
      </c>
      <c r="D2214" s="94" t="s">
        <v>21380</v>
      </c>
      <c r="E2214" s="38">
        <v>60.0</v>
      </c>
      <c r="F2214" s="38" t="s">
        <v>23293</v>
      </c>
      <c r="G2214" s="819" t="s">
        <v>21278</v>
      </c>
    </row>
    <row r="2215">
      <c r="A2215" s="30">
        <v>46331.0</v>
      </c>
      <c r="C2215" s="5" t="s">
        <v>18492</v>
      </c>
      <c r="D2215" s="196" t="s">
        <v>20483</v>
      </c>
      <c r="E2215" s="8"/>
      <c r="F2215" s="5" t="s">
        <v>23294</v>
      </c>
      <c r="G2215" s="5" t="s">
        <v>22179</v>
      </c>
    </row>
    <row r="2216">
      <c r="A2216" s="30">
        <v>46331.0</v>
      </c>
      <c r="C2216" s="1" t="s">
        <v>17713</v>
      </c>
      <c r="D2216" s="1" t="s">
        <v>23295</v>
      </c>
      <c r="F2216" s="1" t="s">
        <v>23296</v>
      </c>
    </row>
    <row r="2217">
      <c r="A2217" s="141">
        <v>46331.0</v>
      </c>
      <c r="B2217" s="44"/>
      <c r="C2217" s="38" t="s">
        <v>17694</v>
      </c>
      <c r="D2217" s="38" t="s">
        <v>20779</v>
      </c>
      <c r="E2217" s="44"/>
      <c r="F2217" s="38" t="s">
        <v>23297</v>
      </c>
      <c r="G2217" s="78" t="s">
        <v>19670</v>
      </c>
    </row>
    <row r="2218">
      <c r="A2218" s="141">
        <v>46331.0</v>
      </c>
      <c r="B2218" s="44"/>
      <c r="C2218" s="94" t="s">
        <v>19411</v>
      </c>
      <c r="D2218" s="38" t="s">
        <v>19412</v>
      </c>
      <c r="E2218" s="44"/>
      <c r="F2218" s="38" t="s">
        <v>20457</v>
      </c>
      <c r="G2218" s="94" t="s">
        <v>23298</v>
      </c>
    </row>
    <row r="2219">
      <c r="A2219" s="30">
        <v>46331.0</v>
      </c>
      <c r="C2219" s="196" t="s">
        <v>20342</v>
      </c>
      <c r="D2219" s="196" t="s">
        <v>18525</v>
      </c>
      <c r="E2219" s="5">
        <v>95.0</v>
      </c>
      <c r="F2219" s="5" t="s">
        <v>20324</v>
      </c>
      <c r="G2219" s="190" t="s">
        <v>20320</v>
      </c>
    </row>
    <row r="2220">
      <c r="A2220" s="141">
        <v>46331.0</v>
      </c>
      <c r="B2220" s="44"/>
      <c r="C2220" s="38" t="s">
        <v>17822</v>
      </c>
      <c r="D2220" s="38" t="s">
        <v>21331</v>
      </c>
      <c r="E2220" s="44"/>
      <c r="F2220" s="38" t="s">
        <v>13622</v>
      </c>
      <c r="G2220" s="38" t="s">
        <v>4762</v>
      </c>
    </row>
    <row r="2221">
      <c r="A2221" s="141">
        <v>46331.0</v>
      </c>
      <c r="B2221" s="44"/>
      <c r="C2221" s="38" t="s">
        <v>18497</v>
      </c>
      <c r="D2221" s="38" t="s">
        <v>23299</v>
      </c>
      <c r="E2221" s="44"/>
      <c r="F2221" s="38" t="s">
        <v>23300</v>
      </c>
      <c r="G2221" s="38" t="s">
        <v>21610</v>
      </c>
    </row>
    <row r="2222">
      <c r="A2222" s="30">
        <v>46331.0</v>
      </c>
      <c r="C2222" s="5" t="s">
        <v>19904</v>
      </c>
      <c r="D2222" s="5" t="s">
        <v>19815</v>
      </c>
      <c r="E2222" s="8"/>
      <c r="F2222" s="5" t="s">
        <v>23301</v>
      </c>
      <c r="G2222" s="5" t="s">
        <v>23302</v>
      </c>
    </row>
    <row r="2223">
      <c r="A2223" s="30">
        <v>46331.0</v>
      </c>
      <c r="C2223" s="5" t="s">
        <v>23303</v>
      </c>
      <c r="D2223" s="5" t="s">
        <v>23304</v>
      </c>
      <c r="E2223" s="8"/>
      <c r="F2223" s="5" t="s">
        <v>20367</v>
      </c>
      <c r="G2223" s="196" t="s">
        <v>21880</v>
      </c>
    </row>
    <row r="2224">
      <c r="A2224" s="830">
        <v>46361.0</v>
      </c>
      <c r="C2224" s="5" t="s">
        <v>17753</v>
      </c>
      <c r="D2224" s="196" t="s">
        <v>20601</v>
      </c>
      <c r="E2224" s="8"/>
      <c r="F2224" s="5" t="s">
        <v>23305</v>
      </c>
      <c r="G2224" s="196" t="s">
        <v>21278</v>
      </c>
    </row>
    <row r="2225">
      <c r="A2225" s="830">
        <v>46361.0</v>
      </c>
      <c r="C2225" s="5" t="s">
        <v>23306</v>
      </c>
      <c r="D2225" s="196" t="s">
        <v>23307</v>
      </c>
      <c r="E2225" s="8"/>
      <c r="F2225" s="5" t="s">
        <v>23308</v>
      </c>
      <c r="G2225" s="196" t="s">
        <v>3342</v>
      </c>
    </row>
    <row r="2226">
      <c r="A2226" s="830">
        <v>46361.0</v>
      </c>
      <c r="C2226" s="5" t="s">
        <v>18497</v>
      </c>
      <c r="D2226" s="5" t="s">
        <v>23299</v>
      </c>
      <c r="E2226" s="8"/>
      <c r="F2226" s="5" t="s">
        <v>23309</v>
      </c>
      <c r="G2226" s="5" t="s">
        <v>21610</v>
      </c>
    </row>
    <row r="2227">
      <c r="A2227" s="830">
        <v>46361.0</v>
      </c>
      <c r="C2227" s="5" t="s">
        <v>19561</v>
      </c>
      <c r="D2227" s="196" t="s">
        <v>20526</v>
      </c>
      <c r="E2227" s="8"/>
      <c r="F2227" s="5" t="s">
        <v>3913</v>
      </c>
      <c r="G2227" s="196" t="s">
        <v>20528</v>
      </c>
    </row>
    <row r="2228">
      <c r="A2228" s="806">
        <v>46361.0</v>
      </c>
      <c r="B2228" s="44"/>
      <c r="C2228" s="38" t="s">
        <v>19408</v>
      </c>
      <c r="D2228" s="94" t="s">
        <v>19409</v>
      </c>
      <c r="E2228" s="44"/>
      <c r="F2228" s="38" t="s">
        <v>23310</v>
      </c>
      <c r="G2228" s="94" t="s">
        <v>23311</v>
      </c>
    </row>
    <row r="2229">
      <c r="A2229" s="830">
        <v>46361.0</v>
      </c>
      <c r="C2229" s="196" t="s">
        <v>21564</v>
      </c>
      <c r="D2229" s="196" t="s">
        <v>18084</v>
      </c>
      <c r="E2229" s="8"/>
      <c r="F2229" s="5" t="s">
        <v>23312</v>
      </c>
      <c r="G2229" s="196" t="s">
        <v>23313</v>
      </c>
    </row>
    <row r="2230">
      <c r="A2230" s="830">
        <v>46361.0</v>
      </c>
      <c r="C2230" s="5" t="s">
        <v>7909</v>
      </c>
      <c r="D2230" s="196" t="s">
        <v>20576</v>
      </c>
      <c r="E2230" s="8"/>
      <c r="F2230" s="5" t="s">
        <v>20330</v>
      </c>
      <c r="G2230" s="196" t="s">
        <v>21278</v>
      </c>
    </row>
    <row r="2231">
      <c r="A2231" s="806">
        <v>46361.0</v>
      </c>
      <c r="B2231" s="44"/>
      <c r="C2231" s="38" t="s">
        <v>20263</v>
      </c>
      <c r="D2231" s="94" t="s">
        <v>19415</v>
      </c>
      <c r="E2231" s="38">
        <v>110.0</v>
      </c>
      <c r="F2231" s="38" t="s">
        <v>21228</v>
      </c>
      <c r="G2231" s="94" t="s">
        <v>23314</v>
      </c>
    </row>
    <row r="2232">
      <c r="A2232" s="164" t="s">
        <v>20492</v>
      </c>
      <c r="B2232" s="44"/>
      <c r="C2232" s="94" t="s">
        <v>23315</v>
      </c>
      <c r="D2232" s="94" t="s">
        <v>23316</v>
      </c>
      <c r="E2232" s="44"/>
      <c r="F2232" s="38" t="s">
        <v>23317</v>
      </c>
      <c r="G2232" s="94" t="s">
        <v>4056</v>
      </c>
    </row>
    <row r="2233">
      <c r="A2233" s="164" t="s">
        <v>20492</v>
      </c>
      <c r="B2233" s="44"/>
      <c r="C2233" s="94" t="s">
        <v>23318</v>
      </c>
      <c r="D2233" s="94" t="s">
        <v>23319</v>
      </c>
      <c r="E2233" s="38">
        <v>152.0</v>
      </c>
      <c r="F2233" s="38" t="s">
        <v>23320</v>
      </c>
      <c r="G2233" s="94" t="s">
        <v>20191</v>
      </c>
      <c r="H2233" s="5"/>
    </row>
    <row r="2234">
      <c r="A2234" s="164" t="s">
        <v>20492</v>
      </c>
      <c r="B2234" s="44"/>
      <c r="C2234" s="38" t="s">
        <v>23289</v>
      </c>
      <c r="D2234" s="38" t="s">
        <v>23290</v>
      </c>
      <c r="E2234" s="38">
        <v>50.0</v>
      </c>
      <c r="F2234" s="38" t="s">
        <v>23321</v>
      </c>
      <c r="G2234" s="44"/>
    </row>
    <row r="2235">
      <c r="A2235" s="164" t="s">
        <v>20492</v>
      </c>
      <c r="B2235" s="44"/>
      <c r="C2235" s="94" t="s">
        <v>23322</v>
      </c>
      <c r="D2235" s="94" t="s">
        <v>18301</v>
      </c>
      <c r="E2235" s="44"/>
      <c r="F2235" s="38" t="s">
        <v>23323</v>
      </c>
      <c r="G2235" s="94" t="s">
        <v>20575</v>
      </c>
    </row>
    <row r="2236">
      <c r="A2236" s="164" t="s">
        <v>20492</v>
      </c>
      <c r="B2236" s="44"/>
      <c r="C2236" s="38" t="s">
        <v>18083</v>
      </c>
      <c r="D2236" s="38" t="s">
        <v>23324</v>
      </c>
      <c r="E2236" s="38" t="s">
        <v>19309</v>
      </c>
      <c r="F2236" s="38" t="s">
        <v>23325</v>
      </c>
      <c r="G2236" s="44"/>
      <c r="H2236" s="38" t="s">
        <v>23266</v>
      </c>
    </row>
    <row r="2237">
      <c r="A2237" s="164" t="s">
        <v>20492</v>
      </c>
      <c r="B2237" s="44"/>
      <c r="C2237" s="38" t="s">
        <v>23326</v>
      </c>
      <c r="D2237" s="44"/>
      <c r="E2237" s="44"/>
      <c r="F2237" s="38" t="s">
        <v>4086</v>
      </c>
      <c r="G2237" s="38" t="s">
        <v>23327</v>
      </c>
      <c r="H2237" s="44"/>
    </row>
    <row r="2238">
      <c r="A2238" s="38" t="s">
        <v>20510</v>
      </c>
      <c r="B2238" s="44"/>
      <c r="C2238" s="94" t="s">
        <v>21295</v>
      </c>
      <c r="D2238" s="94" t="s">
        <v>23328</v>
      </c>
      <c r="E2238" s="38">
        <v>620.0</v>
      </c>
      <c r="F2238" s="38" t="s">
        <v>23329</v>
      </c>
      <c r="G2238" s="38" t="s">
        <v>23330</v>
      </c>
      <c r="H2238" s="38" t="s">
        <v>23331</v>
      </c>
    </row>
    <row r="2239">
      <c r="A2239" s="38" t="s">
        <v>20510</v>
      </c>
      <c r="B2239" s="44"/>
      <c r="C2239" s="94" t="s">
        <v>19781</v>
      </c>
      <c r="D2239" s="94" t="s">
        <v>19366</v>
      </c>
      <c r="E2239" s="44"/>
      <c r="F2239" s="38" t="s">
        <v>20319</v>
      </c>
      <c r="G2239" s="94" t="s">
        <v>23332</v>
      </c>
    </row>
    <row r="2240">
      <c r="A2240" s="38" t="s">
        <v>20510</v>
      </c>
      <c r="B2240" s="44"/>
      <c r="C2240" s="38" t="s">
        <v>23333</v>
      </c>
      <c r="D2240" s="94" t="s">
        <v>22058</v>
      </c>
      <c r="E2240" s="44"/>
      <c r="F2240" s="38" t="s">
        <v>23334</v>
      </c>
      <c r="G2240" s="94" t="s">
        <v>14938</v>
      </c>
    </row>
    <row r="2241">
      <c r="A2241" s="38" t="s">
        <v>20510</v>
      </c>
      <c r="B2241" s="44"/>
      <c r="C2241" s="38" t="s">
        <v>22542</v>
      </c>
      <c r="D2241" s="38" t="s">
        <v>19782</v>
      </c>
      <c r="E2241" s="44"/>
      <c r="F2241" s="38" t="s">
        <v>23335</v>
      </c>
      <c r="G2241" s="38" t="s">
        <v>19785</v>
      </c>
    </row>
    <row r="2242">
      <c r="A2242" s="38" t="s">
        <v>20510</v>
      </c>
      <c r="B2242" s="44"/>
      <c r="C2242" s="38" t="s">
        <v>22959</v>
      </c>
      <c r="D2242" s="38" t="s">
        <v>23336</v>
      </c>
      <c r="E2242" s="38">
        <v>65.0</v>
      </c>
      <c r="F2242" s="38" t="s">
        <v>23337</v>
      </c>
      <c r="G2242" s="44"/>
    </row>
    <row r="2243">
      <c r="A2243" s="38" t="s">
        <v>20510</v>
      </c>
      <c r="B2243" s="44"/>
      <c r="C2243" s="38" t="s">
        <v>17876</v>
      </c>
      <c r="D2243" s="38" t="s">
        <v>19369</v>
      </c>
      <c r="E2243" s="38">
        <v>90.0</v>
      </c>
      <c r="F2243" s="38" t="s">
        <v>23338</v>
      </c>
      <c r="G2243" s="38" t="s">
        <v>19370</v>
      </c>
    </row>
    <row r="2244">
      <c r="A2244" s="164" t="s">
        <v>20517</v>
      </c>
      <c r="B2244" s="44"/>
      <c r="C2244" s="38" t="s">
        <v>19898</v>
      </c>
      <c r="D2244" s="94" t="s">
        <v>23339</v>
      </c>
      <c r="E2244" s="38">
        <v>45.0</v>
      </c>
      <c r="F2244" s="38" t="s">
        <v>23340</v>
      </c>
      <c r="G2244" s="94" t="s">
        <v>20180</v>
      </c>
    </row>
    <row r="2245">
      <c r="A2245" s="197" t="s">
        <v>20517</v>
      </c>
      <c r="B2245" s="44"/>
      <c r="C2245" s="44"/>
      <c r="D2245" s="44"/>
      <c r="E2245" s="38">
        <v>-1770.0</v>
      </c>
      <c r="F2245" s="38" t="s">
        <v>784</v>
      </c>
      <c r="G2245" s="44"/>
    </row>
    <row r="2246">
      <c r="A2246" s="164" t="s">
        <v>20517</v>
      </c>
      <c r="B2246" s="44"/>
      <c r="C2246" s="94" t="s">
        <v>23341</v>
      </c>
      <c r="D2246" s="94" t="s">
        <v>20440</v>
      </c>
      <c r="E2246" s="44">
        <f>SUM(50+40+20)</f>
        <v>110</v>
      </c>
      <c r="F2246" s="38" t="s">
        <v>22720</v>
      </c>
      <c r="G2246" s="94" t="s">
        <v>20441</v>
      </c>
    </row>
    <row r="2247">
      <c r="A2247" s="164" t="s">
        <v>20517</v>
      </c>
      <c r="B2247" s="44"/>
      <c r="C2247" s="94" t="s">
        <v>4328</v>
      </c>
      <c r="D2247" s="94" t="s">
        <v>23342</v>
      </c>
      <c r="E2247" s="44"/>
      <c r="F2247" s="38" t="s">
        <v>23343</v>
      </c>
      <c r="G2247" s="94" t="s">
        <v>23344</v>
      </c>
    </row>
    <row r="2248">
      <c r="A2248" s="164" t="s">
        <v>20517</v>
      </c>
      <c r="B2248" s="44"/>
      <c r="C2248" s="38" t="s">
        <v>23345</v>
      </c>
      <c r="D2248" s="94" t="s">
        <v>19372</v>
      </c>
      <c r="E2248" s="44"/>
      <c r="F2248" s="38" t="s">
        <v>20367</v>
      </c>
      <c r="G2248" s="94" t="s">
        <v>13531</v>
      </c>
    </row>
    <row r="2249">
      <c r="A2249" s="164" t="s">
        <v>20517</v>
      </c>
      <c r="B2249" s="44"/>
      <c r="C2249" s="94" t="s">
        <v>23346</v>
      </c>
      <c r="D2249" s="94" t="s">
        <v>23347</v>
      </c>
      <c r="E2249" s="44"/>
      <c r="F2249" s="38" t="s">
        <v>23348</v>
      </c>
      <c r="G2249" s="94" t="s">
        <v>21479</v>
      </c>
    </row>
    <row r="2250">
      <c r="A2250" s="197" t="s">
        <v>20517</v>
      </c>
      <c r="C2250" s="15" t="s">
        <v>18378</v>
      </c>
      <c r="D2250" s="190" t="s">
        <v>20430</v>
      </c>
      <c r="F2250" s="1" t="s">
        <v>20457</v>
      </c>
      <c r="G2250" s="190" t="s">
        <v>23349</v>
      </c>
      <c r="H2250" s="1" t="s">
        <v>23350</v>
      </c>
    </row>
    <row r="2251">
      <c r="A2251" s="197" t="s">
        <v>20517</v>
      </c>
      <c r="C2251" s="190" t="s">
        <v>17938</v>
      </c>
      <c r="D2251" s="190" t="s">
        <v>17939</v>
      </c>
      <c r="F2251" s="1" t="s">
        <v>23351</v>
      </c>
      <c r="G2251" s="191" t="s">
        <v>23352</v>
      </c>
    </row>
    <row r="2252">
      <c r="A2252" s="164" t="s">
        <v>20517</v>
      </c>
      <c r="B2252" s="44"/>
      <c r="C2252" s="38" t="s">
        <v>7909</v>
      </c>
      <c r="D2252" s="94" t="s">
        <v>23353</v>
      </c>
      <c r="E2252" s="44"/>
      <c r="F2252" s="38" t="s">
        <v>13622</v>
      </c>
      <c r="G2252" s="94" t="s">
        <v>5018</v>
      </c>
    </row>
    <row r="2253">
      <c r="A2253" s="1" t="s">
        <v>23354</v>
      </c>
      <c r="C2253" s="1" t="s">
        <v>19661</v>
      </c>
      <c r="F2253" s="1" t="s">
        <v>22617</v>
      </c>
      <c r="G2253" s="1" t="s">
        <v>19914</v>
      </c>
    </row>
    <row r="2254">
      <c r="A2254" s="38" t="s">
        <v>23354</v>
      </c>
      <c r="B2254" s="44"/>
      <c r="C2254" s="94" t="s">
        <v>20178</v>
      </c>
      <c r="D2254" s="94" t="s">
        <v>20177</v>
      </c>
      <c r="E2254" s="38">
        <v>405.0</v>
      </c>
      <c r="F2254" s="38" t="s">
        <v>23355</v>
      </c>
      <c r="G2254" s="94" t="s">
        <v>20180</v>
      </c>
    </row>
    <row r="2255">
      <c r="A2255" s="1" t="s">
        <v>23354</v>
      </c>
      <c r="C2255" s="190" t="s">
        <v>23356</v>
      </c>
      <c r="D2255" s="1" t="s">
        <v>20574</v>
      </c>
      <c r="F2255" s="1" t="s">
        <v>20319</v>
      </c>
      <c r="G2255" s="190" t="s">
        <v>23357</v>
      </c>
      <c r="I2255" s="22" t="s">
        <v>19525</v>
      </c>
      <c r="J2255" s="842" t="s">
        <v>23358</v>
      </c>
      <c r="K2255" s="842" t="s">
        <v>19525</v>
      </c>
      <c r="L2255" s="842" t="s">
        <v>22628</v>
      </c>
      <c r="M2255" s="842" t="s">
        <v>19520</v>
      </c>
    </row>
    <row r="2256">
      <c r="A2256" s="1" t="s">
        <v>23354</v>
      </c>
      <c r="C2256" s="1" t="s">
        <v>17713</v>
      </c>
      <c r="D2256" s="190" t="s">
        <v>18481</v>
      </c>
      <c r="F2256" s="1" t="s">
        <v>19716</v>
      </c>
      <c r="G2256" s="190" t="s">
        <v>21672</v>
      </c>
      <c r="I2256" s="745">
        <f>SUM(E2:E2886)</f>
        <v>156.4</v>
      </c>
      <c r="J2256" s="896" t="s">
        <v>23359</v>
      </c>
      <c r="K2256" s="845">
        <v>226.4</v>
      </c>
      <c r="L2256" s="897">
        <v>46157.0</v>
      </c>
      <c r="M2256" s="858">
        <v>0.7291666666666666</v>
      </c>
    </row>
    <row r="2257">
      <c r="A2257" s="1" t="s">
        <v>23354</v>
      </c>
      <c r="C2257" s="849" t="s">
        <v>19661</v>
      </c>
      <c r="D2257" s="214" t="s">
        <v>20471</v>
      </c>
      <c r="E2257" s="767"/>
      <c r="F2257" s="849" t="s">
        <v>3643</v>
      </c>
      <c r="G2257" s="214" t="s">
        <v>20645</v>
      </c>
    </row>
    <row r="2258">
      <c r="A2258" s="38" t="s">
        <v>23354</v>
      </c>
      <c r="B2258" s="44"/>
      <c r="C2258" s="44"/>
      <c r="D2258" s="44"/>
      <c r="E2258" s="38">
        <v>5.0</v>
      </c>
      <c r="F2258" s="38" t="s">
        <v>23360</v>
      </c>
      <c r="G2258" s="44"/>
    </row>
    <row r="2259">
      <c r="A2259" s="164" t="s">
        <v>20548</v>
      </c>
      <c r="B2259" s="44"/>
      <c r="C2259" s="38" t="s">
        <v>4328</v>
      </c>
      <c r="D2259" s="38" t="s">
        <v>23361</v>
      </c>
      <c r="E2259" s="38">
        <v>5.0</v>
      </c>
      <c r="F2259" s="38" t="s">
        <v>23362</v>
      </c>
      <c r="G2259" s="44"/>
    </row>
    <row r="2260">
      <c r="A2260" s="164" t="s">
        <v>20548</v>
      </c>
      <c r="B2260" s="44"/>
      <c r="C2260" s="38" t="s">
        <v>23363</v>
      </c>
      <c r="D2260" s="38" t="s">
        <v>20809</v>
      </c>
      <c r="E2260" s="44"/>
      <c r="F2260" s="38" t="s">
        <v>23364</v>
      </c>
      <c r="G2260" s="38" t="s">
        <v>19395</v>
      </c>
    </row>
    <row r="2261">
      <c r="A2261" s="164" t="s">
        <v>20548</v>
      </c>
      <c r="B2261" s="44"/>
      <c r="C2261" s="94" t="s">
        <v>21747</v>
      </c>
      <c r="D2261" s="94" t="s">
        <v>23365</v>
      </c>
      <c r="E2261" s="44"/>
      <c r="F2261" s="38" t="s">
        <v>21720</v>
      </c>
      <c r="G2261" s="94" t="s">
        <v>21749</v>
      </c>
    </row>
    <row r="2262">
      <c r="A2262" s="197" t="s">
        <v>20548</v>
      </c>
      <c r="C2262" s="1" t="s">
        <v>20918</v>
      </c>
      <c r="D2262" s="1" t="s">
        <v>21511</v>
      </c>
      <c r="F2262" s="1" t="s">
        <v>23366</v>
      </c>
      <c r="G2262" s="1" t="s">
        <v>20741</v>
      </c>
    </row>
    <row r="2263">
      <c r="A2263" s="164" t="s">
        <v>20548</v>
      </c>
      <c r="B2263" s="44"/>
      <c r="C2263" s="38" t="s">
        <v>19556</v>
      </c>
      <c r="D2263" s="94" t="s">
        <v>19629</v>
      </c>
      <c r="E2263" s="44"/>
      <c r="F2263" s="38" t="s">
        <v>13622</v>
      </c>
      <c r="G2263" s="94" t="s">
        <v>19630</v>
      </c>
    </row>
    <row r="2264">
      <c r="A2264" s="38" t="s">
        <v>23367</v>
      </c>
      <c r="B2264" s="44"/>
      <c r="C2264" s="38" t="s">
        <v>19906</v>
      </c>
      <c r="D2264" s="94" t="s">
        <v>22081</v>
      </c>
      <c r="E2264" s="44"/>
      <c r="F2264" s="38" t="s">
        <v>23368</v>
      </c>
      <c r="G2264" s="94" t="s">
        <v>20672</v>
      </c>
    </row>
    <row r="2265">
      <c r="A2265" s="38" t="s">
        <v>23367</v>
      </c>
      <c r="B2265" s="44"/>
      <c r="C2265" s="38" t="s">
        <v>20920</v>
      </c>
      <c r="D2265" s="38" t="s">
        <v>20921</v>
      </c>
      <c r="E2265" s="898">
        <v>60.0</v>
      </c>
      <c r="F2265" s="38" t="s">
        <v>23369</v>
      </c>
      <c r="G2265" s="38" t="s">
        <v>4099</v>
      </c>
      <c r="H2265" s="44"/>
    </row>
    <row r="2266">
      <c r="A2266" s="197" t="s">
        <v>20566</v>
      </c>
      <c r="E2266" s="1">
        <v>300.0</v>
      </c>
      <c r="F2266" s="1" t="s">
        <v>23370</v>
      </c>
    </row>
    <row r="2267">
      <c r="A2267" s="197" t="s">
        <v>20566</v>
      </c>
      <c r="C2267" s="1" t="s">
        <v>23371</v>
      </c>
      <c r="D2267" s="5" t="s">
        <v>23218</v>
      </c>
      <c r="F2267" s="1" t="s">
        <v>23372</v>
      </c>
      <c r="G2267" s="1" t="s">
        <v>23373</v>
      </c>
    </row>
    <row r="2268">
      <c r="A2268" s="197" t="s">
        <v>20566</v>
      </c>
      <c r="C2268" s="1" t="s">
        <v>23374</v>
      </c>
      <c r="D2268" s="1" t="s">
        <v>23375</v>
      </c>
      <c r="E2268" s="1">
        <v>40.0</v>
      </c>
      <c r="F2268" s="1" t="s">
        <v>20330</v>
      </c>
    </row>
    <row r="2269">
      <c r="A2269" s="197" t="s">
        <v>20566</v>
      </c>
      <c r="E2269" s="1">
        <v>40.0</v>
      </c>
      <c r="F2269" s="1" t="s">
        <v>23376</v>
      </c>
    </row>
    <row r="2270">
      <c r="A2270" s="197" t="s">
        <v>20566</v>
      </c>
      <c r="C2270" s="1" t="s">
        <v>23377</v>
      </c>
      <c r="F2270" s="1" t="s">
        <v>23378</v>
      </c>
      <c r="G2270" s="1" t="s">
        <v>19660</v>
      </c>
    </row>
    <row r="2271">
      <c r="A2271" s="197" t="s">
        <v>20566</v>
      </c>
      <c r="C2271" s="190" t="s">
        <v>19012</v>
      </c>
      <c r="D2271" s="190" t="s">
        <v>23379</v>
      </c>
      <c r="F2271" s="1" t="s">
        <v>23380</v>
      </c>
      <c r="G2271" s="190" t="s">
        <v>23381</v>
      </c>
    </row>
    <row r="2272">
      <c r="A2272" s="1" t="s">
        <v>20582</v>
      </c>
      <c r="C2272" s="1" t="s">
        <v>19154</v>
      </c>
      <c r="D2272" s="190" t="s">
        <v>2558</v>
      </c>
      <c r="F2272" s="1" t="s">
        <v>3913</v>
      </c>
      <c r="G2272" s="190" t="s">
        <v>19628</v>
      </c>
    </row>
    <row r="2273">
      <c r="A2273" s="1" t="s">
        <v>20582</v>
      </c>
      <c r="C2273" s="1" t="s">
        <v>19411</v>
      </c>
      <c r="D2273" s="1" t="s">
        <v>19423</v>
      </c>
      <c r="F2273" s="1" t="s">
        <v>20624</v>
      </c>
      <c r="G2273" s="728" t="s">
        <v>19424</v>
      </c>
    </row>
    <row r="2274">
      <c r="A2274" s="38" t="s">
        <v>20582</v>
      </c>
      <c r="B2274" s="44"/>
      <c r="C2274" s="44"/>
      <c r="D2274" s="44"/>
      <c r="E2274" s="38">
        <v>-1000.0</v>
      </c>
      <c r="F2274" s="38" t="s">
        <v>784</v>
      </c>
      <c r="G2274" s="44"/>
    </row>
    <row r="2275">
      <c r="A2275" s="1" t="s">
        <v>20582</v>
      </c>
      <c r="C2275" s="1" t="s">
        <v>20178</v>
      </c>
      <c r="D2275" s="190" t="s">
        <v>23382</v>
      </c>
      <c r="E2275" s="1" t="s">
        <v>19309</v>
      </c>
      <c r="F2275" s="1" t="s">
        <v>20330</v>
      </c>
      <c r="G2275" s="190" t="s">
        <v>23383</v>
      </c>
      <c r="H2275" s="75" t="s">
        <v>23260</v>
      </c>
      <c r="J2275" s="75" t="s">
        <v>23384</v>
      </c>
    </row>
    <row r="2276">
      <c r="A2276" s="1" t="s">
        <v>20582</v>
      </c>
      <c r="C2276" s="1" t="s">
        <v>19906</v>
      </c>
      <c r="D2276" s="190" t="s">
        <v>23385</v>
      </c>
      <c r="F2276" s="1" t="s">
        <v>23386</v>
      </c>
      <c r="G2276" s="190" t="s">
        <v>20668</v>
      </c>
      <c r="H2276" s="1" t="s">
        <v>23387</v>
      </c>
    </row>
    <row r="2277">
      <c r="A2277" s="1" t="s">
        <v>20582</v>
      </c>
      <c r="E2277" s="1">
        <v>75.0</v>
      </c>
      <c r="F2277" s="1" t="s">
        <v>23388</v>
      </c>
      <c r="G2277" s="1" t="s">
        <v>23389</v>
      </c>
    </row>
    <row r="2278">
      <c r="A2278" s="1" t="s">
        <v>20582</v>
      </c>
      <c r="C2278" s="1" t="s">
        <v>19906</v>
      </c>
      <c r="D2278" s="1" t="s">
        <v>23299</v>
      </c>
      <c r="F2278" s="1" t="s">
        <v>23390</v>
      </c>
      <c r="G2278" s="5" t="s">
        <v>21610</v>
      </c>
    </row>
  </sheetData>
  <mergeCells count="7">
    <mergeCell ref="Q844:R844"/>
    <mergeCell ref="Q853:T853"/>
    <mergeCell ref="Q854:T854"/>
    <mergeCell ref="Q876:R876"/>
    <mergeCell ref="Q881:R881"/>
    <mergeCell ref="Q882:R882"/>
    <mergeCell ref="Q892:R892"/>
  </mergeCells>
  <hyperlinks>
    <hyperlink r:id="rId1" ref="H306"/>
    <hyperlink r:id="rId2" ref="F323"/>
    <hyperlink r:id="rId3" ref="H353"/>
    <hyperlink r:id="rId4" ref="H533"/>
    <hyperlink r:id="rId5" ref="G568"/>
    <hyperlink r:id="rId6" ref="Q631"/>
    <hyperlink r:id="rId7" ref="U631"/>
    <hyperlink r:id="rId8" ref="H653"/>
    <hyperlink r:id="rId9" ref="G764"/>
    <hyperlink r:id="rId10" ref="J866"/>
    <hyperlink r:id="rId11" ref="H933"/>
    <hyperlink r:id="rId12" ref="I1257"/>
    <hyperlink r:id="rId13" ref="H1361"/>
    <hyperlink r:id="rId14" ref="H1432"/>
    <hyperlink r:id="rId15" ref="H1543"/>
    <hyperlink r:id="rId16" ref="R1651"/>
    <hyperlink r:id="rId17" ref="R1652"/>
    <hyperlink r:id="rId18" ref="R1653"/>
    <hyperlink r:id="rId19" ref="R1660"/>
    <hyperlink r:id="rId20" ref="R1661"/>
    <hyperlink r:id="rId21" ref="R1662"/>
    <hyperlink r:id="rId22" ref="R1672"/>
    <hyperlink r:id="rId23" ref="R1673"/>
    <hyperlink r:id="rId24" ref="R1674"/>
    <hyperlink r:id="rId25" ref="R1675"/>
    <hyperlink r:id="rId26" ref="R1676"/>
    <hyperlink r:id="rId27" ref="R1677"/>
    <hyperlink r:id="rId28" ref="R1678"/>
    <hyperlink r:id="rId29" ref="R1679"/>
    <hyperlink r:id="rId30" ref="R1680"/>
    <hyperlink r:id="rId31" ref="R1681"/>
    <hyperlink r:id="rId32" ref="R1684"/>
    <hyperlink r:id="rId33" ref="R1685"/>
    <hyperlink r:id="rId34" ref="H1911"/>
    <hyperlink r:id="rId35" ref="H2020"/>
    <hyperlink r:id="rId36" ref="H2112"/>
    <hyperlink r:id="rId37" ref="H2150"/>
    <hyperlink r:id="rId38" ref="H2193"/>
    <hyperlink r:id="rId39" ref="G2251"/>
    <hyperlink r:id="rId40" ref="H2275"/>
    <hyperlink r:id="rId41" ref="J2275"/>
  </hyperlinks>
  <drawing r:id="rId4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2">
      <c r="C2" s="2" t="s">
        <v>23391</v>
      </c>
    </row>
    <row r="3">
      <c r="A3" s="1" t="s">
        <v>23392</v>
      </c>
      <c r="C3" s="465">
        <f>sum(C5:C999)</f>
        <v>122.1</v>
      </c>
    </row>
    <row r="4">
      <c r="A4" s="648"/>
      <c r="B4" s="648"/>
      <c r="C4" s="648"/>
      <c r="D4" s="648"/>
      <c r="E4" s="648"/>
      <c r="F4" s="899" t="s">
        <v>22628</v>
      </c>
      <c r="G4" s="899" t="s">
        <v>23393</v>
      </c>
      <c r="H4" s="899" t="s">
        <v>23394</v>
      </c>
      <c r="I4" s="900" t="s">
        <v>23395</v>
      </c>
      <c r="J4" s="900" t="s">
        <v>23396</v>
      </c>
      <c r="K4" s="900" t="s">
        <v>23397</v>
      </c>
      <c r="L4" s="900" t="s">
        <v>19525</v>
      </c>
      <c r="M4" s="240" t="s">
        <v>23398</v>
      </c>
      <c r="N4" s="901" t="s">
        <v>23399</v>
      </c>
      <c r="O4" s="899" t="s">
        <v>22628</v>
      </c>
      <c r="P4" s="899" t="s">
        <v>23393</v>
      </c>
      <c r="Q4" s="899" t="s">
        <v>23394</v>
      </c>
      <c r="R4" s="900" t="s">
        <v>23395</v>
      </c>
      <c r="S4" s="900" t="s">
        <v>23396</v>
      </c>
      <c r="T4" s="900" t="s">
        <v>23397</v>
      </c>
      <c r="U4" s="900" t="s">
        <v>19525</v>
      </c>
      <c r="V4" s="240" t="s">
        <v>23398</v>
      </c>
      <c r="W4" s="901" t="s">
        <v>23400</v>
      </c>
    </row>
    <row r="5">
      <c r="A5" s="1" t="s">
        <v>23401</v>
      </c>
      <c r="C5" s="1">
        <v>667.0</v>
      </c>
      <c r="F5" s="902">
        <v>46113.0</v>
      </c>
      <c r="G5" s="903">
        <v>0.3333333333333333</v>
      </c>
      <c r="H5" s="904">
        <v>0.7916666666666666</v>
      </c>
      <c r="I5" s="905">
        <f t="shared" ref="I5:I23" si="1">(H5-G5)</f>
        <v>0.4583333333</v>
      </c>
      <c r="J5" s="906">
        <f t="shared" ref="J5:J34" si="2">HOUR(I5)+MINUTE(I5)/60</f>
        <v>11</v>
      </c>
      <c r="K5" s="907">
        <f>SUM(J5:J34)</f>
        <v>210.6666667</v>
      </c>
      <c r="L5" s="908">
        <f>SUM(K5*10)</f>
        <v>2106.666667</v>
      </c>
      <c r="M5" s="240">
        <v>846.96</v>
      </c>
      <c r="N5" s="240">
        <v>1260.0</v>
      </c>
      <c r="O5" s="909">
        <v>45931.0</v>
      </c>
      <c r="P5" s="903">
        <v>0.375</v>
      </c>
      <c r="Q5" s="904">
        <v>0.7083333333333334</v>
      </c>
      <c r="R5" s="905">
        <f t="shared" ref="R5:R12" si="3">(Q5-P5)</f>
        <v>0.3333333333</v>
      </c>
      <c r="S5" s="906">
        <f t="shared" ref="S5:S35" si="4">HOUR(R5)+MINUTE(R5)/60</f>
        <v>8</v>
      </c>
      <c r="T5" s="907">
        <f>SUM(S5:S35)</f>
        <v>225.9166667</v>
      </c>
      <c r="U5" s="910">
        <f>SUM(T5*10)</f>
        <v>2259.166667</v>
      </c>
      <c r="V5" s="240">
        <v>777.39</v>
      </c>
      <c r="W5" s="240">
        <v>1400.0</v>
      </c>
    </row>
    <row r="6">
      <c r="A6" s="38" t="s">
        <v>23402</v>
      </c>
      <c r="B6" s="44"/>
      <c r="C6" s="38">
        <v>0.0</v>
      </c>
      <c r="F6" s="902">
        <v>46114.0</v>
      </c>
      <c r="G6" s="904">
        <v>0.3333333333333333</v>
      </c>
      <c r="H6" s="903">
        <v>0.7291666666666666</v>
      </c>
      <c r="I6" s="905">
        <f t="shared" si="1"/>
        <v>0.3958333333</v>
      </c>
      <c r="J6" s="906">
        <f t="shared" si="2"/>
        <v>9.5</v>
      </c>
      <c r="L6" s="911"/>
      <c r="M6" s="197"/>
      <c r="O6" s="909">
        <v>45932.0</v>
      </c>
      <c r="P6" s="904">
        <v>0.3680555555555556</v>
      </c>
      <c r="Q6" s="903">
        <v>0.7083333333333334</v>
      </c>
      <c r="R6" s="905">
        <f t="shared" si="3"/>
        <v>0.3402777778</v>
      </c>
      <c r="S6" s="906">
        <f t="shared" si="4"/>
        <v>8.166666667</v>
      </c>
      <c r="U6" s="912"/>
      <c r="V6" s="186"/>
      <c r="W6" s="8"/>
    </row>
    <row r="7">
      <c r="A7" s="913" t="s">
        <v>23403</v>
      </c>
      <c r="B7" s="8"/>
      <c r="C7" s="5">
        <v>17.45</v>
      </c>
      <c r="F7" s="902">
        <v>46115.0</v>
      </c>
      <c r="G7" s="903">
        <v>0.3333333333333333</v>
      </c>
      <c r="H7" s="903">
        <v>0.7847222222222222</v>
      </c>
      <c r="I7" s="905">
        <f t="shared" si="1"/>
        <v>0.4513888889</v>
      </c>
      <c r="J7" s="906">
        <f t="shared" si="2"/>
        <v>10.83333333</v>
      </c>
      <c r="L7" s="912"/>
      <c r="O7" s="909">
        <v>45933.0</v>
      </c>
      <c r="P7" s="903">
        <v>0.375</v>
      </c>
      <c r="Q7" s="903">
        <v>0.7083333333333334</v>
      </c>
      <c r="R7" s="905">
        <f t="shared" si="3"/>
        <v>0.3333333333</v>
      </c>
      <c r="S7" s="906">
        <f t="shared" si="4"/>
        <v>8</v>
      </c>
      <c r="U7" s="914"/>
    </row>
    <row r="8">
      <c r="A8" s="913" t="s">
        <v>23404</v>
      </c>
      <c r="B8" s="8"/>
      <c r="C8" s="5">
        <v>19.67</v>
      </c>
      <c r="F8" s="915">
        <v>46116.0</v>
      </c>
      <c r="G8" s="903"/>
      <c r="H8" s="903"/>
      <c r="I8" s="905">
        <f t="shared" si="1"/>
        <v>0</v>
      </c>
      <c r="J8" s="906">
        <f t="shared" si="2"/>
        <v>0</v>
      </c>
      <c r="L8" s="912"/>
      <c r="O8" s="916">
        <v>45934.0</v>
      </c>
      <c r="P8" s="903"/>
      <c r="Q8" s="903"/>
      <c r="R8" s="905">
        <f t="shared" si="3"/>
        <v>0</v>
      </c>
      <c r="S8" s="906">
        <f t="shared" si="4"/>
        <v>0</v>
      </c>
      <c r="U8" s="912"/>
    </row>
    <row r="9">
      <c r="A9" s="913" t="s">
        <v>23405</v>
      </c>
      <c r="B9" s="8"/>
      <c r="C9" s="5">
        <v>19.67</v>
      </c>
      <c r="F9" s="915">
        <v>46117.0</v>
      </c>
      <c r="G9" s="903"/>
      <c r="H9" s="903"/>
      <c r="I9" s="905">
        <f t="shared" si="1"/>
        <v>0</v>
      </c>
      <c r="J9" s="906">
        <f t="shared" si="2"/>
        <v>0</v>
      </c>
      <c r="L9" s="912"/>
      <c r="O9" s="916">
        <v>45935.0</v>
      </c>
      <c r="P9" s="903"/>
      <c r="Q9" s="903"/>
      <c r="R9" s="905">
        <f t="shared" si="3"/>
        <v>0</v>
      </c>
      <c r="S9" s="906">
        <f t="shared" si="4"/>
        <v>0</v>
      </c>
      <c r="U9" s="912"/>
    </row>
    <row r="10">
      <c r="A10" s="913" t="s">
        <v>23406</v>
      </c>
      <c r="B10" s="8"/>
      <c r="C10" s="5">
        <v>15.28</v>
      </c>
      <c r="F10" s="917">
        <v>46118.0</v>
      </c>
      <c r="G10" s="918"/>
      <c r="H10" s="903"/>
      <c r="I10" s="905">
        <f t="shared" si="1"/>
        <v>0</v>
      </c>
      <c r="J10" s="906">
        <f t="shared" si="2"/>
        <v>0</v>
      </c>
      <c r="L10" s="912"/>
      <c r="O10" s="909">
        <v>45936.0</v>
      </c>
      <c r="P10" s="918">
        <v>0.3680555555555556</v>
      </c>
      <c r="Q10" s="904">
        <v>0.7708333333333334</v>
      </c>
      <c r="R10" s="905">
        <f t="shared" si="3"/>
        <v>0.4027777778</v>
      </c>
      <c r="S10" s="906">
        <f t="shared" si="4"/>
        <v>9.666666667</v>
      </c>
      <c r="U10" s="912"/>
    </row>
    <row r="11">
      <c r="A11" s="5" t="s">
        <v>23407</v>
      </c>
      <c r="B11" s="8"/>
      <c r="C11" s="5">
        <v>-105.0</v>
      </c>
      <c r="F11" s="902">
        <v>46119.0</v>
      </c>
      <c r="G11" s="918">
        <v>0.3333333333333333</v>
      </c>
      <c r="H11" s="903">
        <v>0.7638888888888888</v>
      </c>
      <c r="I11" s="905">
        <f t="shared" si="1"/>
        <v>0.4305555556</v>
      </c>
      <c r="J11" s="906">
        <f t="shared" si="2"/>
        <v>10.33333333</v>
      </c>
      <c r="L11" s="912"/>
      <c r="O11" s="909">
        <v>45937.0</v>
      </c>
      <c r="P11" s="918">
        <v>0.375</v>
      </c>
      <c r="Q11" s="903">
        <v>0.7083333333333334</v>
      </c>
      <c r="R11" s="905">
        <f t="shared" si="3"/>
        <v>0.3333333333</v>
      </c>
      <c r="S11" s="906">
        <f t="shared" si="4"/>
        <v>8</v>
      </c>
      <c r="U11" s="912"/>
    </row>
    <row r="12">
      <c r="A12" s="238" t="s">
        <v>23408</v>
      </c>
      <c r="B12" s="8"/>
      <c r="C12" s="5">
        <v>10.67</v>
      </c>
      <c r="F12" s="902">
        <v>46120.0</v>
      </c>
      <c r="G12" s="918">
        <v>0.3333333333333333</v>
      </c>
      <c r="H12" s="903">
        <v>0.7916666666666666</v>
      </c>
      <c r="I12" s="905">
        <f t="shared" si="1"/>
        <v>0.4583333333</v>
      </c>
      <c r="J12" s="906">
        <f t="shared" si="2"/>
        <v>11</v>
      </c>
      <c r="L12" s="912"/>
      <c r="O12" s="909">
        <v>45938.0</v>
      </c>
      <c r="P12" s="918">
        <v>0.375</v>
      </c>
      <c r="Q12" s="903">
        <v>0.7222222222222222</v>
      </c>
      <c r="R12" s="905">
        <f t="shared" si="3"/>
        <v>0.3472222222</v>
      </c>
      <c r="S12" s="906">
        <f t="shared" si="4"/>
        <v>8.333333333</v>
      </c>
      <c r="U12" s="912"/>
    </row>
    <row r="13">
      <c r="A13" s="239" t="s">
        <v>23409</v>
      </c>
      <c r="B13" s="8"/>
      <c r="C13" s="5">
        <v>13.18</v>
      </c>
      <c r="F13" s="902">
        <v>46121.0</v>
      </c>
      <c r="G13" s="904">
        <v>0.3958333333333333</v>
      </c>
      <c r="H13" s="904">
        <v>0.7638888888888888</v>
      </c>
      <c r="I13" s="905">
        <f t="shared" si="1"/>
        <v>0.3680555556</v>
      </c>
      <c r="J13" s="906">
        <f t="shared" si="2"/>
        <v>8.833333333</v>
      </c>
      <c r="L13" s="912"/>
      <c r="O13" s="909">
        <v>45939.0</v>
      </c>
      <c r="P13" s="904">
        <v>0.375</v>
      </c>
      <c r="Q13" s="904">
        <v>0.7291666666666666</v>
      </c>
      <c r="R13" s="905">
        <f>SUM(Q13-P13)</f>
        <v>0.3541666667</v>
      </c>
      <c r="S13" s="919">
        <f t="shared" si="4"/>
        <v>8.5</v>
      </c>
      <c r="U13" s="912"/>
    </row>
    <row r="14">
      <c r="A14" s="238" t="s">
        <v>23410</v>
      </c>
      <c r="B14" s="8"/>
      <c r="C14" s="5">
        <v>4.61</v>
      </c>
      <c r="F14" s="902">
        <v>46122.0</v>
      </c>
      <c r="G14" s="918">
        <v>0.3333333333333333</v>
      </c>
      <c r="H14" s="903">
        <v>0.7986111111111112</v>
      </c>
      <c r="I14" s="905">
        <f t="shared" si="1"/>
        <v>0.4652777778</v>
      </c>
      <c r="J14" s="906">
        <f t="shared" si="2"/>
        <v>11.16666667</v>
      </c>
      <c r="L14" s="912"/>
      <c r="O14" s="909">
        <v>45940.0</v>
      </c>
      <c r="P14" s="918">
        <v>0.3541666666666667</v>
      </c>
      <c r="Q14" s="903">
        <v>0.7291666666666666</v>
      </c>
      <c r="R14" s="905">
        <f t="shared" ref="R14:R35" si="5">(Q14-P14)</f>
        <v>0.375</v>
      </c>
      <c r="S14" s="906">
        <f t="shared" si="4"/>
        <v>9</v>
      </c>
      <c r="U14" s="912"/>
    </row>
    <row r="15">
      <c r="A15" s="913" t="s">
        <v>23411</v>
      </c>
      <c r="B15" s="8"/>
      <c r="C15" s="5">
        <v>31.82</v>
      </c>
      <c r="F15" s="915">
        <v>46123.0</v>
      </c>
      <c r="G15" s="903"/>
      <c r="H15" s="904"/>
      <c r="I15" s="905">
        <f t="shared" si="1"/>
        <v>0</v>
      </c>
      <c r="J15" s="906">
        <f t="shared" si="2"/>
        <v>0</v>
      </c>
      <c r="L15" s="912"/>
      <c r="O15" s="916">
        <v>45941.0</v>
      </c>
      <c r="P15" s="903"/>
      <c r="Q15" s="903"/>
      <c r="R15" s="905">
        <f t="shared" si="5"/>
        <v>0</v>
      </c>
      <c r="S15" s="906">
        <f t="shared" si="4"/>
        <v>0</v>
      </c>
      <c r="U15" s="912"/>
    </row>
    <row r="16">
      <c r="A16" s="5" t="s">
        <v>23412</v>
      </c>
      <c r="B16" s="8"/>
      <c r="C16" s="5">
        <v>-100.0</v>
      </c>
      <c r="F16" s="915">
        <v>46124.0</v>
      </c>
      <c r="G16" s="903"/>
      <c r="H16" s="903"/>
      <c r="I16" s="905">
        <f t="shared" si="1"/>
        <v>0</v>
      </c>
      <c r="J16" s="906">
        <f t="shared" si="2"/>
        <v>0</v>
      </c>
      <c r="L16" s="912"/>
      <c r="O16" s="916">
        <v>45942.0</v>
      </c>
      <c r="P16" s="903"/>
      <c r="Q16" s="903"/>
      <c r="R16" s="905">
        <f t="shared" si="5"/>
        <v>0</v>
      </c>
      <c r="S16" s="906">
        <f t="shared" si="4"/>
        <v>0</v>
      </c>
      <c r="U16" s="912"/>
    </row>
    <row r="17">
      <c r="A17" s="920" t="s">
        <v>23413</v>
      </c>
      <c r="B17" s="8"/>
      <c r="C17" s="5">
        <v>30.0</v>
      </c>
      <c r="F17" s="902">
        <v>46125.0</v>
      </c>
      <c r="G17" s="903">
        <v>0.3333333333333333</v>
      </c>
      <c r="H17" s="903">
        <v>0.75</v>
      </c>
      <c r="I17" s="905">
        <f t="shared" si="1"/>
        <v>0.4166666667</v>
      </c>
      <c r="J17" s="906">
        <f t="shared" si="2"/>
        <v>10</v>
      </c>
      <c r="L17" s="912"/>
      <c r="O17" s="909">
        <v>45943.0</v>
      </c>
      <c r="P17" s="903">
        <v>0.3680555555555556</v>
      </c>
      <c r="Q17" s="904">
        <v>0.7638888888888888</v>
      </c>
      <c r="R17" s="905">
        <f t="shared" si="5"/>
        <v>0.3958333333</v>
      </c>
      <c r="S17" s="906">
        <f t="shared" si="4"/>
        <v>9.5</v>
      </c>
      <c r="U17" s="912"/>
    </row>
    <row r="18">
      <c r="A18" s="5" t="s">
        <v>23414</v>
      </c>
      <c r="B18" s="8"/>
      <c r="C18" s="5">
        <v>-30.0</v>
      </c>
      <c r="F18" s="902">
        <v>46126.0</v>
      </c>
      <c r="G18" s="903">
        <v>0.3333333333333333</v>
      </c>
      <c r="H18" s="903">
        <v>0.7638888888888888</v>
      </c>
      <c r="I18" s="905">
        <f t="shared" si="1"/>
        <v>0.4305555556</v>
      </c>
      <c r="J18" s="906">
        <f t="shared" si="2"/>
        <v>10.33333333</v>
      </c>
      <c r="L18" s="912"/>
      <c r="O18" s="909">
        <v>45944.0</v>
      </c>
      <c r="P18" s="903">
        <v>0.375</v>
      </c>
      <c r="Q18" s="903">
        <v>0.7916666666666666</v>
      </c>
      <c r="R18" s="905">
        <f t="shared" si="5"/>
        <v>0.4166666667</v>
      </c>
      <c r="S18" s="906">
        <f t="shared" si="4"/>
        <v>10</v>
      </c>
      <c r="U18" s="912"/>
    </row>
    <row r="19">
      <c r="A19" s="5" t="s">
        <v>23415</v>
      </c>
      <c r="B19" s="8"/>
      <c r="C19" s="5">
        <v>40.0</v>
      </c>
      <c r="F19" s="902">
        <v>46127.0</v>
      </c>
      <c r="G19" s="903">
        <v>0.3333333333333333</v>
      </c>
      <c r="H19" s="903">
        <v>0.7916666666666666</v>
      </c>
      <c r="I19" s="905">
        <f t="shared" si="1"/>
        <v>0.4583333333</v>
      </c>
      <c r="J19" s="906">
        <f t="shared" si="2"/>
        <v>11</v>
      </c>
      <c r="L19" s="912"/>
      <c r="O19" s="909">
        <v>45945.0</v>
      </c>
      <c r="P19" s="903">
        <v>0.375</v>
      </c>
      <c r="Q19" s="903">
        <v>0.75</v>
      </c>
      <c r="R19" s="905">
        <f t="shared" si="5"/>
        <v>0.375</v>
      </c>
      <c r="S19" s="906">
        <f t="shared" si="4"/>
        <v>9</v>
      </c>
      <c r="U19" s="912"/>
    </row>
    <row r="20">
      <c r="A20" s="5" t="s">
        <v>23416</v>
      </c>
      <c r="B20" s="8"/>
      <c r="C20" s="5">
        <v>50.0</v>
      </c>
      <c r="F20" s="902">
        <v>46128.0</v>
      </c>
      <c r="G20" s="903">
        <v>0.3333333333333333</v>
      </c>
      <c r="H20" s="904">
        <v>0.7708333333333334</v>
      </c>
      <c r="I20" s="905">
        <f t="shared" si="1"/>
        <v>0.4375</v>
      </c>
      <c r="J20" s="906">
        <f t="shared" si="2"/>
        <v>10.5</v>
      </c>
      <c r="L20" s="912"/>
      <c r="O20" s="909">
        <v>45946.0</v>
      </c>
      <c r="P20" s="903">
        <v>0.3541666666666667</v>
      </c>
      <c r="Q20" s="904">
        <v>0.71875</v>
      </c>
      <c r="R20" s="905">
        <f t="shared" si="5"/>
        <v>0.3645833333</v>
      </c>
      <c r="S20" s="906">
        <f t="shared" si="4"/>
        <v>8.75</v>
      </c>
      <c r="U20" s="912"/>
    </row>
    <row r="21">
      <c r="A21" s="5" t="s">
        <v>23417</v>
      </c>
      <c r="B21" s="8"/>
      <c r="C21" s="5">
        <v>-100.0</v>
      </c>
      <c r="F21" s="902">
        <v>46129.0</v>
      </c>
      <c r="G21" s="903">
        <v>0.3333333333333333</v>
      </c>
      <c r="H21" s="904">
        <v>0.7569444444444444</v>
      </c>
      <c r="I21" s="905">
        <f t="shared" si="1"/>
        <v>0.4236111111</v>
      </c>
      <c r="J21" s="906">
        <f t="shared" si="2"/>
        <v>10.16666667</v>
      </c>
      <c r="L21" s="912"/>
      <c r="O21" s="909">
        <v>45947.0</v>
      </c>
      <c r="P21" s="904">
        <v>0.375</v>
      </c>
      <c r="Q21" s="904">
        <v>0.75</v>
      </c>
      <c r="R21" s="905">
        <f t="shared" si="5"/>
        <v>0.375</v>
      </c>
      <c r="S21" s="906">
        <f t="shared" si="4"/>
        <v>9</v>
      </c>
      <c r="U21" s="912"/>
    </row>
    <row r="22">
      <c r="A22" s="913" t="s">
        <v>23418</v>
      </c>
      <c r="B22" s="8"/>
      <c r="C22" s="5">
        <v>27.79</v>
      </c>
      <c r="F22" s="915">
        <v>46130.0</v>
      </c>
      <c r="G22" s="921"/>
      <c r="H22" s="922"/>
      <c r="I22" s="905">
        <f t="shared" si="1"/>
        <v>0</v>
      </c>
      <c r="J22" s="906">
        <f t="shared" si="2"/>
        <v>0</v>
      </c>
      <c r="L22" s="912"/>
      <c r="O22" s="923">
        <v>45948.0</v>
      </c>
      <c r="P22" s="921">
        <v>0.3333333333333333</v>
      </c>
      <c r="Q22" s="922">
        <v>0.6041666666666666</v>
      </c>
      <c r="R22" s="905">
        <f t="shared" si="5"/>
        <v>0.2708333333</v>
      </c>
      <c r="S22" s="906">
        <f t="shared" si="4"/>
        <v>6.5</v>
      </c>
      <c r="U22" s="912"/>
    </row>
    <row r="23">
      <c r="A23" s="5" t="s">
        <v>672</v>
      </c>
      <c r="B23" s="5" t="s">
        <v>416</v>
      </c>
      <c r="C23" s="8">
        <f>SUM(143*4)</f>
        <v>572</v>
      </c>
      <c r="F23" s="915">
        <v>46131.0</v>
      </c>
      <c r="G23" s="903"/>
      <c r="H23" s="903"/>
      <c r="I23" s="905">
        <f t="shared" si="1"/>
        <v>0</v>
      </c>
      <c r="J23" s="906">
        <f t="shared" si="2"/>
        <v>0</v>
      </c>
      <c r="L23" s="912"/>
      <c r="O23" s="916">
        <v>45949.0</v>
      </c>
      <c r="P23" s="903"/>
      <c r="Q23" s="903"/>
      <c r="R23" s="905">
        <f t="shared" si="5"/>
        <v>0</v>
      </c>
      <c r="S23" s="906">
        <f t="shared" si="4"/>
        <v>0</v>
      </c>
      <c r="U23" s="912"/>
    </row>
    <row r="24">
      <c r="A24" s="5" t="s">
        <v>27</v>
      </c>
      <c r="B24" s="5" t="s">
        <v>25</v>
      </c>
      <c r="C24" s="8">
        <f>SUM(60*4)</f>
        <v>240</v>
      </c>
      <c r="F24" s="902">
        <v>46132.0</v>
      </c>
      <c r="G24" s="904">
        <v>0.3333333333333333</v>
      </c>
      <c r="H24" s="903">
        <v>0.7569444444444444</v>
      </c>
      <c r="I24" s="905">
        <f>SUM(H24-G24)</f>
        <v>0.4236111111</v>
      </c>
      <c r="J24" s="906">
        <f t="shared" si="2"/>
        <v>10.16666667</v>
      </c>
      <c r="L24" s="912"/>
      <c r="O24" s="909">
        <v>45950.0</v>
      </c>
      <c r="P24" s="903">
        <v>0.3333333333333333</v>
      </c>
      <c r="Q24" s="903">
        <v>0.75</v>
      </c>
      <c r="R24" s="905">
        <f t="shared" si="5"/>
        <v>0.4166666667</v>
      </c>
      <c r="S24" s="906">
        <f t="shared" si="4"/>
        <v>10</v>
      </c>
      <c r="T24" s="924"/>
      <c r="U24" s="912"/>
    </row>
    <row r="25">
      <c r="A25" s="913" t="s">
        <v>23419</v>
      </c>
      <c r="B25" s="8"/>
      <c r="C25" s="5">
        <v>27.79</v>
      </c>
      <c r="F25" s="902">
        <v>46133.0</v>
      </c>
      <c r="G25" s="903">
        <v>0.3333333333333333</v>
      </c>
      <c r="H25" s="904">
        <v>0.75</v>
      </c>
      <c r="I25" s="905">
        <f t="shared" ref="I25:I34" si="6">(H25-G25)</f>
        <v>0.4166666667</v>
      </c>
      <c r="J25" s="906">
        <f t="shared" si="2"/>
        <v>10</v>
      </c>
      <c r="L25" s="912"/>
      <c r="O25" s="909">
        <v>45951.0</v>
      </c>
      <c r="P25" s="903">
        <v>0.3333333333333333</v>
      </c>
      <c r="Q25" s="904">
        <v>0.75</v>
      </c>
      <c r="R25" s="905">
        <f t="shared" si="5"/>
        <v>0.4166666667</v>
      </c>
      <c r="S25" s="906">
        <f t="shared" si="4"/>
        <v>10</v>
      </c>
      <c r="U25" s="912"/>
    </row>
    <row r="26">
      <c r="A26" s="5" t="s">
        <v>23420</v>
      </c>
      <c r="B26" s="8"/>
      <c r="C26" s="5">
        <v>-890.0</v>
      </c>
      <c r="F26" s="902">
        <v>46134.0</v>
      </c>
      <c r="G26" s="903">
        <v>0.3333333333333333</v>
      </c>
      <c r="H26" s="903">
        <v>0.75</v>
      </c>
      <c r="I26" s="905">
        <f t="shared" si="6"/>
        <v>0.4166666667</v>
      </c>
      <c r="J26" s="906">
        <f t="shared" si="2"/>
        <v>10</v>
      </c>
      <c r="L26" s="912"/>
      <c r="O26" s="909">
        <v>45952.0</v>
      </c>
      <c r="P26" s="903">
        <v>0.3333333333333333</v>
      </c>
      <c r="Q26" s="903">
        <v>0.7291666666666666</v>
      </c>
      <c r="R26" s="905">
        <f t="shared" si="5"/>
        <v>0.3958333333</v>
      </c>
      <c r="S26" s="906">
        <f t="shared" si="4"/>
        <v>9.5</v>
      </c>
      <c r="U26" s="912"/>
    </row>
    <row r="27">
      <c r="A27" s="1" t="s">
        <v>23421</v>
      </c>
      <c r="C27" s="1">
        <v>12.0</v>
      </c>
      <c r="F27" s="902">
        <v>46135.0</v>
      </c>
      <c r="G27" s="903">
        <v>0.3333333333333333</v>
      </c>
      <c r="H27" s="903">
        <v>0.75</v>
      </c>
      <c r="I27" s="905">
        <f t="shared" si="6"/>
        <v>0.4166666667</v>
      </c>
      <c r="J27" s="906">
        <f t="shared" si="2"/>
        <v>10</v>
      </c>
      <c r="L27" s="912"/>
      <c r="O27" s="909">
        <v>45953.0</v>
      </c>
      <c r="P27" s="903">
        <v>0.3333333333333333</v>
      </c>
      <c r="Q27" s="904">
        <v>0.75</v>
      </c>
      <c r="R27" s="905">
        <f t="shared" si="5"/>
        <v>0.4166666667</v>
      </c>
      <c r="S27" s="906">
        <f t="shared" si="4"/>
        <v>10</v>
      </c>
      <c r="U27" s="912"/>
    </row>
    <row r="28">
      <c r="A28" s="238" t="s">
        <v>23422</v>
      </c>
      <c r="C28" s="5">
        <v>5.82</v>
      </c>
      <c r="F28" s="902">
        <v>46136.0</v>
      </c>
      <c r="G28" s="904">
        <v>0.4305555555555556</v>
      </c>
      <c r="H28" s="903">
        <v>0.7777777777777778</v>
      </c>
      <c r="I28" s="905">
        <f t="shared" si="6"/>
        <v>0.3472222222</v>
      </c>
      <c r="J28" s="906">
        <f t="shared" si="2"/>
        <v>8.333333333</v>
      </c>
      <c r="L28" s="912"/>
      <c r="O28" s="909">
        <v>45954.0</v>
      </c>
      <c r="P28" s="904">
        <v>0.3333333333333333</v>
      </c>
      <c r="Q28" s="903">
        <v>0.7361111111111112</v>
      </c>
      <c r="R28" s="905">
        <f t="shared" si="5"/>
        <v>0.4027777778</v>
      </c>
      <c r="S28" s="906">
        <f t="shared" si="4"/>
        <v>9.666666667</v>
      </c>
      <c r="U28" s="912"/>
    </row>
    <row r="29">
      <c r="A29" s="238" t="s">
        <v>23423</v>
      </c>
      <c r="C29" s="5">
        <v>8.64</v>
      </c>
      <c r="F29" s="915">
        <v>46137.0</v>
      </c>
      <c r="G29" s="903"/>
      <c r="H29" s="903"/>
      <c r="I29" s="905">
        <f t="shared" si="6"/>
        <v>0</v>
      </c>
      <c r="J29" s="906">
        <f t="shared" si="2"/>
        <v>0</v>
      </c>
      <c r="L29" s="912"/>
      <c r="O29" s="923">
        <v>45955.0</v>
      </c>
      <c r="P29" s="904">
        <v>0.375</v>
      </c>
      <c r="Q29" s="903">
        <v>0.5833333333333334</v>
      </c>
      <c r="R29" s="905">
        <f t="shared" si="5"/>
        <v>0.2083333333</v>
      </c>
      <c r="S29" s="906">
        <f t="shared" si="4"/>
        <v>5</v>
      </c>
      <c r="U29" s="912"/>
    </row>
    <row r="30">
      <c r="A30" s="925" t="s">
        <v>23424</v>
      </c>
      <c r="C30" s="5">
        <v>10.96</v>
      </c>
      <c r="F30" s="915">
        <v>46138.0</v>
      </c>
      <c r="G30" s="903"/>
      <c r="H30" s="903"/>
      <c r="I30" s="905">
        <f t="shared" si="6"/>
        <v>0</v>
      </c>
      <c r="J30" s="906">
        <f t="shared" si="2"/>
        <v>0</v>
      </c>
      <c r="L30" s="912"/>
      <c r="O30" s="916">
        <v>45956.0</v>
      </c>
      <c r="P30" s="903"/>
      <c r="Q30" s="903"/>
      <c r="R30" s="905">
        <f t="shared" si="5"/>
        <v>0</v>
      </c>
      <c r="S30" s="906">
        <f t="shared" si="4"/>
        <v>0</v>
      </c>
      <c r="U30" s="912"/>
    </row>
    <row r="31">
      <c r="A31" s="925" t="s">
        <v>23425</v>
      </c>
      <c r="C31" s="5">
        <v>16.67</v>
      </c>
      <c r="F31" s="902">
        <v>46139.0</v>
      </c>
      <c r="G31" s="903">
        <v>0.3333333333333333</v>
      </c>
      <c r="H31" s="903">
        <v>0.7569444444444444</v>
      </c>
      <c r="I31" s="905">
        <f t="shared" si="6"/>
        <v>0.4236111111</v>
      </c>
      <c r="J31" s="906">
        <f t="shared" si="2"/>
        <v>10.16666667</v>
      </c>
      <c r="L31" s="912"/>
      <c r="O31" s="909">
        <v>45957.0</v>
      </c>
      <c r="P31" s="903">
        <v>0.3263888888888889</v>
      </c>
      <c r="Q31" s="903">
        <v>0.7708333333333334</v>
      </c>
      <c r="R31" s="905">
        <f t="shared" si="5"/>
        <v>0.4444444444</v>
      </c>
      <c r="S31" s="906">
        <f t="shared" si="4"/>
        <v>10.66666667</v>
      </c>
      <c r="U31" s="912"/>
    </row>
    <row r="32">
      <c r="A32" s="925" t="s">
        <v>23426</v>
      </c>
      <c r="C32" s="5">
        <v>31.82</v>
      </c>
      <c r="F32" s="902">
        <v>46140.0</v>
      </c>
      <c r="G32" s="903">
        <v>0.375</v>
      </c>
      <c r="H32" s="903">
        <v>0.7569444444444444</v>
      </c>
      <c r="I32" s="905">
        <f t="shared" si="6"/>
        <v>0.3819444444</v>
      </c>
      <c r="J32" s="906">
        <f t="shared" si="2"/>
        <v>9.166666667</v>
      </c>
      <c r="L32" s="912"/>
      <c r="O32" s="909">
        <v>45958.0</v>
      </c>
      <c r="P32" s="903">
        <v>0.3333333333333333</v>
      </c>
      <c r="Q32" s="903">
        <v>0.7638888888888888</v>
      </c>
      <c r="R32" s="905">
        <f t="shared" si="5"/>
        <v>0.4305555556</v>
      </c>
      <c r="S32" s="906">
        <f t="shared" si="4"/>
        <v>10.33333333</v>
      </c>
      <c r="U32" s="912"/>
    </row>
    <row r="33">
      <c r="A33" s="1" t="s">
        <v>23427</v>
      </c>
      <c r="D33" s="1" t="s">
        <v>23428</v>
      </c>
      <c r="F33" s="902">
        <v>46141.0</v>
      </c>
      <c r="G33" s="903">
        <v>0.3958333333333333</v>
      </c>
      <c r="H33" s="903">
        <v>0.7291666666666666</v>
      </c>
      <c r="I33" s="905">
        <f t="shared" si="6"/>
        <v>0.3333333333</v>
      </c>
      <c r="J33" s="906">
        <f t="shared" si="2"/>
        <v>8</v>
      </c>
      <c r="L33" s="912"/>
      <c r="O33" s="909">
        <v>45959.0</v>
      </c>
      <c r="P33" s="903">
        <v>0.3263888888888889</v>
      </c>
      <c r="Q33" s="903">
        <v>0.7430555555555556</v>
      </c>
      <c r="R33" s="905">
        <f t="shared" si="5"/>
        <v>0.4166666667</v>
      </c>
      <c r="S33" s="906">
        <f t="shared" si="4"/>
        <v>10</v>
      </c>
      <c r="U33" s="912"/>
    </row>
    <row r="34">
      <c r="A34" s="1" t="s">
        <v>23429</v>
      </c>
      <c r="C34" s="1">
        <v>3.0</v>
      </c>
      <c r="F34" s="926">
        <v>46142.0</v>
      </c>
      <c r="G34" s="903">
        <v>0.3333333333333333</v>
      </c>
      <c r="H34" s="903">
        <v>0.7569444444444444</v>
      </c>
      <c r="I34" s="927">
        <f t="shared" si="6"/>
        <v>0.4236111111</v>
      </c>
      <c r="J34" s="928">
        <f t="shared" si="2"/>
        <v>10.16666667</v>
      </c>
      <c r="K34" s="929"/>
      <c r="L34" s="930"/>
      <c r="O34" s="909">
        <v>45960.0</v>
      </c>
      <c r="P34" s="904">
        <v>0.3263888888888889</v>
      </c>
      <c r="Q34" s="903">
        <v>0.75</v>
      </c>
      <c r="R34" s="905">
        <f t="shared" si="5"/>
        <v>0.4236111111</v>
      </c>
      <c r="S34" s="906">
        <f t="shared" si="4"/>
        <v>10.16666667</v>
      </c>
      <c r="U34" s="912"/>
    </row>
    <row r="35">
      <c r="A35" s="1" t="s">
        <v>23430</v>
      </c>
      <c r="C35" s="1">
        <v>-100.0</v>
      </c>
      <c r="F35" s="931" t="s">
        <v>23431</v>
      </c>
      <c r="G35" s="932" t="s">
        <v>23432</v>
      </c>
      <c r="H35" s="933" t="s">
        <v>23433</v>
      </c>
      <c r="I35" s="933" t="s">
        <v>23434</v>
      </c>
      <c r="J35" s="22" t="s">
        <v>19525</v>
      </c>
      <c r="K35" s="934">
        <f>SUM(L36:L39)</f>
        <v>1263.833333</v>
      </c>
      <c r="O35" s="935">
        <v>45961.0</v>
      </c>
      <c r="P35" s="936">
        <v>0.3263888888888889</v>
      </c>
      <c r="Q35" s="936">
        <v>0.75</v>
      </c>
      <c r="R35" s="927">
        <f t="shared" si="5"/>
        <v>0.4236111111</v>
      </c>
      <c r="S35" s="928">
        <f t="shared" si="4"/>
        <v>10.16666667</v>
      </c>
      <c r="T35" s="929"/>
      <c r="U35" s="930"/>
    </row>
    <row r="36">
      <c r="A36" s="937" t="s">
        <v>23435</v>
      </c>
      <c r="C36" s="1">
        <v>25.0</v>
      </c>
      <c r="F36" s="830">
        <v>46116.0</v>
      </c>
      <c r="G36" s="938">
        <v>0.375</v>
      </c>
      <c r="H36" s="939">
        <v>0.6666666666666666</v>
      </c>
      <c r="I36" s="64">
        <v>7.0</v>
      </c>
      <c r="K36" s="87">
        <f t="shared" ref="K36:K37" si="7">SUM(H36-G36)</f>
        <v>0.2916666667</v>
      </c>
      <c r="L36" s="934">
        <f t="shared" ref="L36:L37" si="8">HOUR(K36)+MINUTE(K36)/60</f>
        <v>7</v>
      </c>
      <c r="O36" s="899" t="s">
        <v>22628</v>
      </c>
      <c r="P36" s="899" t="s">
        <v>23393</v>
      </c>
      <c r="Q36" s="899" t="s">
        <v>23394</v>
      </c>
      <c r="R36" s="900" t="s">
        <v>23395</v>
      </c>
      <c r="S36" s="900" t="s">
        <v>23396</v>
      </c>
      <c r="T36" s="900" t="s">
        <v>23397</v>
      </c>
      <c r="U36" s="900" t="s">
        <v>19525</v>
      </c>
      <c r="V36" s="240" t="s">
        <v>23398</v>
      </c>
      <c r="W36" s="901" t="s">
        <v>23399</v>
      </c>
    </row>
    <row r="37">
      <c r="A37" s="1" t="s">
        <v>23436</v>
      </c>
      <c r="C37" s="1">
        <v>10.0</v>
      </c>
      <c r="F37" s="830">
        <v>46330.0</v>
      </c>
      <c r="G37" s="938">
        <v>0.4166666666666667</v>
      </c>
      <c r="H37" s="939">
        <v>0.6666666666666666</v>
      </c>
      <c r="I37" s="64">
        <v>7.0</v>
      </c>
      <c r="J37" s="197"/>
      <c r="K37" s="87">
        <f t="shared" si="7"/>
        <v>0.25</v>
      </c>
      <c r="L37" s="934">
        <f t="shared" si="8"/>
        <v>6</v>
      </c>
      <c r="O37" s="940">
        <v>45962.0</v>
      </c>
      <c r="P37" s="903">
        <v>0.4166666666666667</v>
      </c>
      <c r="Q37" s="904">
        <v>0.625</v>
      </c>
      <c r="R37" s="905">
        <f t="shared" ref="R37:R55" si="9">(Q37-P37)</f>
        <v>0.2083333333</v>
      </c>
      <c r="S37" s="906">
        <f t="shared" ref="S37:S66" si="10">HOUR(R37)+MINUTE(R37)/60</f>
        <v>5</v>
      </c>
      <c r="T37" s="907">
        <f>SUM(S37:S65)</f>
        <v>186.5833333</v>
      </c>
      <c r="U37" s="908">
        <f>SUM(T37*10)</f>
        <v>1865.833333</v>
      </c>
      <c r="V37" s="240">
        <v>768.3</v>
      </c>
      <c r="W37" s="240">
        <v>1200.0</v>
      </c>
    </row>
    <row r="38">
      <c r="A38" s="75" t="s">
        <v>23437</v>
      </c>
      <c r="C38" s="640">
        <v>28.27</v>
      </c>
      <c r="F38" s="899" t="s">
        <v>22628</v>
      </c>
      <c r="G38" s="899" t="s">
        <v>23393</v>
      </c>
      <c r="H38" s="899" t="s">
        <v>23394</v>
      </c>
      <c r="I38" s="900" t="s">
        <v>23395</v>
      </c>
      <c r="J38" s="900" t="s">
        <v>23396</v>
      </c>
      <c r="K38" s="900" t="s">
        <v>23397</v>
      </c>
      <c r="L38" s="900" t="s">
        <v>19525</v>
      </c>
      <c r="M38" s="240" t="s">
        <v>23398</v>
      </c>
      <c r="N38" s="901" t="s">
        <v>23438</v>
      </c>
      <c r="O38" s="916">
        <v>45963.0</v>
      </c>
      <c r="P38" s="912"/>
      <c r="Q38" s="903"/>
      <c r="R38" s="905">
        <f t="shared" si="9"/>
        <v>0</v>
      </c>
      <c r="S38" s="906">
        <f t="shared" si="10"/>
        <v>0</v>
      </c>
      <c r="U38" s="911"/>
    </row>
    <row r="39">
      <c r="A39" s="199" t="s">
        <v>23439</v>
      </c>
      <c r="C39" s="640">
        <v>82.26</v>
      </c>
      <c r="F39" s="917">
        <v>46143.0</v>
      </c>
      <c r="G39" s="903"/>
      <c r="H39" s="904"/>
      <c r="I39" s="905">
        <f t="shared" ref="I39:I46" si="11">(H39-G39)</f>
        <v>0</v>
      </c>
      <c r="J39" s="906">
        <f t="shared" ref="J39:J69" si="12">HOUR(I39)+MINUTE(I39)/60</f>
        <v>0</v>
      </c>
      <c r="K39" s="907">
        <f>SUM(J39:J69)</f>
        <v>125.0833333</v>
      </c>
      <c r="L39" s="910">
        <f>SUM(K39*10)</f>
        <v>1250.833333</v>
      </c>
      <c r="M39" s="240"/>
      <c r="N39" s="240"/>
      <c r="O39" s="941">
        <v>45964.0</v>
      </c>
      <c r="P39" s="903">
        <v>0.3333333333333333</v>
      </c>
      <c r="Q39" s="903">
        <v>0.75</v>
      </c>
      <c r="R39" s="905">
        <f t="shared" si="9"/>
        <v>0.4166666667</v>
      </c>
      <c r="S39" s="906">
        <f t="shared" si="10"/>
        <v>10</v>
      </c>
      <c r="U39" s="912"/>
    </row>
    <row r="40">
      <c r="A40" s="199" t="s">
        <v>23440</v>
      </c>
      <c r="C40" s="640">
        <v>159.43</v>
      </c>
      <c r="F40" s="942">
        <v>46144.0</v>
      </c>
      <c r="G40" s="904"/>
      <c r="H40" s="903"/>
      <c r="I40" s="905">
        <f t="shared" si="11"/>
        <v>0</v>
      </c>
      <c r="J40" s="906">
        <f t="shared" si="12"/>
        <v>0</v>
      </c>
      <c r="L40" s="914"/>
      <c r="M40" s="186"/>
      <c r="O40" s="941">
        <v>45965.0</v>
      </c>
      <c r="P40" s="903">
        <v>0.3333333333333333</v>
      </c>
      <c r="Q40" s="903">
        <v>0.75</v>
      </c>
      <c r="R40" s="905">
        <f t="shared" si="9"/>
        <v>0.4166666667</v>
      </c>
      <c r="S40" s="906">
        <f t="shared" si="10"/>
        <v>10</v>
      </c>
      <c r="U40" s="912"/>
    </row>
    <row r="41">
      <c r="A41" s="937" t="s">
        <v>23441</v>
      </c>
      <c r="C41" s="640">
        <v>5.9</v>
      </c>
      <c r="F41" s="942">
        <v>46145.0</v>
      </c>
      <c r="G41" s="903"/>
      <c r="H41" s="903"/>
      <c r="I41" s="905">
        <f t="shared" si="11"/>
        <v>0</v>
      </c>
      <c r="J41" s="906">
        <f t="shared" si="12"/>
        <v>0</v>
      </c>
      <c r="L41" s="914"/>
      <c r="O41" s="941">
        <v>45966.0</v>
      </c>
      <c r="P41" s="903">
        <v>0.3333333333333333</v>
      </c>
      <c r="Q41" s="903">
        <v>0.7604166666666666</v>
      </c>
      <c r="R41" s="905">
        <f t="shared" si="9"/>
        <v>0.4270833333</v>
      </c>
      <c r="S41" s="906">
        <f t="shared" si="10"/>
        <v>10.25</v>
      </c>
      <c r="U41" s="912"/>
    </row>
    <row r="42">
      <c r="A42" s="937" t="s">
        <v>23442</v>
      </c>
      <c r="C42" s="640">
        <v>26.52</v>
      </c>
      <c r="F42" s="909">
        <v>46146.0</v>
      </c>
      <c r="G42" s="903">
        <v>0.375</v>
      </c>
      <c r="H42" s="903">
        <v>0.75</v>
      </c>
      <c r="I42" s="905">
        <f t="shared" si="11"/>
        <v>0.375</v>
      </c>
      <c r="J42" s="906">
        <f t="shared" si="12"/>
        <v>9</v>
      </c>
      <c r="L42" s="912"/>
      <c r="O42" s="941">
        <v>45967.0</v>
      </c>
      <c r="P42" s="918">
        <v>0.3333333333333333</v>
      </c>
      <c r="Q42" s="903">
        <v>0.75</v>
      </c>
      <c r="R42" s="905">
        <f t="shared" si="9"/>
        <v>0.4166666667</v>
      </c>
      <c r="S42" s="906">
        <f t="shared" si="10"/>
        <v>10</v>
      </c>
      <c r="U42" s="912"/>
    </row>
    <row r="43">
      <c r="A43" s="1" t="s">
        <v>23443</v>
      </c>
      <c r="C43" s="1">
        <v>4.0</v>
      </c>
      <c r="F43" s="909">
        <v>46147.0</v>
      </c>
      <c r="G43" s="904">
        <v>0.375</v>
      </c>
      <c r="H43" s="903">
        <v>0.7361111111111112</v>
      </c>
      <c r="I43" s="905">
        <f t="shared" si="11"/>
        <v>0.3611111111</v>
      </c>
      <c r="J43" s="906">
        <f t="shared" si="12"/>
        <v>8.666666667</v>
      </c>
      <c r="L43" s="912"/>
      <c r="O43" s="941">
        <v>45968.0</v>
      </c>
      <c r="P43" s="918">
        <v>0.3333333333333333</v>
      </c>
      <c r="Q43" s="903">
        <v>0.75</v>
      </c>
      <c r="R43" s="905">
        <f t="shared" si="9"/>
        <v>0.4166666667</v>
      </c>
      <c r="S43" s="906">
        <f t="shared" si="10"/>
        <v>10</v>
      </c>
      <c r="U43" s="912"/>
    </row>
    <row r="44">
      <c r="A44" s="238" t="s">
        <v>23444</v>
      </c>
      <c r="C44" s="943">
        <v>5.6</v>
      </c>
      <c r="D44" s="1" t="s">
        <v>22110</v>
      </c>
      <c r="F44" s="909">
        <v>46148.0</v>
      </c>
      <c r="G44" s="918">
        <v>0.375</v>
      </c>
      <c r="H44" s="904">
        <v>0.7361111111111112</v>
      </c>
      <c r="I44" s="905">
        <f t="shared" si="11"/>
        <v>0.3611111111</v>
      </c>
      <c r="J44" s="906">
        <f t="shared" si="12"/>
        <v>8.666666667</v>
      </c>
      <c r="L44" s="912"/>
      <c r="O44" s="923">
        <v>45969.0</v>
      </c>
      <c r="P44" s="918">
        <v>0.375</v>
      </c>
      <c r="Q44" s="903">
        <v>0.5625</v>
      </c>
      <c r="R44" s="905">
        <f t="shared" si="9"/>
        <v>0.1875</v>
      </c>
      <c r="S44" s="906">
        <f t="shared" si="10"/>
        <v>4.5</v>
      </c>
      <c r="U44" s="912"/>
    </row>
    <row r="45">
      <c r="A45" s="238" t="s">
        <v>23445</v>
      </c>
      <c r="C45" s="943">
        <v>10.01</v>
      </c>
      <c r="D45" s="1" t="s">
        <v>22110</v>
      </c>
      <c r="F45" s="909">
        <v>46149.0</v>
      </c>
      <c r="G45" s="918">
        <v>0.375</v>
      </c>
      <c r="H45" s="903">
        <v>0.75</v>
      </c>
      <c r="I45" s="905">
        <f t="shared" si="11"/>
        <v>0.375</v>
      </c>
      <c r="J45" s="906">
        <f t="shared" si="12"/>
        <v>9</v>
      </c>
      <c r="L45" s="912"/>
      <c r="O45" s="916">
        <v>45970.0</v>
      </c>
      <c r="P45" s="944"/>
      <c r="Q45" s="944"/>
      <c r="R45" s="905">
        <f t="shared" si="9"/>
        <v>0</v>
      </c>
      <c r="S45" s="906">
        <f t="shared" si="10"/>
        <v>0</v>
      </c>
      <c r="U45" s="912"/>
    </row>
    <row r="46">
      <c r="A46" s="238" t="s">
        <v>23446</v>
      </c>
      <c r="C46" s="943">
        <v>11.06</v>
      </c>
      <c r="D46" s="1" t="s">
        <v>22110</v>
      </c>
      <c r="F46" s="909">
        <v>46150.0</v>
      </c>
      <c r="G46" s="918">
        <v>0.375</v>
      </c>
      <c r="H46" s="903">
        <v>0.7708333333333334</v>
      </c>
      <c r="I46" s="905">
        <f t="shared" si="11"/>
        <v>0.3958333333</v>
      </c>
      <c r="J46" s="906">
        <f t="shared" si="12"/>
        <v>9.5</v>
      </c>
      <c r="L46" s="912"/>
      <c r="O46" s="941">
        <v>45971.0</v>
      </c>
      <c r="P46" s="918">
        <v>0.3333333333333333</v>
      </c>
      <c r="Q46" s="903">
        <v>0.7291666666666666</v>
      </c>
      <c r="R46" s="905">
        <f t="shared" si="9"/>
        <v>0.3958333333</v>
      </c>
      <c r="S46" s="906">
        <f t="shared" si="10"/>
        <v>9.5</v>
      </c>
      <c r="U46" s="912"/>
    </row>
    <row r="47">
      <c r="A47" s="238" t="s">
        <v>23447</v>
      </c>
      <c r="B47" s="943">
        <v>19.77</v>
      </c>
      <c r="C47" s="1" t="s">
        <v>23448</v>
      </c>
      <c r="D47" s="1" t="s">
        <v>22110</v>
      </c>
      <c r="F47" s="942">
        <v>46151.0</v>
      </c>
      <c r="G47" s="904"/>
      <c r="H47" s="904"/>
      <c r="I47" s="905">
        <f>SUM(H47-G47)</f>
        <v>0</v>
      </c>
      <c r="J47" s="919">
        <f t="shared" si="12"/>
        <v>0</v>
      </c>
      <c r="L47" s="912"/>
      <c r="O47" s="941">
        <v>45972.0</v>
      </c>
      <c r="P47" s="903">
        <v>0.3333333333333333</v>
      </c>
      <c r="Q47" s="904">
        <v>0.7708333333333334</v>
      </c>
      <c r="R47" s="905">
        <f t="shared" si="9"/>
        <v>0.4375</v>
      </c>
      <c r="S47" s="906">
        <f t="shared" si="10"/>
        <v>10.5</v>
      </c>
      <c r="U47" s="912"/>
    </row>
    <row r="48">
      <c r="A48" s="239" t="s">
        <v>23449</v>
      </c>
      <c r="B48" s="943">
        <v>15.36</v>
      </c>
      <c r="C48" s="1" t="s">
        <v>23448</v>
      </c>
      <c r="D48" s="1" t="s">
        <v>22110</v>
      </c>
      <c r="F48" s="942">
        <v>46152.0</v>
      </c>
      <c r="G48" s="918"/>
      <c r="H48" s="903"/>
      <c r="I48" s="905">
        <f t="shared" ref="I48:I69" si="13">(H48-G48)</f>
        <v>0</v>
      </c>
      <c r="J48" s="906">
        <f t="shared" si="12"/>
        <v>0</v>
      </c>
      <c r="L48" s="912"/>
      <c r="O48" s="941">
        <v>45973.0</v>
      </c>
      <c r="P48" s="903">
        <v>0.3333333333333333</v>
      </c>
      <c r="Q48" s="903">
        <v>0.7569444444444444</v>
      </c>
      <c r="R48" s="905">
        <f t="shared" si="9"/>
        <v>0.4236111111</v>
      </c>
      <c r="S48" s="906">
        <f t="shared" si="10"/>
        <v>10.16666667</v>
      </c>
      <c r="U48" s="912"/>
    </row>
    <row r="49">
      <c r="A49" s="158" t="s">
        <v>23450</v>
      </c>
      <c r="C49" s="943">
        <v>12.74</v>
      </c>
      <c r="D49" s="1" t="s">
        <v>23451</v>
      </c>
      <c r="F49" s="909">
        <v>46153.0</v>
      </c>
      <c r="G49" s="903">
        <v>0.375</v>
      </c>
      <c r="H49" s="903">
        <v>0.7430555555555556</v>
      </c>
      <c r="I49" s="905">
        <f t="shared" si="13"/>
        <v>0.3680555556</v>
      </c>
      <c r="J49" s="906">
        <f t="shared" si="12"/>
        <v>8.833333333</v>
      </c>
      <c r="L49" s="912"/>
      <c r="O49" s="941">
        <v>45974.0</v>
      </c>
      <c r="P49" s="903">
        <v>0.3333333333333333</v>
      </c>
      <c r="Q49" s="903">
        <v>0.7708333333333334</v>
      </c>
      <c r="R49" s="905">
        <f t="shared" si="9"/>
        <v>0.4375</v>
      </c>
      <c r="S49" s="906">
        <f t="shared" si="10"/>
        <v>10.5</v>
      </c>
      <c r="U49" s="912"/>
    </row>
    <row r="50">
      <c r="A50" s="77" t="s">
        <v>23452</v>
      </c>
      <c r="C50" s="943">
        <v>30.61</v>
      </c>
      <c r="D50" s="1" t="s">
        <v>23453</v>
      </c>
      <c r="F50" s="909">
        <v>46154.0</v>
      </c>
      <c r="G50" s="903">
        <v>0.375</v>
      </c>
      <c r="H50" s="904">
        <v>0.7291666666666666</v>
      </c>
      <c r="I50" s="905">
        <f t="shared" si="13"/>
        <v>0.3541666667</v>
      </c>
      <c r="J50" s="906">
        <f t="shared" si="12"/>
        <v>8.5</v>
      </c>
      <c r="L50" s="912"/>
      <c r="O50" s="941">
        <v>45975.0</v>
      </c>
      <c r="P50" s="903">
        <v>0.3333333333333333</v>
      </c>
      <c r="Q50" s="903">
        <v>0.7083333333333334</v>
      </c>
      <c r="R50" s="905">
        <f t="shared" si="9"/>
        <v>0.375</v>
      </c>
      <c r="S50" s="906">
        <f t="shared" si="10"/>
        <v>9</v>
      </c>
      <c r="U50" s="912"/>
    </row>
    <row r="51">
      <c r="A51" s="937" t="s">
        <v>23454</v>
      </c>
      <c r="C51" s="943">
        <v>7.49</v>
      </c>
      <c r="D51" s="1" t="s">
        <v>23453</v>
      </c>
      <c r="F51" s="909">
        <v>46155.0</v>
      </c>
      <c r="G51" s="903">
        <v>0.375</v>
      </c>
      <c r="H51" s="904">
        <v>0.7152777777777778</v>
      </c>
      <c r="I51" s="905">
        <f t="shared" si="13"/>
        <v>0.3402777778</v>
      </c>
      <c r="J51" s="906">
        <f t="shared" si="12"/>
        <v>8.166666667</v>
      </c>
      <c r="L51" s="912"/>
      <c r="O51" s="916">
        <v>45976.0</v>
      </c>
      <c r="P51" s="903"/>
      <c r="Q51" s="903"/>
      <c r="R51" s="905">
        <f t="shared" si="9"/>
        <v>0</v>
      </c>
      <c r="S51" s="906">
        <f t="shared" si="10"/>
        <v>0</v>
      </c>
      <c r="U51" s="912"/>
    </row>
    <row r="52">
      <c r="A52" s="38" t="s">
        <v>23455</v>
      </c>
      <c r="B52" s="44"/>
      <c r="C52" s="44"/>
      <c r="D52" s="38">
        <v>1200.0</v>
      </c>
      <c r="F52" s="909">
        <v>46156.0</v>
      </c>
      <c r="G52" s="903">
        <v>0.4166666666666667</v>
      </c>
      <c r="H52" s="903">
        <v>0.7222222222222222</v>
      </c>
      <c r="I52" s="905">
        <f t="shared" si="13"/>
        <v>0.3055555556</v>
      </c>
      <c r="J52" s="906">
        <f t="shared" si="12"/>
        <v>7.333333333</v>
      </c>
      <c r="L52" s="912"/>
      <c r="O52" s="916">
        <v>45977.0</v>
      </c>
      <c r="P52" s="903"/>
      <c r="Q52" s="904"/>
      <c r="R52" s="905">
        <f t="shared" si="9"/>
        <v>0</v>
      </c>
      <c r="S52" s="906">
        <f t="shared" si="10"/>
        <v>0</v>
      </c>
      <c r="U52" s="912"/>
    </row>
    <row r="53">
      <c r="A53" s="158" t="s">
        <v>23456</v>
      </c>
      <c r="C53" s="1">
        <v>26.37</v>
      </c>
      <c r="F53" s="909">
        <v>46157.0</v>
      </c>
      <c r="G53" s="903">
        <v>0.375</v>
      </c>
      <c r="H53" s="903">
        <v>0.7291666666666666</v>
      </c>
      <c r="I53" s="905">
        <f t="shared" si="13"/>
        <v>0.3541666667</v>
      </c>
      <c r="J53" s="906">
        <f t="shared" si="12"/>
        <v>8.5</v>
      </c>
      <c r="L53" s="912"/>
      <c r="O53" s="941">
        <v>45978.0</v>
      </c>
      <c r="P53" s="903">
        <v>0.3680555555555556</v>
      </c>
      <c r="Q53" s="904">
        <v>0.6944444444444444</v>
      </c>
      <c r="R53" s="905">
        <f t="shared" si="9"/>
        <v>0.3263888889</v>
      </c>
      <c r="S53" s="906">
        <f t="shared" si="10"/>
        <v>7.833333333</v>
      </c>
      <c r="U53" s="912"/>
    </row>
    <row r="54">
      <c r="A54" s="239" t="s">
        <v>23457</v>
      </c>
      <c r="C54" s="1">
        <v>8.29</v>
      </c>
      <c r="F54" s="942">
        <v>46158.0</v>
      </c>
      <c r="G54" s="903"/>
      <c r="H54" s="904"/>
      <c r="I54" s="905">
        <f t="shared" si="13"/>
        <v>0</v>
      </c>
      <c r="J54" s="906">
        <f t="shared" si="12"/>
        <v>0</v>
      </c>
      <c r="L54" s="912"/>
      <c r="O54" s="941">
        <v>45979.0</v>
      </c>
      <c r="P54" s="921">
        <v>0.375</v>
      </c>
      <c r="Q54" s="922">
        <v>0.7013888888888888</v>
      </c>
      <c r="R54" s="905">
        <f t="shared" si="9"/>
        <v>0.3263888889</v>
      </c>
      <c r="S54" s="906">
        <f t="shared" si="10"/>
        <v>7.833333333</v>
      </c>
      <c r="U54" s="912"/>
    </row>
    <row r="55">
      <c r="A55" s="937" t="s">
        <v>23458</v>
      </c>
      <c r="C55" s="1">
        <v>194.08</v>
      </c>
      <c r="F55" s="942">
        <v>46159.0</v>
      </c>
      <c r="G55" s="903"/>
      <c r="H55" s="904"/>
      <c r="I55" s="905">
        <f t="shared" si="13"/>
        <v>0</v>
      </c>
      <c r="J55" s="906">
        <f t="shared" si="12"/>
        <v>0</v>
      </c>
      <c r="L55" s="912"/>
      <c r="O55" s="941">
        <v>45980.0</v>
      </c>
      <c r="P55" s="903">
        <v>0.375</v>
      </c>
      <c r="Q55" s="903">
        <v>0.7395833333333334</v>
      </c>
      <c r="R55" s="905">
        <f t="shared" si="9"/>
        <v>0.3645833333</v>
      </c>
      <c r="S55" s="906">
        <f t="shared" si="10"/>
        <v>8.75</v>
      </c>
      <c r="U55" s="912"/>
    </row>
    <row r="56">
      <c r="A56" s="937" t="s">
        <v>23459</v>
      </c>
      <c r="C56" s="1">
        <v>54.41</v>
      </c>
      <c r="F56" s="909">
        <v>46160.0</v>
      </c>
      <c r="G56" s="921">
        <v>0.375</v>
      </c>
      <c r="H56" s="922">
        <v>0.6805555555555556</v>
      </c>
      <c r="I56" s="905">
        <f t="shared" si="13"/>
        <v>0.3055555556</v>
      </c>
      <c r="J56" s="906">
        <f t="shared" si="12"/>
        <v>7.333333333</v>
      </c>
      <c r="L56" s="912"/>
      <c r="O56" s="941">
        <v>45981.0</v>
      </c>
      <c r="P56" s="921">
        <v>0.375</v>
      </c>
      <c r="Q56" s="903">
        <v>0.71875</v>
      </c>
      <c r="R56" s="905">
        <f>SUM(Q56-P56)</f>
        <v>0.34375</v>
      </c>
      <c r="S56" s="906">
        <f t="shared" si="10"/>
        <v>8.25</v>
      </c>
      <c r="U56" s="912"/>
    </row>
    <row r="57">
      <c r="A57" s="937" t="s">
        <v>23460</v>
      </c>
      <c r="C57" s="1">
        <v>12.05</v>
      </c>
      <c r="F57" s="909">
        <v>46161.0</v>
      </c>
      <c r="G57" s="903">
        <v>0.4791666666666667</v>
      </c>
      <c r="H57" s="903">
        <v>0.7361111111111112</v>
      </c>
      <c r="I57" s="905">
        <f t="shared" si="13"/>
        <v>0.2569444444</v>
      </c>
      <c r="J57" s="906">
        <f t="shared" si="12"/>
        <v>6.166666667</v>
      </c>
      <c r="L57" s="912"/>
      <c r="O57" s="941">
        <v>45982.0</v>
      </c>
      <c r="P57" s="903">
        <v>0.375</v>
      </c>
      <c r="Q57" s="904">
        <v>0.625</v>
      </c>
      <c r="R57" s="905">
        <f t="shared" ref="R57:R66" si="14">(Q57-P57)</f>
        <v>0.25</v>
      </c>
      <c r="S57" s="906">
        <f t="shared" si="10"/>
        <v>6</v>
      </c>
      <c r="U57" s="912"/>
    </row>
    <row r="58">
      <c r="A58" s="937" t="s">
        <v>23461</v>
      </c>
      <c r="C58" s="1">
        <v>12.05</v>
      </c>
      <c r="F58" s="909">
        <v>46162.0</v>
      </c>
      <c r="G58" s="903">
        <v>0.375</v>
      </c>
      <c r="H58" s="903">
        <v>0.75</v>
      </c>
      <c r="I58" s="905">
        <f t="shared" si="13"/>
        <v>0.375</v>
      </c>
      <c r="J58" s="906">
        <f t="shared" si="12"/>
        <v>9</v>
      </c>
      <c r="K58" s="945"/>
      <c r="L58" s="912"/>
      <c r="O58" s="916">
        <v>45983.0</v>
      </c>
      <c r="P58" s="903"/>
      <c r="Q58" s="903"/>
      <c r="R58" s="905">
        <f t="shared" si="14"/>
        <v>0</v>
      </c>
      <c r="S58" s="906">
        <f t="shared" si="10"/>
        <v>0</v>
      </c>
      <c r="U58" s="912"/>
    </row>
    <row r="59">
      <c r="A59" s="937" t="s">
        <v>23462</v>
      </c>
      <c r="C59" s="1">
        <v>23.73</v>
      </c>
      <c r="F59" s="909">
        <v>46163.0</v>
      </c>
      <c r="G59" s="903">
        <v>0.375</v>
      </c>
      <c r="H59" s="904">
        <v>0.7395833333333334</v>
      </c>
      <c r="I59" s="905">
        <f t="shared" si="13"/>
        <v>0.3645833333</v>
      </c>
      <c r="J59" s="906">
        <f t="shared" si="12"/>
        <v>8.75</v>
      </c>
      <c r="L59" s="912"/>
      <c r="O59" s="916">
        <v>45984.0</v>
      </c>
      <c r="P59" s="903"/>
      <c r="Q59" s="903"/>
      <c r="R59" s="905">
        <f t="shared" si="14"/>
        <v>0</v>
      </c>
      <c r="S59" s="906">
        <f t="shared" si="10"/>
        <v>0</v>
      </c>
      <c r="U59" s="912"/>
    </row>
    <row r="60">
      <c r="A60" s="937" t="s">
        <v>23463</v>
      </c>
      <c r="C60" s="1">
        <v>16.15</v>
      </c>
      <c r="F60" s="909">
        <v>46164.0</v>
      </c>
      <c r="G60" s="903">
        <v>0.375</v>
      </c>
      <c r="H60" s="903">
        <v>0.6944444444444444</v>
      </c>
      <c r="I60" s="905">
        <f t="shared" si="13"/>
        <v>0.3194444444</v>
      </c>
      <c r="J60" s="906">
        <f t="shared" si="12"/>
        <v>7.666666667</v>
      </c>
      <c r="L60" s="912"/>
      <c r="O60" s="941">
        <v>45985.0</v>
      </c>
      <c r="P60" s="904">
        <v>0.375</v>
      </c>
      <c r="Q60" s="903">
        <v>0.7083333333333334</v>
      </c>
      <c r="R60" s="905">
        <f t="shared" si="14"/>
        <v>0.3333333333</v>
      </c>
      <c r="S60" s="906">
        <f t="shared" si="10"/>
        <v>8</v>
      </c>
      <c r="U60" s="912"/>
    </row>
    <row r="61">
      <c r="A61" s="937" t="s">
        <v>23464</v>
      </c>
      <c r="C61" s="1">
        <v>16.15</v>
      </c>
      <c r="F61" s="942">
        <v>46165.0</v>
      </c>
      <c r="G61" s="903"/>
      <c r="H61" s="904"/>
      <c r="I61" s="905">
        <f t="shared" si="13"/>
        <v>0</v>
      </c>
      <c r="J61" s="906">
        <f t="shared" si="12"/>
        <v>0</v>
      </c>
      <c r="L61" s="912"/>
      <c r="O61" s="941">
        <v>45986.0</v>
      </c>
      <c r="P61" s="904">
        <v>0.375</v>
      </c>
      <c r="Q61" s="903">
        <v>0.7083333333333334</v>
      </c>
      <c r="R61" s="905">
        <f t="shared" si="14"/>
        <v>0.3333333333</v>
      </c>
      <c r="S61" s="906">
        <f t="shared" si="10"/>
        <v>8</v>
      </c>
      <c r="U61" s="912"/>
    </row>
    <row r="62">
      <c r="A62" s="937" t="s">
        <v>23465</v>
      </c>
      <c r="C62" s="1">
        <v>14.8</v>
      </c>
      <c r="F62" s="942">
        <v>46166.0</v>
      </c>
      <c r="G62" s="904"/>
      <c r="H62" s="903"/>
      <c r="I62" s="905">
        <f t="shared" si="13"/>
        <v>0</v>
      </c>
      <c r="J62" s="906">
        <f t="shared" si="12"/>
        <v>0</v>
      </c>
      <c r="L62" s="912"/>
      <c r="O62" s="941">
        <v>45987.0</v>
      </c>
      <c r="P62" s="903">
        <v>0.375</v>
      </c>
      <c r="Q62" s="903">
        <v>0.7083333333333334</v>
      </c>
      <c r="R62" s="905">
        <f t="shared" si="14"/>
        <v>0.3333333333</v>
      </c>
      <c r="S62" s="906">
        <f t="shared" si="10"/>
        <v>8</v>
      </c>
      <c r="U62" s="912"/>
    </row>
    <row r="63">
      <c r="A63" s="1" t="s">
        <v>23466</v>
      </c>
      <c r="C63" s="1">
        <v>-350.0</v>
      </c>
      <c r="F63" s="909">
        <v>46167.0</v>
      </c>
      <c r="G63" s="904"/>
      <c r="H63" s="903"/>
      <c r="I63" s="905">
        <f t="shared" si="13"/>
        <v>0</v>
      </c>
      <c r="J63" s="906">
        <f t="shared" si="12"/>
        <v>0</v>
      </c>
      <c r="L63" s="912"/>
      <c r="O63" s="941">
        <v>45988.0</v>
      </c>
      <c r="P63" s="903">
        <v>0.4166666666666667</v>
      </c>
      <c r="Q63" s="903">
        <v>0.7291666666666666</v>
      </c>
      <c r="R63" s="905">
        <f t="shared" si="14"/>
        <v>0.3125</v>
      </c>
      <c r="S63" s="906">
        <f t="shared" si="10"/>
        <v>7.5</v>
      </c>
      <c r="U63" s="912"/>
    </row>
    <row r="64">
      <c r="A64" s="1" t="s">
        <v>23467</v>
      </c>
      <c r="F64" s="909">
        <v>46168.0</v>
      </c>
      <c r="G64" s="903"/>
      <c r="H64" s="903"/>
      <c r="I64" s="905">
        <f t="shared" si="13"/>
        <v>0</v>
      </c>
      <c r="J64" s="906">
        <f t="shared" si="12"/>
        <v>0</v>
      </c>
      <c r="L64" s="912"/>
      <c r="O64" s="941">
        <v>45989.0</v>
      </c>
      <c r="P64" s="903">
        <v>0.4166666666666667</v>
      </c>
      <c r="Q64" s="903">
        <v>0.7083333333333334</v>
      </c>
      <c r="R64" s="905">
        <f t="shared" si="14"/>
        <v>0.2916666667</v>
      </c>
      <c r="S64" s="906">
        <f t="shared" si="10"/>
        <v>7</v>
      </c>
      <c r="U64" s="912"/>
    </row>
    <row r="65">
      <c r="A65" s="75" t="s">
        <v>23468</v>
      </c>
      <c r="C65" s="1">
        <v>23.26</v>
      </c>
      <c r="F65" s="909">
        <v>46169.0</v>
      </c>
      <c r="G65" s="903"/>
      <c r="H65" s="903"/>
      <c r="I65" s="905">
        <f t="shared" si="13"/>
        <v>0</v>
      </c>
      <c r="J65" s="906">
        <f t="shared" si="12"/>
        <v>0</v>
      </c>
      <c r="L65" s="912"/>
      <c r="O65" s="916">
        <v>45990.0</v>
      </c>
      <c r="P65" s="903"/>
      <c r="Q65" s="903"/>
      <c r="R65" s="905">
        <f t="shared" si="14"/>
        <v>0</v>
      </c>
      <c r="S65" s="906">
        <f t="shared" si="10"/>
        <v>0</v>
      </c>
      <c r="U65" s="912"/>
    </row>
    <row r="66">
      <c r="A66" s="75" t="s">
        <v>23469</v>
      </c>
      <c r="C66" s="1">
        <v>18.85</v>
      </c>
      <c r="F66" s="909">
        <v>46170.0</v>
      </c>
      <c r="G66" s="903"/>
      <c r="H66" s="903"/>
      <c r="I66" s="905">
        <f t="shared" si="13"/>
        <v>0</v>
      </c>
      <c r="J66" s="906">
        <f t="shared" si="12"/>
        <v>0</v>
      </c>
      <c r="L66" s="912"/>
      <c r="O66" s="946">
        <v>45991.0</v>
      </c>
      <c r="P66" s="947"/>
      <c r="Q66" s="948"/>
      <c r="R66" s="927">
        <f t="shared" si="14"/>
        <v>0</v>
      </c>
      <c r="S66" s="928">
        <f t="shared" si="10"/>
        <v>0</v>
      </c>
      <c r="T66" s="929"/>
      <c r="U66" s="930"/>
    </row>
    <row r="67">
      <c r="A67" s="75" t="s">
        <v>23470</v>
      </c>
      <c r="C67" s="1">
        <v>18.85</v>
      </c>
      <c r="F67" s="909">
        <v>46171.0</v>
      </c>
      <c r="G67" s="903"/>
      <c r="H67" s="903"/>
      <c r="I67" s="905">
        <f t="shared" si="13"/>
        <v>0</v>
      </c>
      <c r="J67" s="906">
        <f t="shared" si="12"/>
        <v>0</v>
      </c>
      <c r="L67" s="912"/>
      <c r="O67" s="899" t="s">
        <v>22628</v>
      </c>
      <c r="P67" s="899" t="s">
        <v>23393</v>
      </c>
      <c r="Q67" s="899" t="s">
        <v>23394</v>
      </c>
      <c r="R67" s="900" t="s">
        <v>23395</v>
      </c>
      <c r="S67" s="900" t="s">
        <v>23396</v>
      </c>
      <c r="T67" s="900" t="s">
        <v>23397</v>
      </c>
      <c r="U67" s="900" t="s">
        <v>19525</v>
      </c>
      <c r="V67" s="240" t="s">
        <v>23398</v>
      </c>
      <c r="W67" s="901" t="s">
        <v>23438</v>
      </c>
    </row>
    <row r="68">
      <c r="A68" s="1" t="s">
        <v>23466</v>
      </c>
      <c r="C68" s="1">
        <v>-60.0</v>
      </c>
      <c r="F68" s="942">
        <v>46172.0</v>
      </c>
      <c r="G68" s="904"/>
      <c r="H68" s="903"/>
      <c r="I68" s="905">
        <f t="shared" si="13"/>
        <v>0</v>
      </c>
      <c r="J68" s="906">
        <f t="shared" si="12"/>
        <v>0</v>
      </c>
      <c r="L68" s="912"/>
      <c r="O68" s="909">
        <v>45992.0</v>
      </c>
      <c r="P68" s="903">
        <v>0.4791666666666667</v>
      </c>
      <c r="Q68" s="904">
        <v>0.7083333333333334</v>
      </c>
      <c r="R68" s="905">
        <f t="shared" ref="R68:R75" si="15">(Q68-P68)</f>
        <v>0.2291666667</v>
      </c>
      <c r="S68" s="906">
        <f t="shared" ref="S68:S98" si="16">HOUR(R68)+MINUTE(R68)/60</f>
        <v>5.5</v>
      </c>
      <c r="T68" s="907">
        <f>SUM(S68:S98)</f>
        <v>102.8333333</v>
      </c>
      <c r="U68" s="910">
        <f>SUM(T68*10)</f>
        <v>1028.333333</v>
      </c>
      <c r="V68" s="240">
        <v>765.32</v>
      </c>
      <c r="W68" s="240">
        <v>263.0</v>
      </c>
    </row>
    <row r="69">
      <c r="A69" s="1" t="s">
        <v>23471</v>
      </c>
      <c r="C69" s="1"/>
      <c r="D69" s="1">
        <v>1340.0</v>
      </c>
      <c r="F69" s="949">
        <v>46173.0</v>
      </c>
      <c r="G69" s="936"/>
      <c r="H69" s="936"/>
      <c r="I69" s="927">
        <f t="shared" si="13"/>
        <v>0</v>
      </c>
      <c r="J69" s="928">
        <f t="shared" si="12"/>
        <v>0</v>
      </c>
      <c r="K69" s="929"/>
      <c r="L69" s="930"/>
      <c r="O69" s="909">
        <v>45993.0</v>
      </c>
      <c r="P69" s="904">
        <v>0.375</v>
      </c>
      <c r="Q69" s="903">
        <v>0.7083333333333334</v>
      </c>
      <c r="R69" s="905">
        <f t="shared" si="15"/>
        <v>0.3333333333</v>
      </c>
      <c r="S69" s="906">
        <f t="shared" si="16"/>
        <v>8</v>
      </c>
      <c r="U69" s="914"/>
      <c r="V69" s="186"/>
    </row>
    <row r="70">
      <c r="A70" s="1" t="s">
        <v>23472</v>
      </c>
      <c r="D70" s="950">
        <v>340.0</v>
      </c>
      <c r="O70" s="909">
        <v>45994.0</v>
      </c>
      <c r="P70" s="903">
        <v>0.375</v>
      </c>
      <c r="Q70" s="903">
        <v>0.7083333333333334</v>
      </c>
      <c r="R70" s="905">
        <f t="shared" si="15"/>
        <v>0.3333333333</v>
      </c>
      <c r="S70" s="906">
        <f t="shared" si="16"/>
        <v>8</v>
      </c>
      <c r="U70" s="914"/>
    </row>
    <row r="71">
      <c r="A71" s="1" t="s">
        <v>23473</v>
      </c>
      <c r="C71" s="1">
        <v>-998.77</v>
      </c>
      <c r="O71" s="909">
        <v>45995.0</v>
      </c>
      <c r="P71" s="903">
        <v>0.375</v>
      </c>
      <c r="Q71" s="903">
        <v>0.6736111111111112</v>
      </c>
      <c r="R71" s="905">
        <f t="shared" si="15"/>
        <v>0.2986111111</v>
      </c>
      <c r="S71" s="906">
        <f t="shared" si="16"/>
        <v>7.166666667</v>
      </c>
      <c r="U71" s="912"/>
    </row>
    <row r="72">
      <c r="A72" s="1" t="s">
        <v>23474</v>
      </c>
      <c r="C72" s="1">
        <v>110.0</v>
      </c>
      <c r="O72" s="909">
        <v>45996.0</v>
      </c>
      <c r="P72" s="903">
        <v>0.375</v>
      </c>
      <c r="Q72" s="903">
        <v>0.6666666666666666</v>
      </c>
      <c r="R72" s="905">
        <f t="shared" si="15"/>
        <v>0.2916666667</v>
      </c>
      <c r="S72" s="906">
        <f t="shared" si="16"/>
        <v>7</v>
      </c>
      <c r="U72" s="912"/>
    </row>
    <row r="73">
      <c r="A73" s="937" t="s">
        <v>23475</v>
      </c>
      <c r="C73" s="1">
        <v>5.06</v>
      </c>
      <c r="O73" s="951">
        <v>45997.0</v>
      </c>
      <c r="P73" s="918"/>
      <c r="Q73" s="904"/>
      <c r="R73" s="905">
        <f t="shared" si="15"/>
        <v>0</v>
      </c>
      <c r="S73" s="906">
        <f t="shared" si="16"/>
        <v>0</v>
      </c>
      <c r="U73" s="912"/>
    </row>
    <row r="74">
      <c r="A74" s="1" t="s">
        <v>23476</v>
      </c>
      <c r="C74" s="1">
        <v>-113.0</v>
      </c>
      <c r="O74" s="951">
        <v>45998.0</v>
      </c>
      <c r="P74" s="918"/>
      <c r="Q74" s="903"/>
      <c r="R74" s="905">
        <f t="shared" si="15"/>
        <v>0</v>
      </c>
      <c r="S74" s="906">
        <f t="shared" si="16"/>
        <v>0</v>
      </c>
      <c r="U74" s="912"/>
    </row>
    <row r="75">
      <c r="A75" s="1" t="s">
        <v>23477</v>
      </c>
      <c r="O75" s="909">
        <v>45999.0</v>
      </c>
      <c r="P75" s="918">
        <v>0.375</v>
      </c>
      <c r="Q75" s="903">
        <v>0.6666666666666666</v>
      </c>
      <c r="R75" s="905">
        <f t="shared" si="15"/>
        <v>0.2916666667</v>
      </c>
      <c r="S75" s="906">
        <f t="shared" si="16"/>
        <v>7</v>
      </c>
      <c r="U75" s="912"/>
    </row>
    <row r="76">
      <c r="A76" s="1" t="s">
        <v>23478</v>
      </c>
      <c r="C76" s="1">
        <v>3.0</v>
      </c>
      <c r="O76" s="909">
        <v>46000.0</v>
      </c>
      <c r="P76" s="904">
        <v>0.375</v>
      </c>
      <c r="Q76" s="904">
        <v>0.6736111111111112</v>
      </c>
      <c r="R76" s="905">
        <f>SUM(Q76-P76)</f>
        <v>0.2986111111</v>
      </c>
      <c r="S76" s="919">
        <f t="shared" si="16"/>
        <v>7.166666667</v>
      </c>
      <c r="U76" s="912"/>
    </row>
    <row r="77">
      <c r="A77" s="1" t="s">
        <v>23479</v>
      </c>
      <c r="C77" s="186">
        <v>3.5</v>
      </c>
      <c r="O77" s="909">
        <v>46001.0</v>
      </c>
      <c r="P77" s="918">
        <v>0.375</v>
      </c>
      <c r="Q77" s="903">
        <v>0.6875</v>
      </c>
      <c r="R77" s="905">
        <f t="shared" ref="R77:R98" si="17">(Q77-P77)</f>
        <v>0.3125</v>
      </c>
      <c r="S77" s="906">
        <f t="shared" si="16"/>
        <v>7.5</v>
      </c>
      <c r="U77" s="912"/>
    </row>
    <row r="78">
      <c r="A78" s="77" t="s">
        <v>23480</v>
      </c>
      <c r="C78" s="1">
        <v>7.67</v>
      </c>
      <c r="O78" s="909">
        <v>46002.0</v>
      </c>
      <c r="P78" s="903">
        <v>0.375</v>
      </c>
      <c r="Q78" s="903">
        <v>0.6458333333333334</v>
      </c>
      <c r="R78" s="905">
        <f t="shared" si="17"/>
        <v>0.2708333333</v>
      </c>
      <c r="S78" s="906">
        <f t="shared" si="16"/>
        <v>6.5</v>
      </c>
      <c r="U78" s="912"/>
    </row>
    <row r="79">
      <c r="A79" s="1" t="s">
        <v>23481</v>
      </c>
      <c r="C79" s="1">
        <v>65.0</v>
      </c>
      <c r="O79" s="909">
        <v>46003.0</v>
      </c>
      <c r="P79" s="903">
        <v>0.375</v>
      </c>
      <c r="Q79" s="903">
        <v>0.4583333333333333</v>
      </c>
      <c r="R79" s="905">
        <f t="shared" si="17"/>
        <v>0.08333333333</v>
      </c>
      <c r="S79" s="906">
        <f t="shared" si="16"/>
        <v>2</v>
      </c>
      <c r="U79" s="912"/>
    </row>
    <row r="80">
      <c r="A80" s="1" t="s">
        <v>23482</v>
      </c>
      <c r="C80" s="1">
        <v>65.0</v>
      </c>
      <c r="O80" s="951">
        <v>46004.0</v>
      </c>
      <c r="P80" s="903"/>
      <c r="Q80" s="904"/>
      <c r="R80" s="905">
        <f t="shared" si="17"/>
        <v>0</v>
      </c>
      <c r="S80" s="906">
        <f t="shared" si="16"/>
        <v>0</v>
      </c>
      <c r="U80" s="912"/>
    </row>
    <row r="81">
      <c r="A81" s="1" t="s">
        <v>23483</v>
      </c>
      <c r="D81" s="64">
        <v>727.18</v>
      </c>
      <c r="O81" s="951">
        <v>46005.0</v>
      </c>
      <c r="P81" s="903"/>
      <c r="Q81" s="903"/>
      <c r="R81" s="905">
        <f t="shared" si="17"/>
        <v>0</v>
      </c>
      <c r="S81" s="906">
        <f t="shared" si="16"/>
        <v>0</v>
      </c>
      <c r="U81" s="912"/>
    </row>
    <row r="82">
      <c r="A82" s="1" t="s">
        <v>23484</v>
      </c>
      <c r="D82" s="64">
        <v>470.0</v>
      </c>
      <c r="O82" s="909">
        <v>46006.0</v>
      </c>
      <c r="P82" s="903">
        <v>0.375</v>
      </c>
      <c r="Q82" s="903">
        <v>0.7083333333333334</v>
      </c>
      <c r="R82" s="905">
        <f t="shared" si="17"/>
        <v>0.3333333333</v>
      </c>
      <c r="S82" s="906">
        <f t="shared" si="16"/>
        <v>8</v>
      </c>
      <c r="U82" s="912"/>
    </row>
    <row r="83">
      <c r="A83" s="1" t="s">
        <v>23485</v>
      </c>
      <c r="D83" s="31">
        <v>0.0</v>
      </c>
      <c r="O83" s="909">
        <v>46007.0</v>
      </c>
      <c r="P83" s="903">
        <v>0.4583333333333333</v>
      </c>
      <c r="Q83" s="921">
        <v>0.6875</v>
      </c>
      <c r="R83" s="905">
        <f t="shared" si="17"/>
        <v>0.2291666667</v>
      </c>
      <c r="S83" s="906">
        <f t="shared" si="16"/>
        <v>5.5</v>
      </c>
      <c r="U83" s="912"/>
    </row>
    <row r="84">
      <c r="A84" s="1" t="s">
        <v>23486</v>
      </c>
      <c r="C84" s="1">
        <v>-258.18</v>
      </c>
      <c r="D84" s="952"/>
      <c r="O84" s="909">
        <v>46008.0</v>
      </c>
      <c r="P84" s="903">
        <v>0.375</v>
      </c>
      <c r="Q84" s="904">
        <v>0.7083333333333334</v>
      </c>
      <c r="R84" s="905">
        <f t="shared" si="17"/>
        <v>0.3333333333</v>
      </c>
      <c r="S84" s="906">
        <f t="shared" si="16"/>
        <v>8</v>
      </c>
      <c r="U84" s="912"/>
    </row>
    <row r="85">
      <c r="O85" s="909">
        <v>46009.0</v>
      </c>
      <c r="P85" s="921">
        <v>0.375</v>
      </c>
      <c r="Q85" s="922">
        <v>0.7083333333333334</v>
      </c>
      <c r="R85" s="905">
        <f t="shared" si="17"/>
        <v>0.3333333333</v>
      </c>
      <c r="S85" s="906">
        <f t="shared" si="16"/>
        <v>8</v>
      </c>
      <c r="U85" s="912"/>
    </row>
    <row r="86">
      <c r="A86" s="75" t="s">
        <v>23487</v>
      </c>
      <c r="C86" s="1">
        <v>37.99</v>
      </c>
      <c r="O86" s="909">
        <v>46010.0</v>
      </c>
      <c r="P86" s="903">
        <v>0.4305555555555556</v>
      </c>
      <c r="Q86" s="903">
        <v>0.7083333333333334</v>
      </c>
      <c r="R86" s="905">
        <f t="shared" si="17"/>
        <v>0.2777777778</v>
      </c>
      <c r="S86" s="906">
        <f t="shared" si="16"/>
        <v>6.666666667</v>
      </c>
      <c r="U86" s="912"/>
    </row>
    <row r="87">
      <c r="A87" s="75" t="s">
        <v>23488</v>
      </c>
      <c r="C87" s="1">
        <v>22.98</v>
      </c>
      <c r="O87" s="951">
        <v>46011.0</v>
      </c>
      <c r="P87" s="903">
        <v>0.4236111111111111</v>
      </c>
      <c r="Q87" s="903">
        <v>0.4583333333333333</v>
      </c>
      <c r="R87" s="905">
        <f t="shared" si="17"/>
        <v>0.03472222222</v>
      </c>
      <c r="S87" s="906">
        <f t="shared" si="16"/>
        <v>0.8333333333</v>
      </c>
      <c r="T87" s="945" t="s">
        <v>23489</v>
      </c>
      <c r="U87" s="912"/>
    </row>
    <row r="88">
      <c r="A88" s="937" t="s">
        <v>23490</v>
      </c>
      <c r="C88" s="1">
        <v>17.77</v>
      </c>
      <c r="O88" s="951">
        <v>46012.0</v>
      </c>
      <c r="P88" s="903"/>
      <c r="Q88" s="904"/>
      <c r="R88" s="905">
        <f t="shared" si="17"/>
        <v>0</v>
      </c>
      <c r="S88" s="906">
        <f t="shared" si="16"/>
        <v>0</v>
      </c>
      <c r="U88" s="912"/>
    </row>
    <row r="89">
      <c r="A89" s="1" t="s">
        <v>23491</v>
      </c>
      <c r="C89" s="1">
        <v>3.0</v>
      </c>
      <c r="E89" s="5"/>
      <c r="O89" s="953">
        <v>46013.0</v>
      </c>
      <c r="P89" s="903"/>
      <c r="Q89" s="903"/>
      <c r="R89" s="905">
        <f t="shared" si="17"/>
        <v>0</v>
      </c>
      <c r="S89" s="906">
        <f t="shared" si="16"/>
        <v>0</v>
      </c>
      <c r="U89" s="912"/>
    </row>
    <row r="90">
      <c r="A90" s="1" t="s">
        <v>23492</v>
      </c>
      <c r="O90" s="953">
        <v>46014.0</v>
      </c>
      <c r="P90" s="903"/>
      <c r="Q90" s="904"/>
      <c r="R90" s="905">
        <f t="shared" si="17"/>
        <v>0</v>
      </c>
      <c r="S90" s="906">
        <f t="shared" si="16"/>
        <v>0</v>
      </c>
      <c r="U90" s="912"/>
    </row>
    <row r="91">
      <c r="A91" s="1" t="s">
        <v>23493</v>
      </c>
      <c r="B91" s="1" t="s">
        <v>23494</v>
      </c>
      <c r="C91" s="1">
        <v>65.0</v>
      </c>
      <c r="O91" s="917">
        <v>46015.0</v>
      </c>
      <c r="P91" s="904"/>
      <c r="Q91" s="903"/>
      <c r="R91" s="905">
        <f t="shared" si="17"/>
        <v>0</v>
      </c>
      <c r="S91" s="906">
        <f t="shared" si="16"/>
        <v>0</v>
      </c>
      <c r="U91" s="912"/>
    </row>
    <row r="92">
      <c r="A92" s="1" t="s">
        <v>23495</v>
      </c>
      <c r="C92" s="1">
        <v>-30.0</v>
      </c>
      <c r="O92" s="917">
        <v>46016.0</v>
      </c>
      <c r="P92" s="904"/>
      <c r="Q92" s="903"/>
      <c r="R92" s="905">
        <f t="shared" si="17"/>
        <v>0</v>
      </c>
      <c r="S92" s="906">
        <f t="shared" si="16"/>
        <v>0</v>
      </c>
      <c r="U92" s="912"/>
    </row>
    <row r="93">
      <c r="A93" s="1" t="s">
        <v>23491</v>
      </c>
      <c r="C93" s="1">
        <v>3.0</v>
      </c>
      <c r="O93" s="917">
        <v>46017.0</v>
      </c>
      <c r="P93" s="903"/>
      <c r="Q93" s="903"/>
      <c r="R93" s="905">
        <f t="shared" si="17"/>
        <v>0</v>
      </c>
      <c r="S93" s="906">
        <f t="shared" si="16"/>
        <v>0</v>
      </c>
      <c r="U93" s="912"/>
    </row>
    <row r="94">
      <c r="A94" s="954" t="s">
        <v>23496</v>
      </c>
      <c r="B94" s="1" t="s">
        <v>23497</v>
      </c>
      <c r="C94" s="1">
        <v>38.88</v>
      </c>
      <c r="O94" s="951">
        <v>46018.0</v>
      </c>
      <c r="P94" s="903"/>
      <c r="Q94" s="903"/>
      <c r="R94" s="905">
        <f t="shared" si="17"/>
        <v>0</v>
      </c>
      <c r="S94" s="906">
        <f t="shared" si="16"/>
        <v>0</v>
      </c>
      <c r="U94" s="912"/>
    </row>
    <row r="95">
      <c r="A95" s="955" t="s">
        <v>23498</v>
      </c>
      <c r="B95" s="1" t="s">
        <v>23497</v>
      </c>
      <c r="C95" s="1">
        <v>65.24</v>
      </c>
      <c r="O95" s="951">
        <v>46019.0</v>
      </c>
      <c r="P95" s="903"/>
      <c r="Q95" s="903"/>
      <c r="R95" s="905">
        <f t="shared" si="17"/>
        <v>0</v>
      </c>
      <c r="S95" s="906">
        <f t="shared" si="16"/>
        <v>0</v>
      </c>
      <c r="U95" s="912"/>
    </row>
    <row r="96">
      <c r="A96" s="955" t="s">
        <v>23499</v>
      </c>
      <c r="C96" s="1">
        <v>22.86</v>
      </c>
      <c r="O96" s="953">
        <v>46020.0</v>
      </c>
      <c r="P96" s="903"/>
      <c r="Q96" s="903"/>
      <c r="R96" s="905">
        <f t="shared" si="17"/>
        <v>0</v>
      </c>
      <c r="S96" s="906">
        <f t="shared" si="16"/>
        <v>0</v>
      </c>
      <c r="U96" s="912"/>
    </row>
    <row r="97">
      <c r="A97" s="937" t="s">
        <v>23500</v>
      </c>
      <c r="C97" s="1">
        <v>11.68</v>
      </c>
      <c r="O97" s="953">
        <v>46021.0</v>
      </c>
      <c r="P97" s="904"/>
      <c r="Q97" s="903"/>
      <c r="R97" s="905">
        <f t="shared" si="17"/>
        <v>0</v>
      </c>
      <c r="S97" s="906">
        <f t="shared" si="16"/>
        <v>0</v>
      </c>
      <c r="U97" s="912"/>
    </row>
    <row r="98">
      <c r="A98" s="937" t="s">
        <v>23501</v>
      </c>
      <c r="C98" s="1">
        <v>21.95</v>
      </c>
      <c r="O98" s="956">
        <v>46022.0</v>
      </c>
      <c r="P98" s="936"/>
      <c r="Q98" s="936"/>
      <c r="R98" s="927">
        <f t="shared" si="17"/>
        <v>0</v>
      </c>
      <c r="S98" s="928">
        <f t="shared" si="16"/>
        <v>0</v>
      </c>
      <c r="T98" s="929"/>
      <c r="U98" s="930"/>
    </row>
    <row r="99">
      <c r="A99" s="937" t="s">
        <v>23502</v>
      </c>
      <c r="C99" s="1">
        <v>14.42</v>
      </c>
      <c r="O99" s="899" t="s">
        <v>22628</v>
      </c>
      <c r="P99" s="899" t="s">
        <v>23393</v>
      </c>
      <c r="Q99" s="899" t="s">
        <v>23394</v>
      </c>
      <c r="R99" s="900" t="s">
        <v>23395</v>
      </c>
      <c r="S99" s="900" t="s">
        <v>23396</v>
      </c>
      <c r="T99" s="900" t="s">
        <v>23397</v>
      </c>
      <c r="U99" s="900" t="s">
        <v>19525</v>
      </c>
      <c r="V99" s="240" t="s">
        <v>23398</v>
      </c>
      <c r="W99" s="901" t="s">
        <v>23438</v>
      </c>
    </row>
    <row r="100">
      <c r="A100" s="937" t="s">
        <v>23503</v>
      </c>
      <c r="D100" s="1">
        <v>17.3</v>
      </c>
      <c r="E100" s="1" t="s">
        <v>23448</v>
      </c>
      <c r="H100" s="957"/>
      <c r="O100" s="917">
        <v>46023.0</v>
      </c>
      <c r="P100" s="903"/>
      <c r="Q100" s="904"/>
      <c r="R100" s="905">
        <f t="shared" ref="R100:R107" si="18">(Q100-P100)</f>
        <v>0</v>
      </c>
      <c r="S100" s="906">
        <f t="shared" ref="S100:S130" si="19">HOUR(R100)+MINUTE(R100)/60</f>
        <v>0</v>
      </c>
      <c r="T100" s="907">
        <f>SUM(S100:S130)</f>
        <v>113.5</v>
      </c>
      <c r="U100" s="910">
        <f>SUM(T100*10)</f>
        <v>1135</v>
      </c>
      <c r="V100" s="958">
        <v>407.82</v>
      </c>
      <c r="W100" s="959">
        <f>SUM(U100-V100)</f>
        <v>727.18</v>
      </c>
    </row>
    <row r="101">
      <c r="A101" s="1" t="s">
        <v>23504</v>
      </c>
      <c r="C101" s="1">
        <v>-200.0</v>
      </c>
      <c r="O101" s="953">
        <v>46024.0</v>
      </c>
      <c r="P101" s="904"/>
      <c r="Q101" s="903"/>
      <c r="R101" s="905">
        <f t="shared" si="18"/>
        <v>0</v>
      </c>
      <c r="S101" s="906">
        <f t="shared" si="19"/>
        <v>0</v>
      </c>
      <c r="U101" s="912"/>
    </row>
    <row r="102">
      <c r="A102" s="1" t="s">
        <v>23505</v>
      </c>
      <c r="B102" s="1" t="s">
        <v>23506</v>
      </c>
      <c r="O102" s="951">
        <v>46025.0</v>
      </c>
      <c r="P102" s="903"/>
      <c r="Q102" s="903"/>
      <c r="R102" s="905">
        <f t="shared" si="18"/>
        <v>0</v>
      </c>
      <c r="S102" s="906">
        <f t="shared" si="19"/>
        <v>0</v>
      </c>
      <c r="U102" s="914"/>
    </row>
    <row r="103">
      <c r="A103" s="1" t="s">
        <v>23507</v>
      </c>
      <c r="C103" s="1">
        <v>-3.97</v>
      </c>
      <c r="O103" s="951">
        <v>46026.0</v>
      </c>
      <c r="P103" s="903"/>
      <c r="Q103" s="903"/>
      <c r="R103" s="905">
        <f t="shared" si="18"/>
        <v>0</v>
      </c>
      <c r="S103" s="906">
        <f t="shared" si="19"/>
        <v>0</v>
      </c>
      <c r="U103" s="912"/>
    </row>
    <row r="104">
      <c r="A104" s="870" t="s">
        <v>22670</v>
      </c>
      <c r="O104" s="909">
        <v>46027.0</v>
      </c>
      <c r="P104" s="903"/>
      <c r="Q104" s="903"/>
      <c r="R104" s="905">
        <f t="shared" si="18"/>
        <v>0</v>
      </c>
      <c r="S104" s="906">
        <f t="shared" si="19"/>
        <v>0</v>
      </c>
      <c r="U104" s="912"/>
    </row>
    <row r="105">
      <c r="A105" s="960" t="s">
        <v>23508</v>
      </c>
      <c r="C105" s="1">
        <v>28.88</v>
      </c>
      <c r="O105" s="909">
        <v>46028.0</v>
      </c>
      <c r="P105" s="918">
        <v>0.3645833333333333</v>
      </c>
      <c r="Q105" s="904">
        <v>0.6979166666666666</v>
      </c>
      <c r="R105" s="905">
        <f t="shared" si="18"/>
        <v>0.3333333333</v>
      </c>
      <c r="S105" s="906">
        <f t="shared" si="19"/>
        <v>8</v>
      </c>
      <c r="U105" s="912"/>
    </row>
    <row r="106">
      <c r="A106" s="960" t="s">
        <v>23509</v>
      </c>
      <c r="C106" s="1">
        <v>28.88</v>
      </c>
      <c r="O106" s="909">
        <v>46029.0</v>
      </c>
      <c r="P106" s="918">
        <v>0.375</v>
      </c>
      <c r="Q106" s="903">
        <v>0.5416666666666666</v>
      </c>
      <c r="R106" s="905">
        <f t="shared" si="18"/>
        <v>0.1666666667</v>
      </c>
      <c r="S106" s="906">
        <f t="shared" si="19"/>
        <v>4</v>
      </c>
      <c r="U106" s="912"/>
    </row>
    <row r="107">
      <c r="A107" s="960" t="s">
        <v>23510</v>
      </c>
      <c r="D107" s="1">
        <v>32.08</v>
      </c>
      <c r="E107" s="1" t="s">
        <v>23511</v>
      </c>
      <c r="O107" s="909">
        <v>46030.0</v>
      </c>
      <c r="P107" s="918">
        <v>0.375</v>
      </c>
      <c r="Q107" s="903">
        <v>0.5555555555555556</v>
      </c>
      <c r="R107" s="905">
        <f t="shared" si="18"/>
        <v>0.1805555556</v>
      </c>
      <c r="S107" s="906">
        <f t="shared" si="19"/>
        <v>4.333333333</v>
      </c>
      <c r="U107" s="912"/>
    </row>
    <row r="108">
      <c r="A108" s="960" t="s">
        <v>23512</v>
      </c>
      <c r="C108" s="1">
        <v>24.71</v>
      </c>
      <c r="O108" s="909">
        <v>46031.0</v>
      </c>
      <c r="P108" s="904"/>
      <c r="Q108" s="904"/>
      <c r="R108" s="905">
        <f>SUM(Q108-P108)</f>
        <v>0</v>
      </c>
      <c r="S108" s="919">
        <f t="shared" si="19"/>
        <v>0</v>
      </c>
      <c r="U108" s="912"/>
    </row>
    <row r="109">
      <c r="A109" s="960" t="s">
        <v>23513</v>
      </c>
      <c r="C109" s="1">
        <v>24.71</v>
      </c>
      <c r="O109" s="951">
        <v>46032.0</v>
      </c>
      <c r="P109" s="918"/>
      <c r="Q109" s="903"/>
      <c r="R109" s="905">
        <f t="shared" ref="R109:R130" si="20">(Q109-P109)</f>
        <v>0</v>
      </c>
      <c r="S109" s="906">
        <f t="shared" si="19"/>
        <v>0</v>
      </c>
      <c r="U109" s="912"/>
    </row>
    <row r="110">
      <c r="A110" s="960" t="s">
        <v>23514</v>
      </c>
      <c r="C110" s="1">
        <v>25.14</v>
      </c>
      <c r="O110" s="951">
        <v>46033.0</v>
      </c>
      <c r="P110" s="903"/>
      <c r="Q110" s="903"/>
      <c r="R110" s="905">
        <f t="shared" si="20"/>
        <v>0</v>
      </c>
      <c r="S110" s="906">
        <f t="shared" si="19"/>
        <v>0</v>
      </c>
      <c r="U110" s="912"/>
    </row>
    <row r="111">
      <c r="A111" s="961" t="s">
        <v>12143</v>
      </c>
      <c r="C111" s="1">
        <v>12.69</v>
      </c>
      <c r="O111" s="909">
        <v>46034.0</v>
      </c>
      <c r="P111" s="903">
        <v>0.375</v>
      </c>
      <c r="Q111" s="903">
        <v>0.625</v>
      </c>
      <c r="R111" s="905">
        <f t="shared" si="20"/>
        <v>0.25</v>
      </c>
      <c r="S111" s="906">
        <f t="shared" si="19"/>
        <v>6</v>
      </c>
      <c r="U111" s="912"/>
    </row>
    <row r="112">
      <c r="A112" s="961" t="s">
        <v>12142</v>
      </c>
      <c r="C112" s="1">
        <v>12.69</v>
      </c>
      <c r="O112" s="909">
        <v>46035.0</v>
      </c>
      <c r="P112" s="903">
        <v>0.375</v>
      </c>
      <c r="Q112" s="904">
        <v>0.7083333333333334</v>
      </c>
      <c r="R112" s="905">
        <f t="shared" si="20"/>
        <v>0.3333333333</v>
      </c>
      <c r="S112" s="906">
        <f t="shared" si="19"/>
        <v>8</v>
      </c>
      <c r="U112" s="912"/>
    </row>
    <row r="113">
      <c r="A113" s="961">
        <v>1.7210005301E11</v>
      </c>
      <c r="C113" s="1">
        <v>11.71</v>
      </c>
      <c r="O113" s="909">
        <v>46036.0</v>
      </c>
      <c r="P113" s="903">
        <v>0.375</v>
      </c>
      <c r="Q113" s="903">
        <v>0.5833333333333334</v>
      </c>
      <c r="R113" s="905">
        <f t="shared" si="20"/>
        <v>0.2083333333</v>
      </c>
      <c r="S113" s="906">
        <f t="shared" si="19"/>
        <v>5</v>
      </c>
      <c r="U113" s="912"/>
    </row>
    <row r="114">
      <c r="A114" s="1" t="s">
        <v>23515</v>
      </c>
      <c r="B114" s="1" t="s">
        <v>23493</v>
      </c>
      <c r="C114" s="1">
        <v>65.0</v>
      </c>
      <c r="O114" s="909">
        <v>46037.0</v>
      </c>
      <c r="P114" s="903">
        <v>0.375</v>
      </c>
      <c r="Q114" s="903">
        <v>0.6875</v>
      </c>
      <c r="R114" s="905">
        <f t="shared" si="20"/>
        <v>0.3125</v>
      </c>
      <c r="S114" s="906">
        <f t="shared" si="19"/>
        <v>7.5</v>
      </c>
      <c r="U114" s="912"/>
    </row>
    <row r="115">
      <c r="A115" s="1" t="s">
        <v>23516</v>
      </c>
      <c r="C115" s="1">
        <v>-215.0</v>
      </c>
      <c r="O115" s="909">
        <v>46038.0</v>
      </c>
      <c r="P115" s="903">
        <v>0.375</v>
      </c>
      <c r="Q115" s="904">
        <v>0.5416666666666666</v>
      </c>
      <c r="R115" s="905">
        <f t="shared" si="20"/>
        <v>0.1666666667</v>
      </c>
      <c r="S115" s="906">
        <f t="shared" si="19"/>
        <v>4</v>
      </c>
      <c r="U115" s="912"/>
    </row>
    <row r="116">
      <c r="A116" s="239" t="s">
        <v>23517</v>
      </c>
      <c r="B116" s="1" t="s">
        <v>23518</v>
      </c>
      <c r="C116" s="1">
        <v>85.28</v>
      </c>
      <c r="O116" s="951">
        <v>46039.0</v>
      </c>
      <c r="P116" s="904"/>
      <c r="Q116" s="904"/>
      <c r="R116" s="905">
        <f t="shared" si="20"/>
        <v>0</v>
      </c>
      <c r="S116" s="906">
        <f t="shared" si="19"/>
        <v>0</v>
      </c>
      <c r="U116" s="912"/>
    </row>
    <row r="117">
      <c r="A117" s="38" t="s">
        <v>23516</v>
      </c>
      <c r="B117" s="44"/>
      <c r="C117" s="38">
        <v>-85.0</v>
      </c>
      <c r="O117" s="951">
        <v>46040.0</v>
      </c>
      <c r="P117" s="921"/>
      <c r="Q117" s="922"/>
      <c r="R117" s="905">
        <f t="shared" si="20"/>
        <v>0</v>
      </c>
      <c r="S117" s="906">
        <f t="shared" si="19"/>
        <v>0</v>
      </c>
      <c r="U117" s="912"/>
    </row>
    <row r="118">
      <c r="A118" s="937" t="s">
        <v>23519</v>
      </c>
      <c r="C118" s="378">
        <v>34.29</v>
      </c>
      <c r="O118" s="909">
        <v>46041.0</v>
      </c>
      <c r="P118" s="903">
        <v>0.375</v>
      </c>
      <c r="Q118" s="903">
        <v>0.7083333333333334</v>
      </c>
      <c r="R118" s="905">
        <f t="shared" si="20"/>
        <v>0.3333333333</v>
      </c>
      <c r="S118" s="906">
        <f t="shared" si="19"/>
        <v>8</v>
      </c>
      <c r="U118" s="912"/>
    </row>
    <row r="119">
      <c r="A119" s="937" t="s">
        <v>23520</v>
      </c>
      <c r="D119" s="378">
        <v>8.41</v>
      </c>
      <c r="E119" s="1" t="s">
        <v>23448</v>
      </c>
      <c r="O119" s="909">
        <v>46042.0</v>
      </c>
      <c r="P119" s="903">
        <v>0.375</v>
      </c>
      <c r="Q119" s="903">
        <v>0.6875</v>
      </c>
      <c r="R119" s="905">
        <f t="shared" si="20"/>
        <v>0.3125</v>
      </c>
      <c r="S119" s="906">
        <f t="shared" si="19"/>
        <v>7.5</v>
      </c>
      <c r="T119" s="924"/>
      <c r="U119" s="912"/>
    </row>
    <row r="120">
      <c r="A120" s="158" t="s">
        <v>23521</v>
      </c>
      <c r="C120" s="378">
        <v>9.04</v>
      </c>
      <c r="O120" s="909">
        <v>46043.0</v>
      </c>
      <c r="P120" s="903">
        <v>0.375</v>
      </c>
      <c r="Q120" s="904">
        <v>0.7708333333333334</v>
      </c>
      <c r="R120" s="905">
        <f t="shared" si="20"/>
        <v>0.3958333333</v>
      </c>
      <c r="S120" s="906">
        <f t="shared" si="19"/>
        <v>9.5</v>
      </c>
      <c r="U120" s="912"/>
    </row>
    <row r="121">
      <c r="A121" s="163" t="s">
        <v>23522</v>
      </c>
      <c r="D121" s="378">
        <v>21.24</v>
      </c>
      <c r="E121" s="1" t="s">
        <v>23448</v>
      </c>
      <c r="O121" s="909">
        <v>46044.0</v>
      </c>
      <c r="P121" s="903">
        <v>0.375</v>
      </c>
      <c r="Q121" s="903">
        <v>0.6944444444444444</v>
      </c>
      <c r="R121" s="905">
        <f t="shared" si="20"/>
        <v>0.3194444444</v>
      </c>
      <c r="S121" s="906">
        <f t="shared" si="19"/>
        <v>7.666666667</v>
      </c>
      <c r="U121" s="912"/>
    </row>
    <row r="122">
      <c r="A122" s="158" t="s">
        <v>23523</v>
      </c>
      <c r="C122" s="378">
        <v>11.99</v>
      </c>
      <c r="O122" s="909">
        <v>46045.0</v>
      </c>
      <c r="P122" s="903">
        <v>0.4583333333333333</v>
      </c>
      <c r="Q122" s="904">
        <v>0.7083333333333334</v>
      </c>
      <c r="R122" s="905">
        <f t="shared" si="20"/>
        <v>0.25</v>
      </c>
      <c r="S122" s="906">
        <f t="shared" si="19"/>
        <v>6</v>
      </c>
      <c r="U122" s="912"/>
    </row>
    <row r="123">
      <c r="A123" s="937" t="s">
        <v>23524</v>
      </c>
      <c r="C123" s="378">
        <v>2.18</v>
      </c>
      <c r="O123" s="942">
        <v>46046.0</v>
      </c>
      <c r="P123" s="904"/>
      <c r="Q123" s="903"/>
      <c r="R123" s="905">
        <f t="shared" si="20"/>
        <v>0</v>
      </c>
      <c r="S123" s="906">
        <f t="shared" si="19"/>
        <v>0</v>
      </c>
      <c r="U123" s="912"/>
    </row>
    <row r="124">
      <c r="A124" s="954">
        <v>1.7210005301E11</v>
      </c>
      <c r="C124" s="378">
        <v>11.71</v>
      </c>
      <c r="O124" s="942">
        <v>46047.0</v>
      </c>
      <c r="P124" s="904"/>
      <c r="Q124" s="903"/>
      <c r="R124" s="905">
        <f t="shared" si="20"/>
        <v>0</v>
      </c>
      <c r="S124" s="906">
        <f t="shared" si="19"/>
        <v>0</v>
      </c>
      <c r="U124" s="912"/>
    </row>
    <row r="125">
      <c r="A125" s="239" t="s">
        <v>23525</v>
      </c>
      <c r="C125" s="378">
        <v>4.81</v>
      </c>
      <c r="O125" s="909">
        <v>46048.0</v>
      </c>
      <c r="P125" s="903">
        <v>0.375</v>
      </c>
      <c r="Q125" s="903">
        <v>0.7083333333333334</v>
      </c>
      <c r="R125" s="905">
        <f t="shared" si="20"/>
        <v>0.3333333333</v>
      </c>
      <c r="S125" s="906">
        <f t="shared" si="19"/>
        <v>8</v>
      </c>
      <c r="U125" s="912"/>
    </row>
    <row r="126">
      <c r="A126" s="239" t="s">
        <v>23526</v>
      </c>
      <c r="C126" s="378">
        <v>8.21</v>
      </c>
      <c r="O126" s="909">
        <v>46049.0</v>
      </c>
      <c r="P126" s="903">
        <v>0.4583333333333333</v>
      </c>
      <c r="Q126" s="903">
        <v>0.625</v>
      </c>
      <c r="R126" s="905">
        <f t="shared" si="20"/>
        <v>0.1666666667</v>
      </c>
      <c r="S126" s="906">
        <f t="shared" si="19"/>
        <v>4</v>
      </c>
      <c r="U126" s="912"/>
    </row>
    <row r="127">
      <c r="A127" s="131" t="s">
        <v>23516</v>
      </c>
      <c r="B127" s="130"/>
      <c r="C127" s="131">
        <v>-90.0</v>
      </c>
      <c r="O127" s="909">
        <v>46050.0</v>
      </c>
      <c r="P127" s="903">
        <v>0.375</v>
      </c>
      <c r="Q127" s="903">
        <v>0.7083333333333334</v>
      </c>
      <c r="R127" s="905">
        <f t="shared" si="20"/>
        <v>0.3333333333</v>
      </c>
      <c r="S127" s="906">
        <f t="shared" si="19"/>
        <v>8</v>
      </c>
      <c r="U127" s="912"/>
    </row>
    <row r="128">
      <c r="A128" s="239" t="s">
        <v>23525</v>
      </c>
      <c r="C128" s="378">
        <v>4.81</v>
      </c>
      <c r="O128" s="909">
        <v>46051.0</v>
      </c>
      <c r="P128" s="903">
        <v>0.375</v>
      </c>
      <c r="Q128" s="903">
        <v>0.7083333333333334</v>
      </c>
      <c r="R128" s="905">
        <f t="shared" si="20"/>
        <v>0.3333333333</v>
      </c>
      <c r="S128" s="906">
        <f t="shared" si="19"/>
        <v>8</v>
      </c>
      <c r="U128" s="912"/>
    </row>
    <row r="129">
      <c r="A129" s="239" t="s">
        <v>23526</v>
      </c>
      <c r="C129" s="378">
        <v>8.21</v>
      </c>
      <c r="O129" s="909">
        <v>46052.0</v>
      </c>
      <c r="P129" s="904"/>
      <c r="Q129" s="903"/>
      <c r="R129" s="905">
        <f t="shared" si="20"/>
        <v>0</v>
      </c>
      <c r="S129" s="906">
        <f t="shared" si="19"/>
        <v>0</v>
      </c>
      <c r="U129" s="912"/>
    </row>
    <row r="130">
      <c r="A130" s="38" t="s">
        <v>23527</v>
      </c>
      <c r="B130" s="38" t="s">
        <v>23528</v>
      </c>
      <c r="C130" s="38">
        <v>65.0</v>
      </c>
      <c r="O130" s="949">
        <v>46053.0</v>
      </c>
      <c r="P130" s="936"/>
      <c r="Q130" s="936"/>
      <c r="R130" s="927">
        <f t="shared" si="20"/>
        <v>0</v>
      </c>
      <c r="S130" s="928">
        <f t="shared" si="19"/>
        <v>0</v>
      </c>
      <c r="T130" s="929"/>
      <c r="U130" s="930"/>
    </row>
    <row r="131">
      <c r="A131" s="38" t="s">
        <v>23529</v>
      </c>
      <c r="B131" s="44"/>
      <c r="C131" s="38">
        <v>65.0</v>
      </c>
      <c r="O131" s="899" t="s">
        <v>22628</v>
      </c>
      <c r="P131" s="899" t="s">
        <v>23393</v>
      </c>
      <c r="Q131" s="899" t="s">
        <v>23394</v>
      </c>
      <c r="R131" s="900" t="s">
        <v>23395</v>
      </c>
      <c r="S131" s="900" t="s">
        <v>23396</v>
      </c>
      <c r="T131" s="900" t="s">
        <v>23397</v>
      </c>
      <c r="U131" s="900" t="s">
        <v>19525</v>
      </c>
      <c r="V131" s="240" t="s">
        <v>23530</v>
      </c>
      <c r="W131" s="901" t="s">
        <v>23531</v>
      </c>
    </row>
    <row r="132">
      <c r="A132" s="38" t="s">
        <v>23532</v>
      </c>
      <c r="B132" s="44"/>
      <c r="C132" s="38">
        <v>-130.0</v>
      </c>
      <c r="O132" s="942">
        <v>46054.0</v>
      </c>
      <c r="P132" s="903"/>
      <c r="Q132" s="904"/>
      <c r="R132" s="905">
        <f t="shared" ref="R132:R139" si="21">(Q132-P132)</f>
        <v>0</v>
      </c>
      <c r="S132" s="906">
        <f t="shared" ref="S132:S159" si="22">HOUR(R132)+MINUTE(R132)/60</f>
        <v>0</v>
      </c>
      <c r="T132" s="907">
        <f>SUM(S132:S159)</f>
        <v>117.75</v>
      </c>
      <c r="U132" s="910">
        <f>SUM(T132*10)</f>
        <v>1177.5</v>
      </c>
      <c r="V132" s="240">
        <v>773.53</v>
      </c>
      <c r="W132" s="962">
        <f>SUM(U132-V132)</f>
        <v>403.97</v>
      </c>
    </row>
    <row r="133">
      <c r="A133" s="238" t="s">
        <v>23533</v>
      </c>
      <c r="C133" s="1">
        <v>82.46</v>
      </c>
      <c r="O133" s="909">
        <v>46055.0</v>
      </c>
      <c r="P133" s="904">
        <v>0.375</v>
      </c>
      <c r="Q133" s="903">
        <v>0.625</v>
      </c>
      <c r="R133" s="905">
        <f t="shared" si="21"/>
        <v>0.25</v>
      </c>
      <c r="S133" s="906">
        <f t="shared" si="22"/>
        <v>6</v>
      </c>
      <c r="U133" s="912"/>
    </row>
    <row r="134">
      <c r="A134" s="238" t="s">
        <v>23534</v>
      </c>
      <c r="C134" s="1">
        <v>101.56</v>
      </c>
      <c r="O134" s="909">
        <v>46056.0</v>
      </c>
      <c r="P134" s="903">
        <v>0.4305555555555556</v>
      </c>
      <c r="Q134" s="963">
        <v>0.625</v>
      </c>
      <c r="R134" s="905">
        <f t="shared" si="21"/>
        <v>0.1944444444</v>
      </c>
      <c r="S134" s="906">
        <f t="shared" si="22"/>
        <v>4.666666667</v>
      </c>
      <c r="U134" s="912"/>
    </row>
    <row r="135">
      <c r="A135" s="238" t="s">
        <v>23534</v>
      </c>
      <c r="C135" s="1">
        <v>101.56</v>
      </c>
      <c r="O135" s="909">
        <v>46057.0</v>
      </c>
      <c r="P135" s="903">
        <v>0.4479166666666667</v>
      </c>
      <c r="Q135" s="903">
        <v>0.625</v>
      </c>
      <c r="R135" s="905">
        <f t="shared" si="21"/>
        <v>0.1770833333</v>
      </c>
      <c r="S135" s="906">
        <f t="shared" si="22"/>
        <v>4.25</v>
      </c>
      <c r="U135" s="912"/>
    </row>
    <row r="136">
      <c r="A136" s="158">
        <v>9.80433E7</v>
      </c>
      <c r="C136" s="1">
        <v>8.93</v>
      </c>
      <c r="O136" s="909">
        <v>46058.0</v>
      </c>
      <c r="P136" s="903">
        <v>0.375</v>
      </c>
      <c r="Q136" s="903">
        <v>0.6666666666666666</v>
      </c>
      <c r="R136" s="905">
        <f t="shared" si="21"/>
        <v>0.2916666667</v>
      </c>
      <c r="S136" s="906">
        <f t="shared" si="22"/>
        <v>7</v>
      </c>
      <c r="T136" s="22" t="s">
        <v>23535</v>
      </c>
      <c r="U136" s="964"/>
    </row>
    <row r="137">
      <c r="A137" s="38" t="s">
        <v>23466</v>
      </c>
      <c r="B137" s="44"/>
      <c r="C137" s="38">
        <v>-200.0</v>
      </c>
      <c r="O137" s="909">
        <v>46059.0</v>
      </c>
      <c r="P137" s="918">
        <v>0.375</v>
      </c>
      <c r="Q137" s="904">
        <v>0.5416666666666666</v>
      </c>
      <c r="R137" s="905">
        <f t="shared" si="21"/>
        <v>0.1666666667</v>
      </c>
      <c r="S137" s="906">
        <f t="shared" si="22"/>
        <v>4</v>
      </c>
      <c r="U137" s="912"/>
    </row>
    <row r="138">
      <c r="A138" s="1" t="s">
        <v>23536</v>
      </c>
      <c r="C138" s="1">
        <v>-100.0</v>
      </c>
      <c r="O138" s="942">
        <v>46060.0</v>
      </c>
      <c r="P138" s="918"/>
      <c r="Q138" s="903"/>
      <c r="R138" s="905">
        <f t="shared" si="21"/>
        <v>0</v>
      </c>
      <c r="S138" s="906">
        <f t="shared" si="22"/>
        <v>0</v>
      </c>
      <c r="U138" s="912"/>
    </row>
    <row r="139">
      <c r="A139" s="163" t="s">
        <v>23444</v>
      </c>
      <c r="C139" s="1">
        <v>6.12</v>
      </c>
      <c r="O139" s="942">
        <v>46061.0</v>
      </c>
      <c r="P139" s="918"/>
      <c r="Q139" s="903"/>
      <c r="R139" s="905">
        <f t="shared" si="21"/>
        <v>0</v>
      </c>
      <c r="S139" s="906">
        <f t="shared" si="22"/>
        <v>0</v>
      </c>
      <c r="U139" s="912"/>
    </row>
    <row r="140">
      <c r="A140" s="163" t="s">
        <v>23537</v>
      </c>
      <c r="C140" s="1">
        <v>7.06</v>
      </c>
      <c r="O140" s="909">
        <v>46062.0</v>
      </c>
      <c r="P140" s="904">
        <v>0.375</v>
      </c>
      <c r="Q140" s="904">
        <v>0.6875</v>
      </c>
      <c r="R140" s="905">
        <f>SUM(Q140-P140)</f>
        <v>0.3125</v>
      </c>
      <c r="S140" s="919">
        <f t="shared" si="22"/>
        <v>7.5</v>
      </c>
      <c r="U140" s="912"/>
    </row>
    <row r="141">
      <c r="A141" s="158" t="s">
        <v>23538</v>
      </c>
      <c r="C141" s="1">
        <v>7.95</v>
      </c>
      <c r="O141" s="909">
        <v>46063.0</v>
      </c>
      <c r="P141" s="918">
        <v>0.375</v>
      </c>
      <c r="Q141" s="903">
        <v>0.625</v>
      </c>
      <c r="R141" s="905">
        <f t="shared" ref="R141:R159" si="23">(Q141-P141)</f>
        <v>0.25</v>
      </c>
      <c r="S141" s="906">
        <f t="shared" si="22"/>
        <v>6</v>
      </c>
      <c r="U141" s="912"/>
    </row>
    <row r="142">
      <c r="A142" s="77" t="s">
        <v>23539</v>
      </c>
      <c r="C142" s="1">
        <v>30.61</v>
      </c>
      <c r="O142" s="909">
        <v>46064.0</v>
      </c>
      <c r="P142" s="903">
        <v>0.375</v>
      </c>
      <c r="Q142" s="903">
        <v>0.6388888888888888</v>
      </c>
      <c r="R142" s="905">
        <f t="shared" si="23"/>
        <v>0.2638888889</v>
      </c>
      <c r="S142" s="906">
        <f t="shared" si="22"/>
        <v>6.333333333</v>
      </c>
      <c r="U142" s="912"/>
    </row>
    <row r="143">
      <c r="A143" s="937" t="s">
        <v>23540</v>
      </c>
      <c r="C143" s="1">
        <v>7.49</v>
      </c>
      <c r="O143" s="909">
        <v>46065.0</v>
      </c>
      <c r="P143" s="903">
        <v>0.375</v>
      </c>
      <c r="Q143" s="903">
        <v>0.7291666666666666</v>
      </c>
      <c r="R143" s="905">
        <f t="shared" si="23"/>
        <v>0.3541666667</v>
      </c>
      <c r="S143" s="906">
        <f t="shared" si="22"/>
        <v>8.5</v>
      </c>
      <c r="U143" s="912"/>
    </row>
    <row r="144">
      <c r="A144" s="937" t="s">
        <v>23541</v>
      </c>
      <c r="D144" s="1">
        <v>23.9</v>
      </c>
      <c r="E144" s="1" t="s">
        <v>23448</v>
      </c>
      <c r="O144" s="909">
        <v>46066.0</v>
      </c>
      <c r="P144" s="903">
        <v>0.375</v>
      </c>
      <c r="Q144" s="904">
        <v>0.7083333333333334</v>
      </c>
      <c r="R144" s="905">
        <f t="shared" si="23"/>
        <v>0.3333333333</v>
      </c>
      <c r="S144" s="906">
        <f t="shared" si="22"/>
        <v>8</v>
      </c>
      <c r="U144" s="912"/>
    </row>
    <row r="145">
      <c r="A145" s="937" t="s">
        <v>23542</v>
      </c>
      <c r="C145" s="1">
        <v>23.9</v>
      </c>
      <c r="O145" s="942">
        <v>46067.0</v>
      </c>
      <c r="P145" s="903"/>
      <c r="Q145" s="903"/>
      <c r="R145" s="905">
        <f t="shared" si="23"/>
        <v>0</v>
      </c>
      <c r="S145" s="906">
        <f t="shared" si="22"/>
        <v>0</v>
      </c>
      <c r="U145" s="912"/>
    </row>
    <row r="146">
      <c r="A146" s="965" t="s">
        <v>23543</v>
      </c>
      <c r="C146" s="1">
        <v>3.75</v>
      </c>
      <c r="O146" s="942">
        <v>46068.0</v>
      </c>
      <c r="P146" s="903"/>
      <c r="Q146" s="903"/>
      <c r="R146" s="905">
        <f t="shared" si="23"/>
        <v>0</v>
      </c>
      <c r="S146" s="906">
        <f t="shared" si="22"/>
        <v>0</v>
      </c>
      <c r="U146" s="912"/>
    </row>
    <row r="147">
      <c r="A147" s="965" t="s">
        <v>23544</v>
      </c>
      <c r="C147" s="1">
        <v>3.75</v>
      </c>
      <c r="O147" s="917">
        <v>46069.0</v>
      </c>
      <c r="P147" s="903"/>
      <c r="Q147" s="904"/>
      <c r="R147" s="905">
        <f t="shared" si="23"/>
        <v>0</v>
      </c>
      <c r="S147" s="906">
        <f t="shared" si="22"/>
        <v>0</v>
      </c>
      <c r="U147" s="912"/>
    </row>
    <row r="148">
      <c r="A148" s="937" t="s">
        <v>23545</v>
      </c>
      <c r="C148" s="1">
        <v>54.41</v>
      </c>
      <c r="O148" s="909">
        <v>46070.0</v>
      </c>
      <c r="P148" s="903">
        <v>0.375</v>
      </c>
      <c r="Q148" s="904">
        <v>0.7083333333333334</v>
      </c>
      <c r="R148" s="905">
        <f t="shared" si="23"/>
        <v>0.3333333333</v>
      </c>
      <c r="S148" s="906">
        <f t="shared" si="22"/>
        <v>8</v>
      </c>
      <c r="U148" s="912"/>
    </row>
    <row r="149">
      <c r="A149" s="937" t="s">
        <v>23546</v>
      </c>
      <c r="C149" s="1">
        <v>12.05</v>
      </c>
      <c r="O149" s="909">
        <v>46071.0</v>
      </c>
      <c r="P149" s="921">
        <v>0.375</v>
      </c>
      <c r="Q149" s="922">
        <v>0.7083333333333334</v>
      </c>
      <c r="R149" s="905">
        <f t="shared" si="23"/>
        <v>0.3333333333</v>
      </c>
      <c r="S149" s="906">
        <f t="shared" si="22"/>
        <v>8</v>
      </c>
      <c r="U149" s="912"/>
    </row>
    <row r="150">
      <c r="A150" s="937" t="s">
        <v>23547</v>
      </c>
      <c r="C150" s="1">
        <v>12.05</v>
      </c>
      <c r="O150" s="909">
        <v>46072.0</v>
      </c>
      <c r="P150" s="903">
        <v>0.375</v>
      </c>
      <c r="Q150" s="903">
        <v>0.7083333333333334</v>
      </c>
      <c r="R150" s="905">
        <f t="shared" si="23"/>
        <v>0.3333333333</v>
      </c>
      <c r="S150" s="906">
        <f t="shared" si="22"/>
        <v>8</v>
      </c>
      <c r="U150" s="912"/>
    </row>
    <row r="151">
      <c r="A151" s="238" t="s">
        <v>23548</v>
      </c>
      <c r="C151" s="1">
        <v>8.35</v>
      </c>
      <c r="O151" s="909">
        <v>46073.0</v>
      </c>
      <c r="P151" s="903">
        <v>0.375</v>
      </c>
      <c r="Q151" s="903">
        <v>0.7083333333333334</v>
      </c>
      <c r="R151" s="905">
        <f t="shared" si="23"/>
        <v>0.3333333333</v>
      </c>
      <c r="S151" s="906">
        <f t="shared" si="22"/>
        <v>8</v>
      </c>
      <c r="T151" s="924"/>
      <c r="U151" s="912"/>
    </row>
    <row r="152">
      <c r="A152" s="239" t="s">
        <v>23549</v>
      </c>
      <c r="C152" s="1">
        <v>31.82</v>
      </c>
      <c r="O152" s="942">
        <v>46074.0</v>
      </c>
      <c r="P152" s="903"/>
      <c r="Q152" s="904"/>
      <c r="R152" s="905">
        <f t="shared" si="23"/>
        <v>0</v>
      </c>
      <c r="S152" s="906">
        <f t="shared" si="22"/>
        <v>0</v>
      </c>
      <c r="U152" s="912"/>
    </row>
    <row r="153">
      <c r="A153" s="131" t="s">
        <v>23414</v>
      </c>
      <c r="B153" s="130"/>
      <c r="C153" s="131">
        <v>-10.0</v>
      </c>
      <c r="O153" s="942">
        <v>46075.0</v>
      </c>
      <c r="P153" s="903"/>
      <c r="Q153" s="904"/>
      <c r="R153" s="905">
        <f t="shared" si="23"/>
        <v>0</v>
      </c>
      <c r="S153" s="906">
        <f t="shared" si="22"/>
        <v>0</v>
      </c>
      <c r="U153" s="912"/>
    </row>
    <row r="154">
      <c r="A154" s="966">
        <v>8.1001401E7</v>
      </c>
      <c r="C154" s="1">
        <v>4.28</v>
      </c>
      <c r="O154" s="909">
        <v>46076.0</v>
      </c>
      <c r="P154" s="903"/>
      <c r="Q154" s="904"/>
      <c r="R154" s="905">
        <f t="shared" si="23"/>
        <v>0</v>
      </c>
      <c r="S154" s="906">
        <f t="shared" si="22"/>
        <v>0</v>
      </c>
      <c r="T154" s="967" t="s">
        <v>23550</v>
      </c>
      <c r="U154" s="912"/>
    </row>
    <row r="155">
      <c r="A155" s="954" t="s">
        <v>23551</v>
      </c>
      <c r="C155" s="1">
        <v>35.92</v>
      </c>
      <c r="D155" s="968" t="s">
        <v>23552</v>
      </c>
      <c r="O155" s="909">
        <v>46077.0</v>
      </c>
      <c r="P155" s="903"/>
      <c r="Q155" s="904"/>
      <c r="R155" s="905">
        <f t="shared" si="23"/>
        <v>0</v>
      </c>
      <c r="S155" s="906">
        <f t="shared" si="22"/>
        <v>0</v>
      </c>
      <c r="T155" s="967" t="s">
        <v>23550</v>
      </c>
      <c r="U155" s="912"/>
    </row>
    <row r="156">
      <c r="A156" s="158">
        <v>9.2137705E7</v>
      </c>
      <c r="C156" s="1">
        <v>40.28</v>
      </c>
      <c r="D156" s="968" t="s">
        <v>23552</v>
      </c>
      <c r="O156" s="909">
        <v>46078.0</v>
      </c>
      <c r="P156" s="903">
        <v>0.375</v>
      </c>
      <c r="Q156" s="904">
        <v>0.6875</v>
      </c>
      <c r="R156" s="905">
        <f t="shared" si="23"/>
        <v>0.3125</v>
      </c>
      <c r="S156" s="906">
        <f t="shared" si="22"/>
        <v>7.5</v>
      </c>
      <c r="U156" s="912"/>
    </row>
    <row r="157">
      <c r="A157" s="158">
        <v>9.2137705E7</v>
      </c>
      <c r="C157" s="1">
        <v>40.28</v>
      </c>
      <c r="D157" s="968" t="s">
        <v>23552</v>
      </c>
      <c r="O157" s="909">
        <v>46079.0</v>
      </c>
      <c r="P157" s="903">
        <v>0.375</v>
      </c>
      <c r="Q157" s="903">
        <v>0.7083333333333334</v>
      </c>
      <c r="R157" s="905">
        <f t="shared" si="23"/>
        <v>0.3333333333</v>
      </c>
      <c r="S157" s="906">
        <f t="shared" si="22"/>
        <v>8</v>
      </c>
      <c r="U157" s="912"/>
    </row>
    <row r="158">
      <c r="A158" s="937" t="s">
        <v>23553</v>
      </c>
      <c r="C158" s="1">
        <v>1.79</v>
      </c>
      <c r="D158" s="968" t="s">
        <v>23552</v>
      </c>
      <c r="O158" s="909">
        <v>46080.0</v>
      </c>
      <c r="P158" s="903">
        <v>0.375</v>
      </c>
      <c r="Q158" s="904">
        <v>0.7083333333333334</v>
      </c>
      <c r="R158" s="905">
        <f t="shared" si="23"/>
        <v>0.3333333333</v>
      </c>
      <c r="S158" s="906">
        <f t="shared" si="22"/>
        <v>8</v>
      </c>
      <c r="U158" s="912"/>
    </row>
    <row r="159">
      <c r="A159" s="158" t="s">
        <v>23521</v>
      </c>
      <c r="C159" s="1">
        <v>9.04</v>
      </c>
      <c r="D159" s="968" t="s">
        <v>23554</v>
      </c>
      <c r="O159" s="949">
        <v>46081.0</v>
      </c>
      <c r="P159" s="936"/>
      <c r="Q159" s="947"/>
      <c r="R159" s="927">
        <f t="shared" si="23"/>
        <v>0</v>
      </c>
      <c r="S159" s="928">
        <f t="shared" si="22"/>
        <v>0</v>
      </c>
      <c r="T159" s="929"/>
      <c r="U159" s="930"/>
    </row>
    <row r="160">
      <c r="A160" s="163" t="s">
        <v>23522</v>
      </c>
      <c r="C160" s="1">
        <v>21.24</v>
      </c>
      <c r="D160" s="968" t="s">
        <v>23554</v>
      </c>
      <c r="O160" s="899" t="s">
        <v>22628</v>
      </c>
      <c r="P160" s="899" t="s">
        <v>23393</v>
      </c>
      <c r="Q160" s="899" t="s">
        <v>23394</v>
      </c>
      <c r="R160" s="900" t="s">
        <v>23395</v>
      </c>
      <c r="S160" s="900" t="s">
        <v>23396</v>
      </c>
      <c r="T160" s="900" t="s">
        <v>23397</v>
      </c>
      <c r="U160" s="900" t="s">
        <v>19525</v>
      </c>
      <c r="V160" s="240" t="s">
        <v>23398</v>
      </c>
      <c r="W160" s="901" t="s">
        <v>23399</v>
      </c>
    </row>
    <row r="161">
      <c r="A161" s="158" t="s">
        <v>23555</v>
      </c>
      <c r="C161" s="1">
        <v>21.63</v>
      </c>
      <c r="D161" s="968" t="s">
        <v>23554</v>
      </c>
      <c r="O161" s="942">
        <v>46082.0</v>
      </c>
      <c r="P161" s="918"/>
      <c r="Q161" s="969"/>
      <c r="R161" s="905">
        <f t="shared" ref="R161:R168" si="24">(Q161-P161)</f>
        <v>0</v>
      </c>
      <c r="S161" s="906">
        <f t="shared" ref="S161:S191" si="25">HOUR(R161)+MINUTE(R161)/60</f>
        <v>0</v>
      </c>
      <c r="T161" s="907">
        <f>SUM(S161:S191)</f>
        <v>171.6666667</v>
      </c>
      <c r="U161" s="910">
        <f>SUM(T161*10)</f>
        <v>1716.666667</v>
      </c>
      <c r="V161" s="240">
        <v>847.0</v>
      </c>
      <c r="W161" s="240">
        <v>870.0</v>
      </c>
    </row>
    <row r="162">
      <c r="A162" s="937" t="s">
        <v>23556</v>
      </c>
      <c r="C162" s="1">
        <v>40.37</v>
      </c>
      <c r="D162" s="968" t="s">
        <v>23554</v>
      </c>
      <c r="O162" s="909">
        <v>46083.0</v>
      </c>
      <c r="P162" s="969">
        <v>0.375</v>
      </c>
      <c r="Q162" s="918">
        <v>0.7222222222222222</v>
      </c>
      <c r="R162" s="905">
        <f t="shared" si="24"/>
        <v>0.3472222222</v>
      </c>
      <c r="S162" s="906">
        <f t="shared" si="25"/>
        <v>8.333333333</v>
      </c>
      <c r="U162" s="912"/>
      <c r="V162" s="186"/>
      <c r="W162" s="8"/>
    </row>
    <row r="163">
      <c r="A163" s="937" t="s">
        <v>23557</v>
      </c>
      <c r="C163" s="1">
        <v>9.66</v>
      </c>
      <c r="D163" s="968" t="s">
        <v>23554</v>
      </c>
      <c r="O163" s="909">
        <v>46084.0</v>
      </c>
      <c r="P163" s="918">
        <v>0.375</v>
      </c>
      <c r="Q163" s="918">
        <v>0.7083333333333334</v>
      </c>
      <c r="R163" s="905">
        <f t="shared" si="24"/>
        <v>0.3333333333</v>
      </c>
      <c r="S163" s="906">
        <f t="shared" si="25"/>
        <v>8</v>
      </c>
      <c r="U163" s="914"/>
    </row>
    <row r="164">
      <c r="A164" s="1" t="s">
        <v>23516</v>
      </c>
      <c r="C164" s="1">
        <v>-300.0</v>
      </c>
      <c r="O164" s="909">
        <v>46085.0</v>
      </c>
      <c r="P164" s="918">
        <v>0.375</v>
      </c>
      <c r="Q164" s="918">
        <v>0.7083333333333334</v>
      </c>
      <c r="R164" s="905">
        <f t="shared" si="24"/>
        <v>0.3333333333</v>
      </c>
      <c r="S164" s="906">
        <f t="shared" si="25"/>
        <v>8</v>
      </c>
      <c r="U164" s="912"/>
    </row>
    <row r="165">
      <c r="O165" s="909">
        <v>46086.0</v>
      </c>
      <c r="P165" s="918">
        <v>0.375</v>
      </c>
      <c r="Q165" s="918">
        <v>0.7083333333333334</v>
      </c>
      <c r="R165" s="905">
        <f t="shared" si="24"/>
        <v>0.3333333333</v>
      </c>
      <c r="S165" s="906">
        <f t="shared" si="25"/>
        <v>8</v>
      </c>
      <c r="U165" s="912"/>
    </row>
    <row r="166">
      <c r="O166" s="909">
        <v>46087.0</v>
      </c>
      <c r="P166" s="969">
        <v>0.375</v>
      </c>
      <c r="Q166" s="969">
        <v>0.6736111111111112</v>
      </c>
      <c r="R166" s="905">
        <f t="shared" si="24"/>
        <v>0.2986111111</v>
      </c>
      <c r="S166" s="906">
        <f t="shared" si="25"/>
        <v>7.166666667</v>
      </c>
      <c r="U166" s="912"/>
    </row>
    <row r="167">
      <c r="O167" s="942">
        <v>46088.0</v>
      </c>
      <c r="P167" s="918"/>
      <c r="Q167" s="918"/>
      <c r="R167" s="905">
        <f t="shared" si="24"/>
        <v>0</v>
      </c>
      <c r="S167" s="906">
        <f t="shared" si="25"/>
        <v>0</v>
      </c>
      <c r="U167" s="912"/>
    </row>
    <row r="168">
      <c r="O168" s="942">
        <v>46089.0</v>
      </c>
      <c r="P168" s="918"/>
      <c r="Q168" s="918"/>
      <c r="R168" s="905">
        <f t="shared" si="24"/>
        <v>0</v>
      </c>
      <c r="S168" s="906">
        <f t="shared" si="25"/>
        <v>0</v>
      </c>
      <c r="U168" s="912"/>
    </row>
    <row r="169">
      <c r="O169" s="909">
        <v>46090.0</v>
      </c>
      <c r="P169" s="969">
        <v>0.375</v>
      </c>
      <c r="Q169" s="969">
        <v>0.7083333333333334</v>
      </c>
      <c r="R169" s="905">
        <f>SUM(Q169-P169)</f>
        <v>0.3333333333</v>
      </c>
      <c r="S169" s="919">
        <f t="shared" si="25"/>
        <v>8</v>
      </c>
      <c r="U169" s="912"/>
    </row>
    <row r="170">
      <c r="O170" s="917">
        <v>46091.0</v>
      </c>
      <c r="P170" s="918"/>
      <c r="Q170" s="918"/>
      <c r="R170" s="905">
        <f t="shared" ref="R170:R191" si="26">(Q170-P170)</f>
        <v>0</v>
      </c>
      <c r="S170" s="906">
        <f t="shared" si="25"/>
        <v>0</v>
      </c>
      <c r="U170" s="912"/>
    </row>
    <row r="171">
      <c r="O171" s="909">
        <v>46092.0</v>
      </c>
      <c r="P171" s="918">
        <v>0.375</v>
      </c>
      <c r="Q171" s="918">
        <v>0.7083333333333334</v>
      </c>
      <c r="R171" s="905">
        <f t="shared" si="26"/>
        <v>0.3333333333</v>
      </c>
      <c r="S171" s="906">
        <f t="shared" si="25"/>
        <v>8</v>
      </c>
      <c r="U171" s="912"/>
    </row>
    <row r="172">
      <c r="O172" s="909">
        <v>46093.0</v>
      </c>
      <c r="P172" s="918">
        <v>0.375</v>
      </c>
      <c r="Q172" s="918">
        <v>0.7083333333333334</v>
      </c>
      <c r="R172" s="905">
        <f t="shared" si="26"/>
        <v>0.3333333333</v>
      </c>
      <c r="S172" s="906">
        <f t="shared" si="25"/>
        <v>8</v>
      </c>
      <c r="U172" s="912"/>
    </row>
    <row r="173">
      <c r="O173" s="909">
        <v>46094.0</v>
      </c>
      <c r="P173" s="918">
        <v>0.375</v>
      </c>
      <c r="Q173" s="969">
        <v>0.7083333333333334</v>
      </c>
      <c r="R173" s="905">
        <f t="shared" si="26"/>
        <v>0.3333333333</v>
      </c>
      <c r="S173" s="906">
        <f t="shared" si="25"/>
        <v>8</v>
      </c>
      <c r="U173" s="912"/>
    </row>
    <row r="174">
      <c r="O174" s="942">
        <v>46095.0</v>
      </c>
      <c r="P174" s="918"/>
      <c r="Q174" s="918"/>
      <c r="R174" s="905">
        <f t="shared" si="26"/>
        <v>0</v>
      </c>
      <c r="S174" s="906">
        <f t="shared" si="25"/>
        <v>0</v>
      </c>
      <c r="U174" s="912"/>
    </row>
    <row r="175">
      <c r="O175" s="942">
        <v>46096.0</v>
      </c>
      <c r="P175" s="918"/>
      <c r="Q175" s="918"/>
      <c r="R175" s="905">
        <f t="shared" si="26"/>
        <v>0</v>
      </c>
      <c r="S175" s="906">
        <f t="shared" si="25"/>
        <v>0</v>
      </c>
      <c r="U175" s="912"/>
    </row>
    <row r="176">
      <c r="O176" s="909">
        <v>46097.0</v>
      </c>
      <c r="P176" s="918">
        <v>0.375</v>
      </c>
      <c r="Q176" s="969">
        <v>0.7083333333333334</v>
      </c>
      <c r="R176" s="905">
        <f t="shared" si="26"/>
        <v>0.3333333333</v>
      </c>
      <c r="S176" s="906">
        <f t="shared" si="25"/>
        <v>8</v>
      </c>
      <c r="U176" s="912"/>
    </row>
    <row r="177">
      <c r="O177" s="909">
        <v>46098.0</v>
      </c>
      <c r="P177" s="969">
        <v>0.375</v>
      </c>
      <c r="Q177" s="969">
        <v>0.7083333333333334</v>
      </c>
      <c r="R177" s="905">
        <f t="shared" si="26"/>
        <v>0.3333333333</v>
      </c>
      <c r="S177" s="906">
        <f t="shared" si="25"/>
        <v>8</v>
      </c>
      <c r="U177" s="912"/>
    </row>
    <row r="178">
      <c r="O178" s="909">
        <v>46099.0</v>
      </c>
      <c r="P178" s="970">
        <v>0.375</v>
      </c>
      <c r="Q178" s="971">
        <v>0.7083333333333334</v>
      </c>
      <c r="R178" s="905">
        <f t="shared" si="26"/>
        <v>0.3333333333</v>
      </c>
      <c r="S178" s="906">
        <f t="shared" si="25"/>
        <v>8</v>
      </c>
      <c r="U178" s="912"/>
    </row>
    <row r="179">
      <c r="O179" s="909">
        <v>46100.0</v>
      </c>
      <c r="P179" s="918">
        <v>0.375</v>
      </c>
      <c r="Q179" s="918">
        <v>0.7083333333333334</v>
      </c>
      <c r="R179" s="905">
        <f t="shared" si="26"/>
        <v>0.3333333333</v>
      </c>
      <c r="S179" s="906">
        <f t="shared" si="25"/>
        <v>8</v>
      </c>
      <c r="U179" s="912"/>
    </row>
    <row r="180">
      <c r="O180" s="909">
        <v>46101.0</v>
      </c>
      <c r="P180" s="918">
        <v>0.375</v>
      </c>
      <c r="Q180" s="918">
        <v>0.7083333333333334</v>
      </c>
      <c r="R180" s="905">
        <f t="shared" si="26"/>
        <v>0.3333333333</v>
      </c>
      <c r="S180" s="906">
        <f t="shared" si="25"/>
        <v>8</v>
      </c>
      <c r="T180" s="924"/>
      <c r="U180" s="912"/>
    </row>
    <row r="181">
      <c r="O181" s="942">
        <v>46102.0</v>
      </c>
      <c r="P181" s="918"/>
      <c r="Q181" s="969"/>
      <c r="R181" s="905">
        <f t="shared" si="26"/>
        <v>0</v>
      </c>
      <c r="S181" s="906">
        <f t="shared" si="25"/>
        <v>0</v>
      </c>
      <c r="U181" s="912"/>
    </row>
    <row r="182">
      <c r="O182" s="942">
        <v>46103.0</v>
      </c>
      <c r="P182" s="918"/>
      <c r="Q182" s="918"/>
      <c r="R182" s="905">
        <f t="shared" si="26"/>
        <v>0</v>
      </c>
      <c r="S182" s="906">
        <f t="shared" si="25"/>
        <v>0</v>
      </c>
      <c r="U182" s="912"/>
    </row>
    <row r="183">
      <c r="O183" s="902">
        <v>46104.0</v>
      </c>
      <c r="P183" s="918">
        <v>0.375</v>
      </c>
      <c r="Q183" s="969">
        <v>0.7083333333333334</v>
      </c>
      <c r="R183" s="905">
        <f t="shared" si="26"/>
        <v>0.3333333333</v>
      </c>
      <c r="S183" s="906">
        <f t="shared" si="25"/>
        <v>8</v>
      </c>
      <c r="U183" s="912"/>
    </row>
    <row r="184">
      <c r="O184" s="909">
        <v>46105.0</v>
      </c>
      <c r="P184" s="969">
        <v>0.375</v>
      </c>
      <c r="Q184" s="918">
        <v>0.7569444444444444</v>
      </c>
      <c r="R184" s="905">
        <f t="shared" si="26"/>
        <v>0.3819444444</v>
      </c>
      <c r="S184" s="906">
        <f t="shared" si="25"/>
        <v>9.166666667</v>
      </c>
      <c r="U184" s="912"/>
    </row>
    <row r="185">
      <c r="O185" s="909">
        <v>46106.0</v>
      </c>
      <c r="P185" s="969">
        <v>0.375</v>
      </c>
      <c r="Q185" s="918">
        <v>0.7083333333333334</v>
      </c>
      <c r="R185" s="905">
        <f t="shared" si="26"/>
        <v>0.3333333333</v>
      </c>
      <c r="S185" s="906">
        <f t="shared" si="25"/>
        <v>8</v>
      </c>
      <c r="U185" s="912"/>
    </row>
    <row r="186">
      <c r="O186" s="909">
        <v>46107.0</v>
      </c>
      <c r="P186" s="918">
        <v>0.3819444444444444</v>
      </c>
      <c r="Q186" s="918">
        <v>0.7291666666666666</v>
      </c>
      <c r="R186" s="905">
        <f t="shared" si="26"/>
        <v>0.3472222222</v>
      </c>
      <c r="S186" s="906">
        <f t="shared" si="25"/>
        <v>8.333333333</v>
      </c>
      <c r="U186" s="912"/>
    </row>
    <row r="187">
      <c r="O187" s="909">
        <v>46108.0</v>
      </c>
      <c r="P187" s="918">
        <v>0.3819444444444444</v>
      </c>
      <c r="Q187" s="918">
        <v>0.7083333333333334</v>
      </c>
      <c r="R187" s="905">
        <f t="shared" si="26"/>
        <v>0.3263888889</v>
      </c>
      <c r="S187" s="906">
        <f t="shared" si="25"/>
        <v>7.833333333</v>
      </c>
      <c r="U187" s="912"/>
    </row>
    <row r="188">
      <c r="O188" s="942">
        <v>46109.0</v>
      </c>
      <c r="P188" s="918"/>
      <c r="Q188" s="918"/>
      <c r="R188" s="905">
        <f t="shared" si="26"/>
        <v>0</v>
      </c>
      <c r="S188" s="906">
        <f t="shared" si="25"/>
        <v>0</v>
      </c>
      <c r="U188" s="912"/>
    </row>
    <row r="189">
      <c r="O189" s="942">
        <v>46110.0</v>
      </c>
      <c r="P189" s="918"/>
      <c r="Q189" s="918"/>
      <c r="R189" s="905">
        <f t="shared" si="26"/>
        <v>0</v>
      </c>
      <c r="S189" s="906">
        <f t="shared" si="25"/>
        <v>0</v>
      </c>
      <c r="U189" s="912"/>
    </row>
    <row r="190">
      <c r="O190" s="972">
        <v>46111.0</v>
      </c>
      <c r="P190" s="969">
        <v>0.375</v>
      </c>
      <c r="Q190" s="918">
        <v>0.7638888888888888</v>
      </c>
      <c r="R190" s="905">
        <f t="shared" si="26"/>
        <v>0.3888888889</v>
      </c>
      <c r="S190" s="906">
        <f t="shared" si="25"/>
        <v>9.333333333</v>
      </c>
      <c r="U190" s="912"/>
    </row>
    <row r="191">
      <c r="O191" s="935">
        <v>46112.0</v>
      </c>
      <c r="P191" s="973">
        <v>0.375</v>
      </c>
      <c r="Q191" s="973">
        <v>0.7708333333333334</v>
      </c>
      <c r="R191" s="927">
        <f t="shared" si="26"/>
        <v>0.3958333333</v>
      </c>
      <c r="S191" s="928">
        <f t="shared" si="25"/>
        <v>9.5</v>
      </c>
      <c r="T191" s="929"/>
      <c r="U191" s="930"/>
    </row>
  </sheetData>
  <hyperlinks>
    <hyperlink r:id="rId1" ref="A7"/>
    <hyperlink r:id="rId2" ref="A8"/>
    <hyperlink r:id="rId3" ref="A9"/>
    <hyperlink r:id="rId4" ref="A10"/>
    <hyperlink r:id="rId5" ref="A15"/>
    <hyperlink r:id="rId6" ref="A22"/>
    <hyperlink r:id="rId7" ref="A25"/>
    <hyperlink r:id="rId8" ref="A30"/>
    <hyperlink r:id="rId9" ref="A31"/>
    <hyperlink r:id="rId10" ref="A32"/>
    <hyperlink r:id="rId11" ref="A36"/>
    <hyperlink r:id="rId12" ref="A38"/>
    <hyperlink r:id="rId13" ref="A39"/>
    <hyperlink r:id="rId14" ref="A40"/>
    <hyperlink r:id="rId15" ref="A41"/>
    <hyperlink r:id="rId16" ref="A42"/>
    <hyperlink r:id="rId17" ref="A50"/>
    <hyperlink r:id="rId18" ref="A51"/>
    <hyperlink r:id="rId19" ref="A55"/>
    <hyperlink r:id="rId20" ref="A56"/>
    <hyperlink r:id="rId21" ref="A57"/>
    <hyperlink r:id="rId22" ref="A58"/>
    <hyperlink r:id="rId23" ref="A59"/>
    <hyperlink r:id="rId24" ref="A60"/>
    <hyperlink r:id="rId25" ref="A61"/>
    <hyperlink r:id="rId26" ref="A62"/>
    <hyperlink r:id="rId27" ref="A65"/>
    <hyperlink r:id="rId28" ref="A66"/>
    <hyperlink r:id="rId29" ref="A67"/>
    <hyperlink r:id="rId30" ref="A73"/>
    <hyperlink r:id="rId31" ref="A78"/>
    <hyperlink r:id="rId32" ref="A86"/>
    <hyperlink r:id="rId33" ref="A87"/>
    <hyperlink r:id="rId34" ref="A88"/>
    <hyperlink r:id="rId35" ref="A95"/>
    <hyperlink r:id="rId36" ref="A96"/>
    <hyperlink r:id="rId37" ref="A97"/>
    <hyperlink r:id="rId38" ref="A98"/>
    <hyperlink r:id="rId39" ref="A99"/>
    <hyperlink r:id="rId40" ref="A100"/>
    <hyperlink r:id="rId41" ref="A105"/>
    <hyperlink r:id="rId42" ref="A106"/>
    <hyperlink r:id="rId43" ref="A107"/>
    <hyperlink r:id="rId44" ref="A108"/>
    <hyperlink r:id="rId45" ref="A109"/>
    <hyperlink r:id="rId46" ref="A110"/>
    <hyperlink r:id="rId47" ref="A118"/>
    <hyperlink r:id="rId48" ref="A119"/>
    <hyperlink r:id="rId49" ref="A123"/>
    <hyperlink r:id="rId50" ref="A142"/>
    <hyperlink r:id="rId51" ref="A143"/>
    <hyperlink r:id="rId52" ref="A144"/>
    <hyperlink r:id="rId53" ref="A145"/>
    <hyperlink r:id="rId54" ref="A146"/>
    <hyperlink r:id="rId55" ref="A147"/>
    <hyperlink r:id="rId56" ref="A148"/>
    <hyperlink r:id="rId57" ref="A149"/>
    <hyperlink r:id="rId58" ref="A150"/>
    <hyperlink r:id="rId59" ref="A158"/>
    <hyperlink r:id="rId60" ref="A162"/>
    <hyperlink r:id="rId61" ref="A163"/>
  </hyperlinks>
  <drawing r:id="rId6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F3" s="75" t="s">
        <v>23558</v>
      </c>
      <c r="L3" s="1" t="s">
        <v>23559</v>
      </c>
      <c r="N3" s="1" t="s">
        <v>23560</v>
      </c>
    </row>
    <row r="4">
      <c r="E4" s="1" t="s">
        <v>23561</v>
      </c>
      <c r="F4" s="75" t="s">
        <v>23562</v>
      </c>
      <c r="M4" s="1" t="s">
        <v>23563</v>
      </c>
    </row>
    <row r="7">
      <c r="B7" s="1">
        <v>80.0</v>
      </c>
    </row>
    <row r="8">
      <c r="B8" s="1">
        <v>65.0</v>
      </c>
    </row>
    <row r="9">
      <c r="A9" s="22" t="s">
        <v>5885</v>
      </c>
      <c r="B9">
        <f>SUM(B10:B12)</f>
        <v>50.57</v>
      </c>
    </row>
    <row r="10">
      <c r="A10" s="974" t="s">
        <v>23564</v>
      </c>
      <c r="B10" s="975">
        <v>7.62</v>
      </c>
    </row>
    <row r="11">
      <c r="A11" s="974" t="s">
        <v>23565</v>
      </c>
      <c r="B11" s="975">
        <v>2.58</v>
      </c>
    </row>
    <row r="12">
      <c r="A12" s="974" t="s">
        <v>23566</v>
      </c>
      <c r="B12" s="1">
        <v>40.37</v>
      </c>
    </row>
    <row r="20">
      <c r="H20" s="976">
        <f>SUM(H21:H51)</f>
        <v>8.767361111</v>
      </c>
      <c r="O20" s="976">
        <f>SUM(O21:O51)</f>
        <v>2.756944444</v>
      </c>
    </row>
    <row r="21">
      <c r="E21" s="977" t="s">
        <v>22628</v>
      </c>
      <c r="F21" s="977" t="s">
        <v>23393</v>
      </c>
      <c r="G21" s="977" t="s">
        <v>23394</v>
      </c>
      <c r="H21" s="978" t="s">
        <v>23395</v>
      </c>
      <c r="L21" s="977" t="s">
        <v>22628</v>
      </c>
      <c r="M21" s="979" t="s">
        <v>23393</v>
      </c>
      <c r="N21" s="979" t="s">
        <v>23394</v>
      </c>
      <c r="O21" s="978" t="s">
        <v>23395</v>
      </c>
    </row>
    <row r="22">
      <c r="E22" s="980">
        <v>45748.0</v>
      </c>
      <c r="F22" s="981">
        <v>0.3333333333333333</v>
      </c>
      <c r="G22" s="982">
        <v>0.7604166666666666</v>
      </c>
      <c r="H22" s="983">
        <f t="shared" ref="H22:H51" si="1">(G22-F22)</f>
        <v>0.4270833333</v>
      </c>
      <c r="L22" s="984">
        <v>45778.0</v>
      </c>
      <c r="M22" s="981"/>
      <c r="N22" s="982"/>
      <c r="O22" s="985">
        <f t="shared" ref="O22:O51" si="2">(N22-M22)</f>
        <v>0</v>
      </c>
    </row>
    <row r="23">
      <c r="E23" s="980">
        <v>45749.0</v>
      </c>
      <c r="F23" s="981">
        <v>0.3333333333333333</v>
      </c>
      <c r="G23" s="982">
        <v>0.75</v>
      </c>
      <c r="H23" s="983">
        <f t="shared" si="1"/>
        <v>0.4166666667</v>
      </c>
      <c r="L23" s="984">
        <v>45779.0</v>
      </c>
      <c r="M23" s="981"/>
      <c r="N23" s="982"/>
      <c r="O23" s="985">
        <f t="shared" si="2"/>
        <v>0</v>
      </c>
    </row>
    <row r="24">
      <c r="E24" s="980">
        <v>45750.0</v>
      </c>
      <c r="F24" s="981">
        <v>0.3333333333333333</v>
      </c>
      <c r="G24" s="986">
        <v>0.7638888888888888</v>
      </c>
      <c r="H24" s="983">
        <f t="shared" si="1"/>
        <v>0.4305555556</v>
      </c>
      <c r="L24" s="984">
        <v>45780.0</v>
      </c>
      <c r="M24" s="981"/>
      <c r="N24" s="986"/>
      <c r="O24" s="985">
        <f t="shared" si="2"/>
        <v>0</v>
      </c>
    </row>
    <row r="25">
      <c r="E25" s="980">
        <v>45751.0</v>
      </c>
      <c r="F25" s="981"/>
      <c r="G25" s="986"/>
      <c r="H25" s="983">
        <f t="shared" si="1"/>
        <v>0</v>
      </c>
      <c r="L25" s="980">
        <v>45781.0</v>
      </c>
      <c r="M25" s="981">
        <v>0.5416666666666666</v>
      </c>
      <c r="N25" s="986">
        <v>0.75</v>
      </c>
      <c r="O25" s="983">
        <f t="shared" si="2"/>
        <v>0.2083333333</v>
      </c>
    </row>
    <row r="26">
      <c r="E26" s="980">
        <v>45752.0</v>
      </c>
      <c r="F26" s="981"/>
      <c r="G26" s="987"/>
      <c r="H26" s="983">
        <f t="shared" si="1"/>
        <v>0</v>
      </c>
      <c r="L26" s="980">
        <v>45782.0</v>
      </c>
      <c r="M26" s="981">
        <v>0.53125</v>
      </c>
      <c r="N26" s="986">
        <v>0.7222222222222222</v>
      </c>
      <c r="O26" s="983">
        <f t="shared" si="2"/>
        <v>0.1909722222</v>
      </c>
    </row>
    <row r="27">
      <c r="E27" s="980">
        <v>45753.0</v>
      </c>
      <c r="F27" s="981"/>
      <c r="G27" s="987"/>
      <c r="H27" s="983">
        <f t="shared" si="1"/>
        <v>0</v>
      </c>
      <c r="L27" s="980">
        <v>45783.0</v>
      </c>
      <c r="M27" s="981">
        <v>0.5381944444444444</v>
      </c>
      <c r="N27" s="986">
        <v>0.7604166666666666</v>
      </c>
      <c r="O27" s="983">
        <f t="shared" si="2"/>
        <v>0.2222222222</v>
      </c>
    </row>
    <row r="28">
      <c r="E28" s="980">
        <v>45754.0</v>
      </c>
      <c r="F28" s="981">
        <v>0.3333333333333333</v>
      </c>
      <c r="G28" s="986">
        <v>0.7708333333333334</v>
      </c>
      <c r="H28" s="983">
        <f t="shared" si="1"/>
        <v>0.4375</v>
      </c>
      <c r="L28" s="980">
        <v>45784.0</v>
      </c>
      <c r="M28" s="981">
        <v>0.53125</v>
      </c>
      <c r="N28" s="986">
        <v>0.7569444444444444</v>
      </c>
      <c r="O28" s="983">
        <f t="shared" si="2"/>
        <v>0.2256944444</v>
      </c>
    </row>
    <row r="29">
      <c r="E29" s="980">
        <v>45755.0</v>
      </c>
      <c r="F29" s="981">
        <v>0.3333333333333333</v>
      </c>
      <c r="G29" s="986">
        <v>0.7777777777777778</v>
      </c>
      <c r="H29" s="983">
        <f t="shared" si="1"/>
        <v>0.4444444444</v>
      </c>
      <c r="L29" s="980">
        <v>45785.0</v>
      </c>
      <c r="M29" s="981">
        <v>0.5347222222222222</v>
      </c>
      <c r="N29" s="986">
        <v>0.7291666666666666</v>
      </c>
      <c r="O29" s="983">
        <f t="shared" si="2"/>
        <v>0.1944444444</v>
      </c>
    </row>
    <row r="30">
      <c r="E30" s="980">
        <v>45756.0</v>
      </c>
      <c r="F30" s="981">
        <v>0.3333333333333333</v>
      </c>
      <c r="G30" s="986">
        <v>0.7638888888888888</v>
      </c>
      <c r="H30" s="983">
        <f t="shared" si="1"/>
        <v>0.4305555556</v>
      </c>
      <c r="L30" s="980">
        <v>45786.0</v>
      </c>
      <c r="M30" s="981"/>
      <c r="N30" s="986"/>
      <c r="O30" s="983">
        <f t="shared" si="2"/>
        <v>0</v>
      </c>
    </row>
    <row r="31">
      <c r="E31" s="980">
        <v>45757.0</v>
      </c>
      <c r="F31" s="988">
        <v>0.3333333333333333</v>
      </c>
      <c r="G31" s="986">
        <v>0.7916666666666666</v>
      </c>
      <c r="H31" s="983">
        <f t="shared" si="1"/>
        <v>0.4583333333</v>
      </c>
      <c r="L31" s="980">
        <v>45787.0</v>
      </c>
      <c r="M31" s="988"/>
      <c r="N31" s="986"/>
      <c r="O31" s="983">
        <f t="shared" si="2"/>
        <v>0</v>
      </c>
    </row>
    <row r="32">
      <c r="E32" s="980">
        <v>45758.0</v>
      </c>
      <c r="F32" s="989"/>
      <c r="G32" s="987"/>
      <c r="H32" s="983">
        <f t="shared" si="1"/>
        <v>0</v>
      </c>
      <c r="L32" s="980">
        <v>45788.0</v>
      </c>
      <c r="M32" s="988">
        <v>0.53125</v>
      </c>
      <c r="N32" s="986">
        <v>0.7256944444444444</v>
      </c>
      <c r="O32" s="983">
        <f t="shared" si="2"/>
        <v>0.1944444444</v>
      </c>
    </row>
    <row r="33">
      <c r="E33" s="980">
        <v>45759.0</v>
      </c>
      <c r="F33" s="976"/>
      <c r="G33" s="976"/>
      <c r="H33" s="983">
        <f t="shared" si="1"/>
        <v>0</v>
      </c>
      <c r="L33" s="980">
        <v>45789.0</v>
      </c>
      <c r="M33" s="990">
        <v>0.5416666666666666</v>
      </c>
      <c r="N33" s="990">
        <v>0.7291666666666666</v>
      </c>
      <c r="O33" s="983">
        <f t="shared" si="2"/>
        <v>0.1875</v>
      </c>
    </row>
    <row r="34">
      <c r="E34" s="980">
        <v>45760.0</v>
      </c>
      <c r="F34" s="988">
        <v>0.3333333333333333</v>
      </c>
      <c r="G34" s="986">
        <v>0.75</v>
      </c>
      <c r="H34" s="983">
        <f t="shared" si="1"/>
        <v>0.4166666667</v>
      </c>
      <c r="L34" s="980">
        <v>45790.0</v>
      </c>
      <c r="M34" s="988">
        <v>0.6041666666666666</v>
      </c>
      <c r="N34" s="986">
        <v>0.71875</v>
      </c>
      <c r="O34" s="983">
        <f t="shared" si="2"/>
        <v>0.1145833333</v>
      </c>
    </row>
    <row r="35">
      <c r="E35" s="980">
        <v>45761.0</v>
      </c>
      <c r="F35" s="988">
        <v>0.3333333333333333</v>
      </c>
      <c r="G35" s="986">
        <v>0.7743055555555556</v>
      </c>
      <c r="H35" s="983">
        <f t="shared" si="1"/>
        <v>0.4409722222</v>
      </c>
      <c r="L35" s="980">
        <v>45791.0</v>
      </c>
      <c r="M35" s="988">
        <v>0.5416666666666666</v>
      </c>
      <c r="N35" s="986">
        <v>0.7256944444444444</v>
      </c>
      <c r="O35" s="983">
        <f t="shared" si="2"/>
        <v>0.1840277778</v>
      </c>
    </row>
    <row r="36">
      <c r="E36" s="980">
        <v>45762.0</v>
      </c>
      <c r="F36" s="988">
        <v>0.3333333333333333</v>
      </c>
      <c r="G36" s="986">
        <v>0.7916666666666666</v>
      </c>
      <c r="H36" s="983">
        <f t="shared" si="1"/>
        <v>0.4583333333</v>
      </c>
      <c r="L36" s="980">
        <v>45792.0</v>
      </c>
      <c r="M36" s="988">
        <v>0.5416666666666666</v>
      </c>
      <c r="N36" s="986">
        <v>0.7222222222222222</v>
      </c>
      <c r="O36" s="983">
        <f t="shared" si="2"/>
        <v>0.1805555556</v>
      </c>
    </row>
    <row r="37">
      <c r="E37" s="980">
        <v>45763.0</v>
      </c>
      <c r="F37" s="988">
        <v>0.3333333333333333</v>
      </c>
      <c r="G37" s="986">
        <v>0.7708333333333334</v>
      </c>
      <c r="H37" s="983">
        <f t="shared" si="1"/>
        <v>0.4375</v>
      </c>
      <c r="L37" s="980">
        <v>45793.0</v>
      </c>
      <c r="M37" s="988"/>
      <c r="N37" s="986"/>
      <c r="O37" s="983">
        <f t="shared" si="2"/>
        <v>0</v>
      </c>
    </row>
    <row r="38">
      <c r="E38" s="980">
        <v>45764.0</v>
      </c>
      <c r="F38" s="988">
        <v>0.3333333333333333</v>
      </c>
      <c r="G38" s="986">
        <v>0.7569444444444444</v>
      </c>
      <c r="H38" s="983">
        <f t="shared" si="1"/>
        <v>0.4236111111</v>
      </c>
      <c r="L38" s="980">
        <v>45794.0</v>
      </c>
      <c r="M38" s="988"/>
      <c r="N38" s="986"/>
      <c r="O38" s="983">
        <f t="shared" si="2"/>
        <v>0</v>
      </c>
    </row>
    <row r="39">
      <c r="E39" s="980">
        <v>45765.0</v>
      </c>
      <c r="F39" s="976"/>
      <c r="G39" s="976"/>
      <c r="H39" s="983">
        <f t="shared" si="1"/>
        <v>0</v>
      </c>
      <c r="L39" s="980">
        <v>45795.0</v>
      </c>
      <c r="M39" s="990">
        <v>0.5416666666666666</v>
      </c>
      <c r="N39" s="990">
        <v>0.7083333333333334</v>
      </c>
      <c r="O39" s="983">
        <f t="shared" si="2"/>
        <v>0.1666666667</v>
      </c>
    </row>
    <row r="40">
      <c r="E40" s="980">
        <v>45766.0</v>
      </c>
      <c r="F40" s="989"/>
      <c r="G40" s="987"/>
      <c r="H40" s="983">
        <f t="shared" si="1"/>
        <v>0</v>
      </c>
      <c r="L40" s="980">
        <v>45796.0</v>
      </c>
      <c r="M40" s="988">
        <v>0.5486111111111112</v>
      </c>
      <c r="N40" s="986">
        <v>0.7291666666666666</v>
      </c>
      <c r="O40" s="983">
        <f t="shared" si="2"/>
        <v>0.1805555556</v>
      </c>
    </row>
    <row r="41">
      <c r="E41" s="980">
        <v>45767.0</v>
      </c>
      <c r="F41" s="988">
        <v>0.3333333333333333</v>
      </c>
      <c r="G41" s="986">
        <v>0.7569444444444444</v>
      </c>
      <c r="H41" s="983">
        <f t="shared" si="1"/>
        <v>0.4236111111</v>
      </c>
      <c r="L41" s="980">
        <v>45797.0</v>
      </c>
      <c r="M41" s="988">
        <v>0.5416666666666666</v>
      </c>
      <c r="N41" s="986">
        <v>0.75</v>
      </c>
      <c r="O41" s="983">
        <f t="shared" si="2"/>
        <v>0.2083333333</v>
      </c>
    </row>
    <row r="42">
      <c r="E42" s="980">
        <v>45768.0</v>
      </c>
      <c r="F42" s="988">
        <v>0.3333333333333333</v>
      </c>
      <c r="G42" s="986">
        <v>0.75</v>
      </c>
      <c r="H42" s="983">
        <f t="shared" si="1"/>
        <v>0.4166666667</v>
      </c>
      <c r="L42" s="980">
        <v>45798.0</v>
      </c>
      <c r="M42" s="988">
        <v>0.5972222222222222</v>
      </c>
      <c r="N42" s="986">
        <v>0.75</v>
      </c>
      <c r="O42" s="983">
        <f t="shared" si="2"/>
        <v>0.1527777778</v>
      </c>
    </row>
    <row r="43">
      <c r="E43" s="980">
        <v>45769.0</v>
      </c>
      <c r="F43" s="988">
        <v>0.3333333333333333</v>
      </c>
      <c r="G43" s="986">
        <v>0.7569444444444444</v>
      </c>
      <c r="H43" s="983">
        <f t="shared" si="1"/>
        <v>0.4236111111</v>
      </c>
      <c r="L43" s="980">
        <v>45799.0</v>
      </c>
      <c r="M43" s="988">
        <v>0.5486111111111112</v>
      </c>
      <c r="N43" s="986">
        <v>0.6944444444444444</v>
      </c>
      <c r="O43" s="983">
        <f t="shared" si="2"/>
        <v>0.1458333333</v>
      </c>
    </row>
    <row r="44">
      <c r="A44" s="7"/>
      <c r="E44" s="980">
        <v>45770.0</v>
      </c>
      <c r="F44" s="988">
        <v>0.3333333333333333</v>
      </c>
      <c r="G44" s="986">
        <v>0.7291666666666666</v>
      </c>
      <c r="H44" s="983">
        <f t="shared" si="1"/>
        <v>0.3958333333</v>
      </c>
      <c r="L44" s="980">
        <v>45800.0</v>
      </c>
      <c r="M44" s="988"/>
      <c r="N44" s="986"/>
      <c r="O44" s="983">
        <f t="shared" si="2"/>
        <v>0</v>
      </c>
    </row>
    <row r="45">
      <c r="A45" s="7"/>
      <c r="E45" s="980">
        <v>45771.0</v>
      </c>
      <c r="F45" s="988">
        <v>0.4236111111111111</v>
      </c>
      <c r="G45" s="986">
        <v>0.7708333333333334</v>
      </c>
      <c r="H45" s="983">
        <f t="shared" si="1"/>
        <v>0.3472222222</v>
      </c>
      <c r="L45" s="980">
        <v>45801.0</v>
      </c>
      <c r="M45" s="988"/>
      <c r="N45" s="986"/>
      <c r="O45" s="983">
        <f t="shared" si="2"/>
        <v>0</v>
      </c>
    </row>
    <row r="46">
      <c r="A46" s="7"/>
      <c r="E46" s="980">
        <v>45772.0</v>
      </c>
      <c r="F46" s="989"/>
      <c r="G46" s="987"/>
      <c r="H46" s="983">
        <f t="shared" si="1"/>
        <v>0</v>
      </c>
      <c r="L46" s="980">
        <v>45802.0</v>
      </c>
      <c r="M46" s="989"/>
      <c r="N46" s="987"/>
      <c r="O46" s="983">
        <f t="shared" si="2"/>
        <v>0</v>
      </c>
    </row>
    <row r="47">
      <c r="A47" s="7"/>
      <c r="E47" s="980">
        <v>45773.0</v>
      </c>
      <c r="F47" s="989"/>
      <c r="G47" s="987"/>
      <c r="H47" s="983">
        <f t="shared" si="1"/>
        <v>0</v>
      </c>
      <c r="L47" s="980">
        <v>45803.0</v>
      </c>
      <c r="M47" s="989"/>
      <c r="N47" s="987"/>
      <c r="O47" s="983">
        <f t="shared" si="2"/>
        <v>0</v>
      </c>
    </row>
    <row r="48">
      <c r="E48" s="980">
        <v>45774.0</v>
      </c>
      <c r="F48" s="988">
        <v>0.3333333333333333</v>
      </c>
      <c r="G48" s="986">
        <v>0.75</v>
      </c>
      <c r="H48" s="983">
        <f t="shared" si="1"/>
        <v>0.4166666667</v>
      </c>
      <c r="L48" s="980">
        <v>45804.0</v>
      </c>
      <c r="M48" s="988"/>
      <c r="N48" s="986"/>
      <c r="O48" s="983">
        <f t="shared" si="2"/>
        <v>0</v>
      </c>
    </row>
    <row r="49">
      <c r="E49" s="980">
        <v>45775.0</v>
      </c>
      <c r="F49" s="988">
        <v>0.4236111111111111</v>
      </c>
      <c r="G49" s="986">
        <v>0.7569444444444444</v>
      </c>
      <c r="H49" s="983">
        <f t="shared" si="1"/>
        <v>0.3333333333</v>
      </c>
      <c r="L49" s="980">
        <v>45805.0</v>
      </c>
      <c r="M49" s="988"/>
      <c r="N49" s="986"/>
      <c r="O49" s="983">
        <f t="shared" si="2"/>
        <v>0</v>
      </c>
    </row>
    <row r="50">
      <c r="E50" s="980">
        <v>45776.0</v>
      </c>
      <c r="F50" s="988">
        <v>0.375</v>
      </c>
      <c r="G50" s="986">
        <v>0.7361111111111112</v>
      </c>
      <c r="H50" s="983">
        <f t="shared" si="1"/>
        <v>0.3611111111</v>
      </c>
      <c r="L50" s="980">
        <v>45806.0</v>
      </c>
      <c r="M50" s="988"/>
      <c r="N50" s="986"/>
      <c r="O50" s="983">
        <f t="shared" si="2"/>
        <v>0</v>
      </c>
    </row>
    <row r="51">
      <c r="E51" s="980">
        <v>45777.0</v>
      </c>
      <c r="F51" s="988">
        <v>0.3333333333333333</v>
      </c>
      <c r="G51" s="986">
        <v>0.7604166666666666</v>
      </c>
      <c r="H51" s="983">
        <f t="shared" si="1"/>
        <v>0.4270833333</v>
      </c>
      <c r="L51" s="980">
        <v>45807.0</v>
      </c>
      <c r="M51" s="988"/>
      <c r="N51" s="986"/>
      <c r="O51" s="983">
        <f t="shared" si="2"/>
        <v>0</v>
      </c>
    </row>
    <row r="52">
      <c r="G52" s="991"/>
      <c r="L52" s="980">
        <v>45808.0</v>
      </c>
      <c r="M52" s="992"/>
      <c r="N52" s="992"/>
      <c r="O52" s="992"/>
    </row>
  </sheetData>
  <hyperlinks>
    <hyperlink r:id="rId1" ref="F3"/>
    <hyperlink r:id="rId2" ref="F4"/>
    <hyperlink r:id="rId3" ref="A10"/>
    <hyperlink r:id="rId4" ref="A11"/>
    <hyperlink r:id="rId5" ref="A12"/>
  </hyperlinks>
  <drawing r:id="rId6"/>
</worksheet>
</file>